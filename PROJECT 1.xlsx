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Ex2.xml" ContentType="application/vnd.ms-office.chartex+xml"/>
  <Override PartName="/xl/charts/style23.xml" ContentType="application/vnd.ms-office.chartstyle+xml"/>
  <Override PartName="/xl/charts/colors2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Office365_One drive\OneDrive - Indian Oil Corporation Limited\Desktop\"/>
    </mc:Choice>
  </mc:AlternateContent>
  <xr:revisionPtr revIDLastSave="0" documentId="13_ncr:1_{B3FC9940-516A-47DF-A103-4F093CD9F1EE}" xr6:coauthVersionLast="47" xr6:coauthVersionMax="47" xr10:uidLastSave="{00000000-0000-0000-0000-000000000000}"/>
  <bookViews>
    <workbookView xWindow="-110" yWindow="-110" windowWidth="19420" windowHeight="10300" firstSheet="10" activeTab="12" xr2:uid="{00000000-000D-0000-FFFF-FFFF00000000}"/>
  </bookViews>
  <sheets>
    <sheet name="dataset_1 " sheetId="8" r:id="rId1"/>
    <sheet name="dataset_2 " sheetId="9" r:id="rId2"/>
    <sheet name="Merge2" sheetId="10" r:id="rId3"/>
    <sheet name="dataset_3" sheetId="11" r:id="rId4"/>
    <sheet name="FINAL_SHEET" sheetId="21" r:id="rId5"/>
    <sheet name="HEATMAP CORRELATION" sheetId="44" r:id="rId6"/>
    <sheet name="EXTRACT DATA SHEET" sheetId="16" r:id="rId7"/>
    <sheet name="PIVOT TABLE ANALYSIS" sheetId="22" r:id="rId8"/>
    <sheet name="PIVOT CHART ANALYSIS" sheetId="15" r:id="rId9"/>
    <sheet name="CORELATION CHART" sheetId="42" r:id="rId10"/>
    <sheet name="ANAMOLY SHEET" sheetId="33" r:id="rId11"/>
    <sheet name="FORECAST_SHEET" sheetId="24" r:id="rId12"/>
    <sheet name="DASHBOARD" sheetId="17" r:id="rId13"/>
    <sheet name="PRACTICE" sheetId="31" r:id="rId14"/>
  </sheets>
  <definedNames>
    <definedName name="_xlchart.v1.0" hidden="1">FINAL_SHEET!$N$1</definedName>
    <definedName name="_xlchart.v1.1" hidden="1">FINAL_SHEET!$N$2:$N$1001</definedName>
    <definedName name="_xlchart.v1.2" hidden="1">FINAL_SHEET!$O$1</definedName>
    <definedName name="_xlchart.v1.3" hidden="1">FINAL_SHEET!$O$2:$O$1001</definedName>
    <definedName name="_xlchart.v1.4" hidden="1">FINAL_SHEET!$N$1</definedName>
    <definedName name="_xlchart.v1.5" hidden="1">FINAL_SHEET!$N$2:$N$1001</definedName>
    <definedName name="_xlchart.v1.6" hidden="1">FINAL_SHEET!$O$1</definedName>
    <definedName name="_xlchart.v1.7" hidden="1">FINAL_SHEET!$O$2:$O$1001</definedName>
    <definedName name="ExternalData_1" localSheetId="0" hidden="1">'dataset_1 '!$A$1:$J$611</definedName>
    <definedName name="ExternalData_1" localSheetId="1" hidden="1">'dataset_2 '!$A$1:$G$1000</definedName>
    <definedName name="ExternalData_2" localSheetId="2" hidden="1">Merge2!$A$1:$Q$611</definedName>
    <definedName name="ExternalData_3" localSheetId="3" hidden="1">dataset_3!$A$1:$P$391</definedName>
    <definedName name="ExternalData_4" localSheetId="6" hidden="1">'EXTRACT DATA SHEET'!$A$1:$T$1001</definedName>
    <definedName name="ExternalData_4" localSheetId="4" hidden="1">FINAL_SHEET!$A$1:$T$1001</definedName>
    <definedName name="NativeTimeline_DATE">#N/A</definedName>
    <definedName name="Slicer_DATE">#N/A</definedName>
    <definedName name="Slicer_HOUR">#N/A</definedName>
    <definedName name="Slicer_WEATHER_TYPE">#N/A</definedName>
    <definedName name="Slicer_WEEK_DAY">#N/A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44" l="1"/>
  <c r="J14" i="44"/>
  <c r="K14" i="44"/>
  <c r="L14" i="44"/>
  <c r="M14" i="44"/>
  <c r="N14" i="44"/>
  <c r="O14" i="44"/>
  <c r="P14" i="44"/>
  <c r="P13" i="44"/>
  <c r="P12" i="44"/>
  <c r="P11" i="44"/>
  <c r="P10" i="44"/>
  <c r="P9" i="44"/>
  <c r="P8" i="44"/>
  <c r="O13" i="44"/>
  <c r="O12" i="44"/>
  <c r="O11" i="44"/>
  <c r="O10" i="44"/>
  <c r="O9" i="44"/>
  <c r="O8" i="44"/>
  <c r="N13" i="44"/>
  <c r="N12" i="44"/>
  <c r="N11" i="44"/>
  <c r="N10" i="44"/>
  <c r="N9" i="44"/>
  <c r="N8" i="44"/>
  <c r="M13" i="44"/>
  <c r="M12" i="44"/>
  <c r="M11" i="44"/>
  <c r="M10" i="44"/>
  <c r="M9" i="44"/>
  <c r="M8" i="44"/>
  <c r="L13" i="44"/>
  <c r="L12" i="44"/>
  <c r="L11" i="44"/>
  <c r="L10" i="44"/>
  <c r="L9" i="44"/>
  <c r="L8" i="44"/>
  <c r="K13" i="44"/>
  <c r="K12" i="44"/>
  <c r="K11" i="44"/>
  <c r="K10" i="44"/>
  <c r="K9" i="44"/>
  <c r="K8" i="44"/>
  <c r="J11" i="44"/>
  <c r="J10" i="44"/>
  <c r="J9" i="44"/>
  <c r="J13" i="44"/>
  <c r="J12" i="44"/>
  <c r="AK10" i="16"/>
  <c r="AK9" i="16"/>
  <c r="AK8" i="16"/>
  <c r="L13" i="33"/>
  <c r="K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809" i="21"/>
  <c r="K810" i="21"/>
  <c r="K811" i="21"/>
  <c r="K812" i="21"/>
  <c r="K813" i="21"/>
  <c r="K814" i="21"/>
  <c r="K815" i="21"/>
  <c r="K816" i="21"/>
  <c r="K817" i="21"/>
  <c r="K818" i="21"/>
  <c r="K819" i="21"/>
  <c r="K820" i="21"/>
  <c r="K821" i="21"/>
  <c r="K822" i="21"/>
  <c r="K823" i="21"/>
  <c r="K824" i="21"/>
  <c r="K825" i="21"/>
  <c r="K826" i="21"/>
  <c r="K827" i="21"/>
  <c r="K828" i="21"/>
  <c r="K829" i="21"/>
  <c r="K830" i="21"/>
  <c r="K831" i="21"/>
  <c r="K832" i="21"/>
  <c r="K833" i="21"/>
  <c r="K834" i="21"/>
  <c r="K835" i="21"/>
  <c r="K836" i="21"/>
  <c r="K837" i="21"/>
  <c r="K838" i="21"/>
  <c r="K839" i="21"/>
  <c r="K840" i="21"/>
  <c r="K841" i="21"/>
  <c r="K842" i="21"/>
  <c r="K843" i="21"/>
  <c r="K844" i="21"/>
  <c r="K845" i="21"/>
  <c r="K846" i="21"/>
  <c r="K847" i="21"/>
  <c r="K848" i="21"/>
  <c r="K849" i="21"/>
  <c r="K850" i="21"/>
  <c r="K851" i="21"/>
  <c r="K852" i="21"/>
  <c r="K853" i="21"/>
  <c r="K854" i="21"/>
  <c r="K855" i="21"/>
  <c r="K856" i="21"/>
  <c r="K857" i="21"/>
  <c r="K858" i="21"/>
  <c r="K859" i="21"/>
  <c r="K860" i="21"/>
  <c r="K861" i="21"/>
  <c r="K862" i="21"/>
  <c r="K863" i="21"/>
  <c r="K864" i="21"/>
  <c r="K865" i="21"/>
  <c r="K866" i="21"/>
  <c r="K867" i="21"/>
  <c r="K868" i="21"/>
  <c r="K869" i="21"/>
  <c r="K870" i="21"/>
  <c r="K871" i="21"/>
  <c r="K872" i="21"/>
  <c r="K873" i="21"/>
  <c r="K874" i="21"/>
  <c r="K875" i="21"/>
  <c r="K876" i="21"/>
  <c r="K877" i="21"/>
  <c r="K878" i="21"/>
  <c r="K879" i="21"/>
  <c r="K880" i="21"/>
  <c r="K881" i="21"/>
  <c r="K882" i="21"/>
  <c r="K883" i="21"/>
  <c r="K884" i="21"/>
  <c r="K885" i="21"/>
  <c r="K886" i="21"/>
  <c r="K887" i="21"/>
  <c r="K888" i="21"/>
  <c r="K889" i="21"/>
  <c r="K890" i="21"/>
  <c r="K891" i="21"/>
  <c r="K892" i="21"/>
  <c r="K893" i="21"/>
  <c r="K894" i="21"/>
  <c r="K895" i="21"/>
  <c r="K896" i="21"/>
  <c r="K897" i="21"/>
  <c r="K898" i="21"/>
  <c r="K899" i="21"/>
  <c r="K900" i="21"/>
  <c r="K901" i="21"/>
  <c r="K902" i="21"/>
  <c r="K903" i="21"/>
  <c r="K904" i="21"/>
  <c r="K905" i="21"/>
  <c r="K906" i="21"/>
  <c r="K907" i="21"/>
  <c r="K908" i="21"/>
  <c r="K909" i="21"/>
  <c r="K910" i="21"/>
  <c r="K911" i="21"/>
  <c r="K912" i="21"/>
  <c r="K913" i="21"/>
  <c r="K914" i="21"/>
  <c r="K915" i="21"/>
  <c r="K916" i="21"/>
  <c r="K917" i="21"/>
  <c r="K918" i="21"/>
  <c r="K919" i="21"/>
  <c r="K920" i="21"/>
  <c r="K921" i="21"/>
  <c r="K922" i="21"/>
  <c r="K923" i="21"/>
  <c r="K924" i="21"/>
  <c r="K925" i="21"/>
  <c r="K926" i="21"/>
  <c r="K927" i="21"/>
  <c r="K928" i="21"/>
  <c r="K929" i="21"/>
  <c r="K930" i="21"/>
  <c r="K931" i="21"/>
  <c r="K932" i="21"/>
  <c r="K933" i="21"/>
  <c r="K934" i="21"/>
  <c r="K935" i="21"/>
  <c r="K936" i="21"/>
  <c r="K937" i="21"/>
  <c r="K938" i="21"/>
  <c r="K939" i="21"/>
  <c r="K940" i="21"/>
  <c r="K941" i="21"/>
  <c r="K942" i="21"/>
  <c r="K943" i="21"/>
  <c r="K944" i="21"/>
  <c r="K945" i="21"/>
  <c r="K946" i="21"/>
  <c r="K947" i="21"/>
  <c r="K948" i="21"/>
  <c r="K949" i="21"/>
  <c r="K950" i="21"/>
  <c r="K951" i="21"/>
  <c r="K952" i="21"/>
  <c r="K953" i="21"/>
  <c r="K954" i="21"/>
  <c r="K955" i="21"/>
  <c r="K956" i="21"/>
  <c r="K957" i="21"/>
  <c r="K958" i="21"/>
  <c r="K959" i="21"/>
  <c r="K960" i="21"/>
  <c r="K961" i="21"/>
  <c r="K962" i="21"/>
  <c r="K963" i="21"/>
  <c r="K964" i="21"/>
  <c r="K965" i="21"/>
  <c r="K966" i="21"/>
  <c r="K967" i="21"/>
  <c r="K968" i="21"/>
  <c r="K969" i="21"/>
  <c r="K970" i="21"/>
  <c r="K971" i="21"/>
  <c r="K972" i="21"/>
  <c r="K973" i="21"/>
  <c r="K974" i="21"/>
  <c r="K975" i="21"/>
  <c r="K976" i="21"/>
  <c r="K977" i="21"/>
  <c r="K978" i="21"/>
  <c r="K979" i="21"/>
  <c r="K980" i="21"/>
  <c r="K981" i="21"/>
  <c r="K982" i="21"/>
  <c r="K983" i="21"/>
  <c r="K984" i="21"/>
  <c r="K985" i="21"/>
  <c r="K986" i="21"/>
  <c r="K987" i="21"/>
  <c r="K988" i="21"/>
  <c r="K989" i="21"/>
  <c r="K990" i="21"/>
  <c r="K991" i="21"/>
  <c r="K992" i="21"/>
  <c r="K993" i="21"/>
  <c r="K994" i="21"/>
  <c r="K995" i="21"/>
  <c r="K996" i="21"/>
  <c r="K997" i="21"/>
  <c r="K998" i="21"/>
  <c r="K999" i="21"/>
  <c r="K1000" i="21"/>
  <c r="K1001" i="21"/>
  <c r="E58" i="24"/>
  <c r="D58" i="24"/>
  <c r="C58" i="24"/>
  <c r="E57" i="24"/>
  <c r="D57" i="24"/>
  <c r="C57" i="24"/>
  <c r="E56" i="24"/>
  <c r="D56" i="24"/>
  <c r="C56" i="24"/>
  <c r="E55" i="24"/>
  <c r="D55" i="24"/>
  <c r="C55" i="24"/>
  <c r="E54" i="24"/>
  <c r="D54" i="24"/>
  <c r="C54" i="24"/>
  <c r="E53" i="24"/>
  <c r="D53" i="24"/>
  <c r="C53" i="24"/>
  <c r="E52" i="24"/>
  <c r="D52" i="24"/>
  <c r="C52" i="24"/>
  <c r="E51" i="24"/>
  <c r="D51" i="24"/>
  <c r="C51" i="24"/>
  <c r="E50" i="24"/>
  <c r="D50" i="24"/>
  <c r="C50" i="24"/>
  <c r="E49" i="24"/>
  <c r="D49" i="24"/>
  <c r="C49" i="24"/>
  <c r="E48" i="24"/>
  <c r="D48" i="24"/>
  <c r="C48" i="24"/>
  <c r="E47" i="24"/>
  <c r="D47" i="24"/>
  <c r="C47" i="24"/>
  <c r="M1001" i="16"/>
  <c r="K1001" i="16"/>
  <c r="J1001" i="16"/>
  <c r="F1001" i="16"/>
  <c r="M1000" i="16"/>
  <c r="K1000" i="16"/>
  <c r="J1000" i="16"/>
  <c r="F1000" i="16"/>
  <c r="M999" i="16"/>
  <c r="K999" i="16"/>
  <c r="J999" i="16"/>
  <c r="F999" i="16"/>
  <c r="M998" i="16"/>
  <c r="K998" i="16"/>
  <c r="J998" i="16"/>
  <c r="F998" i="16"/>
  <c r="M997" i="16"/>
  <c r="K997" i="16"/>
  <c r="J997" i="16"/>
  <c r="F997" i="16"/>
  <c r="M996" i="16"/>
  <c r="K996" i="16"/>
  <c r="J996" i="16"/>
  <c r="F996" i="16"/>
  <c r="M995" i="16"/>
  <c r="K995" i="16"/>
  <c r="J995" i="16"/>
  <c r="F995" i="16"/>
  <c r="M994" i="16"/>
  <c r="K994" i="16"/>
  <c r="J994" i="16"/>
  <c r="F994" i="16"/>
  <c r="M993" i="16"/>
  <c r="K993" i="16"/>
  <c r="J993" i="16"/>
  <c r="F993" i="16"/>
  <c r="M992" i="16"/>
  <c r="K992" i="16"/>
  <c r="J992" i="16"/>
  <c r="F992" i="16"/>
  <c r="M991" i="16"/>
  <c r="K991" i="16"/>
  <c r="J991" i="16"/>
  <c r="F991" i="16"/>
  <c r="M990" i="16"/>
  <c r="K990" i="16"/>
  <c r="J990" i="16"/>
  <c r="F990" i="16"/>
  <c r="M989" i="16"/>
  <c r="K989" i="16"/>
  <c r="J989" i="16"/>
  <c r="F989" i="16"/>
  <c r="M988" i="16"/>
  <c r="K988" i="16"/>
  <c r="J988" i="16"/>
  <c r="F988" i="16"/>
  <c r="M987" i="16"/>
  <c r="K987" i="16"/>
  <c r="J987" i="16"/>
  <c r="F987" i="16"/>
  <c r="M986" i="16"/>
  <c r="K986" i="16"/>
  <c r="J986" i="16"/>
  <c r="F986" i="16"/>
  <c r="M985" i="16"/>
  <c r="K985" i="16"/>
  <c r="J985" i="16"/>
  <c r="F985" i="16"/>
  <c r="M984" i="16"/>
  <c r="K984" i="16"/>
  <c r="J984" i="16"/>
  <c r="F984" i="16"/>
  <c r="M983" i="16"/>
  <c r="K983" i="16"/>
  <c r="J983" i="16"/>
  <c r="F983" i="16"/>
  <c r="M982" i="16"/>
  <c r="K982" i="16"/>
  <c r="J982" i="16"/>
  <c r="F982" i="16"/>
  <c r="M981" i="16"/>
  <c r="K981" i="16"/>
  <c r="J981" i="16"/>
  <c r="F981" i="16"/>
  <c r="M980" i="16"/>
  <c r="K980" i="16"/>
  <c r="J980" i="16"/>
  <c r="F980" i="16"/>
  <c r="M979" i="16"/>
  <c r="K979" i="16"/>
  <c r="J979" i="16"/>
  <c r="F979" i="16"/>
  <c r="M978" i="16"/>
  <c r="K978" i="16"/>
  <c r="J978" i="16"/>
  <c r="F978" i="16"/>
  <c r="M977" i="16"/>
  <c r="K977" i="16"/>
  <c r="J977" i="16"/>
  <c r="F977" i="16"/>
  <c r="M976" i="16"/>
  <c r="K976" i="16"/>
  <c r="J976" i="16"/>
  <c r="F976" i="16"/>
  <c r="M975" i="16"/>
  <c r="K975" i="16"/>
  <c r="J975" i="16"/>
  <c r="F975" i="16"/>
  <c r="M974" i="16"/>
  <c r="K974" i="16"/>
  <c r="J974" i="16"/>
  <c r="F974" i="16"/>
  <c r="M973" i="16"/>
  <c r="K973" i="16"/>
  <c r="J973" i="16"/>
  <c r="F973" i="16"/>
  <c r="M972" i="16"/>
  <c r="K972" i="16"/>
  <c r="J972" i="16"/>
  <c r="F972" i="16"/>
  <c r="M971" i="16"/>
  <c r="K971" i="16"/>
  <c r="J971" i="16"/>
  <c r="F971" i="16"/>
  <c r="M970" i="16"/>
  <c r="K970" i="16"/>
  <c r="J970" i="16"/>
  <c r="F970" i="16"/>
  <c r="M969" i="16"/>
  <c r="K969" i="16"/>
  <c r="J969" i="16"/>
  <c r="F969" i="16"/>
  <c r="M968" i="16"/>
  <c r="K968" i="16"/>
  <c r="J968" i="16"/>
  <c r="F968" i="16"/>
  <c r="M967" i="16"/>
  <c r="K967" i="16"/>
  <c r="J967" i="16"/>
  <c r="F967" i="16"/>
  <c r="M966" i="16"/>
  <c r="K966" i="16"/>
  <c r="J966" i="16"/>
  <c r="F966" i="16"/>
  <c r="M965" i="16"/>
  <c r="K965" i="16"/>
  <c r="J965" i="16"/>
  <c r="F965" i="16"/>
  <c r="M964" i="16"/>
  <c r="K964" i="16"/>
  <c r="J964" i="16"/>
  <c r="F964" i="16"/>
  <c r="M963" i="16"/>
  <c r="K963" i="16"/>
  <c r="J963" i="16"/>
  <c r="F963" i="16"/>
  <c r="M962" i="16"/>
  <c r="K962" i="16"/>
  <c r="J962" i="16"/>
  <c r="F962" i="16"/>
  <c r="M961" i="16"/>
  <c r="K961" i="16"/>
  <c r="J961" i="16"/>
  <c r="F961" i="16"/>
  <c r="M960" i="16"/>
  <c r="K960" i="16"/>
  <c r="J960" i="16"/>
  <c r="F960" i="16"/>
  <c r="M959" i="16"/>
  <c r="K959" i="16"/>
  <c r="J959" i="16"/>
  <c r="F959" i="16"/>
  <c r="M958" i="16"/>
  <c r="K958" i="16"/>
  <c r="J958" i="16"/>
  <c r="F958" i="16"/>
  <c r="M957" i="16"/>
  <c r="K957" i="16"/>
  <c r="J957" i="16"/>
  <c r="F957" i="16"/>
  <c r="M956" i="16"/>
  <c r="K956" i="16"/>
  <c r="J956" i="16"/>
  <c r="F956" i="16"/>
  <c r="M955" i="16"/>
  <c r="K955" i="16"/>
  <c r="J955" i="16"/>
  <c r="F955" i="16"/>
  <c r="M954" i="16"/>
  <c r="K954" i="16"/>
  <c r="J954" i="16"/>
  <c r="F954" i="16"/>
  <c r="M953" i="16"/>
  <c r="K953" i="16"/>
  <c r="J953" i="16"/>
  <c r="F953" i="16"/>
  <c r="M952" i="16"/>
  <c r="K952" i="16"/>
  <c r="J952" i="16"/>
  <c r="F952" i="16"/>
  <c r="M951" i="16"/>
  <c r="K951" i="16"/>
  <c r="J951" i="16"/>
  <c r="F951" i="16"/>
  <c r="M950" i="16"/>
  <c r="K950" i="16"/>
  <c r="J950" i="16"/>
  <c r="F950" i="16"/>
  <c r="M949" i="16"/>
  <c r="K949" i="16"/>
  <c r="J949" i="16"/>
  <c r="F949" i="16"/>
  <c r="M948" i="16"/>
  <c r="K948" i="16"/>
  <c r="J948" i="16"/>
  <c r="F948" i="16"/>
  <c r="M947" i="16"/>
  <c r="K947" i="16"/>
  <c r="J947" i="16"/>
  <c r="F947" i="16"/>
  <c r="M946" i="16"/>
  <c r="K946" i="16"/>
  <c r="J946" i="16"/>
  <c r="F946" i="16"/>
  <c r="M945" i="16"/>
  <c r="K945" i="16"/>
  <c r="J945" i="16"/>
  <c r="F945" i="16"/>
  <c r="M944" i="16"/>
  <c r="K944" i="16"/>
  <c r="J944" i="16"/>
  <c r="F944" i="16"/>
  <c r="M943" i="16"/>
  <c r="K943" i="16"/>
  <c r="J943" i="16"/>
  <c r="F943" i="16"/>
  <c r="M942" i="16"/>
  <c r="K942" i="16"/>
  <c r="J942" i="16"/>
  <c r="F942" i="16"/>
  <c r="M941" i="16"/>
  <c r="K941" i="16"/>
  <c r="J941" i="16"/>
  <c r="F941" i="16"/>
  <c r="M940" i="16"/>
  <c r="K940" i="16"/>
  <c r="J940" i="16"/>
  <c r="F940" i="16"/>
  <c r="M939" i="16"/>
  <c r="K939" i="16"/>
  <c r="J939" i="16"/>
  <c r="F939" i="16"/>
  <c r="M938" i="16"/>
  <c r="K938" i="16"/>
  <c r="J938" i="16"/>
  <c r="F938" i="16"/>
  <c r="M937" i="16"/>
  <c r="K937" i="16"/>
  <c r="J937" i="16"/>
  <c r="F937" i="16"/>
  <c r="M936" i="16"/>
  <c r="K936" i="16"/>
  <c r="J936" i="16"/>
  <c r="F936" i="16"/>
  <c r="M935" i="16"/>
  <c r="K935" i="16"/>
  <c r="J935" i="16"/>
  <c r="F935" i="16"/>
  <c r="M934" i="16"/>
  <c r="K934" i="16"/>
  <c r="J934" i="16"/>
  <c r="F934" i="16"/>
  <c r="M933" i="16"/>
  <c r="K933" i="16"/>
  <c r="J933" i="16"/>
  <c r="F933" i="16"/>
  <c r="M932" i="16"/>
  <c r="K932" i="16"/>
  <c r="J932" i="16"/>
  <c r="F932" i="16"/>
  <c r="M931" i="16"/>
  <c r="K931" i="16"/>
  <c r="J931" i="16"/>
  <c r="F931" i="16"/>
  <c r="M930" i="16"/>
  <c r="K930" i="16"/>
  <c r="J930" i="16"/>
  <c r="F930" i="16"/>
  <c r="M929" i="16"/>
  <c r="K929" i="16"/>
  <c r="J929" i="16"/>
  <c r="F929" i="16"/>
  <c r="M928" i="16"/>
  <c r="K928" i="16"/>
  <c r="J928" i="16"/>
  <c r="F928" i="16"/>
  <c r="M927" i="16"/>
  <c r="K927" i="16"/>
  <c r="J927" i="16"/>
  <c r="F927" i="16"/>
  <c r="M926" i="16"/>
  <c r="K926" i="16"/>
  <c r="J926" i="16"/>
  <c r="F926" i="16"/>
  <c r="M925" i="16"/>
  <c r="K925" i="16"/>
  <c r="J925" i="16"/>
  <c r="F925" i="16"/>
  <c r="M924" i="16"/>
  <c r="K924" i="16"/>
  <c r="J924" i="16"/>
  <c r="F924" i="16"/>
  <c r="M923" i="16"/>
  <c r="K923" i="16"/>
  <c r="J923" i="16"/>
  <c r="F923" i="16"/>
  <c r="M922" i="16"/>
  <c r="K922" i="16"/>
  <c r="J922" i="16"/>
  <c r="F922" i="16"/>
  <c r="M921" i="16"/>
  <c r="K921" i="16"/>
  <c r="J921" i="16"/>
  <c r="F921" i="16"/>
  <c r="M920" i="16"/>
  <c r="K920" i="16"/>
  <c r="J920" i="16"/>
  <c r="F920" i="16"/>
  <c r="M919" i="16"/>
  <c r="K919" i="16"/>
  <c r="J919" i="16"/>
  <c r="F919" i="16"/>
  <c r="M918" i="16"/>
  <c r="K918" i="16"/>
  <c r="J918" i="16"/>
  <c r="F918" i="16"/>
  <c r="M917" i="16"/>
  <c r="K917" i="16"/>
  <c r="J917" i="16"/>
  <c r="F917" i="16"/>
  <c r="M916" i="16"/>
  <c r="K916" i="16"/>
  <c r="J916" i="16"/>
  <c r="F916" i="16"/>
  <c r="M915" i="16"/>
  <c r="K915" i="16"/>
  <c r="J915" i="16"/>
  <c r="F915" i="16"/>
  <c r="M914" i="16"/>
  <c r="K914" i="16"/>
  <c r="J914" i="16"/>
  <c r="F914" i="16"/>
  <c r="M913" i="16"/>
  <c r="K913" i="16"/>
  <c r="J913" i="16"/>
  <c r="F913" i="16"/>
  <c r="M912" i="16"/>
  <c r="K912" i="16"/>
  <c r="J912" i="16"/>
  <c r="F912" i="16"/>
  <c r="M911" i="16"/>
  <c r="K911" i="16"/>
  <c r="J911" i="16"/>
  <c r="F911" i="16"/>
  <c r="M910" i="16"/>
  <c r="K910" i="16"/>
  <c r="J910" i="16"/>
  <c r="F910" i="16"/>
  <c r="M909" i="16"/>
  <c r="K909" i="16"/>
  <c r="J909" i="16"/>
  <c r="F909" i="16"/>
  <c r="M908" i="16"/>
  <c r="K908" i="16"/>
  <c r="J908" i="16"/>
  <c r="F908" i="16"/>
  <c r="M907" i="16"/>
  <c r="K907" i="16"/>
  <c r="J907" i="16"/>
  <c r="F907" i="16"/>
  <c r="M906" i="16"/>
  <c r="K906" i="16"/>
  <c r="J906" i="16"/>
  <c r="F906" i="16"/>
  <c r="M905" i="16"/>
  <c r="K905" i="16"/>
  <c r="J905" i="16"/>
  <c r="F905" i="16"/>
  <c r="M904" i="16"/>
  <c r="K904" i="16"/>
  <c r="J904" i="16"/>
  <c r="F904" i="16"/>
  <c r="M903" i="16"/>
  <c r="K903" i="16"/>
  <c r="J903" i="16"/>
  <c r="F903" i="16"/>
  <c r="M902" i="16"/>
  <c r="K902" i="16"/>
  <c r="J902" i="16"/>
  <c r="F902" i="16"/>
  <c r="M901" i="16"/>
  <c r="K901" i="16"/>
  <c r="J901" i="16"/>
  <c r="F901" i="16"/>
  <c r="M900" i="16"/>
  <c r="K900" i="16"/>
  <c r="J900" i="16"/>
  <c r="F900" i="16"/>
  <c r="M899" i="16"/>
  <c r="K899" i="16"/>
  <c r="J899" i="16"/>
  <c r="F899" i="16"/>
  <c r="M898" i="16"/>
  <c r="K898" i="16"/>
  <c r="J898" i="16"/>
  <c r="F898" i="16"/>
  <c r="M897" i="16"/>
  <c r="K897" i="16"/>
  <c r="J897" i="16"/>
  <c r="F897" i="16"/>
  <c r="M896" i="16"/>
  <c r="K896" i="16"/>
  <c r="J896" i="16"/>
  <c r="F896" i="16"/>
  <c r="M895" i="16"/>
  <c r="K895" i="16"/>
  <c r="J895" i="16"/>
  <c r="F895" i="16"/>
  <c r="M894" i="16"/>
  <c r="K894" i="16"/>
  <c r="J894" i="16"/>
  <c r="F894" i="16"/>
  <c r="M893" i="16"/>
  <c r="K893" i="16"/>
  <c r="J893" i="16"/>
  <c r="F893" i="16"/>
  <c r="M892" i="16"/>
  <c r="K892" i="16"/>
  <c r="J892" i="16"/>
  <c r="F892" i="16"/>
  <c r="M891" i="16"/>
  <c r="K891" i="16"/>
  <c r="J891" i="16"/>
  <c r="F891" i="16"/>
  <c r="M890" i="16"/>
  <c r="K890" i="16"/>
  <c r="J890" i="16"/>
  <c r="F890" i="16"/>
  <c r="M889" i="16"/>
  <c r="K889" i="16"/>
  <c r="J889" i="16"/>
  <c r="F889" i="16"/>
  <c r="M888" i="16"/>
  <c r="K888" i="16"/>
  <c r="J888" i="16"/>
  <c r="F888" i="16"/>
  <c r="M887" i="16"/>
  <c r="K887" i="16"/>
  <c r="J887" i="16"/>
  <c r="F887" i="16"/>
  <c r="M886" i="16"/>
  <c r="K886" i="16"/>
  <c r="J886" i="16"/>
  <c r="F886" i="16"/>
  <c r="M885" i="16"/>
  <c r="K885" i="16"/>
  <c r="J885" i="16"/>
  <c r="F885" i="16"/>
  <c r="M884" i="16"/>
  <c r="K884" i="16"/>
  <c r="J884" i="16"/>
  <c r="F884" i="16"/>
  <c r="M883" i="16"/>
  <c r="K883" i="16"/>
  <c r="J883" i="16"/>
  <c r="F883" i="16"/>
  <c r="M882" i="16"/>
  <c r="K882" i="16"/>
  <c r="J882" i="16"/>
  <c r="F882" i="16"/>
  <c r="M881" i="16"/>
  <c r="K881" i="16"/>
  <c r="J881" i="16"/>
  <c r="F881" i="16"/>
  <c r="M880" i="16"/>
  <c r="K880" i="16"/>
  <c r="J880" i="16"/>
  <c r="F880" i="16"/>
  <c r="M879" i="16"/>
  <c r="K879" i="16"/>
  <c r="J879" i="16"/>
  <c r="F879" i="16"/>
  <c r="M878" i="16"/>
  <c r="K878" i="16"/>
  <c r="J878" i="16"/>
  <c r="F878" i="16"/>
  <c r="M877" i="16"/>
  <c r="K877" i="16"/>
  <c r="J877" i="16"/>
  <c r="F877" i="16"/>
  <c r="M876" i="16"/>
  <c r="K876" i="16"/>
  <c r="J876" i="16"/>
  <c r="F876" i="16"/>
  <c r="M875" i="16"/>
  <c r="K875" i="16"/>
  <c r="J875" i="16"/>
  <c r="F875" i="16"/>
  <c r="M874" i="16"/>
  <c r="K874" i="16"/>
  <c r="J874" i="16"/>
  <c r="F874" i="16"/>
  <c r="M873" i="16"/>
  <c r="K873" i="16"/>
  <c r="J873" i="16"/>
  <c r="F873" i="16"/>
  <c r="M872" i="16"/>
  <c r="K872" i="16"/>
  <c r="J872" i="16"/>
  <c r="F872" i="16"/>
  <c r="M871" i="16"/>
  <c r="K871" i="16"/>
  <c r="J871" i="16"/>
  <c r="F871" i="16"/>
  <c r="M870" i="16"/>
  <c r="K870" i="16"/>
  <c r="J870" i="16"/>
  <c r="F870" i="16"/>
  <c r="M869" i="16"/>
  <c r="K869" i="16"/>
  <c r="J869" i="16"/>
  <c r="F869" i="16"/>
  <c r="M868" i="16"/>
  <c r="K868" i="16"/>
  <c r="J868" i="16"/>
  <c r="F868" i="16"/>
  <c r="M867" i="16"/>
  <c r="K867" i="16"/>
  <c r="J867" i="16"/>
  <c r="F867" i="16"/>
  <c r="M866" i="16"/>
  <c r="K866" i="16"/>
  <c r="J866" i="16"/>
  <c r="F866" i="16"/>
  <c r="M865" i="16"/>
  <c r="K865" i="16"/>
  <c r="J865" i="16"/>
  <c r="F865" i="16"/>
  <c r="M864" i="16"/>
  <c r="K864" i="16"/>
  <c r="J864" i="16"/>
  <c r="F864" i="16"/>
  <c r="M863" i="16"/>
  <c r="K863" i="16"/>
  <c r="J863" i="16"/>
  <c r="F863" i="16"/>
  <c r="M862" i="16"/>
  <c r="K862" i="16"/>
  <c r="J862" i="16"/>
  <c r="F862" i="16"/>
  <c r="M861" i="16"/>
  <c r="K861" i="16"/>
  <c r="J861" i="16"/>
  <c r="F861" i="16"/>
  <c r="M860" i="16"/>
  <c r="K860" i="16"/>
  <c r="J860" i="16"/>
  <c r="F860" i="16"/>
  <c r="M859" i="16"/>
  <c r="K859" i="16"/>
  <c r="J859" i="16"/>
  <c r="F859" i="16"/>
  <c r="M858" i="16"/>
  <c r="K858" i="16"/>
  <c r="J858" i="16"/>
  <c r="F858" i="16"/>
  <c r="M857" i="16"/>
  <c r="K857" i="16"/>
  <c r="J857" i="16"/>
  <c r="F857" i="16"/>
  <c r="M856" i="16"/>
  <c r="K856" i="16"/>
  <c r="J856" i="16"/>
  <c r="F856" i="16"/>
  <c r="M855" i="16"/>
  <c r="K855" i="16"/>
  <c r="J855" i="16"/>
  <c r="F855" i="16"/>
  <c r="M854" i="16"/>
  <c r="K854" i="16"/>
  <c r="J854" i="16"/>
  <c r="F854" i="16"/>
  <c r="M853" i="16"/>
  <c r="K853" i="16"/>
  <c r="J853" i="16"/>
  <c r="F853" i="16"/>
  <c r="M852" i="16"/>
  <c r="K852" i="16"/>
  <c r="J852" i="16"/>
  <c r="F852" i="16"/>
  <c r="M851" i="16"/>
  <c r="K851" i="16"/>
  <c r="J851" i="16"/>
  <c r="F851" i="16"/>
  <c r="M850" i="16"/>
  <c r="K850" i="16"/>
  <c r="J850" i="16"/>
  <c r="F850" i="16"/>
  <c r="M849" i="16"/>
  <c r="K849" i="16"/>
  <c r="J849" i="16"/>
  <c r="F849" i="16"/>
  <c r="M848" i="16"/>
  <c r="K848" i="16"/>
  <c r="J848" i="16"/>
  <c r="F848" i="16"/>
  <c r="M847" i="16"/>
  <c r="K847" i="16"/>
  <c r="J847" i="16"/>
  <c r="F847" i="16"/>
  <c r="M846" i="16"/>
  <c r="K846" i="16"/>
  <c r="J846" i="16"/>
  <c r="F846" i="16"/>
  <c r="M845" i="16"/>
  <c r="K845" i="16"/>
  <c r="J845" i="16"/>
  <c r="F845" i="16"/>
  <c r="M844" i="16"/>
  <c r="K844" i="16"/>
  <c r="J844" i="16"/>
  <c r="F844" i="16"/>
  <c r="M843" i="16"/>
  <c r="K843" i="16"/>
  <c r="J843" i="16"/>
  <c r="F843" i="16"/>
  <c r="M842" i="16"/>
  <c r="K842" i="16"/>
  <c r="J842" i="16"/>
  <c r="F842" i="16"/>
  <c r="M841" i="16"/>
  <c r="K841" i="16"/>
  <c r="J841" i="16"/>
  <c r="F841" i="16"/>
  <c r="M840" i="16"/>
  <c r="K840" i="16"/>
  <c r="J840" i="16"/>
  <c r="F840" i="16"/>
  <c r="M839" i="16"/>
  <c r="K839" i="16"/>
  <c r="J839" i="16"/>
  <c r="F839" i="16"/>
  <c r="M838" i="16"/>
  <c r="K838" i="16"/>
  <c r="J838" i="16"/>
  <c r="F838" i="16"/>
  <c r="M837" i="16"/>
  <c r="K837" i="16"/>
  <c r="J837" i="16"/>
  <c r="F837" i="16"/>
  <c r="M836" i="16"/>
  <c r="K836" i="16"/>
  <c r="J836" i="16"/>
  <c r="F836" i="16"/>
  <c r="M835" i="16"/>
  <c r="K835" i="16"/>
  <c r="J835" i="16"/>
  <c r="F835" i="16"/>
  <c r="M834" i="16"/>
  <c r="K834" i="16"/>
  <c r="J834" i="16"/>
  <c r="F834" i="16"/>
  <c r="M833" i="16"/>
  <c r="K833" i="16"/>
  <c r="J833" i="16"/>
  <c r="F833" i="16"/>
  <c r="M832" i="16"/>
  <c r="K832" i="16"/>
  <c r="J832" i="16"/>
  <c r="F832" i="16"/>
  <c r="M831" i="16"/>
  <c r="K831" i="16"/>
  <c r="J831" i="16"/>
  <c r="F831" i="16"/>
  <c r="M830" i="16"/>
  <c r="K830" i="16"/>
  <c r="J830" i="16"/>
  <c r="F830" i="16"/>
  <c r="M829" i="16"/>
  <c r="K829" i="16"/>
  <c r="J829" i="16"/>
  <c r="F829" i="16"/>
  <c r="M828" i="16"/>
  <c r="K828" i="16"/>
  <c r="J828" i="16"/>
  <c r="F828" i="16"/>
  <c r="M827" i="16"/>
  <c r="K827" i="16"/>
  <c r="J827" i="16"/>
  <c r="F827" i="16"/>
  <c r="M826" i="16"/>
  <c r="K826" i="16"/>
  <c r="J826" i="16"/>
  <c r="F826" i="16"/>
  <c r="M825" i="16"/>
  <c r="K825" i="16"/>
  <c r="J825" i="16"/>
  <c r="F825" i="16"/>
  <c r="M824" i="16"/>
  <c r="K824" i="16"/>
  <c r="J824" i="16"/>
  <c r="F824" i="16"/>
  <c r="M823" i="16"/>
  <c r="K823" i="16"/>
  <c r="J823" i="16"/>
  <c r="F823" i="16"/>
  <c r="M822" i="16"/>
  <c r="K822" i="16"/>
  <c r="J822" i="16"/>
  <c r="F822" i="16"/>
  <c r="M821" i="16"/>
  <c r="K821" i="16"/>
  <c r="J821" i="16"/>
  <c r="F821" i="16"/>
  <c r="M820" i="16"/>
  <c r="K820" i="16"/>
  <c r="J820" i="16"/>
  <c r="F820" i="16"/>
  <c r="M819" i="16"/>
  <c r="K819" i="16"/>
  <c r="J819" i="16"/>
  <c r="F819" i="16"/>
  <c r="M818" i="16"/>
  <c r="K818" i="16"/>
  <c r="J818" i="16"/>
  <c r="F818" i="16"/>
  <c r="M817" i="16"/>
  <c r="K817" i="16"/>
  <c r="J817" i="16"/>
  <c r="F817" i="16"/>
  <c r="M816" i="16"/>
  <c r="K816" i="16"/>
  <c r="J816" i="16"/>
  <c r="F816" i="16"/>
  <c r="M815" i="16"/>
  <c r="K815" i="16"/>
  <c r="J815" i="16"/>
  <c r="F815" i="16"/>
  <c r="M814" i="16"/>
  <c r="K814" i="16"/>
  <c r="J814" i="16"/>
  <c r="F814" i="16"/>
  <c r="M813" i="16"/>
  <c r="K813" i="16"/>
  <c r="J813" i="16"/>
  <c r="F813" i="16"/>
  <c r="M812" i="16"/>
  <c r="K812" i="16"/>
  <c r="J812" i="16"/>
  <c r="F812" i="16"/>
  <c r="M811" i="16"/>
  <c r="K811" i="16"/>
  <c r="J811" i="16"/>
  <c r="F811" i="16"/>
  <c r="M810" i="16"/>
  <c r="K810" i="16"/>
  <c r="J810" i="16"/>
  <c r="F810" i="16"/>
  <c r="M809" i="16"/>
  <c r="K809" i="16"/>
  <c r="J809" i="16"/>
  <c r="F809" i="16"/>
  <c r="M808" i="16"/>
  <c r="K808" i="16"/>
  <c r="J808" i="16"/>
  <c r="F808" i="16"/>
  <c r="M807" i="16"/>
  <c r="K807" i="16"/>
  <c r="J807" i="16"/>
  <c r="F807" i="16"/>
  <c r="M806" i="16"/>
  <c r="K806" i="16"/>
  <c r="J806" i="16"/>
  <c r="F806" i="16"/>
  <c r="M805" i="16"/>
  <c r="K805" i="16"/>
  <c r="J805" i="16"/>
  <c r="F805" i="16"/>
  <c r="M804" i="16"/>
  <c r="K804" i="16"/>
  <c r="J804" i="16"/>
  <c r="F804" i="16"/>
  <c r="M803" i="16"/>
  <c r="K803" i="16"/>
  <c r="J803" i="16"/>
  <c r="F803" i="16"/>
  <c r="M802" i="16"/>
  <c r="K802" i="16"/>
  <c r="J802" i="16"/>
  <c r="F802" i="16"/>
  <c r="M801" i="16"/>
  <c r="K801" i="16"/>
  <c r="J801" i="16"/>
  <c r="F801" i="16"/>
  <c r="M800" i="16"/>
  <c r="K800" i="16"/>
  <c r="J800" i="16"/>
  <c r="F800" i="16"/>
  <c r="M799" i="16"/>
  <c r="K799" i="16"/>
  <c r="J799" i="16"/>
  <c r="F799" i="16"/>
  <c r="M798" i="16"/>
  <c r="K798" i="16"/>
  <c r="J798" i="16"/>
  <c r="F798" i="16"/>
  <c r="M797" i="16"/>
  <c r="K797" i="16"/>
  <c r="J797" i="16"/>
  <c r="F797" i="16"/>
  <c r="M796" i="16"/>
  <c r="K796" i="16"/>
  <c r="J796" i="16"/>
  <c r="F796" i="16"/>
  <c r="M795" i="16"/>
  <c r="K795" i="16"/>
  <c r="J795" i="16"/>
  <c r="F795" i="16"/>
  <c r="M794" i="16"/>
  <c r="K794" i="16"/>
  <c r="J794" i="16"/>
  <c r="F794" i="16"/>
  <c r="M793" i="16"/>
  <c r="K793" i="16"/>
  <c r="J793" i="16"/>
  <c r="F793" i="16"/>
  <c r="M792" i="16"/>
  <c r="K792" i="16"/>
  <c r="J792" i="16"/>
  <c r="F792" i="16"/>
  <c r="M791" i="16"/>
  <c r="K791" i="16"/>
  <c r="J791" i="16"/>
  <c r="F791" i="16"/>
  <c r="M790" i="16"/>
  <c r="K790" i="16"/>
  <c r="J790" i="16"/>
  <c r="F790" i="16"/>
  <c r="M789" i="16"/>
  <c r="K789" i="16"/>
  <c r="J789" i="16"/>
  <c r="F789" i="16"/>
  <c r="M788" i="16"/>
  <c r="K788" i="16"/>
  <c r="J788" i="16"/>
  <c r="F788" i="16"/>
  <c r="M787" i="16"/>
  <c r="K787" i="16"/>
  <c r="J787" i="16"/>
  <c r="F787" i="16"/>
  <c r="M786" i="16"/>
  <c r="K786" i="16"/>
  <c r="J786" i="16"/>
  <c r="F786" i="16"/>
  <c r="M785" i="16"/>
  <c r="K785" i="16"/>
  <c r="J785" i="16"/>
  <c r="F785" i="16"/>
  <c r="M784" i="16"/>
  <c r="K784" i="16"/>
  <c r="J784" i="16"/>
  <c r="F784" i="16"/>
  <c r="M783" i="16"/>
  <c r="K783" i="16"/>
  <c r="J783" i="16"/>
  <c r="F783" i="16"/>
  <c r="M782" i="16"/>
  <c r="K782" i="16"/>
  <c r="J782" i="16"/>
  <c r="F782" i="16"/>
  <c r="M781" i="16"/>
  <c r="K781" i="16"/>
  <c r="J781" i="16"/>
  <c r="F781" i="16"/>
  <c r="M780" i="16"/>
  <c r="K780" i="16"/>
  <c r="J780" i="16"/>
  <c r="F780" i="16"/>
  <c r="M779" i="16"/>
  <c r="K779" i="16"/>
  <c r="J779" i="16"/>
  <c r="F779" i="16"/>
  <c r="M778" i="16"/>
  <c r="K778" i="16"/>
  <c r="J778" i="16"/>
  <c r="F778" i="16"/>
  <c r="M777" i="16"/>
  <c r="K777" i="16"/>
  <c r="J777" i="16"/>
  <c r="F777" i="16"/>
  <c r="M776" i="16"/>
  <c r="K776" i="16"/>
  <c r="J776" i="16"/>
  <c r="F776" i="16"/>
  <c r="M775" i="16"/>
  <c r="K775" i="16"/>
  <c r="J775" i="16"/>
  <c r="F775" i="16"/>
  <c r="M774" i="16"/>
  <c r="K774" i="16"/>
  <c r="J774" i="16"/>
  <c r="F774" i="16"/>
  <c r="M773" i="16"/>
  <c r="K773" i="16"/>
  <c r="J773" i="16"/>
  <c r="F773" i="16"/>
  <c r="M772" i="16"/>
  <c r="K772" i="16"/>
  <c r="J772" i="16"/>
  <c r="F772" i="16"/>
  <c r="M771" i="16"/>
  <c r="K771" i="16"/>
  <c r="J771" i="16"/>
  <c r="F771" i="16"/>
  <c r="M770" i="16"/>
  <c r="K770" i="16"/>
  <c r="J770" i="16"/>
  <c r="F770" i="16"/>
  <c r="M769" i="16"/>
  <c r="K769" i="16"/>
  <c r="J769" i="16"/>
  <c r="F769" i="16"/>
  <c r="M768" i="16"/>
  <c r="K768" i="16"/>
  <c r="J768" i="16"/>
  <c r="F768" i="16"/>
  <c r="M767" i="16"/>
  <c r="K767" i="16"/>
  <c r="J767" i="16"/>
  <c r="F767" i="16"/>
  <c r="M766" i="16"/>
  <c r="K766" i="16"/>
  <c r="J766" i="16"/>
  <c r="F766" i="16"/>
  <c r="M765" i="16"/>
  <c r="K765" i="16"/>
  <c r="J765" i="16"/>
  <c r="F765" i="16"/>
  <c r="M764" i="16"/>
  <c r="K764" i="16"/>
  <c r="J764" i="16"/>
  <c r="F764" i="16"/>
  <c r="M763" i="16"/>
  <c r="K763" i="16"/>
  <c r="J763" i="16"/>
  <c r="F763" i="16"/>
  <c r="M762" i="16"/>
  <c r="K762" i="16"/>
  <c r="J762" i="16"/>
  <c r="F762" i="16"/>
  <c r="M761" i="16"/>
  <c r="K761" i="16"/>
  <c r="J761" i="16"/>
  <c r="F761" i="16"/>
  <c r="M760" i="16"/>
  <c r="K760" i="16"/>
  <c r="J760" i="16"/>
  <c r="F760" i="16"/>
  <c r="M759" i="16"/>
  <c r="K759" i="16"/>
  <c r="J759" i="16"/>
  <c r="F759" i="16"/>
  <c r="M758" i="16"/>
  <c r="K758" i="16"/>
  <c r="J758" i="16"/>
  <c r="F758" i="16"/>
  <c r="M757" i="16"/>
  <c r="K757" i="16"/>
  <c r="J757" i="16"/>
  <c r="F757" i="16"/>
  <c r="M756" i="16"/>
  <c r="K756" i="16"/>
  <c r="J756" i="16"/>
  <c r="F756" i="16"/>
  <c r="M755" i="16"/>
  <c r="K755" i="16"/>
  <c r="J755" i="16"/>
  <c r="F755" i="16"/>
  <c r="M754" i="16"/>
  <c r="K754" i="16"/>
  <c r="J754" i="16"/>
  <c r="F754" i="16"/>
  <c r="M753" i="16"/>
  <c r="K753" i="16"/>
  <c r="J753" i="16"/>
  <c r="F753" i="16"/>
  <c r="M752" i="16"/>
  <c r="K752" i="16"/>
  <c r="J752" i="16"/>
  <c r="F752" i="16"/>
  <c r="M751" i="16"/>
  <c r="K751" i="16"/>
  <c r="J751" i="16"/>
  <c r="F751" i="16"/>
  <c r="M750" i="16"/>
  <c r="K750" i="16"/>
  <c r="J750" i="16"/>
  <c r="F750" i="16"/>
  <c r="M749" i="16"/>
  <c r="K749" i="16"/>
  <c r="J749" i="16"/>
  <c r="F749" i="16"/>
  <c r="M748" i="16"/>
  <c r="K748" i="16"/>
  <c r="J748" i="16"/>
  <c r="F748" i="16"/>
  <c r="M747" i="16"/>
  <c r="K747" i="16"/>
  <c r="J747" i="16"/>
  <c r="F747" i="16"/>
  <c r="M746" i="16"/>
  <c r="K746" i="16"/>
  <c r="J746" i="16"/>
  <c r="F746" i="16"/>
  <c r="M745" i="16"/>
  <c r="K745" i="16"/>
  <c r="J745" i="16"/>
  <c r="F745" i="16"/>
  <c r="M744" i="16"/>
  <c r="K744" i="16"/>
  <c r="J744" i="16"/>
  <c r="F744" i="16"/>
  <c r="M743" i="16"/>
  <c r="K743" i="16"/>
  <c r="J743" i="16"/>
  <c r="F743" i="16"/>
  <c r="M742" i="16"/>
  <c r="K742" i="16"/>
  <c r="J742" i="16"/>
  <c r="F742" i="16"/>
  <c r="M741" i="16"/>
  <c r="K741" i="16"/>
  <c r="J741" i="16"/>
  <c r="F741" i="16"/>
  <c r="M740" i="16"/>
  <c r="K740" i="16"/>
  <c r="J740" i="16"/>
  <c r="F740" i="16"/>
  <c r="M739" i="16"/>
  <c r="K739" i="16"/>
  <c r="J739" i="16"/>
  <c r="F739" i="16"/>
  <c r="M738" i="16"/>
  <c r="K738" i="16"/>
  <c r="J738" i="16"/>
  <c r="F738" i="16"/>
  <c r="M737" i="16"/>
  <c r="K737" i="16"/>
  <c r="J737" i="16"/>
  <c r="F737" i="16"/>
  <c r="M736" i="16"/>
  <c r="K736" i="16"/>
  <c r="J736" i="16"/>
  <c r="F736" i="16"/>
  <c r="M735" i="16"/>
  <c r="K735" i="16"/>
  <c r="J735" i="16"/>
  <c r="F735" i="16"/>
  <c r="M734" i="16"/>
  <c r="K734" i="16"/>
  <c r="J734" i="16"/>
  <c r="F734" i="16"/>
  <c r="M733" i="16"/>
  <c r="K733" i="16"/>
  <c r="J733" i="16"/>
  <c r="F733" i="16"/>
  <c r="M732" i="16"/>
  <c r="K732" i="16"/>
  <c r="J732" i="16"/>
  <c r="F732" i="16"/>
  <c r="M731" i="16"/>
  <c r="K731" i="16"/>
  <c r="J731" i="16"/>
  <c r="F731" i="16"/>
  <c r="M730" i="16"/>
  <c r="K730" i="16"/>
  <c r="J730" i="16"/>
  <c r="F730" i="16"/>
  <c r="M729" i="16"/>
  <c r="K729" i="16"/>
  <c r="J729" i="16"/>
  <c r="F729" i="16"/>
  <c r="M728" i="16"/>
  <c r="K728" i="16"/>
  <c r="J728" i="16"/>
  <c r="F728" i="16"/>
  <c r="M727" i="16"/>
  <c r="K727" i="16"/>
  <c r="J727" i="16"/>
  <c r="F727" i="16"/>
  <c r="M726" i="16"/>
  <c r="K726" i="16"/>
  <c r="J726" i="16"/>
  <c r="F726" i="16"/>
  <c r="M725" i="16"/>
  <c r="K725" i="16"/>
  <c r="J725" i="16"/>
  <c r="F725" i="16"/>
  <c r="M724" i="16"/>
  <c r="K724" i="16"/>
  <c r="J724" i="16"/>
  <c r="F724" i="16"/>
  <c r="M723" i="16"/>
  <c r="K723" i="16"/>
  <c r="J723" i="16"/>
  <c r="F723" i="16"/>
  <c r="M722" i="16"/>
  <c r="K722" i="16"/>
  <c r="J722" i="16"/>
  <c r="F722" i="16"/>
  <c r="M721" i="16"/>
  <c r="K721" i="16"/>
  <c r="J721" i="16"/>
  <c r="F721" i="16"/>
  <c r="M720" i="16"/>
  <c r="K720" i="16"/>
  <c r="J720" i="16"/>
  <c r="F720" i="16"/>
  <c r="M719" i="16"/>
  <c r="K719" i="16"/>
  <c r="J719" i="16"/>
  <c r="F719" i="16"/>
  <c r="M718" i="16"/>
  <c r="K718" i="16"/>
  <c r="J718" i="16"/>
  <c r="F718" i="16"/>
  <c r="M717" i="16"/>
  <c r="K717" i="16"/>
  <c r="J717" i="16"/>
  <c r="F717" i="16"/>
  <c r="M716" i="16"/>
  <c r="K716" i="16"/>
  <c r="J716" i="16"/>
  <c r="F716" i="16"/>
  <c r="M715" i="16"/>
  <c r="K715" i="16"/>
  <c r="J715" i="16"/>
  <c r="F715" i="16"/>
  <c r="M714" i="16"/>
  <c r="K714" i="16"/>
  <c r="J714" i="16"/>
  <c r="F714" i="16"/>
  <c r="M713" i="16"/>
  <c r="K713" i="16"/>
  <c r="J713" i="16"/>
  <c r="F713" i="16"/>
  <c r="M712" i="16"/>
  <c r="K712" i="16"/>
  <c r="J712" i="16"/>
  <c r="F712" i="16"/>
  <c r="M711" i="16"/>
  <c r="K711" i="16"/>
  <c r="J711" i="16"/>
  <c r="F711" i="16"/>
  <c r="M710" i="16"/>
  <c r="K710" i="16"/>
  <c r="J710" i="16"/>
  <c r="F710" i="16"/>
  <c r="M709" i="16"/>
  <c r="K709" i="16"/>
  <c r="J709" i="16"/>
  <c r="F709" i="16"/>
  <c r="M708" i="16"/>
  <c r="K708" i="16"/>
  <c r="J708" i="16"/>
  <c r="F708" i="16"/>
  <c r="M707" i="16"/>
  <c r="K707" i="16"/>
  <c r="J707" i="16"/>
  <c r="F707" i="16"/>
  <c r="M706" i="16"/>
  <c r="K706" i="16"/>
  <c r="J706" i="16"/>
  <c r="F706" i="16"/>
  <c r="M705" i="16"/>
  <c r="K705" i="16"/>
  <c r="J705" i="16"/>
  <c r="F705" i="16"/>
  <c r="M704" i="16"/>
  <c r="K704" i="16"/>
  <c r="J704" i="16"/>
  <c r="F704" i="16"/>
  <c r="M703" i="16"/>
  <c r="K703" i="16"/>
  <c r="J703" i="16"/>
  <c r="F703" i="16"/>
  <c r="M702" i="16"/>
  <c r="K702" i="16"/>
  <c r="J702" i="16"/>
  <c r="F702" i="16"/>
  <c r="M701" i="16"/>
  <c r="K701" i="16"/>
  <c r="J701" i="16"/>
  <c r="F701" i="16"/>
  <c r="M700" i="16"/>
  <c r="K700" i="16"/>
  <c r="J700" i="16"/>
  <c r="F700" i="16"/>
  <c r="M699" i="16"/>
  <c r="K699" i="16"/>
  <c r="J699" i="16"/>
  <c r="F699" i="16"/>
  <c r="M698" i="16"/>
  <c r="K698" i="16"/>
  <c r="J698" i="16"/>
  <c r="F698" i="16"/>
  <c r="M697" i="16"/>
  <c r="K697" i="16"/>
  <c r="J697" i="16"/>
  <c r="F697" i="16"/>
  <c r="M696" i="16"/>
  <c r="K696" i="16"/>
  <c r="J696" i="16"/>
  <c r="F696" i="16"/>
  <c r="M695" i="16"/>
  <c r="K695" i="16"/>
  <c r="J695" i="16"/>
  <c r="F695" i="16"/>
  <c r="M694" i="16"/>
  <c r="K694" i="16"/>
  <c r="J694" i="16"/>
  <c r="F694" i="16"/>
  <c r="M693" i="16"/>
  <c r="K693" i="16"/>
  <c r="J693" i="16"/>
  <c r="F693" i="16"/>
  <c r="M692" i="16"/>
  <c r="K692" i="16"/>
  <c r="J692" i="16"/>
  <c r="F692" i="16"/>
  <c r="M691" i="16"/>
  <c r="K691" i="16"/>
  <c r="J691" i="16"/>
  <c r="F691" i="16"/>
  <c r="M690" i="16"/>
  <c r="K690" i="16"/>
  <c r="J690" i="16"/>
  <c r="F690" i="16"/>
  <c r="M689" i="16"/>
  <c r="K689" i="16"/>
  <c r="J689" i="16"/>
  <c r="F689" i="16"/>
  <c r="M688" i="16"/>
  <c r="K688" i="16"/>
  <c r="J688" i="16"/>
  <c r="F688" i="16"/>
  <c r="M687" i="16"/>
  <c r="K687" i="16"/>
  <c r="J687" i="16"/>
  <c r="F687" i="16"/>
  <c r="M686" i="16"/>
  <c r="K686" i="16"/>
  <c r="J686" i="16"/>
  <c r="F686" i="16"/>
  <c r="M685" i="16"/>
  <c r="K685" i="16"/>
  <c r="J685" i="16"/>
  <c r="F685" i="16"/>
  <c r="M684" i="16"/>
  <c r="K684" i="16"/>
  <c r="J684" i="16"/>
  <c r="F684" i="16"/>
  <c r="M683" i="16"/>
  <c r="K683" i="16"/>
  <c r="J683" i="16"/>
  <c r="F683" i="16"/>
  <c r="M682" i="16"/>
  <c r="K682" i="16"/>
  <c r="J682" i="16"/>
  <c r="F682" i="16"/>
  <c r="M681" i="16"/>
  <c r="K681" i="16"/>
  <c r="J681" i="16"/>
  <c r="F681" i="16"/>
  <c r="M680" i="16"/>
  <c r="K680" i="16"/>
  <c r="J680" i="16"/>
  <c r="F680" i="16"/>
  <c r="M679" i="16"/>
  <c r="K679" i="16"/>
  <c r="J679" i="16"/>
  <c r="F679" i="16"/>
  <c r="M678" i="16"/>
  <c r="K678" i="16"/>
  <c r="J678" i="16"/>
  <c r="F678" i="16"/>
  <c r="M677" i="16"/>
  <c r="K677" i="16"/>
  <c r="J677" i="16"/>
  <c r="F677" i="16"/>
  <c r="M676" i="16"/>
  <c r="K676" i="16"/>
  <c r="J676" i="16"/>
  <c r="F676" i="16"/>
  <c r="M675" i="16"/>
  <c r="K675" i="16"/>
  <c r="J675" i="16"/>
  <c r="F675" i="16"/>
  <c r="M674" i="16"/>
  <c r="K674" i="16"/>
  <c r="J674" i="16"/>
  <c r="F674" i="16"/>
  <c r="M673" i="16"/>
  <c r="K673" i="16"/>
  <c r="J673" i="16"/>
  <c r="F673" i="16"/>
  <c r="M672" i="16"/>
  <c r="K672" i="16"/>
  <c r="J672" i="16"/>
  <c r="F672" i="16"/>
  <c r="M671" i="16"/>
  <c r="K671" i="16"/>
  <c r="J671" i="16"/>
  <c r="F671" i="16"/>
  <c r="M670" i="16"/>
  <c r="K670" i="16"/>
  <c r="J670" i="16"/>
  <c r="F670" i="16"/>
  <c r="M669" i="16"/>
  <c r="K669" i="16"/>
  <c r="J669" i="16"/>
  <c r="F669" i="16"/>
  <c r="M668" i="16"/>
  <c r="K668" i="16"/>
  <c r="J668" i="16"/>
  <c r="F668" i="16"/>
  <c r="M667" i="16"/>
  <c r="K667" i="16"/>
  <c r="J667" i="16"/>
  <c r="F667" i="16"/>
  <c r="M666" i="16"/>
  <c r="K666" i="16"/>
  <c r="J666" i="16"/>
  <c r="F666" i="16"/>
  <c r="M665" i="16"/>
  <c r="K665" i="16"/>
  <c r="J665" i="16"/>
  <c r="F665" i="16"/>
  <c r="M664" i="16"/>
  <c r="K664" i="16"/>
  <c r="J664" i="16"/>
  <c r="F664" i="16"/>
  <c r="M663" i="16"/>
  <c r="K663" i="16"/>
  <c r="J663" i="16"/>
  <c r="F663" i="16"/>
  <c r="M662" i="16"/>
  <c r="K662" i="16"/>
  <c r="J662" i="16"/>
  <c r="F662" i="16"/>
  <c r="M661" i="16"/>
  <c r="K661" i="16"/>
  <c r="J661" i="16"/>
  <c r="F661" i="16"/>
  <c r="M660" i="16"/>
  <c r="K660" i="16"/>
  <c r="J660" i="16"/>
  <c r="F660" i="16"/>
  <c r="M659" i="16"/>
  <c r="K659" i="16"/>
  <c r="J659" i="16"/>
  <c r="F659" i="16"/>
  <c r="M658" i="16"/>
  <c r="K658" i="16"/>
  <c r="J658" i="16"/>
  <c r="F658" i="16"/>
  <c r="M657" i="16"/>
  <c r="K657" i="16"/>
  <c r="J657" i="16"/>
  <c r="F657" i="16"/>
  <c r="M656" i="16"/>
  <c r="K656" i="16"/>
  <c r="J656" i="16"/>
  <c r="F656" i="16"/>
  <c r="M655" i="16"/>
  <c r="K655" i="16"/>
  <c r="J655" i="16"/>
  <c r="F655" i="16"/>
  <c r="M654" i="16"/>
  <c r="K654" i="16"/>
  <c r="J654" i="16"/>
  <c r="F654" i="16"/>
  <c r="M653" i="16"/>
  <c r="K653" i="16"/>
  <c r="J653" i="16"/>
  <c r="F653" i="16"/>
  <c r="M652" i="16"/>
  <c r="K652" i="16"/>
  <c r="J652" i="16"/>
  <c r="F652" i="16"/>
  <c r="M651" i="16"/>
  <c r="K651" i="16"/>
  <c r="J651" i="16"/>
  <c r="F651" i="16"/>
  <c r="M650" i="16"/>
  <c r="K650" i="16"/>
  <c r="J650" i="16"/>
  <c r="F650" i="16"/>
  <c r="M649" i="16"/>
  <c r="K649" i="16"/>
  <c r="J649" i="16"/>
  <c r="F649" i="16"/>
  <c r="M648" i="16"/>
  <c r="K648" i="16"/>
  <c r="J648" i="16"/>
  <c r="F648" i="16"/>
  <c r="M647" i="16"/>
  <c r="K647" i="16"/>
  <c r="J647" i="16"/>
  <c r="F647" i="16"/>
  <c r="M646" i="16"/>
  <c r="K646" i="16"/>
  <c r="J646" i="16"/>
  <c r="F646" i="16"/>
  <c r="M645" i="16"/>
  <c r="K645" i="16"/>
  <c r="J645" i="16"/>
  <c r="F645" i="16"/>
  <c r="M644" i="16"/>
  <c r="K644" i="16"/>
  <c r="J644" i="16"/>
  <c r="F644" i="16"/>
  <c r="M643" i="16"/>
  <c r="K643" i="16"/>
  <c r="J643" i="16"/>
  <c r="F643" i="16"/>
  <c r="M642" i="16"/>
  <c r="K642" i="16"/>
  <c r="J642" i="16"/>
  <c r="F642" i="16"/>
  <c r="M641" i="16"/>
  <c r="K641" i="16"/>
  <c r="J641" i="16"/>
  <c r="F641" i="16"/>
  <c r="M640" i="16"/>
  <c r="K640" i="16"/>
  <c r="J640" i="16"/>
  <c r="F640" i="16"/>
  <c r="M639" i="16"/>
  <c r="K639" i="16"/>
  <c r="J639" i="16"/>
  <c r="F639" i="16"/>
  <c r="M638" i="16"/>
  <c r="K638" i="16"/>
  <c r="J638" i="16"/>
  <c r="F638" i="16"/>
  <c r="M637" i="16"/>
  <c r="K637" i="16"/>
  <c r="J637" i="16"/>
  <c r="F637" i="16"/>
  <c r="M636" i="16"/>
  <c r="K636" i="16"/>
  <c r="J636" i="16"/>
  <c r="F636" i="16"/>
  <c r="M635" i="16"/>
  <c r="K635" i="16"/>
  <c r="J635" i="16"/>
  <c r="F635" i="16"/>
  <c r="M634" i="16"/>
  <c r="K634" i="16"/>
  <c r="J634" i="16"/>
  <c r="F634" i="16"/>
  <c r="M633" i="16"/>
  <c r="K633" i="16"/>
  <c r="J633" i="16"/>
  <c r="F633" i="16"/>
  <c r="M632" i="16"/>
  <c r="K632" i="16"/>
  <c r="J632" i="16"/>
  <c r="F632" i="16"/>
  <c r="M631" i="16"/>
  <c r="K631" i="16"/>
  <c r="J631" i="16"/>
  <c r="F631" i="16"/>
  <c r="M630" i="16"/>
  <c r="K630" i="16"/>
  <c r="J630" i="16"/>
  <c r="F630" i="16"/>
  <c r="M629" i="16"/>
  <c r="K629" i="16"/>
  <c r="J629" i="16"/>
  <c r="F629" i="16"/>
  <c r="M628" i="16"/>
  <c r="K628" i="16"/>
  <c r="J628" i="16"/>
  <c r="F628" i="16"/>
  <c r="M627" i="16"/>
  <c r="K627" i="16"/>
  <c r="J627" i="16"/>
  <c r="F627" i="16"/>
  <c r="M626" i="16"/>
  <c r="K626" i="16"/>
  <c r="J626" i="16"/>
  <c r="F626" i="16"/>
  <c r="M625" i="16"/>
  <c r="K625" i="16"/>
  <c r="J625" i="16"/>
  <c r="F625" i="16"/>
  <c r="M624" i="16"/>
  <c r="K624" i="16"/>
  <c r="J624" i="16"/>
  <c r="F624" i="16"/>
  <c r="M623" i="16"/>
  <c r="K623" i="16"/>
  <c r="J623" i="16"/>
  <c r="F623" i="16"/>
  <c r="M622" i="16"/>
  <c r="K622" i="16"/>
  <c r="J622" i="16"/>
  <c r="F622" i="16"/>
  <c r="M621" i="16"/>
  <c r="K621" i="16"/>
  <c r="J621" i="16"/>
  <c r="F621" i="16"/>
  <c r="M620" i="16"/>
  <c r="K620" i="16"/>
  <c r="J620" i="16"/>
  <c r="F620" i="16"/>
  <c r="M619" i="16"/>
  <c r="K619" i="16"/>
  <c r="J619" i="16"/>
  <c r="F619" i="16"/>
  <c r="M618" i="16"/>
  <c r="K618" i="16"/>
  <c r="J618" i="16"/>
  <c r="F618" i="16"/>
  <c r="M617" i="16"/>
  <c r="K617" i="16"/>
  <c r="J617" i="16"/>
  <c r="F617" i="16"/>
  <c r="M616" i="16"/>
  <c r="K616" i="16"/>
  <c r="J616" i="16"/>
  <c r="F616" i="16"/>
  <c r="M615" i="16"/>
  <c r="K615" i="16"/>
  <c r="J615" i="16"/>
  <c r="F615" i="16"/>
  <c r="M614" i="16"/>
  <c r="K614" i="16"/>
  <c r="J614" i="16"/>
  <c r="F614" i="16"/>
  <c r="M613" i="16"/>
  <c r="K613" i="16"/>
  <c r="J613" i="16"/>
  <c r="F613" i="16"/>
  <c r="M612" i="16"/>
  <c r="K612" i="16"/>
  <c r="J612" i="16"/>
  <c r="F612" i="16"/>
  <c r="M611" i="16"/>
  <c r="K611" i="16"/>
  <c r="J611" i="16"/>
  <c r="F611" i="16"/>
  <c r="M610" i="16"/>
  <c r="K610" i="16"/>
  <c r="J610" i="16"/>
  <c r="F610" i="16"/>
  <c r="M609" i="16"/>
  <c r="K609" i="16"/>
  <c r="J609" i="16"/>
  <c r="F609" i="16"/>
  <c r="M608" i="16"/>
  <c r="K608" i="16"/>
  <c r="J608" i="16"/>
  <c r="F608" i="16"/>
  <c r="M607" i="16"/>
  <c r="K607" i="16"/>
  <c r="J607" i="16"/>
  <c r="F607" i="16"/>
  <c r="M606" i="16"/>
  <c r="K606" i="16"/>
  <c r="J606" i="16"/>
  <c r="F606" i="16"/>
  <c r="M605" i="16"/>
  <c r="K605" i="16"/>
  <c r="J605" i="16"/>
  <c r="F605" i="16"/>
  <c r="M604" i="16"/>
  <c r="K604" i="16"/>
  <c r="J604" i="16"/>
  <c r="F604" i="16"/>
  <c r="M603" i="16"/>
  <c r="K603" i="16"/>
  <c r="J603" i="16"/>
  <c r="F603" i="16"/>
  <c r="M602" i="16"/>
  <c r="K602" i="16"/>
  <c r="J602" i="16"/>
  <c r="F602" i="16"/>
  <c r="M601" i="16"/>
  <c r="K601" i="16"/>
  <c r="J601" i="16"/>
  <c r="F601" i="16"/>
  <c r="M600" i="16"/>
  <c r="K600" i="16"/>
  <c r="J600" i="16"/>
  <c r="F600" i="16"/>
  <c r="M599" i="16"/>
  <c r="K599" i="16"/>
  <c r="J599" i="16"/>
  <c r="F599" i="16"/>
  <c r="M598" i="16"/>
  <c r="K598" i="16"/>
  <c r="J598" i="16"/>
  <c r="F598" i="16"/>
  <c r="M597" i="16"/>
  <c r="K597" i="16"/>
  <c r="J597" i="16"/>
  <c r="F597" i="16"/>
  <c r="M596" i="16"/>
  <c r="K596" i="16"/>
  <c r="J596" i="16"/>
  <c r="F596" i="16"/>
  <c r="M595" i="16"/>
  <c r="K595" i="16"/>
  <c r="J595" i="16"/>
  <c r="F595" i="16"/>
  <c r="M594" i="16"/>
  <c r="K594" i="16"/>
  <c r="J594" i="16"/>
  <c r="F594" i="16"/>
  <c r="M593" i="16"/>
  <c r="K593" i="16"/>
  <c r="J593" i="16"/>
  <c r="F593" i="16"/>
  <c r="M592" i="16"/>
  <c r="K592" i="16"/>
  <c r="J592" i="16"/>
  <c r="F592" i="16"/>
  <c r="M591" i="16"/>
  <c r="K591" i="16"/>
  <c r="J591" i="16"/>
  <c r="F591" i="16"/>
  <c r="M590" i="16"/>
  <c r="K590" i="16"/>
  <c r="J590" i="16"/>
  <c r="F590" i="16"/>
  <c r="M589" i="16"/>
  <c r="K589" i="16"/>
  <c r="J589" i="16"/>
  <c r="F589" i="16"/>
  <c r="M588" i="16"/>
  <c r="K588" i="16"/>
  <c r="J588" i="16"/>
  <c r="F588" i="16"/>
  <c r="M587" i="16"/>
  <c r="K587" i="16"/>
  <c r="J587" i="16"/>
  <c r="F587" i="16"/>
  <c r="M586" i="16"/>
  <c r="K586" i="16"/>
  <c r="J586" i="16"/>
  <c r="F586" i="16"/>
  <c r="M585" i="16"/>
  <c r="K585" i="16"/>
  <c r="J585" i="16"/>
  <c r="F585" i="16"/>
  <c r="M584" i="16"/>
  <c r="K584" i="16"/>
  <c r="J584" i="16"/>
  <c r="F584" i="16"/>
  <c r="M583" i="16"/>
  <c r="K583" i="16"/>
  <c r="J583" i="16"/>
  <c r="F583" i="16"/>
  <c r="M582" i="16"/>
  <c r="K582" i="16"/>
  <c r="J582" i="16"/>
  <c r="F582" i="16"/>
  <c r="M581" i="16"/>
  <c r="K581" i="16"/>
  <c r="J581" i="16"/>
  <c r="F581" i="16"/>
  <c r="M580" i="16"/>
  <c r="K580" i="16"/>
  <c r="J580" i="16"/>
  <c r="F580" i="16"/>
  <c r="M579" i="16"/>
  <c r="K579" i="16"/>
  <c r="J579" i="16"/>
  <c r="F579" i="16"/>
  <c r="M578" i="16"/>
  <c r="K578" i="16"/>
  <c r="J578" i="16"/>
  <c r="F578" i="16"/>
  <c r="M577" i="16"/>
  <c r="K577" i="16"/>
  <c r="J577" i="16"/>
  <c r="F577" i="16"/>
  <c r="M576" i="16"/>
  <c r="K576" i="16"/>
  <c r="J576" i="16"/>
  <c r="F576" i="16"/>
  <c r="M575" i="16"/>
  <c r="K575" i="16"/>
  <c r="J575" i="16"/>
  <c r="F575" i="16"/>
  <c r="M574" i="16"/>
  <c r="K574" i="16"/>
  <c r="J574" i="16"/>
  <c r="F574" i="16"/>
  <c r="M573" i="16"/>
  <c r="K573" i="16"/>
  <c r="J573" i="16"/>
  <c r="F573" i="16"/>
  <c r="M572" i="16"/>
  <c r="K572" i="16"/>
  <c r="J572" i="16"/>
  <c r="F572" i="16"/>
  <c r="M571" i="16"/>
  <c r="K571" i="16"/>
  <c r="J571" i="16"/>
  <c r="F571" i="16"/>
  <c r="M570" i="16"/>
  <c r="K570" i="16"/>
  <c r="J570" i="16"/>
  <c r="F570" i="16"/>
  <c r="M569" i="16"/>
  <c r="K569" i="16"/>
  <c r="J569" i="16"/>
  <c r="F569" i="16"/>
  <c r="M568" i="16"/>
  <c r="K568" i="16"/>
  <c r="J568" i="16"/>
  <c r="F568" i="16"/>
  <c r="M567" i="16"/>
  <c r="K567" i="16"/>
  <c r="J567" i="16"/>
  <c r="F567" i="16"/>
  <c r="M566" i="16"/>
  <c r="K566" i="16"/>
  <c r="J566" i="16"/>
  <c r="F566" i="16"/>
  <c r="M565" i="16"/>
  <c r="K565" i="16"/>
  <c r="J565" i="16"/>
  <c r="F565" i="16"/>
  <c r="M564" i="16"/>
  <c r="K564" i="16"/>
  <c r="J564" i="16"/>
  <c r="F564" i="16"/>
  <c r="M563" i="16"/>
  <c r="K563" i="16"/>
  <c r="J563" i="16"/>
  <c r="F563" i="16"/>
  <c r="M562" i="16"/>
  <c r="K562" i="16"/>
  <c r="J562" i="16"/>
  <c r="F562" i="16"/>
  <c r="M561" i="16"/>
  <c r="K561" i="16"/>
  <c r="J561" i="16"/>
  <c r="F561" i="16"/>
  <c r="M560" i="16"/>
  <c r="K560" i="16"/>
  <c r="J560" i="16"/>
  <c r="F560" i="16"/>
  <c r="M559" i="16"/>
  <c r="K559" i="16"/>
  <c r="J559" i="16"/>
  <c r="F559" i="16"/>
  <c r="M558" i="16"/>
  <c r="K558" i="16"/>
  <c r="J558" i="16"/>
  <c r="F558" i="16"/>
  <c r="M557" i="16"/>
  <c r="K557" i="16"/>
  <c r="J557" i="16"/>
  <c r="F557" i="16"/>
  <c r="M556" i="16"/>
  <c r="K556" i="16"/>
  <c r="J556" i="16"/>
  <c r="F556" i="16"/>
  <c r="M555" i="16"/>
  <c r="K555" i="16"/>
  <c r="J555" i="16"/>
  <c r="F555" i="16"/>
  <c r="M554" i="16"/>
  <c r="K554" i="16"/>
  <c r="J554" i="16"/>
  <c r="F554" i="16"/>
  <c r="M553" i="16"/>
  <c r="K553" i="16"/>
  <c r="J553" i="16"/>
  <c r="F553" i="16"/>
  <c r="M552" i="16"/>
  <c r="K552" i="16"/>
  <c r="J552" i="16"/>
  <c r="F552" i="16"/>
  <c r="M551" i="16"/>
  <c r="K551" i="16"/>
  <c r="J551" i="16"/>
  <c r="F551" i="16"/>
  <c r="M550" i="16"/>
  <c r="K550" i="16"/>
  <c r="J550" i="16"/>
  <c r="F550" i="16"/>
  <c r="M549" i="16"/>
  <c r="K549" i="16"/>
  <c r="J549" i="16"/>
  <c r="F549" i="16"/>
  <c r="M548" i="16"/>
  <c r="K548" i="16"/>
  <c r="J548" i="16"/>
  <c r="F548" i="16"/>
  <c r="M547" i="16"/>
  <c r="K547" i="16"/>
  <c r="J547" i="16"/>
  <c r="F547" i="16"/>
  <c r="M546" i="16"/>
  <c r="K546" i="16"/>
  <c r="J546" i="16"/>
  <c r="F546" i="16"/>
  <c r="M545" i="16"/>
  <c r="K545" i="16"/>
  <c r="J545" i="16"/>
  <c r="F545" i="16"/>
  <c r="M544" i="16"/>
  <c r="K544" i="16"/>
  <c r="J544" i="16"/>
  <c r="F544" i="16"/>
  <c r="M543" i="16"/>
  <c r="K543" i="16"/>
  <c r="J543" i="16"/>
  <c r="F543" i="16"/>
  <c r="M542" i="16"/>
  <c r="K542" i="16"/>
  <c r="J542" i="16"/>
  <c r="F542" i="16"/>
  <c r="M541" i="16"/>
  <c r="K541" i="16"/>
  <c r="J541" i="16"/>
  <c r="F541" i="16"/>
  <c r="M540" i="16"/>
  <c r="K540" i="16"/>
  <c r="J540" i="16"/>
  <c r="F540" i="16"/>
  <c r="M539" i="16"/>
  <c r="K539" i="16"/>
  <c r="J539" i="16"/>
  <c r="F539" i="16"/>
  <c r="M538" i="16"/>
  <c r="K538" i="16"/>
  <c r="J538" i="16"/>
  <c r="F538" i="16"/>
  <c r="M537" i="16"/>
  <c r="K537" i="16"/>
  <c r="J537" i="16"/>
  <c r="F537" i="16"/>
  <c r="M536" i="16"/>
  <c r="K536" i="16"/>
  <c r="J536" i="16"/>
  <c r="F536" i="16"/>
  <c r="M535" i="16"/>
  <c r="K535" i="16"/>
  <c r="J535" i="16"/>
  <c r="F535" i="16"/>
  <c r="M534" i="16"/>
  <c r="K534" i="16"/>
  <c r="J534" i="16"/>
  <c r="F534" i="16"/>
  <c r="M533" i="16"/>
  <c r="K533" i="16"/>
  <c r="J533" i="16"/>
  <c r="F533" i="16"/>
  <c r="M532" i="16"/>
  <c r="K532" i="16"/>
  <c r="J532" i="16"/>
  <c r="F532" i="16"/>
  <c r="M531" i="16"/>
  <c r="K531" i="16"/>
  <c r="J531" i="16"/>
  <c r="F531" i="16"/>
  <c r="M530" i="16"/>
  <c r="K530" i="16"/>
  <c r="J530" i="16"/>
  <c r="F530" i="16"/>
  <c r="M529" i="16"/>
  <c r="K529" i="16"/>
  <c r="J529" i="16"/>
  <c r="F529" i="16"/>
  <c r="M528" i="16"/>
  <c r="K528" i="16"/>
  <c r="J528" i="16"/>
  <c r="F528" i="16"/>
  <c r="M527" i="16"/>
  <c r="K527" i="16"/>
  <c r="J527" i="16"/>
  <c r="F527" i="16"/>
  <c r="M526" i="16"/>
  <c r="K526" i="16"/>
  <c r="J526" i="16"/>
  <c r="F526" i="16"/>
  <c r="M525" i="16"/>
  <c r="K525" i="16"/>
  <c r="J525" i="16"/>
  <c r="F525" i="16"/>
  <c r="M524" i="16"/>
  <c r="K524" i="16"/>
  <c r="J524" i="16"/>
  <c r="F524" i="16"/>
  <c r="M523" i="16"/>
  <c r="K523" i="16"/>
  <c r="J523" i="16"/>
  <c r="F523" i="16"/>
  <c r="M522" i="16"/>
  <c r="K522" i="16"/>
  <c r="J522" i="16"/>
  <c r="F522" i="16"/>
  <c r="M521" i="16"/>
  <c r="K521" i="16"/>
  <c r="J521" i="16"/>
  <c r="F521" i="16"/>
  <c r="M520" i="16"/>
  <c r="K520" i="16"/>
  <c r="J520" i="16"/>
  <c r="F520" i="16"/>
  <c r="M519" i="16"/>
  <c r="K519" i="16"/>
  <c r="J519" i="16"/>
  <c r="F519" i="16"/>
  <c r="M518" i="16"/>
  <c r="K518" i="16"/>
  <c r="J518" i="16"/>
  <c r="F518" i="16"/>
  <c r="M517" i="16"/>
  <c r="K517" i="16"/>
  <c r="J517" i="16"/>
  <c r="F517" i="16"/>
  <c r="M516" i="16"/>
  <c r="K516" i="16"/>
  <c r="J516" i="16"/>
  <c r="F516" i="16"/>
  <c r="M515" i="16"/>
  <c r="K515" i="16"/>
  <c r="J515" i="16"/>
  <c r="F515" i="16"/>
  <c r="M514" i="16"/>
  <c r="K514" i="16"/>
  <c r="J514" i="16"/>
  <c r="F514" i="16"/>
  <c r="M513" i="16"/>
  <c r="K513" i="16"/>
  <c r="J513" i="16"/>
  <c r="F513" i="16"/>
  <c r="M512" i="16"/>
  <c r="K512" i="16"/>
  <c r="J512" i="16"/>
  <c r="F512" i="16"/>
  <c r="M511" i="16"/>
  <c r="K511" i="16"/>
  <c r="J511" i="16"/>
  <c r="F511" i="16"/>
  <c r="M510" i="16"/>
  <c r="K510" i="16"/>
  <c r="J510" i="16"/>
  <c r="F510" i="16"/>
  <c r="M509" i="16"/>
  <c r="K509" i="16"/>
  <c r="J509" i="16"/>
  <c r="F509" i="16"/>
  <c r="M508" i="16"/>
  <c r="K508" i="16"/>
  <c r="J508" i="16"/>
  <c r="F508" i="16"/>
  <c r="M507" i="16"/>
  <c r="K507" i="16"/>
  <c r="J507" i="16"/>
  <c r="F507" i="16"/>
  <c r="M506" i="16"/>
  <c r="K506" i="16"/>
  <c r="J506" i="16"/>
  <c r="F506" i="16"/>
  <c r="M505" i="16"/>
  <c r="K505" i="16"/>
  <c r="J505" i="16"/>
  <c r="F505" i="16"/>
  <c r="M504" i="16"/>
  <c r="K504" i="16"/>
  <c r="J504" i="16"/>
  <c r="F504" i="16"/>
  <c r="M503" i="16"/>
  <c r="K503" i="16"/>
  <c r="J503" i="16"/>
  <c r="F503" i="16"/>
  <c r="M502" i="16"/>
  <c r="K502" i="16"/>
  <c r="J502" i="16"/>
  <c r="F502" i="16"/>
  <c r="M501" i="16"/>
  <c r="K501" i="16"/>
  <c r="J501" i="16"/>
  <c r="F501" i="16"/>
  <c r="M500" i="16"/>
  <c r="K500" i="16"/>
  <c r="J500" i="16"/>
  <c r="F500" i="16"/>
  <c r="M499" i="16"/>
  <c r="K499" i="16"/>
  <c r="J499" i="16"/>
  <c r="F499" i="16"/>
  <c r="M498" i="16"/>
  <c r="K498" i="16"/>
  <c r="J498" i="16"/>
  <c r="F498" i="16"/>
  <c r="M497" i="16"/>
  <c r="K497" i="16"/>
  <c r="J497" i="16"/>
  <c r="F497" i="16"/>
  <c r="M496" i="16"/>
  <c r="K496" i="16"/>
  <c r="J496" i="16"/>
  <c r="F496" i="16"/>
  <c r="M495" i="16"/>
  <c r="K495" i="16"/>
  <c r="J495" i="16"/>
  <c r="F495" i="16"/>
  <c r="M494" i="16"/>
  <c r="K494" i="16"/>
  <c r="J494" i="16"/>
  <c r="F494" i="16"/>
  <c r="M493" i="16"/>
  <c r="K493" i="16"/>
  <c r="J493" i="16"/>
  <c r="F493" i="16"/>
  <c r="M492" i="16"/>
  <c r="K492" i="16"/>
  <c r="J492" i="16"/>
  <c r="F492" i="16"/>
  <c r="M491" i="16"/>
  <c r="K491" i="16"/>
  <c r="J491" i="16"/>
  <c r="F491" i="16"/>
  <c r="M490" i="16"/>
  <c r="K490" i="16"/>
  <c r="J490" i="16"/>
  <c r="F490" i="16"/>
  <c r="M489" i="16"/>
  <c r="K489" i="16"/>
  <c r="J489" i="16"/>
  <c r="F489" i="16"/>
  <c r="M488" i="16"/>
  <c r="K488" i="16"/>
  <c r="J488" i="16"/>
  <c r="F488" i="16"/>
  <c r="M487" i="16"/>
  <c r="K487" i="16"/>
  <c r="J487" i="16"/>
  <c r="F487" i="16"/>
  <c r="M486" i="16"/>
  <c r="K486" i="16"/>
  <c r="J486" i="16"/>
  <c r="F486" i="16"/>
  <c r="M485" i="16"/>
  <c r="K485" i="16"/>
  <c r="J485" i="16"/>
  <c r="F485" i="16"/>
  <c r="M484" i="16"/>
  <c r="K484" i="16"/>
  <c r="J484" i="16"/>
  <c r="F484" i="16"/>
  <c r="M483" i="16"/>
  <c r="K483" i="16"/>
  <c r="J483" i="16"/>
  <c r="F483" i="16"/>
  <c r="M482" i="16"/>
  <c r="K482" i="16"/>
  <c r="J482" i="16"/>
  <c r="F482" i="16"/>
  <c r="M481" i="16"/>
  <c r="K481" i="16"/>
  <c r="J481" i="16"/>
  <c r="F481" i="16"/>
  <c r="M480" i="16"/>
  <c r="K480" i="16"/>
  <c r="J480" i="16"/>
  <c r="F480" i="16"/>
  <c r="M479" i="16"/>
  <c r="K479" i="16"/>
  <c r="J479" i="16"/>
  <c r="F479" i="16"/>
  <c r="M478" i="16"/>
  <c r="K478" i="16"/>
  <c r="J478" i="16"/>
  <c r="F478" i="16"/>
  <c r="M477" i="16"/>
  <c r="K477" i="16"/>
  <c r="J477" i="16"/>
  <c r="F477" i="16"/>
  <c r="M476" i="16"/>
  <c r="K476" i="16"/>
  <c r="J476" i="16"/>
  <c r="F476" i="16"/>
  <c r="M475" i="16"/>
  <c r="K475" i="16"/>
  <c r="J475" i="16"/>
  <c r="F475" i="16"/>
  <c r="M474" i="16"/>
  <c r="K474" i="16"/>
  <c r="J474" i="16"/>
  <c r="F474" i="16"/>
  <c r="M473" i="16"/>
  <c r="K473" i="16"/>
  <c r="J473" i="16"/>
  <c r="F473" i="16"/>
  <c r="M472" i="16"/>
  <c r="K472" i="16"/>
  <c r="J472" i="16"/>
  <c r="F472" i="16"/>
  <c r="M471" i="16"/>
  <c r="K471" i="16"/>
  <c r="J471" i="16"/>
  <c r="F471" i="16"/>
  <c r="M470" i="16"/>
  <c r="K470" i="16"/>
  <c r="J470" i="16"/>
  <c r="F470" i="16"/>
  <c r="M469" i="16"/>
  <c r="K469" i="16"/>
  <c r="J469" i="16"/>
  <c r="F469" i="16"/>
  <c r="M468" i="16"/>
  <c r="K468" i="16"/>
  <c r="J468" i="16"/>
  <c r="F468" i="16"/>
  <c r="M467" i="16"/>
  <c r="K467" i="16"/>
  <c r="J467" i="16"/>
  <c r="F467" i="16"/>
  <c r="M466" i="16"/>
  <c r="K466" i="16"/>
  <c r="J466" i="16"/>
  <c r="F466" i="16"/>
  <c r="M465" i="16"/>
  <c r="K465" i="16"/>
  <c r="J465" i="16"/>
  <c r="F465" i="16"/>
  <c r="M464" i="16"/>
  <c r="K464" i="16"/>
  <c r="J464" i="16"/>
  <c r="F464" i="16"/>
  <c r="M463" i="16"/>
  <c r="K463" i="16"/>
  <c r="J463" i="16"/>
  <c r="F463" i="16"/>
  <c r="M462" i="16"/>
  <c r="K462" i="16"/>
  <c r="J462" i="16"/>
  <c r="F462" i="16"/>
  <c r="M461" i="16"/>
  <c r="K461" i="16"/>
  <c r="J461" i="16"/>
  <c r="F461" i="16"/>
  <c r="M460" i="16"/>
  <c r="K460" i="16"/>
  <c r="J460" i="16"/>
  <c r="F460" i="16"/>
  <c r="M459" i="16"/>
  <c r="K459" i="16"/>
  <c r="J459" i="16"/>
  <c r="F459" i="16"/>
  <c r="M458" i="16"/>
  <c r="K458" i="16"/>
  <c r="J458" i="16"/>
  <c r="F458" i="16"/>
  <c r="M457" i="16"/>
  <c r="K457" i="16"/>
  <c r="J457" i="16"/>
  <c r="F457" i="16"/>
  <c r="M456" i="16"/>
  <c r="K456" i="16"/>
  <c r="J456" i="16"/>
  <c r="F456" i="16"/>
  <c r="M455" i="16"/>
  <c r="K455" i="16"/>
  <c r="J455" i="16"/>
  <c r="F455" i="16"/>
  <c r="M454" i="16"/>
  <c r="K454" i="16"/>
  <c r="J454" i="16"/>
  <c r="F454" i="16"/>
  <c r="M453" i="16"/>
  <c r="K453" i="16"/>
  <c r="J453" i="16"/>
  <c r="F453" i="16"/>
  <c r="M452" i="16"/>
  <c r="K452" i="16"/>
  <c r="J452" i="16"/>
  <c r="F452" i="16"/>
  <c r="M451" i="16"/>
  <c r="K451" i="16"/>
  <c r="J451" i="16"/>
  <c r="F451" i="16"/>
  <c r="M450" i="16"/>
  <c r="K450" i="16"/>
  <c r="J450" i="16"/>
  <c r="F450" i="16"/>
  <c r="M449" i="16"/>
  <c r="K449" i="16"/>
  <c r="J449" i="16"/>
  <c r="F449" i="16"/>
  <c r="M448" i="16"/>
  <c r="K448" i="16"/>
  <c r="J448" i="16"/>
  <c r="F448" i="16"/>
  <c r="M447" i="16"/>
  <c r="K447" i="16"/>
  <c r="J447" i="16"/>
  <c r="F447" i="16"/>
  <c r="M446" i="16"/>
  <c r="K446" i="16"/>
  <c r="J446" i="16"/>
  <c r="F446" i="16"/>
  <c r="M445" i="16"/>
  <c r="K445" i="16"/>
  <c r="J445" i="16"/>
  <c r="F445" i="16"/>
  <c r="M444" i="16"/>
  <c r="K444" i="16"/>
  <c r="J444" i="16"/>
  <c r="F444" i="16"/>
  <c r="M443" i="16"/>
  <c r="K443" i="16"/>
  <c r="J443" i="16"/>
  <c r="F443" i="16"/>
  <c r="M442" i="16"/>
  <c r="K442" i="16"/>
  <c r="J442" i="16"/>
  <c r="F442" i="16"/>
  <c r="M441" i="16"/>
  <c r="K441" i="16"/>
  <c r="J441" i="16"/>
  <c r="F441" i="16"/>
  <c r="M440" i="16"/>
  <c r="K440" i="16"/>
  <c r="J440" i="16"/>
  <c r="F440" i="16"/>
  <c r="M439" i="16"/>
  <c r="K439" i="16"/>
  <c r="J439" i="16"/>
  <c r="F439" i="16"/>
  <c r="M438" i="16"/>
  <c r="K438" i="16"/>
  <c r="J438" i="16"/>
  <c r="F438" i="16"/>
  <c r="M437" i="16"/>
  <c r="K437" i="16"/>
  <c r="J437" i="16"/>
  <c r="F437" i="16"/>
  <c r="M436" i="16"/>
  <c r="K436" i="16"/>
  <c r="J436" i="16"/>
  <c r="F436" i="16"/>
  <c r="M435" i="16"/>
  <c r="K435" i="16"/>
  <c r="J435" i="16"/>
  <c r="F435" i="16"/>
  <c r="M434" i="16"/>
  <c r="K434" i="16"/>
  <c r="J434" i="16"/>
  <c r="F434" i="16"/>
  <c r="M433" i="16"/>
  <c r="K433" i="16"/>
  <c r="J433" i="16"/>
  <c r="F433" i="16"/>
  <c r="M432" i="16"/>
  <c r="K432" i="16"/>
  <c r="J432" i="16"/>
  <c r="F432" i="16"/>
  <c r="M431" i="16"/>
  <c r="K431" i="16"/>
  <c r="J431" i="16"/>
  <c r="F431" i="16"/>
  <c r="M430" i="16"/>
  <c r="K430" i="16"/>
  <c r="J430" i="16"/>
  <c r="F430" i="16"/>
  <c r="M429" i="16"/>
  <c r="K429" i="16"/>
  <c r="J429" i="16"/>
  <c r="F429" i="16"/>
  <c r="M428" i="16"/>
  <c r="K428" i="16"/>
  <c r="J428" i="16"/>
  <c r="F428" i="16"/>
  <c r="M427" i="16"/>
  <c r="K427" i="16"/>
  <c r="J427" i="16"/>
  <c r="F427" i="16"/>
  <c r="M426" i="16"/>
  <c r="K426" i="16"/>
  <c r="J426" i="16"/>
  <c r="F426" i="16"/>
  <c r="M425" i="16"/>
  <c r="K425" i="16"/>
  <c r="J425" i="16"/>
  <c r="F425" i="16"/>
  <c r="M424" i="16"/>
  <c r="K424" i="16"/>
  <c r="J424" i="16"/>
  <c r="F424" i="16"/>
  <c r="M423" i="16"/>
  <c r="K423" i="16"/>
  <c r="J423" i="16"/>
  <c r="F423" i="16"/>
  <c r="M422" i="16"/>
  <c r="K422" i="16"/>
  <c r="J422" i="16"/>
  <c r="F422" i="16"/>
  <c r="M421" i="16"/>
  <c r="K421" i="16"/>
  <c r="J421" i="16"/>
  <c r="F421" i="16"/>
  <c r="M420" i="16"/>
  <c r="K420" i="16"/>
  <c r="J420" i="16"/>
  <c r="F420" i="16"/>
  <c r="M419" i="16"/>
  <c r="K419" i="16"/>
  <c r="J419" i="16"/>
  <c r="F419" i="16"/>
  <c r="M418" i="16"/>
  <c r="K418" i="16"/>
  <c r="J418" i="16"/>
  <c r="F418" i="16"/>
  <c r="M417" i="16"/>
  <c r="K417" i="16"/>
  <c r="J417" i="16"/>
  <c r="F417" i="16"/>
  <c r="M416" i="16"/>
  <c r="K416" i="16"/>
  <c r="J416" i="16"/>
  <c r="F416" i="16"/>
  <c r="M415" i="16"/>
  <c r="K415" i="16"/>
  <c r="J415" i="16"/>
  <c r="F415" i="16"/>
  <c r="M414" i="16"/>
  <c r="K414" i="16"/>
  <c r="J414" i="16"/>
  <c r="F414" i="16"/>
  <c r="M413" i="16"/>
  <c r="K413" i="16"/>
  <c r="J413" i="16"/>
  <c r="F413" i="16"/>
  <c r="M412" i="16"/>
  <c r="K412" i="16"/>
  <c r="J412" i="16"/>
  <c r="F412" i="16"/>
  <c r="M411" i="16"/>
  <c r="K411" i="16"/>
  <c r="J411" i="16"/>
  <c r="F411" i="16"/>
  <c r="M410" i="16"/>
  <c r="K410" i="16"/>
  <c r="J410" i="16"/>
  <c r="F410" i="16"/>
  <c r="M409" i="16"/>
  <c r="K409" i="16"/>
  <c r="J409" i="16"/>
  <c r="F409" i="16"/>
  <c r="M408" i="16"/>
  <c r="K408" i="16"/>
  <c r="J408" i="16"/>
  <c r="F408" i="16"/>
  <c r="M407" i="16"/>
  <c r="K407" i="16"/>
  <c r="J407" i="16"/>
  <c r="F407" i="16"/>
  <c r="M406" i="16"/>
  <c r="K406" i="16"/>
  <c r="J406" i="16"/>
  <c r="F406" i="16"/>
  <c r="M405" i="16"/>
  <c r="K405" i="16"/>
  <c r="J405" i="16"/>
  <c r="F405" i="16"/>
  <c r="M404" i="16"/>
  <c r="K404" i="16"/>
  <c r="J404" i="16"/>
  <c r="F404" i="16"/>
  <c r="M403" i="16"/>
  <c r="K403" i="16"/>
  <c r="J403" i="16"/>
  <c r="F403" i="16"/>
  <c r="M402" i="16"/>
  <c r="K402" i="16"/>
  <c r="J402" i="16"/>
  <c r="F402" i="16"/>
  <c r="M401" i="16"/>
  <c r="K401" i="16"/>
  <c r="J401" i="16"/>
  <c r="F401" i="16"/>
  <c r="M400" i="16"/>
  <c r="K400" i="16"/>
  <c r="J400" i="16"/>
  <c r="F400" i="16"/>
  <c r="M399" i="16"/>
  <c r="K399" i="16"/>
  <c r="J399" i="16"/>
  <c r="F399" i="16"/>
  <c r="M398" i="16"/>
  <c r="K398" i="16"/>
  <c r="J398" i="16"/>
  <c r="F398" i="16"/>
  <c r="M397" i="16"/>
  <c r="K397" i="16"/>
  <c r="J397" i="16"/>
  <c r="F397" i="16"/>
  <c r="M396" i="16"/>
  <c r="K396" i="16"/>
  <c r="J396" i="16"/>
  <c r="F396" i="16"/>
  <c r="M395" i="16"/>
  <c r="K395" i="16"/>
  <c r="J395" i="16"/>
  <c r="F395" i="16"/>
  <c r="M394" i="16"/>
  <c r="K394" i="16"/>
  <c r="J394" i="16"/>
  <c r="F394" i="16"/>
  <c r="M393" i="16"/>
  <c r="K393" i="16"/>
  <c r="J393" i="16"/>
  <c r="F393" i="16"/>
  <c r="M392" i="16"/>
  <c r="K392" i="16"/>
  <c r="J392" i="16"/>
  <c r="F392" i="16"/>
  <c r="M391" i="16"/>
  <c r="K391" i="16"/>
  <c r="J391" i="16"/>
  <c r="F391" i="16"/>
  <c r="M390" i="16"/>
  <c r="K390" i="16"/>
  <c r="J390" i="16"/>
  <c r="F390" i="16"/>
  <c r="M389" i="16"/>
  <c r="K389" i="16"/>
  <c r="J389" i="16"/>
  <c r="F389" i="16"/>
  <c r="M388" i="16"/>
  <c r="K388" i="16"/>
  <c r="J388" i="16"/>
  <c r="F388" i="16"/>
  <c r="M387" i="16"/>
  <c r="K387" i="16"/>
  <c r="J387" i="16"/>
  <c r="F387" i="16"/>
  <c r="M386" i="16"/>
  <c r="K386" i="16"/>
  <c r="J386" i="16"/>
  <c r="F386" i="16"/>
  <c r="M385" i="16"/>
  <c r="K385" i="16"/>
  <c r="J385" i="16"/>
  <c r="F385" i="16"/>
  <c r="M384" i="16"/>
  <c r="K384" i="16"/>
  <c r="J384" i="16"/>
  <c r="F384" i="16"/>
  <c r="M383" i="16"/>
  <c r="K383" i="16"/>
  <c r="J383" i="16"/>
  <c r="F383" i="16"/>
  <c r="M382" i="16"/>
  <c r="K382" i="16"/>
  <c r="J382" i="16"/>
  <c r="F382" i="16"/>
  <c r="M381" i="16"/>
  <c r="K381" i="16"/>
  <c r="J381" i="16"/>
  <c r="F381" i="16"/>
  <c r="M380" i="16"/>
  <c r="K380" i="16"/>
  <c r="J380" i="16"/>
  <c r="F380" i="16"/>
  <c r="M379" i="16"/>
  <c r="K379" i="16"/>
  <c r="J379" i="16"/>
  <c r="F379" i="16"/>
  <c r="M378" i="16"/>
  <c r="K378" i="16"/>
  <c r="J378" i="16"/>
  <c r="F378" i="16"/>
  <c r="M377" i="16"/>
  <c r="K377" i="16"/>
  <c r="J377" i="16"/>
  <c r="F377" i="16"/>
  <c r="M376" i="16"/>
  <c r="K376" i="16"/>
  <c r="J376" i="16"/>
  <c r="F376" i="16"/>
  <c r="M375" i="16"/>
  <c r="K375" i="16"/>
  <c r="J375" i="16"/>
  <c r="F375" i="16"/>
  <c r="M374" i="16"/>
  <c r="K374" i="16"/>
  <c r="J374" i="16"/>
  <c r="F374" i="16"/>
  <c r="M373" i="16"/>
  <c r="K373" i="16"/>
  <c r="J373" i="16"/>
  <c r="F373" i="16"/>
  <c r="M372" i="16"/>
  <c r="K372" i="16"/>
  <c r="J372" i="16"/>
  <c r="F372" i="16"/>
  <c r="M371" i="16"/>
  <c r="K371" i="16"/>
  <c r="J371" i="16"/>
  <c r="F371" i="16"/>
  <c r="M370" i="16"/>
  <c r="K370" i="16"/>
  <c r="J370" i="16"/>
  <c r="F370" i="16"/>
  <c r="M369" i="16"/>
  <c r="K369" i="16"/>
  <c r="J369" i="16"/>
  <c r="F369" i="16"/>
  <c r="M368" i="16"/>
  <c r="K368" i="16"/>
  <c r="J368" i="16"/>
  <c r="F368" i="16"/>
  <c r="M367" i="16"/>
  <c r="K367" i="16"/>
  <c r="J367" i="16"/>
  <c r="F367" i="16"/>
  <c r="M366" i="16"/>
  <c r="K366" i="16"/>
  <c r="J366" i="16"/>
  <c r="F366" i="16"/>
  <c r="M365" i="16"/>
  <c r="K365" i="16"/>
  <c r="J365" i="16"/>
  <c r="F365" i="16"/>
  <c r="M364" i="16"/>
  <c r="K364" i="16"/>
  <c r="J364" i="16"/>
  <c r="F364" i="16"/>
  <c r="M363" i="16"/>
  <c r="K363" i="16"/>
  <c r="J363" i="16"/>
  <c r="F363" i="16"/>
  <c r="M362" i="16"/>
  <c r="K362" i="16"/>
  <c r="J362" i="16"/>
  <c r="F362" i="16"/>
  <c r="M361" i="16"/>
  <c r="K361" i="16"/>
  <c r="J361" i="16"/>
  <c r="F361" i="16"/>
  <c r="M360" i="16"/>
  <c r="K360" i="16"/>
  <c r="J360" i="16"/>
  <c r="F360" i="16"/>
  <c r="M359" i="16"/>
  <c r="K359" i="16"/>
  <c r="J359" i="16"/>
  <c r="F359" i="16"/>
  <c r="M358" i="16"/>
  <c r="K358" i="16"/>
  <c r="J358" i="16"/>
  <c r="F358" i="16"/>
  <c r="M357" i="16"/>
  <c r="K357" i="16"/>
  <c r="J357" i="16"/>
  <c r="F357" i="16"/>
  <c r="M356" i="16"/>
  <c r="K356" i="16"/>
  <c r="J356" i="16"/>
  <c r="F356" i="16"/>
  <c r="M355" i="16"/>
  <c r="K355" i="16"/>
  <c r="J355" i="16"/>
  <c r="F355" i="16"/>
  <c r="M354" i="16"/>
  <c r="K354" i="16"/>
  <c r="J354" i="16"/>
  <c r="F354" i="16"/>
  <c r="M353" i="16"/>
  <c r="K353" i="16"/>
  <c r="J353" i="16"/>
  <c r="F353" i="16"/>
  <c r="M352" i="16"/>
  <c r="K352" i="16"/>
  <c r="J352" i="16"/>
  <c r="F352" i="16"/>
  <c r="M351" i="16"/>
  <c r="K351" i="16"/>
  <c r="J351" i="16"/>
  <c r="F351" i="16"/>
  <c r="M350" i="16"/>
  <c r="K350" i="16"/>
  <c r="J350" i="16"/>
  <c r="F350" i="16"/>
  <c r="M349" i="16"/>
  <c r="K349" i="16"/>
  <c r="J349" i="16"/>
  <c r="F349" i="16"/>
  <c r="M348" i="16"/>
  <c r="K348" i="16"/>
  <c r="J348" i="16"/>
  <c r="F348" i="16"/>
  <c r="M347" i="16"/>
  <c r="K347" i="16"/>
  <c r="J347" i="16"/>
  <c r="F347" i="16"/>
  <c r="M346" i="16"/>
  <c r="K346" i="16"/>
  <c r="J346" i="16"/>
  <c r="F346" i="16"/>
  <c r="M345" i="16"/>
  <c r="K345" i="16"/>
  <c r="J345" i="16"/>
  <c r="F345" i="16"/>
  <c r="M344" i="16"/>
  <c r="K344" i="16"/>
  <c r="J344" i="16"/>
  <c r="F344" i="16"/>
  <c r="M343" i="16"/>
  <c r="K343" i="16"/>
  <c r="J343" i="16"/>
  <c r="F343" i="16"/>
  <c r="M342" i="16"/>
  <c r="K342" i="16"/>
  <c r="J342" i="16"/>
  <c r="F342" i="16"/>
  <c r="M341" i="16"/>
  <c r="K341" i="16"/>
  <c r="J341" i="16"/>
  <c r="F341" i="16"/>
  <c r="M340" i="16"/>
  <c r="K340" i="16"/>
  <c r="J340" i="16"/>
  <c r="F340" i="16"/>
  <c r="M339" i="16"/>
  <c r="K339" i="16"/>
  <c r="J339" i="16"/>
  <c r="F339" i="16"/>
  <c r="M338" i="16"/>
  <c r="K338" i="16"/>
  <c r="J338" i="16"/>
  <c r="F338" i="16"/>
  <c r="M337" i="16"/>
  <c r="K337" i="16"/>
  <c r="J337" i="16"/>
  <c r="F337" i="16"/>
  <c r="M336" i="16"/>
  <c r="K336" i="16"/>
  <c r="J336" i="16"/>
  <c r="F336" i="16"/>
  <c r="M335" i="16"/>
  <c r="K335" i="16"/>
  <c r="J335" i="16"/>
  <c r="F335" i="16"/>
  <c r="M334" i="16"/>
  <c r="K334" i="16"/>
  <c r="J334" i="16"/>
  <c r="F334" i="16"/>
  <c r="M333" i="16"/>
  <c r="K333" i="16"/>
  <c r="J333" i="16"/>
  <c r="F333" i="16"/>
  <c r="M332" i="16"/>
  <c r="K332" i="16"/>
  <c r="J332" i="16"/>
  <c r="F332" i="16"/>
  <c r="M331" i="16"/>
  <c r="K331" i="16"/>
  <c r="J331" i="16"/>
  <c r="F331" i="16"/>
  <c r="M330" i="16"/>
  <c r="K330" i="16"/>
  <c r="J330" i="16"/>
  <c r="F330" i="16"/>
  <c r="M329" i="16"/>
  <c r="K329" i="16"/>
  <c r="J329" i="16"/>
  <c r="F329" i="16"/>
  <c r="M328" i="16"/>
  <c r="K328" i="16"/>
  <c r="J328" i="16"/>
  <c r="F328" i="16"/>
  <c r="M327" i="16"/>
  <c r="K327" i="16"/>
  <c r="J327" i="16"/>
  <c r="F327" i="16"/>
  <c r="M326" i="16"/>
  <c r="K326" i="16"/>
  <c r="J326" i="16"/>
  <c r="F326" i="16"/>
  <c r="M325" i="16"/>
  <c r="K325" i="16"/>
  <c r="J325" i="16"/>
  <c r="F325" i="16"/>
  <c r="M324" i="16"/>
  <c r="K324" i="16"/>
  <c r="J324" i="16"/>
  <c r="F324" i="16"/>
  <c r="M323" i="16"/>
  <c r="K323" i="16"/>
  <c r="J323" i="16"/>
  <c r="F323" i="16"/>
  <c r="M322" i="16"/>
  <c r="K322" i="16"/>
  <c r="J322" i="16"/>
  <c r="F322" i="16"/>
  <c r="M321" i="16"/>
  <c r="K321" i="16"/>
  <c r="J321" i="16"/>
  <c r="F321" i="16"/>
  <c r="M320" i="16"/>
  <c r="K320" i="16"/>
  <c r="J320" i="16"/>
  <c r="F320" i="16"/>
  <c r="M319" i="16"/>
  <c r="K319" i="16"/>
  <c r="J319" i="16"/>
  <c r="F319" i="16"/>
  <c r="M318" i="16"/>
  <c r="K318" i="16"/>
  <c r="J318" i="16"/>
  <c r="F318" i="16"/>
  <c r="M317" i="16"/>
  <c r="K317" i="16"/>
  <c r="J317" i="16"/>
  <c r="F317" i="16"/>
  <c r="M316" i="16"/>
  <c r="K316" i="16"/>
  <c r="J316" i="16"/>
  <c r="F316" i="16"/>
  <c r="M315" i="16"/>
  <c r="K315" i="16"/>
  <c r="J315" i="16"/>
  <c r="F315" i="16"/>
  <c r="M314" i="16"/>
  <c r="K314" i="16"/>
  <c r="J314" i="16"/>
  <c r="F314" i="16"/>
  <c r="M313" i="16"/>
  <c r="K313" i="16"/>
  <c r="J313" i="16"/>
  <c r="F313" i="16"/>
  <c r="M312" i="16"/>
  <c r="K312" i="16"/>
  <c r="J312" i="16"/>
  <c r="F312" i="16"/>
  <c r="M311" i="16"/>
  <c r="K311" i="16"/>
  <c r="J311" i="16"/>
  <c r="F311" i="16"/>
  <c r="M310" i="16"/>
  <c r="K310" i="16"/>
  <c r="J310" i="16"/>
  <c r="F310" i="16"/>
  <c r="M309" i="16"/>
  <c r="K309" i="16"/>
  <c r="J309" i="16"/>
  <c r="F309" i="16"/>
  <c r="M308" i="16"/>
  <c r="K308" i="16"/>
  <c r="J308" i="16"/>
  <c r="F308" i="16"/>
  <c r="M307" i="16"/>
  <c r="K307" i="16"/>
  <c r="J307" i="16"/>
  <c r="F307" i="16"/>
  <c r="M306" i="16"/>
  <c r="K306" i="16"/>
  <c r="J306" i="16"/>
  <c r="F306" i="16"/>
  <c r="M305" i="16"/>
  <c r="K305" i="16"/>
  <c r="J305" i="16"/>
  <c r="F305" i="16"/>
  <c r="M304" i="16"/>
  <c r="K304" i="16"/>
  <c r="J304" i="16"/>
  <c r="F304" i="16"/>
  <c r="M303" i="16"/>
  <c r="K303" i="16"/>
  <c r="J303" i="16"/>
  <c r="F303" i="16"/>
  <c r="M302" i="16"/>
  <c r="K302" i="16"/>
  <c r="J302" i="16"/>
  <c r="F302" i="16"/>
  <c r="M301" i="16"/>
  <c r="K301" i="16"/>
  <c r="J301" i="16"/>
  <c r="F301" i="16"/>
  <c r="M300" i="16"/>
  <c r="K300" i="16"/>
  <c r="J300" i="16"/>
  <c r="F300" i="16"/>
  <c r="M299" i="16"/>
  <c r="K299" i="16"/>
  <c r="J299" i="16"/>
  <c r="F299" i="16"/>
  <c r="M298" i="16"/>
  <c r="K298" i="16"/>
  <c r="J298" i="16"/>
  <c r="F298" i="16"/>
  <c r="M297" i="16"/>
  <c r="K297" i="16"/>
  <c r="J297" i="16"/>
  <c r="F297" i="16"/>
  <c r="M296" i="16"/>
  <c r="K296" i="16"/>
  <c r="J296" i="16"/>
  <c r="F296" i="16"/>
  <c r="M295" i="16"/>
  <c r="K295" i="16"/>
  <c r="J295" i="16"/>
  <c r="F295" i="16"/>
  <c r="M294" i="16"/>
  <c r="K294" i="16"/>
  <c r="J294" i="16"/>
  <c r="F294" i="16"/>
  <c r="M293" i="16"/>
  <c r="K293" i="16"/>
  <c r="J293" i="16"/>
  <c r="F293" i="16"/>
  <c r="M292" i="16"/>
  <c r="K292" i="16"/>
  <c r="J292" i="16"/>
  <c r="F292" i="16"/>
  <c r="M291" i="16"/>
  <c r="K291" i="16"/>
  <c r="J291" i="16"/>
  <c r="F291" i="16"/>
  <c r="M290" i="16"/>
  <c r="K290" i="16"/>
  <c r="J290" i="16"/>
  <c r="F290" i="16"/>
  <c r="M289" i="16"/>
  <c r="K289" i="16"/>
  <c r="J289" i="16"/>
  <c r="F289" i="16"/>
  <c r="M288" i="16"/>
  <c r="K288" i="16"/>
  <c r="J288" i="16"/>
  <c r="F288" i="16"/>
  <c r="M287" i="16"/>
  <c r="K287" i="16"/>
  <c r="J287" i="16"/>
  <c r="F287" i="16"/>
  <c r="M286" i="16"/>
  <c r="K286" i="16"/>
  <c r="J286" i="16"/>
  <c r="F286" i="16"/>
  <c r="M285" i="16"/>
  <c r="K285" i="16"/>
  <c r="J285" i="16"/>
  <c r="F285" i="16"/>
  <c r="M284" i="16"/>
  <c r="K284" i="16"/>
  <c r="J284" i="16"/>
  <c r="F284" i="16"/>
  <c r="M283" i="16"/>
  <c r="K283" i="16"/>
  <c r="J283" i="16"/>
  <c r="F283" i="16"/>
  <c r="M282" i="16"/>
  <c r="K282" i="16"/>
  <c r="J282" i="16"/>
  <c r="F282" i="16"/>
  <c r="M281" i="16"/>
  <c r="K281" i="16"/>
  <c r="J281" i="16"/>
  <c r="F281" i="16"/>
  <c r="M280" i="16"/>
  <c r="K280" i="16"/>
  <c r="J280" i="16"/>
  <c r="F280" i="16"/>
  <c r="M279" i="16"/>
  <c r="K279" i="16"/>
  <c r="J279" i="16"/>
  <c r="F279" i="16"/>
  <c r="M278" i="16"/>
  <c r="K278" i="16"/>
  <c r="J278" i="16"/>
  <c r="F278" i="16"/>
  <c r="M277" i="16"/>
  <c r="K277" i="16"/>
  <c r="J277" i="16"/>
  <c r="F277" i="16"/>
  <c r="M276" i="16"/>
  <c r="K276" i="16"/>
  <c r="J276" i="16"/>
  <c r="F276" i="16"/>
  <c r="M275" i="16"/>
  <c r="K275" i="16"/>
  <c r="J275" i="16"/>
  <c r="F275" i="16"/>
  <c r="M274" i="16"/>
  <c r="K274" i="16"/>
  <c r="J274" i="16"/>
  <c r="F274" i="16"/>
  <c r="M273" i="16"/>
  <c r="K273" i="16"/>
  <c r="J273" i="16"/>
  <c r="F273" i="16"/>
  <c r="M272" i="16"/>
  <c r="K272" i="16"/>
  <c r="J272" i="16"/>
  <c r="F272" i="16"/>
  <c r="M271" i="16"/>
  <c r="K271" i="16"/>
  <c r="J271" i="16"/>
  <c r="F271" i="16"/>
  <c r="M270" i="16"/>
  <c r="K270" i="16"/>
  <c r="J270" i="16"/>
  <c r="F270" i="16"/>
  <c r="M269" i="16"/>
  <c r="K269" i="16"/>
  <c r="J269" i="16"/>
  <c r="F269" i="16"/>
  <c r="M268" i="16"/>
  <c r="K268" i="16"/>
  <c r="J268" i="16"/>
  <c r="F268" i="16"/>
  <c r="M267" i="16"/>
  <c r="K267" i="16"/>
  <c r="J267" i="16"/>
  <c r="F267" i="16"/>
  <c r="M266" i="16"/>
  <c r="K266" i="16"/>
  <c r="J266" i="16"/>
  <c r="F266" i="16"/>
  <c r="M265" i="16"/>
  <c r="K265" i="16"/>
  <c r="J265" i="16"/>
  <c r="F265" i="16"/>
  <c r="M264" i="16"/>
  <c r="K264" i="16"/>
  <c r="J264" i="16"/>
  <c r="F264" i="16"/>
  <c r="M263" i="16"/>
  <c r="K263" i="16"/>
  <c r="J263" i="16"/>
  <c r="F263" i="16"/>
  <c r="M262" i="16"/>
  <c r="K262" i="16"/>
  <c r="J262" i="16"/>
  <c r="F262" i="16"/>
  <c r="M261" i="16"/>
  <c r="K261" i="16"/>
  <c r="J261" i="16"/>
  <c r="F261" i="16"/>
  <c r="M260" i="16"/>
  <c r="K260" i="16"/>
  <c r="J260" i="16"/>
  <c r="F260" i="16"/>
  <c r="M259" i="16"/>
  <c r="K259" i="16"/>
  <c r="J259" i="16"/>
  <c r="F259" i="16"/>
  <c r="M258" i="16"/>
  <c r="K258" i="16"/>
  <c r="J258" i="16"/>
  <c r="F258" i="16"/>
  <c r="M257" i="16"/>
  <c r="K257" i="16"/>
  <c r="J257" i="16"/>
  <c r="F257" i="16"/>
  <c r="M256" i="16"/>
  <c r="K256" i="16"/>
  <c r="J256" i="16"/>
  <c r="F256" i="16"/>
  <c r="M255" i="16"/>
  <c r="K255" i="16"/>
  <c r="J255" i="16"/>
  <c r="F255" i="16"/>
  <c r="M254" i="16"/>
  <c r="K254" i="16"/>
  <c r="J254" i="16"/>
  <c r="F254" i="16"/>
  <c r="M253" i="16"/>
  <c r="K253" i="16"/>
  <c r="J253" i="16"/>
  <c r="F253" i="16"/>
  <c r="M252" i="16"/>
  <c r="K252" i="16"/>
  <c r="J252" i="16"/>
  <c r="F252" i="16"/>
  <c r="M251" i="16"/>
  <c r="K251" i="16"/>
  <c r="J251" i="16"/>
  <c r="F251" i="16"/>
  <c r="M250" i="16"/>
  <c r="K250" i="16"/>
  <c r="J250" i="16"/>
  <c r="F250" i="16"/>
  <c r="M249" i="16"/>
  <c r="K249" i="16"/>
  <c r="J249" i="16"/>
  <c r="F249" i="16"/>
  <c r="M248" i="16"/>
  <c r="K248" i="16"/>
  <c r="J248" i="16"/>
  <c r="F248" i="16"/>
  <c r="M247" i="16"/>
  <c r="K247" i="16"/>
  <c r="J247" i="16"/>
  <c r="F247" i="16"/>
  <c r="M246" i="16"/>
  <c r="K246" i="16"/>
  <c r="J246" i="16"/>
  <c r="F246" i="16"/>
  <c r="M245" i="16"/>
  <c r="K245" i="16"/>
  <c r="J245" i="16"/>
  <c r="F245" i="16"/>
  <c r="M244" i="16"/>
  <c r="K244" i="16"/>
  <c r="J244" i="16"/>
  <c r="F244" i="16"/>
  <c r="M243" i="16"/>
  <c r="K243" i="16"/>
  <c r="J243" i="16"/>
  <c r="F243" i="16"/>
  <c r="M242" i="16"/>
  <c r="K242" i="16"/>
  <c r="J242" i="16"/>
  <c r="F242" i="16"/>
  <c r="M241" i="16"/>
  <c r="K241" i="16"/>
  <c r="J241" i="16"/>
  <c r="F241" i="16"/>
  <c r="M240" i="16"/>
  <c r="K240" i="16"/>
  <c r="J240" i="16"/>
  <c r="F240" i="16"/>
  <c r="M239" i="16"/>
  <c r="K239" i="16"/>
  <c r="J239" i="16"/>
  <c r="F239" i="16"/>
  <c r="M238" i="16"/>
  <c r="K238" i="16"/>
  <c r="J238" i="16"/>
  <c r="F238" i="16"/>
  <c r="M237" i="16"/>
  <c r="K237" i="16"/>
  <c r="J237" i="16"/>
  <c r="F237" i="16"/>
  <c r="M236" i="16"/>
  <c r="K236" i="16"/>
  <c r="J236" i="16"/>
  <c r="F236" i="16"/>
  <c r="M235" i="16"/>
  <c r="K235" i="16"/>
  <c r="J235" i="16"/>
  <c r="F235" i="16"/>
  <c r="M234" i="16"/>
  <c r="K234" i="16"/>
  <c r="J234" i="16"/>
  <c r="F234" i="16"/>
  <c r="M233" i="16"/>
  <c r="K233" i="16"/>
  <c r="J233" i="16"/>
  <c r="F233" i="16"/>
  <c r="M232" i="16"/>
  <c r="K232" i="16"/>
  <c r="J232" i="16"/>
  <c r="F232" i="16"/>
  <c r="M231" i="16"/>
  <c r="K231" i="16"/>
  <c r="J231" i="16"/>
  <c r="F231" i="16"/>
  <c r="M230" i="16"/>
  <c r="K230" i="16"/>
  <c r="J230" i="16"/>
  <c r="F230" i="16"/>
  <c r="M229" i="16"/>
  <c r="K229" i="16"/>
  <c r="J229" i="16"/>
  <c r="F229" i="16"/>
  <c r="M228" i="16"/>
  <c r="K228" i="16"/>
  <c r="J228" i="16"/>
  <c r="F228" i="16"/>
  <c r="M227" i="16"/>
  <c r="K227" i="16"/>
  <c r="J227" i="16"/>
  <c r="F227" i="16"/>
  <c r="M226" i="16"/>
  <c r="K226" i="16"/>
  <c r="J226" i="16"/>
  <c r="F226" i="16"/>
  <c r="M225" i="16"/>
  <c r="K225" i="16"/>
  <c r="J225" i="16"/>
  <c r="F225" i="16"/>
  <c r="M224" i="16"/>
  <c r="K224" i="16"/>
  <c r="J224" i="16"/>
  <c r="F224" i="16"/>
  <c r="M223" i="16"/>
  <c r="K223" i="16"/>
  <c r="J223" i="16"/>
  <c r="F223" i="16"/>
  <c r="M222" i="16"/>
  <c r="K222" i="16"/>
  <c r="J222" i="16"/>
  <c r="F222" i="16"/>
  <c r="M221" i="16"/>
  <c r="K221" i="16"/>
  <c r="J221" i="16"/>
  <c r="F221" i="16"/>
  <c r="M220" i="16"/>
  <c r="K220" i="16"/>
  <c r="J220" i="16"/>
  <c r="F220" i="16"/>
  <c r="M219" i="16"/>
  <c r="K219" i="16"/>
  <c r="J219" i="16"/>
  <c r="F219" i="16"/>
  <c r="M218" i="16"/>
  <c r="K218" i="16"/>
  <c r="J218" i="16"/>
  <c r="F218" i="16"/>
  <c r="M217" i="16"/>
  <c r="K217" i="16"/>
  <c r="J217" i="16"/>
  <c r="F217" i="16"/>
  <c r="M216" i="16"/>
  <c r="K216" i="16"/>
  <c r="J216" i="16"/>
  <c r="F216" i="16"/>
  <c r="M215" i="16"/>
  <c r="K215" i="16"/>
  <c r="J215" i="16"/>
  <c r="F215" i="16"/>
  <c r="M214" i="16"/>
  <c r="K214" i="16"/>
  <c r="J214" i="16"/>
  <c r="F214" i="16"/>
  <c r="M213" i="16"/>
  <c r="K213" i="16"/>
  <c r="J213" i="16"/>
  <c r="F213" i="16"/>
  <c r="M212" i="16"/>
  <c r="K212" i="16"/>
  <c r="J212" i="16"/>
  <c r="F212" i="16"/>
  <c r="M211" i="16"/>
  <c r="K211" i="16"/>
  <c r="J211" i="16"/>
  <c r="F211" i="16"/>
  <c r="M210" i="16"/>
  <c r="K210" i="16"/>
  <c r="J210" i="16"/>
  <c r="F210" i="16"/>
  <c r="M209" i="16"/>
  <c r="K209" i="16"/>
  <c r="J209" i="16"/>
  <c r="F209" i="16"/>
  <c r="M208" i="16"/>
  <c r="K208" i="16"/>
  <c r="J208" i="16"/>
  <c r="F208" i="16"/>
  <c r="M207" i="16"/>
  <c r="K207" i="16"/>
  <c r="J207" i="16"/>
  <c r="F207" i="16"/>
  <c r="M206" i="16"/>
  <c r="K206" i="16"/>
  <c r="J206" i="16"/>
  <c r="F206" i="16"/>
  <c r="M205" i="16"/>
  <c r="K205" i="16"/>
  <c r="J205" i="16"/>
  <c r="F205" i="16"/>
  <c r="M204" i="16"/>
  <c r="K204" i="16"/>
  <c r="J204" i="16"/>
  <c r="F204" i="16"/>
  <c r="M203" i="16"/>
  <c r="K203" i="16"/>
  <c r="J203" i="16"/>
  <c r="F203" i="16"/>
  <c r="M202" i="16"/>
  <c r="K202" i="16"/>
  <c r="J202" i="16"/>
  <c r="F202" i="16"/>
  <c r="M201" i="16"/>
  <c r="K201" i="16"/>
  <c r="J201" i="16"/>
  <c r="F201" i="16"/>
  <c r="M200" i="16"/>
  <c r="K200" i="16"/>
  <c r="J200" i="16"/>
  <c r="F200" i="16"/>
  <c r="M199" i="16"/>
  <c r="K199" i="16"/>
  <c r="J199" i="16"/>
  <c r="F199" i="16"/>
  <c r="M198" i="16"/>
  <c r="K198" i="16"/>
  <c r="J198" i="16"/>
  <c r="F198" i="16"/>
  <c r="M197" i="16"/>
  <c r="K197" i="16"/>
  <c r="J197" i="16"/>
  <c r="F197" i="16"/>
  <c r="M196" i="16"/>
  <c r="K196" i="16"/>
  <c r="J196" i="16"/>
  <c r="F196" i="16"/>
  <c r="M195" i="16"/>
  <c r="K195" i="16"/>
  <c r="J195" i="16"/>
  <c r="F195" i="16"/>
  <c r="M194" i="16"/>
  <c r="K194" i="16"/>
  <c r="J194" i="16"/>
  <c r="F194" i="16"/>
  <c r="M193" i="16"/>
  <c r="K193" i="16"/>
  <c r="J193" i="16"/>
  <c r="F193" i="16"/>
  <c r="M192" i="16"/>
  <c r="K192" i="16"/>
  <c r="J192" i="16"/>
  <c r="F192" i="16"/>
  <c r="M191" i="16"/>
  <c r="K191" i="16"/>
  <c r="J191" i="16"/>
  <c r="F191" i="16"/>
  <c r="M190" i="16"/>
  <c r="K190" i="16"/>
  <c r="J190" i="16"/>
  <c r="F190" i="16"/>
  <c r="M189" i="16"/>
  <c r="K189" i="16"/>
  <c r="J189" i="16"/>
  <c r="F189" i="16"/>
  <c r="M188" i="16"/>
  <c r="K188" i="16"/>
  <c r="J188" i="16"/>
  <c r="F188" i="16"/>
  <c r="M187" i="16"/>
  <c r="K187" i="16"/>
  <c r="J187" i="16"/>
  <c r="F187" i="16"/>
  <c r="M186" i="16"/>
  <c r="K186" i="16"/>
  <c r="J186" i="16"/>
  <c r="F186" i="16"/>
  <c r="M185" i="16"/>
  <c r="K185" i="16"/>
  <c r="J185" i="16"/>
  <c r="F185" i="16"/>
  <c r="M184" i="16"/>
  <c r="K184" i="16"/>
  <c r="J184" i="16"/>
  <c r="F184" i="16"/>
  <c r="M183" i="16"/>
  <c r="K183" i="16"/>
  <c r="J183" i="16"/>
  <c r="F183" i="16"/>
  <c r="M182" i="16"/>
  <c r="K182" i="16"/>
  <c r="J182" i="16"/>
  <c r="F182" i="16"/>
  <c r="M181" i="16"/>
  <c r="K181" i="16"/>
  <c r="J181" i="16"/>
  <c r="F181" i="16"/>
  <c r="M180" i="16"/>
  <c r="K180" i="16"/>
  <c r="J180" i="16"/>
  <c r="F180" i="16"/>
  <c r="M179" i="16"/>
  <c r="K179" i="16"/>
  <c r="J179" i="16"/>
  <c r="F179" i="16"/>
  <c r="M178" i="16"/>
  <c r="K178" i="16"/>
  <c r="J178" i="16"/>
  <c r="F178" i="16"/>
  <c r="M177" i="16"/>
  <c r="K177" i="16"/>
  <c r="J177" i="16"/>
  <c r="F177" i="16"/>
  <c r="M176" i="16"/>
  <c r="K176" i="16"/>
  <c r="J176" i="16"/>
  <c r="F176" i="16"/>
  <c r="M175" i="16"/>
  <c r="K175" i="16"/>
  <c r="J175" i="16"/>
  <c r="F175" i="16"/>
  <c r="M174" i="16"/>
  <c r="K174" i="16"/>
  <c r="J174" i="16"/>
  <c r="F174" i="16"/>
  <c r="M173" i="16"/>
  <c r="K173" i="16"/>
  <c r="J173" i="16"/>
  <c r="F173" i="16"/>
  <c r="M172" i="16"/>
  <c r="K172" i="16"/>
  <c r="J172" i="16"/>
  <c r="F172" i="16"/>
  <c r="M171" i="16"/>
  <c r="K171" i="16"/>
  <c r="J171" i="16"/>
  <c r="F171" i="16"/>
  <c r="M170" i="16"/>
  <c r="K170" i="16"/>
  <c r="J170" i="16"/>
  <c r="F170" i="16"/>
  <c r="M169" i="16"/>
  <c r="K169" i="16"/>
  <c r="J169" i="16"/>
  <c r="F169" i="16"/>
  <c r="M168" i="16"/>
  <c r="K168" i="16"/>
  <c r="J168" i="16"/>
  <c r="F168" i="16"/>
  <c r="M167" i="16"/>
  <c r="K167" i="16"/>
  <c r="J167" i="16"/>
  <c r="F167" i="16"/>
  <c r="M166" i="16"/>
  <c r="K166" i="16"/>
  <c r="J166" i="16"/>
  <c r="F166" i="16"/>
  <c r="M165" i="16"/>
  <c r="K165" i="16"/>
  <c r="J165" i="16"/>
  <c r="F165" i="16"/>
  <c r="M164" i="16"/>
  <c r="K164" i="16"/>
  <c r="J164" i="16"/>
  <c r="F164" i="16"/>
  <c r="M163" i="16"/>
  <c r="K163" i="16"/>
  <c r="J163" i="16"/>
  <c r="F163" i="16"/>
  <c r="M162" i="16"/>
  <c r="K162" i="16"/>
  <c r="J162" i="16"/>
  <c r="F162" i="16"/>
  <c r="M161" i="16"/>
  <c r="K161" i="16"/>
  <c r="J161" i="16"/>
  <c r="F161" i="16"/>
  <c r="M160" i="16"/>
  <c r="K160" i="16"/>
  <c r="J160" i="16"/>
  <c r="F160" i="16"/>
  <c r="M159" i="16"/>
  <c r="K159" i="16"/>
  <c r="J159" i="16"/>
  <c r="F159" i="16"/>
  <c r="M158" i="16"/>
  <c r="K158" i="16"/>
  <c r="J158" i="16"/>
  <c r="F158" i="16"/>
  <c r="M157" i="16"/>
  <c r="K157" i="16"/>
  <c r="J157" i="16"/>
  <c r="F157" i="16"/>
  <c r="M156" i="16"/>
  <c r="K156" i="16"/>
  <c r="J156" i="16"/>
  <c r="F156" i="16"/>
  <c r="M155" i="16"/>
  <c r="K155" i="16"/>
  <c r="J155" i="16"/>
  <c r="F155" i="16"/>
  <c r="M154" i="16"/>
  <c r="K154" i="16"/>
  <c r="J154" i="16"/>
  <c r="F154" i="16"/>
  <c r="M153" i="16"/>
  <c r="K153" i="16"/>
  <c r="J153" i="16"/>
  <c r="F153" i="16"/>
  <c r="M152" i="16"/>
  <c r="K152" i="16"/>
  <c r="J152" i="16"/>
  <c r="F152" i="16"/>
  <c r="M151" i="16"/>
  <c r="K151" i="16"/>
  <c r="J151" i="16"/>
  <c r="F151" i="16"/>
  <c r="M150" i="16"/>
  <c r="K150" i="16"/>
  <c r="J150" i="16"/>
  <c r="F150" i="16"/>
  <c r="M149" i="16"/>
  <c r="K149" i="16"/>
  <c r="J149" i="16"/>
  <c r="F149" i="16"/>
  <c r="M148" i="16"/>
  <c r="K148" i="16"/>
  <c r="J148" i="16"/>
  <c r="F148" i="16"/>
  <c r="M147" i="16"/>
  <c r="K147" i="16"/>
  <c r="J147" i="16"/>
  <c r="F147" i="16"/>
  <c r="M146" i="16"/>
  <c r="K146" i="16"/>
  <c r="J146" i="16"/>
  <c r="F146" i="16"/>
  <c r="M145" i="16"/>
  <c r="K145" i="16"/>
  <c r="J145" i="16"/>
  <c r="F145" i="16"/>
  <c r="M144" i="16"/>
  <c r="K144" i="16"/>
  <c r="J144" i="16"/>
  <c r="F144" i="16"/>
  <c r="M143" i="16"/>
  <c r="K143" i="16"/>
  <c r="J143" i="16"/>
  <c r="F143" i="16"/>
  <c r="M142" i="16"/>
  <c r="K142" i="16"/>
  <c r="J142" i="16"/>
  <c r="F142" i="16"/>
  <c r="M141" i="16"/>
  <c r="K141" i="16"/>
  <c r="J141" i="16"/>
  <c r="F141" i="16"/>
  <c r="M140" i="16"/>
  <c r="K140" i="16"/>
  <c r="J140" i="16"/>
  <c r="F140" i="16"/>
  <c r="M139" i="16"/>
  <c r="K139" i="16"/>
  <c r="J139" i="16"/>
  <c r="F139" i="16"/>
  <c r="M138" i="16"/>
  <c r="K138" i="16"/>
  <c r="J138" i="16"/>
  <c r="F138" i="16"/>
  <c r="M137" i="16"/>
  <c r="K137" i="16"/>
  <c r="J137" i="16"/>
  <c r="F137" i="16"/>
  <c r="M136" i="16"/>
  <c r="K136" i="16"/>
  <c r="J136" i="16"/>
  <c r="F136" i="16"/>
  <c r="M135" i="16"/>
  <c r="K135" i="16"/>
  <c r="J135" i="16"/>
  <c r="F135" i="16"/>
  <c r="M134" i="16"/>
  <c r="K134" i="16"/>
  <c r="J134" i="16"/>
  <c r="F134" i="16"/>
  <c r="M133" i="16"/>
  <c r="K133" i="16"/>
  <c r="J133" i="16"/>
  <c r="F133" i="16"/>
  <c r="M132" i="16"/>
  <c r="K132" i="16"/>
  <c r="J132" i="16"/>
  <c r="F132" i="16"/>
  <c r="M131" i="16"/>
  <c r="K131" i="16"/>
  <c r="J131" i="16"/>
  <c r="F131" i="16"/>
  <c r="M130" i="16"/>
  <c r="K130" i="16"/>
  <c r="J130" i="16"/>
  <c r="F130" i="16"/>
  <c r="M129" i="16"/>
  <c r="K129" i="16"/>
  <c r="J129" i="16"/>
  <c r="F129" i="16"/>
  <c r="M128" i="16"/>
  <c r="K128" i="16"/>
  <c r="J128" i="16"/>
  <c r="F128" i="16"/>
  <c r="M127" i="16"/>
  <c r="K127" i="16"/>
  <c r="J127" i="16"/>
  <c r="F127" i="16"/>
  <c r="M126" i="16"/>
  <c r="K126" i="16"/>
  <c r="J126" i="16"/>
  <c r="F126" i="16"/>
  <c r="M125" i="16"/>
  <c r="K125" i="16"/>
  <c r="J125" i="16"/>
  <c r="F125" i="16"/>
  <c r="M124" i="16"/>
  <c r="K124" i="16"/>
  <c r="J124" i="16"/>
  <c r="F124" i="16"/>
  <c r="M123" i="16"/>
  <c r="K123" i="16"/>
  <c r="J123" i="16"/>
  <c r="F123" i="16"/>
  <c r="M122" i="16"/>
  <c r="K122" i="16"/>
  <c r="J122" i="16"/>
  <c r="F122" i="16"/>
  <c r="M121" i="16"/>
  <c r="K121" i="16"/>
  <c r="J121" i="16"/>
  <c r="F121" i="16"/>
  <c r="M120" i="16"/>
  <c r="K120" i="16"/>
  <c r="J120" i="16"/>
  <c r="F120" i="16"/>
  <c r="M119" i="16"/>
  <c r="K119" i="16"/>
  <c r="J119" i="16"/>
  <c r="F119" i="16"/>
  <c r="M118" i="16"/>
  <c r="K118" i="16"/>
  <c r="J118" i="16"/>
  <c r="F118" i="16"/>
  <c r="M117" i="16"/>
  <c r="K117" i="16"/>
  <c r="J117" i="16"/>
  <c r="F117" i="16"/>
  <c r="M116" i="16"/>
  <c r="K116" i="16"/>
  <c r="J116" i="16"/>
  <c r="F116" i="16"/>
  <c r="M115" i="16"/>
  <c r="K115" i="16"/>
  <c r="J115" i="16"/>
  <c r="F115" i="16"/>
  <c r="M114" i="16"/>
  <c r="K114" i="16"/>
  <c r="J114" i="16"/>
  <c r="F114" i="16"/>
  <c r="M113" i="16"/>
  <c r="K113" i="16"/>
  <c r="J113" i="16"/>
  <c r="F113" i="16"/>
  <c r="M112" i="16"/>
  <c r="K112" i="16"/>
  <c r="J112" i="16"/>
  <c r="F112" i="16"/>
  <c r="M111" i="16"/>
  <c r="K111" i="16"/>
  <c r="J111" i="16"/>
  <c r="F111" i="16"/>
  <c r="M110" i="16"/>
  <c r="K110" i="16"/>
  <c r="J110" i="16"/>
  <c r="F110" i="16"/>
  <c r="M109" i="16"/>
  <c r="K109" i="16"/>
  <c r="J109" i="16"/>
  <c r="F109" i="16"/>
  <c r="M108" i="16"/>
  <c r="K108" i="16"/>
  <c r="J108" i="16"/>
  <c r="F108" i="16"/>
  <c r="M107" i="16"/>
  <c r="K107" i="16"/>
  <c r="J107" i="16"/>
  <c r="F107" i="16"/>
  <c r="M106" i="16"/>
  <c r="K106" i="16"/>
  <c r="J106" i="16"/>
  <c r="F106" i="16"/>
  <c r="M105" i="16"/>
  <c r="K105" i="16"/>
  <c r="J105" i="16"/>
  <c r="F105" i="16"/>
  <c r="M104" i="16"/>
  <c r="K104" i="16"/>
  <c r="J104" i="16"/>
  <c r="F104" i="16"/>
  <c r="M103" i="16"/>
  <c r="K103" i="16"/>
  <c r="J103" i="16"/>
  <c r="F103" i="16"/>
  <c r="M102" i="16"/>
  <c r="K102" i="16"/>
  <c r="J102" i="16"/>
  <c r="F102" i="16"/>
  <c r="M101" i="16"/>
  <c r="K101" i="16"/>
  <c r="J101" i="16"/>
  <c r="F101" i="16"/>
  <c r="M100" i="16"/>
  <c r="K100" i="16"/>
  <c r="J100" i="16"/>
  <c r="F100" i="16"/>
  <c r="M99" i="16"/>
  <c r="K99" i="16"/>
  <c r="J99" i="16"/>
  <c r="F99" i="16"/>
  <c r="M98" i="16"/>
  <c r="K98" i="16"/>
  <c r="J98" i="16"/>
  <c r="F98" i="16"/>
  <c r="M97" i="16"/>
  <c r="K97" i="16"/>
  <c r="J97" i="16"/>
  <c r="F97" i="16"/>
  <c r="M96" i="16"/>
  <c r="K96" i="16"/>
  <c r="J96" i="16"/>
  <c r="F96" i="16"/>
  <c r="M95" i="16"/>
  <c r="K95" i="16"/>
  <c r="J95" i="16"/>
  <c r="F95" i="16"/>
  <c r="M94" i="16"/>
  <c r="K94" i="16"/>
  <c r="J94" i="16"/>
  <c r="F94" i="16"/>
  <c r="M93" i="16"/>
  <c r="K93" i="16"/>
  <c r="J93" i="16"/>
  <c r="F93" i="16"/>
  <c r="M92" i="16"/>
  <c r="K92" i="16"/>
  <c r="J92" i="16"/>
  <c r="F92" i="16"/>
  <c r="M91" i="16"/>
  <c r="K91" i="16"/>
  <c r="J91" i="16"/>
  <c r="F91" i="16"/>
  <c r="M90" i="16"/>
  <c r="K90" i="16"/>
  <c r="J90" i="16"/>
  <c r="F90" i="16"/>
  <c r="M89" i="16"/>
  <c r="K89" i="16"/>
  <c r="J89" i="16"/>
  <c r="F89" i="16"/>
  <c r="M88" i="16"/>
  <c r="K88" i="16"/>
  <c r="J88" i="16"/>
  <c r="F88" i="16"/>
  <c r="M87" i="16"/>
  <c r="K87" i="16"/>
  <c r="J87" i="16"/>
  <c r="F87" i="16"/>
  <c r="M86" i="16"/>
  <c r="K86" i="16"/>
  <c r="J86" i="16"/>
  <c r="F86" i="16"/>
  <c r="M85" i="16"/>
  <c r="K85" i="16"/>
  <c r="J85" i="16"/>
  <c r="F85" i="16"/>
  <c r="M84" i="16"/>
  <c r="K84" i="16"/>
  <c r="J84" i="16"/>
  <c r="F84" i="16"/>
  <c r="M83" i="16"/>
  <c r="K83" i="16"/>
  <c r="J83" i="16"/>
  <c r="F83" i="16"/>
  <c r="M82" i="16"/>
  <c r="K82" i="16"/>
  <c r="J82" i="16"/>
  <c r="F82" i="16"/>
  <c r="M81" i="16"/>
  <c r="K81" i="16"/>
  <c r="J81" i="16"/>
  <c r="F81" i="16"/>
  <c r="M80" i="16"/>
  <c r="K80" i="16"/>
  <c r="J80" i="16"/>
  <c r="F80" i="16"/>
  <c r="M79" i="16"/>
  <c r="K79" i="16"/>
  <c r="J79" i="16"/>
  <c r="F79" i="16"/>
  <c r="M78" i="16"/>
  <c r="K78" i="16"/>
  <c r="J78" i="16"/>
  <c r="F78" i="16"/>
  <c r="M77" i="16"/>
  <c r="K77" i="16"/>
  <c r="J77" i="16"/>
  <c r="F77" i="16"/>
  <c r="M76" i="16"/>
  <c r="K76" i="16"/>
  <c r="J76" i="16"/>
  <c r="F76" i="16"/>
  <c r="M75" i="16"/>
  <c r="K75" i="16"/>
  <c r="J75" i="16"/>
  <c r="F75" i="16"/>
  <c r="M74" i="16"/>
  <c r="K74" i="16"/>
  <c r="J74" i="16"/>
  <c r="F74" i="16"/>
  <c r="M73" i="16"/>
  <c r="K73" i="16"/>
  <c r="J73" i="16"/>
  <c r="F73" i="16"/>
  <c r="M72" i="16"/>
  <c r="K72" i="16"/>
  <c r="J72" i="16"/>
  <c r="F72" i="16"/>
  <c r="M71" i="16"/>
  <c r="K71" i="16"/>
  <c r="J71" i="16"/>
  <c r="F71" i="16"/>
  <c r="M70" i="16"/>
  <c r="K70" i="16"/>
  <c r="J70" i="16"/>
  <c r="F70" i="16"/>
  <c r="M69" i="16"/>
  <c r="K69" i="16"/>
  <c r="J69" i="16"/>
  <c r="F69" i="16"/>
  <c r="M68" i="16"/>
  <c r="K68" i="16"/>
  <c r="J68" i="16"/>
  <c r="F68" i="16"/>
  <c r="M67" i="16"/>
  <c r="K67" i="16"/>
  <c r="J67" i="16"/>
  <c r="F67" i="16"/>
  <c r="M66" i="16"/>
  <c r="K66" i="16"/>
  <c r="J66" i="16"/>
  <c r="F66" i="16"/>
  <c r="M65" i="16"/>
  <c r="K65" i="16"/>
  <c r="J65" i="16"/>
  <c r="F65" i="16"/>
  <c r="M64" i="16"/>
  <c r="K64" i="16"/>
  <c r="J64" i="16"/>
  <c r="F64" i="16"/>
  <c r="M63" i="16"/>
  <c r="K63" i="16"/>
  <c r="J63" i="16"/>
  <c r="F63" i="16"/>
  <c r="M62" i="16"/>
  <c r="K62" i="16"/>
  <c r="J62" i="16"/>
  <c r="F62" i="16"/>
  <c r="M61" i="16"/>
  <c r="K61" i="16"/>
  <c r="J61" i="16"/>
  <c r="F61" i="16"/>
  <c r="M60" i="16"/>
  <c r="K60" i="16"/>
  <c r="J60" i="16"/>
  <c r="F60" i="16"/>
  <c r="M59" i="16"/>
  <c r="K59" i="16"/>
  <c r="J59" i="16"/>
  <c r="F59" i="16"/>
  <c r="M58" i="16"/>
  <c r="K58" i="16"/>
  <c r="J58" i="16"/>
  <c r="F58" i="16"/>
  <c r="M57" i="16"/>
  <c r="K57" i="16"/>
  <c r="J57" i="16"/>
  <c r="F57" i="16"/>
  <c r="M56" i="16"/>
  <c r="K56" i="16"/>
  <c r="J56" i="16"/>
  <c r="F56" i="16"/>
  <c r="M55" i="16"/>
  <c r="K55" i="16"/>
  <c r="J55" i="16"/>
  <c r="F55" i="16"/>
  <c r="M54" i="16"/>
  <c r="K54" i="16"/>
  <c r="J54" i="16"/>
  <c r="F54" i="16"/>
  <c r="M53" i="16"/>
  <c r="K53" i="16"/>
  <c r="J53" i="16"/>
  <c r="F53" i="16"/>
  <c r="M52" i="16"/>
  <c r="K52" i="16"/>
  <c r="J52" i="16"/>
  <c r="F52" i="16"/>
  <c r="M51" i="16"/>
  <c r="K51" i="16"/>
  <c r="J51" i="16"/>
  <c r="F51" i="16"/>
  <c r="M50" i="16"/>
  <c r="K50" i="16"/>
  <c r="J50" i="16"/>
  <c r="F50" i="16"/>
  <c r="M49" i="16"/>
  <c r="K49" i="16"/>
  <c r="J49" i="16"/>
  <c r="F49" i="16"/>
  <c r="M48" i="16"/>
  <c r="K48" i="16"/>
  <c r="J48" i="16"/>
  <c r="F48" i="16"/>
  <c r="M47" i="16"/>
  <c r="K47" i="16"/>
  <c r="J47" i="16"/>
  <c r="F47" i="16"/>
  <c r="M46" i="16"/>
  <c r="K46" i="16"/>
  <c r="J46" i="16"/>
  <c r="F46" i="16"/>
  <c r="M45" i="16"/>
  <c r="K45" i="16"/>
  <c r="J45" i="16"/>
  <c r="F45" i="16"/>
  <c r="M44" i="16"/>
  <c r="K44" i="16"/>
  <c r="J44" i="16"/>
  <c r="F44" i="16"/>
  <c r="M43" i="16"/>
  <c r="K43" i="16"/>
  <c r="J43" i="16"/>
  <c r="F43" i="16"/>
  <c r="M42" i="16"/>
  <c r="K42" i="16"/>
  <c r="J42" i="16"/>
  <c r="F42" i="16"/>
  <c r="M41" i="16"/>
  <c r="K41" i="16"/>
  <c r="J41" i="16"/>
  <c r="F41" i="16"/>
  <c r="M40" i="16"/>
  <c r="K40" i="16"/>
  <c r="J40" i="16"/>
  <c r="F40" i="16"/>
  <c r="M39" i="16"/>
  <c r="K39" i="16"/>
  <c r="J39" i="16"/>
  <c r="F39" i="16"/>
  <c r="M38" i="16"/>
  <c r="K38" i="16"/>
  <c r="J38" i="16"/>
  <c r="F38" i="16"/>
  <c r="Y44" i="16"/>
  <c r="M37" i="16"/>
  <c r="K37" i="16"/>
  <c r="J37" i="16"/>
  <c r="F37" i="16"/>
  <c r="Y43" i="16"/>
  <c r="M36" i="16"/>
  <c r="K36" i="16"/>
  <c r="J36" i="16"/>
  <c r="F36" i="16"/>
  <c r="Y42" i="16"/>
  <c r="M35" i="16"/>
  <c r="K35" i="16"/>
  <c r="J35" i="16"/>
  <c r="F35" i="16"/>
  <c r="AG42" i="16"/>
  <c r="AF42" i="16"/>
  <c r="AE42" i="16"/>
  <c r="Y41" i="16"/>
  <c r="M34" i="16"/>
  <c r="K34" i="16"/>
  <c r="J34" i="16"/>
  <c r="F34" i="16"/>
  <c r="AG41" i="16"/>
  <c r="AF41" i="16"/>
  <c r="AE41" i="16"/>
  <c r="Y40" i="16"/>
  <c r="M33" i="16"/>
  <c r="K33" i="16"/>
  <c r="J33" i="16"/>
  <c r="F33" i="16"/>
  <c r="AG40" i="16"/>
  <c r="AF40" i="16"/>
  <c r="AE40" i="16"/>
  <c r="Y39" i="16"/>
  <c r="M32" i="16"/>
  <c r="K32" i="16"/>
  <c r="J32" i="16"/>
  <c r="F32" i="16"/>
  <c r="AG39" i="16"/>
  <c r="AF39" i="16"/>
  <c r="AE39" i="16"/>
  <c r="Y38" i="16"/>
  <c r="M31" i="16"/>
  <c r="K31" i="16"/>
  <c r="J31" i="16"/>
  <c r="F31" i="16"/>
  <c r="M30" i="16"/>
  <c r="K30" i="16"/>
  <c r="J30" i="16"/>
  <c r="F30" i="16"/>
  <c r="M29" i="16"/>
  <c r="K29" i="16"/>
  <c r="J29" i="16"/>
  <c r="F29" i="16"/>
  <c r="M28" i="16"/>
  <c r="K28" i="16"/>
  <c r="J28" i="16"/>
  <c r="F28" i="16"/>
  <c r="M27" i="16"/>
  <c r="K27" i="16"/>
  <c r="J27" i="16"/>
  <c r="F27" i="16"/>
  <c r="M26" i="16"/>
  <c r="K26" i="16"/>
  <c r="J26" i="16"/>
  <c r="F26" i="16"/>
  <c r="M25" i="16"/>
  <c r="K25" i="16"/>
  <c r="J25" i="16"/>
  <c r="F25" i="16"/>
  <c r="AH24" i="16"/>
  <c r="AG24" i="16"/>
  <c r="AF24" i="16"/>
  <c r="AE24" i="16"/>
  <c r="AD24" i="16"/>
  <c r="AA24" i="16"/>
  <c r="Z24" i="16"/>
  <c r="Y24" i="16"/>
  <c r="M24" i="16"/>
  <c r="K24" i="16"/>
  <c r="J24" i="16"/>
  <c r="F24" i="16"/>
  <c r="AH23" i="16"/>
  <c r="AG23" i="16"/>
  <c r="AF23" i="16"/>
  <c r="AE23" i="16"/>
  <c r="AD23" i="16"/>
  <c r="AA23" i="16"/>
  <c r="Z23" i="16"/>
  <c r="Y23" i="16"/>
  <c r="M23" i="16"/>
  <c r="K23" i="16"/>
  <c r="J23" i="16"/>
  <c r="F23" i="16"/>
  <c r="AH22" i="16"/>
  <c r="AG22" i="16"/>
  <c r="AF22" i="16"/>
  <c r="AE22" i="16"/>
  <c r="AD22" i="16"/>
  <c r="AA22" i="16"/>
  <c r="Z22" i="16"/>
  <c r="Y22" i="16"/>
  <c r="M22" i="16"/>
  <c r="K22" i="16"/>
  <c r="J22" i="16"/>
  <c r="F22" i="16"/>
  <c r="AH21" i="16"/>
  <c r="AG21" i="16"/>
  <c r="AF21" i="16"/>
  <c r="AE21" i="16"/>
  <c r="AD21" i="16"/>
  <c r="AA21" i="16"/>
  <c r="Z21" i="16"/>
  <c r="Y21" i="16"/>
  <c r="M21" i="16"/>
  <c r="K21" i="16"/>
  <c r="J21" i="16"/>
  <c r="F21" i="16"/>
  <c r="M20" i="16"/>
  <c r="K20" i="16"/>
  <c r="J20" i="16"/>
  <c r="F20" i="16"/>
  <c r="M19" i="16"/>
  <c r="K19" i="16"/>
  <c r="J19" i="16"/>
  <c r="F19" i="16"/>
  <c r="M18" i="16"/>
  <c r="K18" i="16"/>
  <c r="J18" i="16"/>
  <c r="F18" i="16"/>
  <c r="M17" i="16"/>
  <c r="K17" i="16"/>
  <c r="J17" i="16"/>
  <c r="F17" i="16"/>
  <c r="M16" i="16"/>
  <c r="K16" i="16"/>
  <c r="J16" i="16"/>
  <c r="F16" i="16"/>
  <c r="M15" i="16"/>
  <c r="K15" i="16"/>
  <c r="J15" i="16"/>
  <c r="F15" i="16"/>
  <c r="M14" i="16"/>
  <c r="K14" i="16"/>
  <c r="J14" i="16"/>
  <c r="F14" i="16"/>
  <c r="M13" i="16"/>
  <c r="K13" i="16"/>
  <c r="J13" i="16"/>
  <c r="F13" i="16"/>
  <c r="M12" i="16"/>
  <c r="K12" i="16"/>
  <c r="J12" i="16"/>
  <c r="F12" i="16"/>
  <c r="M11" i="16"/>
  <c r="K11" i="16"/>
  <c r="J11" i="16"/>
  <c r="F11" i="16"/>
  <c r="AC10" i="16"/>
  <c r="AB10" i="16"/>
  <c r="AA10" i="16"/>
  <c r="Y10" i="16"/>
  <c r="M10" i="16"/>
  <c r="K10" i="16"/>
  <c r="J10" i="16"/>
  <c r="F10" i="16"/>
  <c r="AC9" i="16"/>
  <c r="AB9" i="16"/>
  <c r="AA9" i="16"/>
  <c r="Z9" i="16"/>
  <c r="Y9" i="16"/>
  <c r="M9" i="16"/>
  <c r="K9" i="16"/>
  <c r="J9" i="16"/>
  <c r="F9" i="16"/>
  <c r="AC8" i="16"/>
  <c r="AB8" i="16"/>
  <c r="AA8" i="16"/>
  <c r="Z8" i="16"/>
  <c r="Y8" i="16"/>
  <c r="M8" i="16"/>
  <c r="K8" i="16"/>
  <c r="J8" i="16"/>
  <c r="F8" i="16"/>
  <c r="M7" i="16"/>
  <c r="K7" i="16"/>
  <c r="J7" i="16"/>
  <c r="F7" i="16"/>
  <c r="M6" i="16"/>
  <c r="K6" i="16"/>
  <c r="J6" i="16"/>
  <c r="F6" i="16"/>
  <c r="M5" i="16"/>
  <c r="K5" i="16"/>
  <c r="J5" i="16"/>
  <c r="F5" i="16"/>
  <c r="M4" i="16"/>
  <c r="K4" i="16"/>
  <c r="J4" i="16"/>
  <c r="F4" i="16"/>
  <c r="M3" i="16"/>
  <c r="K3" i="16"/>
  <c r="J3" i="16"/>
  <c r="F3" i="16"/>
  <c r="M2" i="16"/>
  <c r="K2" i="16"/>
  <c r="J2" i="16"/>
  <c r="F2" i="16"/>
  <c r="M1001" i="21"/>
  <c r="J1001" i="21"/>
  <c r="F1001" i="21"/>
  <c r="M1000" i="21"/>
  <c r="J1000" i="21"/>
  <c r="F1000" i="21"/>
  <c r="M999" i="21"/>
  <c r="J999" i="21"/>
  <c r="F999" i="21"/>
  <c r="M998" i="21"/>
  <c r="J998" i="21"/>
  <c r="F998" i="21"/>
  <c r="M997" i="21"/>
  <c r="J997" i="21"/>
  <c r="F997" i="21"/>
  <c r="M996" i="21"/>
  <c r="J996" i="21"/>
  <c r="F996" i="21"/>
  <c r="M995" i="21"/>
  <c r="J995" i="21"/>
  <c r="F995" i="21"/>
  <c r="M994" i="21"/>
  <c r="J994" i="21"/>
  <c r="F994" i="21"/>
  <c r="M993" i="21"/>
  <c r="J993" i="21"/>
  <c r="F993" i="21"/>
  <c r="M992" i="21"/>
  <c r="J992" i="21"/>
  <c r="F992" i="21"/>
  <c r="M991" i="21"/>
  <c r="J991" i="21"/>
  <c r="F991" i="21"/>
  <c r="M990" i="21"/>
  <c r="J990" i="21"/>
  <c r="F990" i="21"/>
  <c r="M989" i="21"/>
  <c r="J989" i="21"/>
  <c r="F989" i="21"/>
  <c r="M988" i="21"/>
  <c r="J988" i="21"/>
  <c r="F988" i="21"/>
  <c r="M987" i="21"/>
  <c r="J987" i="21"/>
  <c r="F987" i="21"/>
  <c r="M986" i="21"/>
  <c r="J986" i="21"/>
  <c r="F986" i="21"/>
  <c r="M985" i="21"/>
  <c r="J985" i="21"/>
  <c r="F985" i="21"/>
  <c r="M984" i="21"/>
  <c r="J984" i="21"/>
  <c r="F984" i="21"/>
  <c r="M983" i="21"/>
  <c r="J983" i="21"/>
  <c r="F983" i="21"/>
  <c r="M982" i="21"/>
  <c r="J982" i="21"/>
  <c r="F982" i="21"/>
  <c r="M981" i="21"/>
  <c r="J981" i="21"/>
  <c r="F981" i="21"/>
  <c r="M980" i="21"/>
  <c r="J980" i="21"/>
  <c r="F980" i="21"/>
  <c r="M979" i="21"/>
  <c r="J979" i="21"/>
  <c r="F979" i="21"/>
  <c r="M978" i="21"/>
  <c r="J978" i="21"/>
  <c r="F978" i="21"/>
  <c r="M977" i="21"/>
  <c r="J977" i="21"/>
  <c r="F977" i="21"/>
  <c r="M976" i="21"/>
  <c r="J976" i="21"/>
  <c r="F976" i="21"/>
  <c r="M975" i="21"/>
  <c r="J975" i="21"/>
  <c r="F975" i="21"/>
  <c r="M974" i="21"/>
  <c r="J974" i="21"/>
  <c r="F974" i="21"/>
  <c r="M973" i="21"/>
  <c r="J973" i="21"/>
  <c r="F973" i="21"/>
  <c r="M972" i="21"/>
  <c r="J972" i="21"/>
  <c r="F972" i="21"/>
  <c r="M971" i="21"/>
  <c r="J971" i="21"/>
  <c r="F971" i="21"/>
  <c r="M970" i="21"/>
  <c r="J970" i="21"/>
  <c r="F970" i="21"/>
  <c r="M969" i="21"/>
  <c r="J969" i="21"/>
  <c r="F969" i="21"/>
  <c r="M968" i="21"/>
  <c r="J968" i="21"/>
  <c r="F968" i="21"/>
  <c r="M967" i="21"/>
  <c r="J967" i="21"/>
  <c r="F967" i="21"/>
  <c r="M966" i="21"/>
  <c r="J966" i="21"/>
  <c r="F966" i="21"/>
  <c r="M965" i="21"/>
  <c r="J965" i="21"/>
  <c r="F965" i="21"/>
  <c r="M964" i="21"/>
  <c r="J964" i="21"/>
  <c r="F964" i="21"/>
  <c r="M963" i="21"/>
  <c r="J963" i="21"/>
  <c r="F963" i="21"/>
  <c r="M962" i="21"/>
  <c r="J962" i="21"/>
  <c r="F962" i="21"/>
  <c r="M961" i="21"/>
  <c r="J961" i="21"/>
  <c r="F961" i="21"/>
  <c r="M960" i="21"/>
  <c r="J960" i="21"/>
  <c r="F960" i="21"/>
  <c r="M959" i="21"/>
  <c r="J959" i="21"/>
  <c r="F959" i="21"/>
  <c r="M958" i="21"/>
  <c r="J958" i="21"/>
  <c r="F958" i="21"/>
  <c r="M957" i="21"/>
  <c r="J957" i="21"/>
  <c r="F957" i="21"/>
  <c r="M956" i="21"/>
  <c r="J956" i="21"/>
  <c r="F956" i="21"/>
  <c r="M955" i="21"/>
  <c r="J955" i="21"/>
  <c r="F955" i="21"/>
  <c r="M954" i="21"/>
  <c r="J954" i="21"/>
  <c r="F954" i="21"/>
  <c r="M953" i="21"/>
  <c r="J953" i="21"/>
  <c r="F953" i="21"/>
  <c r="M952" i="21"/>
  <c r="J952" i="21"/>
  <c r="F952" i="21"/>
  <c r="M951" i="21"/>
  <c r="J951" i="21"/>
  <c r="F951" i="21"/>
  <c r="M950" i="21"/>
  <c r="J950" i="21"/>
  <c r="F950" i="21"/>
  <c r="M949" i="21"/>
  <c r="J949" i="21"/>
  <c r="F949" i="21"/>
  <c r="M948" i="21"/>
  <c r="J948" i="21"/>
  <c r="F948" i="21"/>
  <c r="M947" i="21"/>
  <c r="J947" i="21"/>
  <c r="F947" i="21"/>
  <c r="M946" i="21"/>
  <c r="J946" i="21"/>
  <c r="F946" i="21"/>
  <c r="M945" i="21"/>
  <c r="J945" i="21"/>
  <c r="F945" i="21"/>
  <c r="M944" i="21"/>
  <c r="J944" i="21"/>
  <c r="F944" i="21"/>
  <c r="M943" i="21"/>
  <c r="J943" i="21"/>
  <c r="F943" i="21"/>
  <c r="M942" i="21"/>
  <c r="J942" i="21"/>
  <c r="F942" i="21"/>
  <c r="M941" i="21"/>
  <c r="J941" i="21"/>
  <c r="F941" i="21"/>
  <c r="M940" i="21"/>
  <c r="J940" i="21"/>
  <c r="F940" i="21"/>
  <c r="M939" i="21"/>
  <c r="J939" i="21"/>
  <c r="F939" i="21"/>
  <c r="M938" i="21"/>
  <c r="J938" i="21"/>
  <c r="F938" i="21"/>
  <c r="M937" i="21"/>
  <c r="J937" i="21"/>
  <c r="F937" i="21"/>
  <c r="M936" i="21"/>
  <c r="J936" i="21"/>
  <c r="F936" i="21"/>
  <c r="M935" i="21"/>
  <c r="J935" i="21"/>
  <c r="F935" i="21"/>
  <c r="M934" i="21"/>
  <c r="J934" i="21"/>
  <c r="F934" i="21"/>
  <c r="M933" i="21"/>
  <c r="J933" i="21"/>
  <c r="F933" i="21"/>
  <c r="M932" i="21"/>
  <c r="J932" i="21"/>
  <c r="F932" i="21"/>
  <c r="M931" i="21"/>
  <c r="J931" i="21"/>
  <c r="F931" i="21"/>
  <c r="M930" i="21"/>
  <c r="J930" i="21"/>
  <c r="F930" i="21"/>
  <c r="M929" i="21"/>
  <c r="J929" i="21"/>
  <c r="F929" i="21"/>
  <c r="M928" i="21"/>
  <c r="J928" i="21"/>
  <c r="F928" i="21"/>
  <c r="M927" i="21"/>
  <c r="J927" i="21"/>
  <c r="F927" i="21"/>
  <c r="M926" i="21"/>
  <c r="J926" i="21"/>
  <c r="F926" i="21"/>
  <c r="M925" i="21"/>
  <c r="J925" i="21"/>
  <c r="F925" i="21"/>
  <c r="M924" i="21"/>
  <c r="J924" i="21"/>
  <c r="F924" i="21"/>
  <c r="M923" i="21"/>
  <c r="J923" i="21"/>
  <c r="F923" i="21"/>
  <c r="M922" i="21"/>
  <c r="J922" i="21"/>
  <c r="F922" i="21"/>
  <c r="M921" i="21"/>
  <c r="J921" i="21"/>
  <c r="F921" i="21"/>
  <c r="M920" i="21"/>
  <c r="J920" i="21"/>
  <c r="F920" i="21"/>
  <c r="M919" i="21"/>
  <c r="J919" i="21"/>
  <c r="F919" i="21"/>
  <c r="M918" i="21"/>
  <c r="J918" i="21"/>
  <c r="F918" i="21"/>
  <c r="M917" i="21"/>
  <c r="J917" i="21"/>
  <c r="F917" i="21"/>
  <c r="M916" i="21"/>
  <c r="J916" i="21"/>
  <c r="F916" i="21"/>
  <c r="M915" i="21"/>
  <c r="J915" i="21"/>
  <c r="F915" i="21"/>
  <c r="M914" i="21"/>
  <c r="J914" i="21"/>
  <c r="F914" i="21"/>
  <c r="M913" i="21"/>
  <c r="J913" i="21"/>
  <c r="F913" i="21"/>
  <c r="M912" i="21"/>
  <c r="J912" i="21"/>
  <c r="F912" i="21"/>
  <c r="M911" i="21"/>
  <c r="J911" i="21"/>
  <c r="F911" i="21"/>
  <c r="M910" i="21"/>
  <c r="J910" i="21"/>
  <c r="F910" i="21"/>
  <c r="M909" i="21"/>
  <c r="J909" i="21"/>
  <c r="F909" i="21"/>
  <c r="M908" i="21"/>
  <c r="J908" i="21"/>
  <c r="F908" i="21"/>
  <c r="M907" i="21"/>
  <c r="J907" i="21"/>
  <c r="F907" i="21"/>
  <c r="M906" i="21"/>
  <c r="J906" i="21"/>
  <c r="F906" i="21"/>
  <c r="M905" i="21"/>
  <c r="J905" i="21"/>
  <c r="F905" i="21"/>
  <c r="M904" i="21"/>
  <c r="J904" i="21"/>
  <c r="F904" i="21"/>
  <c r="M903" i="21"/>
  <c r="J903" i="21"/>
  <c r="F903" i="21"/>
  <c r="M902" i="21"/>
  <c r="J902" i="21"/>
  <c r="F902" i="21"/>
  <c r="M901" i="21"/>
  <c r="J901" i="21"/>
  <c r="F901" i="21"/>
  <c r="M900" i="21"/>
  <c r="J900" i="21"/>
  <c r="F900" i="21"/>
  <c r="M899" i="21"/>
  <c r="J899" i="21"/>
  <c r="F899" i="21"/>
  <c r="M898" i="21"/>
  <c r="J898" i="21"/>
  <c r="F898" i="21"/>
  <c r="M897" i="21"/>
  <c r="J897" i="21"/>
  <c r="F897" i="21"/>
  <c r="M896" i="21"/>
  <c r="J896" i="21"/>
  <c r="F896" i="21"/>
  <c r="M895" i="21"/>
  <c r="J895" i="21"/>
  <c r="F895" i="21"/>
  <c r="M894" i="21"/>
  <c r="J894" i="21"/>
  <c r="F894" i="21"/>
  <c r="M893" i="21"/>
  <c r="J893" i="21"/>
  <c r="F893" i="21"/>
  <c r="M892" i="21"/>
  <c r="J892" i="21"/>
  <c r="F892" i="21"/>
  <c r="M891" i="21"/>
  <c r="J891" i="21"/>
  <c r="F891" i="21"/>
  <c r="M890" i="21"/>
  <c r="J890" i="21"/>
  <c r="F890" i="21"/>
  <c r="M889" i="21"/>
  <c r="J889" i="21"/>
  <c r="F889" i="21"/>
  <c r="M888" i="21"/>
  <c r="J888" i="21"/>
  <c r="F888" i="21"/>
  <c r="M887" i="21"/>
  <c r="J887" i="21"/>
  <c r="F887" i="21"/>
  <c r="M886" i="21"/>
  <c r="J886" i="21"/>
  <c r="F886" i="21"/>
  <c r="M885" i="21"/>
  <c r="J885" i="21"/>
  <c r="F885" i="21"/>
  <c r="M884" i="21"/>
  <c r="J884" i="21"/>
  <c r="F884" i="21"/>
  <c r="M883" i="21"/>
  <c r="J883" i="21"/>
  <c r="F883" i="21"/>
  <c r="M882" i="21"/>
  <c r="J882" i="21"/>
  <c r="F882" i="21"/>
  <c r="M881" i="21"/>
  <c r="J881" i="21"/>
  <c r="F881" i="21"/>
  <c r="M880" i="21"/>
  <c r="J880" i="21"/>
  <c r="F880" i="21"/>
  <c r="M879" i="21"/>
  <c r="J879" i="21"/>
  <c r="F879" i="21"/>
  <c r="M878" i="21"/>
  <c r="J878" i="21"/>
  <c r="F878" i="21"/>
  <c r="M877" i="21"/>
  <c r="J877" i="21"/>
  <c r="F877" i="21"/>
  <c r="M876" i="21"/>
  <c r="J876" i="21"/>
  <c r="F876" i="21"/>
  <c r="M875" i="21"/>
  <c r="J875" i="21"/>
  <c r="F875" i="21"/>
  <c r="M874" i="21"/>
  <c r="J874" i="21"/>
  <c r="F874" i="21"/>
  <c r="M873" i="21"/>
  <c r="J873" i="21"/>
  <c r="F873" i="21"/>
  <c r="M872" i="21"/>
  <c r="J872" i="21"/>
  <c r="F872" i="21"/>
  <c r="M871" i="21"/>
  <c r="J871" i="21"/>
  <c r="F871" i="21"/>
  <c r="M870" i="21"/>
  <c r="J870" i="21"/>
  <c r="F870" i="21"/>
  <c r="M869" i="21"/>
  <c r="J869" i="21"/>
  <c r="F869" i="21"/>
  <c r="M868" i="21"/>
  <c r="J868" i="21"/>
  <c r="F868" i="21"/>
  <c r="M867" i="21"/>
  <c r="J867" i="21"/>
  <c r="F867" i="21"/>
  <c r="M866" i="21"/>
  <c r="J866" i="21"/>
  <c r="F866" i="21"/>
  <c r="M865" i="21"/>
  <c r="J865" i="21"/>
  <c r="F865" i="21"/>
  <c r="M864" i="21"/>
  <c r="J864" i="21"/>
  <c r="F864" i="21"/>
  <c r="M863" i="21"/>
  <c r="J863" i="21"/>
  <c r="F863" i="21"/>
  <c r="M862" i="21"/>
  <c r="J862" i="21"/>
  <c r="F862" i="21"/>
  <c r="M861" i="21"/>
  <c r="J861" i="21"/>
  <c r="F861" i="21"/>
  <c r="M860" i="21"/>
  <c r="J860" i="21"/>
  <c r="F860" i="21"/>
  <c r="M859" i="21"/>
  <c r="J859" i="21"/>
  <c r="F859" i="21"/>
  <c r="M858" i="21"/>
  <c r="J858" i="21"/>
  <c r="F858" i="21"/>
  <c r="M857" i="21"/>
  <c r="J857" i="21"/>
  <c r="F857" i="21"/>
  <c r="M856" i="21"/>
  <c r="J856" i="21"/>
  <c r="F856" i="21"/>
  <c r="M855" i="21"/>
  <c r="J855" i="21"/>
  <c r="F855" i="21"/>
  <c r="M854" i="21"/>
  <c r="J854" i="21"/>
  <c r="F854" i="21"/>
  <c r="M853" i="21"/>
  <c r="J853" i="21"/>
  <c r="F853" i="21"/>
  <c r="M852" i="21"/>
  <c r="J852" i="21"/>
  <c r="F852" i="21"/>
  <c r="M851" i="21"/>
  <c r="J851" i="21"/>
  <c r="F851" i="21"/>
  <c r="M850" i="21"/>
  <c r="J850" i="21"/>
  <c r="F850" i="21"/>
  <c r="M849" i="21"/>
  <c r="J849" i="21"/>
  <c r="F849" i="21"/>
  <c r="M848" i="21"/>
  <c r="J848" i="21"/>
  <c r="F848" i="21"/>
  <c r="M847" i="21"/>
  <c r="J847" i="21"/>
  <c r="F847" i="21"/>
  <c r="M846" i="21"/>
  <c r="J846" i="21"/>
  <c r="F846" i="21"/>
  <c r="M845" i="21"/>
  <c r="J845" i="21"/>
  <c r="F845" i="21"/>
  <c r="M844" i="21"/>
  <c r="J844" i="21"/>
  <c r="F844" i="21"/>
  <c r="M843" i="21"/>
  <c r="J843" i="21"/>
  <c r="F843" i="21"/>
  <c r="M842" i="21"/>
  <c r="J842" i="21"/>
  <c r="F842" i="21"/>
  <c r="M841" i="21"/>
  <c r="J841" i="21"/>
  <c r="F841" i="21"/>
  <c r="M840" i="21"/>
  <c r="J840" i="21"/>
  <c r="F840" i="21"/>
  <c r="M839" i="21"/>
  <c r="J839" i="21"/>
  <c r="F839" i="21"/>
  <c r="M838" i="21"/>
  <c r="J838" i="21"/>
  <c r="F838" i="21"/>
  <c r="M837" i="21"/>
  <c r="J837" i="21"/>
  <c r="F837" i="21"/>
  <c r="M836" i="21"/>
  <c r="J836" i="21"/>
  <c r="F836" i="21"/>
  <c r="M835" i="21"/>
  <c r="J835" i="21"/>
  <c r="F835" i="21"/>
  <c r="M834" i="21"/>
  <c r="J834" i="21"/>
  <c r="F834" i="21"/>
  <c r="M833" i="21"/>
  <c r="J833" i="21"/>
  <c r="F833" i="21"/>
  <c r="M832" i="21"/>
  <c r="J832" i="21"/>
  <c r="F832" i="21"/>
  <c r="M831" i="21"/>
  <c r="J831" i="21"/>
  <c r="F831" i="21"/>
  <c r="M830" i="21"/>
  <c r="J830" i="21"/>
  <c r="F830" i="21"/>
  <c r="M829" i="21"/>
  <c r="J829" i="21"/>
  <c r="F829" i="21"/>
  <c r="M828" i="21"/>
  <c r="J828" i="21"/>
  <c r="F828" i="21"/>
  <c r="M827" i="21"/>
  <c r="J827" i="21"/>
  <c r="F827" i="21"/>
  <c r="M826" i="21"/>
  <c r="J826" i="21"/>
  <c r="F826" i="21"/>
  <c r="M825" i="21"/>
  <c r="J825" i="21"/>
  <c r="F825" i="21"/>
  <c r="M824" i="21"/>
  <c r="J824" i="21"/>
  <c r="F824" i="21"/>
  <c r="M823" i="21"/>
  <c r="J823" i="21"/>
  <c r="F823" i="21"/>
  <c r="M822" i="21"/>
  <c r="J822" i="21"/>
  <c r="F822" i="21"/>
  <c r="M821" i="21"/>
  <c r="J821" i="21"/>
  <c r="F821" i="21"/>
  <c r="M820" i="21"/>
  <c r="J820" i="21"/>
  <c r="F820" i="21"/>
  <c r="M819" i="21"/>
  <c r="J819" i="21"/>
  <c r="F819" i="21"/>
  <c r="M818" i="21"/>
  <c r="J818" i="21"/>
  <c r="F818" i="21"/>
  <c r="M817" i="21"/>
  <c r="J817" i="21"/>
  <c r="F817" i="21"/>
  <c r="M816" i="21"/>
  <c r="J816" i="21"/>
  <c r="F816" i="21"/>
  <c r="M815" i="21"/>
  <c r="J815" i="21"/>
  <c r="F815" i="21"/>
  <c r="M814" i="21"/>
  <c r="J814" i="21"/>
  <c r="F814" i="21"/>
  <c r="M813" i="21"/>
  <c r="J813" i="21"/>
  <c r="F813" i="21"/>
  <c r="M812" i="21"/>
  <c r="J812" i="21"/>
  <c r="F812" i="21"/>
  <c r="M811" i="21"/>
  <c r="J811" i="21"/>
  <c r="F811" i="21"/>
  <c r="M810" i="21"/>
  <c r="J810" i="21"/>
  <c r="F810" i="21"/>
  <c r="M809" i="21"/>
  <c r="J809" i="21"/>
  <c r="F809" i="21"/>
  <c r="M808" i="21"/>
  <c r="J808" i="21"/>
  <c r="F808" i="21"/>
  <c r="M807" i="21"/>
  <c r="J807" i="21"/>
  <c r="F807" i="21"/>
  <c r="M806" i="21"/>
  <c r="J806" i="21"/>
  <c r="F806" i="21"/>
  <c r="M805" i="21"/>
  <c r="J805" i="21"/>
  <c r="F805" i="21"/>
  <c r="M804" i="21"/>
  <c r="J804" i="21"/>
  <c r="F804" i="21"/>
  <c r="M803" i="21"/>
  <c r="J803" i="21"/>
  <c r="F803" i="21"/>
  <c r="M802" i="21"/>
  <c r="J802" i="21"/>
  <c r="F802" i="21"/>
  <c r="M801" i="21"/>
  <c r="J801" i="21"/>
  <c r="F801" i="21"/>
  <c r="M800" i="21"/>
  <c r="J800" i="21"/>
  <c r="F800" i="21"/>
  <c r="M799" i="21"/>
  <c r="J799" i="21"/>
  <c r="F799" i="21"/>
  <c r="M798" i="21"/>
  <c r="J798" i="21"/>
  <c r="F798" i="21"/>
  <c r="M797" i="21"/>
  <c r="J797" i="21"/>
  <c r="F797" i="21"/>
  <c r="M796" i="21"/>
  <c r="J796" i="21"/>
  <c r="F796" i="21"/>
  <c r="M795" i="21"/>
  <c r="J795" i="21"/>
  <c r="F795" i="21"/>
  <c r="M794" i="21"/>
  <c r="J794" i="21"/>
  <c r="F794" i="21"/>
  <c r="M793" i="21"/>
  <c r="J793" i="21"/>
  <c r="F793" i="21"/>
  <c r="M792" i="21"/>
  <c r="J792" i="21"/>
  <c r="F792" i="21"/>
  <c r="M791" i="21"/>
  <c r="J791" i="21"/>
  <c r="F791" i="21"/>
  <c r="M790" i="21"/>
  <c r="J790" i="21"/>
  <c r="F790" i="21"/>
  <c r="M789" i="21"/>
  <c r="J789" i="21"/>
  <c r="F789" i="21"/>
  <c r="M788" i="21"/>
  <c r="J788" i="21"/>
  <c r="F788" i="21"/>
  <c r="M787" i="21"/>
  <c r="J787" i="21"/>
  <c r="F787" i="21"/>
  <c r="M786" i="21"/>
  <c r="J786" i="21"/>
  <c r="F786" i="21"/>
  <c r="M785" i="21"/>
  <c r="J785" i="21"/>
  <c r="F785" i="21"/>
  <c r="M784" i="21"/>
  <c r="J784" i="21"/>
  <c r="F784" i="21"/>
  <c r="M783" i="21"/>
  <c r="J783" i="21"/>
  <c r="F783" i="21"/>
  <c r="M782" i="21"/>
  <c r="J782" i="21"/>
  <c r="F782" i="21"/>
  <c r="M781" i="21"/>
  <c r="J781" i="21"/>
  <c r="F781" i="21"/>
  <c r="M780" i="21"/>
  <c r="J780" i="21"/>
  <c r="F780" i="21"/>
  <c r="M779" i="21"/>
  <c r="J779" i="21"/>
  <c r="F779" i="21"/>
  <c r="M778" i="21"/>
  <c r="J778" i="21"/>
  <c r="F778" i="21"/>
  <c r="M777" i="21"/>
  <c r="J777" i="21"/>
  <c r="F777" i="21"/>
  <c r="M776" i="21"/>
  <c r="J776" i="21"/>
  <c r="F776" i="21"/>
  <c r="M775" i="21"/>
  <c r="J775" i="21"/>
  <c r="F775" i="21"/>
  <c r="M774" i="21"/>
  <c r="J774" i="21"/>
  <c r="F774" i="21"/>
  <c r="M773" i="21"/>
  <c r="J773" i="21"/>
  <c r="F773" i="21"/>
  <c r="M772" i="21"/>
  <c r="J772" i="21"/>
  <c r="F772" i="21"/>
  <c r="M771" i="21"/>
  <c r="J771" i="21"/>
  <c r="F771" i="21"/>
  <c r="M770" i="21"/>
  <c r="J770" i="21"/>
  <c r="F770" i="21"/>
  <c r="M769" i="21"/>
  <c r="J769" i="21"/>
  <c r="F769" i="21"/>
  <c r="M768" i="21"/>
  <c r="J768" i="21"/>
  <c r="F768" i="21"/>
  <c r="M767" i="21"/>
  <c r="J767" i="21"/>
  <c r="F767" i="21"/>
  <c r="M766" i="21"/>
  <c r="J766" i="21"/>
  <c r="F766" i="21"/>
  <c r="M765" i="21"/>
  <c r="J765" i="21"/>
  <c r="F765" i="21"/>
  <c r="M764" i="21"/>
  <c r="J764" i="21"/>
  <c r="F764" i="21"/>
  <c r="M763" i="21"/>
  <c r="J763" i="21"/>
  <c r="F763" i="21"/>
  <c r="M762" i="21"/>
  <c r="J762" i="21"/>
  <c r="F762" i="21"/>
  <c r="M761" i="21"/>
  <c r="J761" i="21"/>
  <c r="F761" i="21"/>
  <c r="M760" i="21"/>
  <c r="J760" i="21"/>
  <c r="F760" i="21"/>
  <c r="M759" i="21"/>
  <c r="J759" i="21"/>
  <c r="F759" i="21"/>
  <c r="M758" i="21"/>
  <c r="J758" i="21"/>
  <c r="F758" i="21"/>
  <c r="M757" i="21"/>
  <c r="J757" i="21"/>
  <c r="F757" i="21"/>
  <c r="M756" i="21"/>
  <c r="J756" i="21"/>
  <c r="F756" i="21"/>
  <c r="M755" i="21"/>
  <c r="J755" i="21"/>
  <c r="F755" i="21"/>
  <c r="M754" i="21"/>
  <c r="J754" i="21"/>
  <c r="F754" i="21"/>
  <c r="M753" i="21"/>
  <c r="J753" i="21"/>
  <c r="F753" i="21"/>
  <c r="M752" i="21"/>
  <c r="J752" i="21"/>
  <c r="F752" i="21"/>
  <c r="M751" i="21"/>
  <c r="J751" i="21"/>
  <c r="F751" i="21"/>
  <c r="M750" i="21"/>
  <c r="J750" i="21"/>
  <c r="F750" i="21"/>
  <c r="M749" i="21"/>
  <c r="J749" i="21"/>
  <c r="F749" i="21"/>
  <c r="M748" i="21"/>
  <c r="J748" i="21"/>
  <c r="F748" i="21"/>
  <c r="M747" i="21"/>
  <c r="J747" i="21"/>
  <c r="F747" i="21"/>
  <c r="M746" i="21"/>
  <c r="J746" i="21"/>
  <c r="F746" i="21"/>
  <c r="M745" i="21"/>
  <c r="J745" i="21"/>
  <c r="F745" i="21"/>
  <c r="M744" i="21"/>
  <c r="J744" i="21"/>
  <c r="F744" i="21"/>
  <c r="M743" i="21"/>
  <c r="J743" i="21"/>
  <c r="F743" i="21"/>
  <c r="M742" i="21"/>
  <c r="J742" i="21"/>
  <c r="F742" i="21"/>
  <c r="M741" i="21"/>
  <c r="J741" i="21"/>
  <c r="F741" i="21"/>
  <c r="M740" i="21"/>
  <c r="J740" i="21"/>
  <c r="F740" i="21"/>
  <c r="M739" i="21"/>
  <c r="J739" i="21"/>
  <c r="F739" i="21"/>
  <c r="M738" i="21"/>
  <c r="J738" i="21"/>
  <c r="F738" i="21"/>
  <c r="M737" i="21"/>
  <c r="J737" i="21"/>
  <c r="F737" i="21"/>
  <c r="M736" i="21"/>
  <c r="J736" i="21"/>
  <c r="F736" i="21"/>
  <c r="M735" i="21"/>
  <c r="J735" i="21"/>
  <c r="F735" i="21"/>
  <c r="M734" i="21"/>
  <c r="J734" i="21"/>
  <c r="F734" i="21"/>
  <c r="M733" i="21"/>
  <c r="J733" i="21"/>
  <c r="F733" i="21"/>
  <c r="M732" i="21"/>
  <c r="J732" i="21"/>
  <c r="F732" i="21"/>
  <c r="M731" i="21"/>
  <c r="J731" i="21"/>
  <c r="F731" i="21"/>
  <c r="M730" i="21"/>
  <c r="J730" i="21"/>
  <c r="F730" i="21"/>
  <c r="M729" i="21"/>
  <c r="J729" i="21"/>
  <c r="F729" i="21"/>
  <c r="M728" i="21"/>
  <c r="J728" i="21"/>
  <c r="F728" i="21"/>
  <c r="M727" i="21"/>
  <c r="J727" i="21"/>
  <c r="F727" i="21"/>
  <c r="M726" i="21"/>
  <c r="J726" i="21"/>
  <c r="F726" i="21"/>
  <c r="M725" i="21"/>
  <c r="J725" i="21"/>
  <c r="F725" i="21"/>
  <c r="M724" i="21"/>
  <c r="J724" i="21"/>
  <c r="F724" i="21"/>
  <c r="M723" i="21"/>
  <c r="J723" i="21"/>
  <c r="F723" i="21"/>
  <c r="M722" i="21"/>
  <c r="J722" i="21"/>
  <c r="F722" i="21"/>
  <c r="M721" i="21"/>
  <c r="J721" i="21"/>
  <c r="F721" i="21"/>
  <c r="M720" i="21"/>
  <c r="J720" i="21"/>
  <c r="F720" i="21"/>
  <c r="M719" i="21"/>
  <c r="J719" i="21"/>
  <c r="F719" i="21"/>
  <c r="M718" i="21"/>
  <c r="J718" i="21"/>
  <c r="F718" i="21"/>
  <c r="M717" i="21"/>
  <c r="J717" i="21"/>
  <c r="F717" i="21"/>
  <c r="M716" i="21"/>
  <c r="J716" i="21"/>
  <c r="F716" i="21"/>
  <c r="M715" i="21"/>
  <c r="J715" i="21"/>
  <c r="F715" i="21"/>
  <c r="M714" i="21"/>
  <c r="J714" i="21"/>
  <c r="F714" i="21"/>
  <c r="M713" i="21"/>
  <c r="J713" i="21"/>
  <c r="F713" i="21"/>
  <c r="M712" i="21"/>
  <c r="J712" i="21"/>
  <c r="F712" i="21"/>
  <c r="M711" i="21"/>
  <c r="J711" i="21"/>
  <c r="F711" i="21"/>
  <c r="M710" i="21"/>
  <c r="J710" i="21"/>
  <c r="F710" i="21"/>
  <c r="M709" i="21"/>
  <c r="J709" i="21"/>
  <c r="F709" i="21"/>
  <c r="M708" i="21"/>
  <c r="J708" i="21"/>
  <c r="F708" i="21"/>
  <c r="M707" i="21"/>
  <c r="J707" i="21"/>
  <c r="F707" i="21"/>
  <c r="M706" i="21"/>
  <c r="J706" i="21"/>
  <c r="F706" i="21"/>
  <c r="M705" i="21"/>
  <c r="J705" i="21"/>
  <c r="F705" i="21"/>
  <c r="M704" i="21"/>
  <c r="J704" i="21"/>
  <c r="F704" i="21"/>
  <c r="M703" i="21"/>
  <c r="J703" i="21"/>
  <c r="F703" i="21"/>
  <c r="M702" i="21"/>
  <c r="J702" i="21"/>
  <c r="F702" i="21"/>
  <c r="M701" i="21"/>
  <c r="J701" i="21"/>
  <c r="F701" i="21"/>
  <c r="M700" i="21"/>
  <c r="J700" i="21"/>
  <c r="F700" i="21"/>
  <c r="M699" i="21"/>
  <c r="J699" i="21"/>
  <c r="F699" i="21"/>
  <c r="M698" i="21"/>
  <c r="J698" i="21"/>
  <c r="F698" i="21"/>
  <c r="M697" i="21"/>
  <c r="J697" i="21"/>
  <c r="F697" i="21"/>
  <c r="M696" i="21"/>
  <c r="J696" i="21"/>
  <c r="F696" i="21"/>
  <c r="M695" i="21"/>
  <c r="J695" i="21"/>
  <c r="F695" i="21"/>
  <c r="M694" i="21"/>
  <c r="J694" i="21"/>
  <c r="F694" i="21"/>
  <c r="M693" i="21"/>
  <c r="J693" i="21"/>
  <c r="F693" i="21"/>
  <c r="M692" i="21"/>
  <c r="J692" i="21"/>
  <c r="F692" i="21"/>
  <c r="M691" i="21"/>
  <c r="J691" i="21"/>
  <c r="F691" i="21"/>
  <c r="M690" i="21"/>
  <c r="J690" i="21"/>
  <c r="F690" i="21"/>
  <c r="M689" i="21"/>
  <c r="J689" i="21"/>
  <c r="F689" i="21"/>
  <c r="M688" i="21"/>
  <c r="J688" i="21"/>
  <c r="F688" i="21"/>
  <c r="M687" i="21"/>
  <c r="J687" i="21"/>
  <c r="F687" i="21"/>
  <c r="M686" i="21"/>
  <c r="J686" i="21"/>
  <c r="F686" i="21"/>
  <c r="M685" i="21"/>
  <c r="J685" i="21"/>
  <c r="F685" i="21"/>
  <c r="M684" i="21"/>
  <c r="J684" i="21"/>
  <c r="F684" i="21"/>
  <c r="M683" i="21"/>
  <c r="J683" i="21"/>
  <c r="F683" i="21"/>
  <c r="M682" i="21"/>
  <c r="J682" i="21"/>
  <c r="F682" i="21"/>
  <c r="M681" i="21"/>
  <c r="J681" i="21"/>
  <c r="F681" i="21"/>
  <c r="M680" i="21"/>
  <c r="J680" i="21"/>
  <c r="F680" i="21"/>
  <c r="M679" i="21"/>
  <c r="J679" i="21"/>
  <c r="F679" i="21"/>
  <c r="M678" i="21"/>
  <c r="J678" i="21"/>
  <c r="F678" i="21"/>
  <c r="M677" i="21"/>
  <c r="J677" i="21"/>
  <c r="F677" i="21"/>
  <c r="M676" i="21"/>
  <c r="J676" i="21"/>
  <c r="F676" i="21"/>
  <c r="M675" i="21"/>
  <c r="J675" i="21"/>
  <c r="F675" i="21"/>
  <c r="M674" i="21"/>
  <c r="J674" i="21"/>
  <c r="F674" i="21"/>
  <c r="M673" i="21"/>
  <c r="J673" i="21"/>
  <c r="F673" i="21"/>
  <c r="M672" i="21"/>
  <c r="J672" i="21"/>
  <c r="F672" i="21"/>
  <c r="M671" i="21"/>
  <c r="J671" i="21"/>
  <c r="F671" i="21"/>
  <c r="M670" i="21"/>
  <c r="J670" i="21"/>
  <c r="F670" i="21"/>
  <c r="M669" i="21"/>
  <c r="J669" i="21"/>
  <c r="F669" i="21"/>
  <c r="M668" i="21"/>
  <c r="J668" i="21"/>
  <c r="F668" i="21"/>
  <c r="M667" i="21"/>
  <c r="J667" i="21"/>
  <c r="F667" i="21"/>
  <c r="M666" i="21"/>
  <c r="J666" i="21"/>
  <c r="F666" i="21"/>
  <c r="M665" i="21"/>
  <c r="J665" i="21"/>
  <c r="F665" i="21"/>
  <c r="M664" i="21"/>
  <c r="J664" i="21"/>
  <c r="F664" i="21"/>
  <c r="M663" i="21"/>
  <c r="J663" i="21"/>
  <c r="F663" i="21"/>
  <c r="M662" i="21"/>
  <c r="J662" i="21"/>
  <c r="F662" i="21"/>
  <c r="M661" i="21"/>
  <c r="J661" i="21"/>
  <c r="F661" i="21"/>
  <c r="M660" i="21"/>
  <c r="J660" i="21"/>
  <c r="F660" i="21"/>
  <c r="M659" i="21"/>
  <c r="J659" i="21"/>
  <c r="F659" i="21"/>
  <c r="M658" i="21"/>
  <c r="J658" i="21"/>
  <c r="F658" i="21"/>
  <c r="M657" i="21"/>
  <c r="J657" i="21"/>
  <c r="F657" i="21"/>
  <c r="M656" i="21"/>
  <c r="J656" i="21"/>
  <c r="F656" i="21"/>
  <c r="M655" i="21"/>
  <c r="J655" i="21"/>
  <c r="F655" i="21"/>
  <c r="M654" i="21"/>
  <c r="J654" i="21"/>
  <c r="F654" i="21"/>
  <c r="M653" i="21"/>
  <c r="J653" i="21"/>
  <c r="F653" i="21"/>
  <c r="M652" i="21"/>
  <c r="J652" i="21"/>
  <c r="F652" i="21"/>
  <c r="M651" i="21"/>
  <c r="J651" i="21"/>
  <c r="F651" i="21"/>
  <c r="M650" i="21"/>
  <c r="J650" i="21"/>
  <c r="F650" i="21"/>
  <c r="M649" i="21"/>
  <c r="J649" i="21"/>
  <c r="F649" i="21"/>
  <c r="M648" i="21"/>
  <c r="J648" i="21"/>
  <c r="F648" i="21"/>
  <c r="M647" i="21"/>
  <c r="J647" i="21"/>
  <c r="F647" i="21"/>
  <c r="M646" i="21"/>
  <c r="J646" i="21"/>
  <c r="F646" i="21"/>
  <c r="M645" i="21"/>
  <c r="J645" i="21"/>
  <c r="F645" i="21"/>
  <c r="M644" i="21"/>
  <c r="J644" i="21"/>
  <c r="F644" i="21"/>
  <c r="M643" i="21"/>
  <c r="J643" i="21"/>
  <c r="F643" i="21"/>
  <c r="M642" i="21"/>
  <c r="J642" i="21"/>
  <c r="F642" i="21"/>
  <c r="M641" i="21"/>
  <c r="J641" i="21"/>
  <c r="F641" i="21"/>
  <c r="M640" i="21"/>
  <c r="J640" i="21"/>
  <c r="F640" i="21"/>
  <c r="M639" i="21"/>
  <c r="J639" i="21"/>
  <c r="F639" i="21"/>
  <c r="M638" i="21"/>
  <c r="J638" i="21"/>
  <c r="F638" i="21"/>
  <c r="M637" i="21"/>
  <c r="J637" i="21"/>
  <c r="F637" i="21"/>
  <c r="M636" i="21"/>
  <c r="J636" i="21"/>
  <c r="F636" i="21"/>
  <c r="M635" i="21"/>
  <c r="J635" i="21"/>
  <c r="F635" i="21"/>
  <c r="M634" i="21"/>
  <c r="J634" i="21"/>
  <c r="F634" i="21"/>
  <c r="M633" i="21"/>
  <c r="J633" i="21"/>
  <c r="F633" i="21"/>
  <c r="M632" i="21"/>
  <c r="J632" i="21"/>
  <c r="F632" i="21"/>
  <c r="M631" i="21"/>
  <c r="J631" i="21"/>
  <c r="F631" i="21"/>
  <c r="M630" i="21"/>
  <c r="J630" i="21"/>
  <c r="F630" i="21"/>
  <c r="M629" i="21"/>
  <c r="J629" i="21"/>
  <c r="F629" i="21"/>
  <c r="M628" i="21"/>
  <c r="J628" i="21"/>
  <c r="F628" i="21"/>
  <c r="M627" i="21"/>
  <c r="J627" i="21"/>
  <c r="F627" i="21"/>
  <c r="M626" i="21"/>
  <c r="J626" i="21"/>
  <c r="F626" i="21"/>
  <c r="M625" i="21"/>
  <c r="J625" i="21"/>
  <c r="F625" i="21"/>
  <c r="M624" i="21"/>
  <c r="J624" i="21"/>
  <c r="F624" i="21"/>
  <c r="M623" i="21"/>
  <c r="J623" i="21"/>
  <c r="F623" i="21"/>
  <c r="M622" i="21"/>
  <c r="J622" i="21"/>
  <c r="F622" i="21"/>
  <c r="M621" i="21"/>
  <c r="J621" i="21"/>
  <c r="F621" i="21"/>
  <c r="M620" i="21"/>
  <c r="J620" i="21"/>
  <c r="F620" i="21"/>
  <c r="M619" i="21"/>
  <c r="J619" i="21"/>
  <c r="F619" i="21"/>
  <c r="M618" i="21"/>
  <c r="J618" i="21"/>
  <c r="F618" i="21"/>
  <c r="M617" i="21"/>
  <c r="J617" i="21"/>
  <c r="F617" i="21"/>
  <c r="M616" i="21"/>
  <c r="J616" i="21"/>
  <c r="F616" i="21"/>
  <c r="M615" i="21"/>
  <c r="J615" i="21"/>
  <c r="F615" i="21"/>
  <c r="M614" i="21"/>
  <c r="J614" i="21"/>
  <c r="F614" i="21"/>
  <c r="M613" i="21"/>
  <c r="J613" i="21"/>
  <c r="F613" i="21"/>
  <c r="M612" i="21"/>
  <c r="J612" i="21"/>
  <c r="F612" i="21"/>
  <c r="M611" i="21"/>
  <c r="J611" i="21"/>
  <c r="F611" i="21"/>
  <c r="M610" i="21"/>
  <c r="J610" i="21"/>
  <c r="F610" i="21"/>
  <c r="M609" i="21"/>
  <c r="J609" i="21"/>
  <c r="F609" i="21"/>
  <c r="M608" i="21"/>
  <c r="J608" i="21"/>
  <c r="F608" i="21"/>
  <c r="M607" i="21"/>
  <c r="J607" i="21"/>
  <c r="F607" i="21"/>
  <c r="M606" i="21"/>
  <c r="J606" i="21"/>
  <c r="F606" i="21"/>
  <c r="M605" i="21"/>
  <c r="J605" i="21"/>
  <c r="F605" i="21"/>
  <c r="M604" i="21"/>
  <c r="J604" i="21"/>
  <c r="F604" i="21"/>
  <c r="M603" i="21"/>
  <c r="J603" i="21"/>
  <c r="F603" i="21"/>
  <c r="M602" i="21"/>
  <c r="J602" i="21"/>
  <c r="F602" i="21"/>
  <c r="M601" i="21"/>
  <c r="J601" i="21"/>
  <c r="F601" i="21"/>
  <c r="M600" i="21"/>
  <c r="J600" i="21"/>
  <c r="F600" i="21"/>
  <c r="M599" i="21"/>
  <c r="J599" i="21"/>
  <c r="F599" i="21"/>
  <c r="M598" i="21"/>
  <c r="J598" i="21"/>
  <c r="F598" i="21"/>
  <c r="M597" i="21"/>
  <c r="J597" i="21"/>
  <c r="F597" i="21"/>
  <c r="M596" i="21"/>
  <c r="J596" i="21"/>
  <c r="F596" i="21"/>
  <c r="M595" i="21"/>
  <c r="J595" i="21"/>
  <c r="F595" i="21"/>
  <c r="M594" i="21"/>
  <c r="J594" i="21"/>
  <c r="F594" i="21"/>
  <c r="M593" i="21"/>
  <c r="J593" i="21"/>
  <c r="F593" i="21"/>
  <c r="M592" i="21"/>
  <c r="J592" i="21"/>
  <c r="F592" i="21"/>
  <c r="M591" i="21"/>
  <c r="J591" i="21"/>
  <c r="F591" i="21"/>
  <c r="M590" i="21"/>
  <c r="J590" i="21"/>
  <c r="F590" i="21"/>
  <c r="M589" i="21"/>
  <c r="J589" i="21"/>
  <c r="F589" i="21"/>
  <c r="M588" i="21"/>
  <c r="J588" i="21"/>
  <c r="F588" i="21"/>
  <c r="M587" i="21"/>
  <c r="J587" i="21"/>
  <c r="F587" i="21"/>
  <c r="M586" i="21"/>
  <c r="J586" i="21"/>
  <c r="F586" i="21"/>
  <c r="M585" i="21"/>
  <c r="J585" i="21"/>
  <c r="F585" i="21"/>
  <c r="M584" i="21"/>
  <c r="J584" i="21"/>
  <c r="F584" i="21"/>
  <c r="M583" i="21"/>
  <c r="J583" i="21"/>
  <c r="F583" i="21"/>
  <c r="M582" i="21"/>
  <c r="J582" i="21"/>
  <c r="F582" i="21"/>
  <c r="M581" i="21"/>
  <c r="J581" i="21"/>
  <c r="F581" i="21"/>
  <c r="M580" i="21"/>
  <c r="J580" i="21"/>
  <c r="F580" i="21"/>
  <c r="M579" i="21"/>
  <c r="J579" i="21"/>
  <c r="F579" i="21"/>
  <c r="M578" i="21"/>
  <c r="J578" i="21"/>
  <c r="F578" i="21"/>
  <c r="M577" i="21"/>
  <c r="J577" i="21"/>
  <c r="F577" i="21"/>
  <c r="M576" i="21"/>
  <c r="J576" i="21"/>
  <c r="F576" i="21"/>
  <c r="M575" i="21"/>
  <c r="J575" i="21"/>
  <c r="F575" i="21"/>
  <c r="M574" i="21"/>
  <c r="J574" i="21"/>
  <c r="F574" i="21"/>
  <c r="M573" i="21"/>
  <c r="J573" i="21"/>
  <c r="F573" i="21"/>
  <c r="M572" i="21"/>
  <c r="J572" i="21"/>
  <c r="F572" i="21"/>
  <c r="M571" i="21"/>
  <c r="J571" i="21"/>
  <c r="F571" i="21"/>
  <c r="M570" i="21"/>
  <c r="J570" i="21"/>
  <c r="F570" i="21"/>
  <c r="M569" i="21"/>
  <c r="J569" i="21"/>
  <c r="F569" i="21"/>
  <c r="M568" i="21"/>
  <c r="J568" i="21"/>
  <c r="F568" i="21"/>
  <c r="M567" i="21"/>
  <c r="J567" i="21"/>
  <c r="F567" i="21"/>
  <c r="M566" i="21"/>
  <c r="J566" i="21"/>
  <c r="F566" i="21"/>
  <c r="M565" i="21"/>
  <c r="J565" i="21"/>
  <c r="F565" i="21"/>
  <c r="M564" i="21"/>
  <c r="J564" i="21"/>
  <c r="F564" i="21"/>
  <c r="M563" i="21"/>
  <c r="J563" i="21"/>
  <c r="F563" i="21"/>
  <c r="M562" i="21"/>
  <c r="J562" i="21"/>
  <c r="F562" i="21"/>
  <c r="M561" i="21"/>
  <c r="J561" i="21"/>
  <c r="F561" i="21"/>
  <c r="M560" i="21"/>
  <c r="J560" i="21"/>
  <c r="F560" i="21"/>
  <c r="M559" i="21"/>
  <c r="J559" i="21"/>
  <c r="F559" i="21"/>
  <c r="M558" i="21"/>
  <c r="J558" i="21"/>
  <c r="F558" i="21"/>
  <c r="M557" i="21"/>
  <c r="J557" i="21"/>
  <c r="F557" i="21"/>
  <c r="M556" i="21"/>
  <c r="J556" i="21"/>
  <c r="F556" i="21"/>
  <c r="M555" i="21"/>
  <c r="J555" i="21"/>
  <c r="F555" i="21"/>
  <c r="M554" i="21"/>
  <c r="J554" i="21"/>
  <c r="F554" i="21"/>
  <c r="M553" i="21"/>
  <c r="J553" i="21"/>
  <c r="F553" i="21"/>
  <c r="M552" i="21"/>
  <c r="J552" i="21"/>
  <c r="F552" i="21"/>
  <c r="M551" i="21"/>
  <c r="J551" i="21"/>
  <c r="F551" i="21"/>
  <c r="M550" i="21"/>
  <c r="J550" i="21"/>
  <c r="F550" i="21"/>
  <c r="M549" i="21"/>
  <c r="J549" i="21"/>
  <c r="F549" i="21"/>
  <c r="M548" i="21"/>
  <c r="J548" i="21"/>
  <c r="F548" i="21"/>
  <c r="M547" i="21"/>
  <c r="J547" i="21"/>
  <c r="F547" i="21"/>
  <c r="M546" i="21"/>
  <c r="J546" i="21"/>
  <c r="F546" i="21"/>
  <c r="M545" i="21"/>
  <c r="J545" i="21"/>
  <c r="F545" i="21"/>
  <c r="M544" i="21"/>
  <c r="J544" i="21"/>
  <c r="F544" i="21"/>
  <c r="M543" i="21"/>
  <c r="J543" i="21"/>
  <c r="F543" i="21"/>
  <c r="M542" i="21"/>
  <c r="J542" i="21"/>
  <c r="F542" i="21"/>
  <c r="M541" i="21"/>
  <c r="J541" i="21"/>
  <c r="F541" i="21"/>
  <c r="M540" i="21"/>
  <c r="J540" i="21"/>
  <c r="F540" i="21"/>
  <c r="M539" i="21"/>
  <c r="J539" i="21"/>
  <c r="F539" i="21"/>
  <c r="M538" i="21"/>
  <c r="J538" i="21"/>
  <c r="F538" i="21"/>
  <c r="M537" i="21"/>
  <c r="J537" i="21"/>
  <c r="F537" i="21"/>
  <c r="M536" i="21"/>
  <c r="J536" i="21"/>
  <c r="F536" i="21"/>
  <c r="M535" i="21"/>
  <c r="J535" i="21"/>
  <c r="F535" i="21"/>
  <c r="M534" i="21"/>
  <c r="J534" i="21"/>
  <c r="F534" i="21"/>
  <c r="M533" i="21"/>
  <c r="J533" i="21"/>
  <c r="F533" i="21"/>
  <c r="M532" i="21"/>
  <c r="J532" i="21"/>
  <c r="F532" i="21"/>
  <c r="M531" i="21"/>
  <c r="J531" i="21"/>
  <c r="F531" i="21"/>
  <c r="M530" i="21"/>
  <c r="J530" i="21"/>
  <c r="F530" i="21"/>
  <c r="M529" i="21"/>
  <c r="J529" i="21"/>
  <c r="F529" i="21"/>
  <c r="M528" i="21"/>
  <c r="J528" i="21"/>
  <c r="F528" i="21"/>
  <c r="M527" i="21"/>
  <c r="J527" i="21"/>
  <c r="F527" i="21"/>
  <c r="M526" i="21"/>
  <c r="J526" i="21"/>
  <c r="F526" i="21"/>
  <c r="M525" i="21"/>
  <c r="J525" i="21"/>
  <c r="F525" i="21"/>
  <c r="M524" i="21"/>
  <c r="J524" i="21"/>
  <c r="F524" i="21"/>
  <c r="M523" i="21"/>
  <c r="J523" i="21"/>
  <c r="F523" i="21"/>
  <c r="M522" i="21"/>
  <c r="J522" i="21"/>
  <c r="F522" i="21"/>
  <c r="M521" i="21"/>
  <c r="J521" i="21"/>
  <c r="F521" i="21"/>
  <c r="M520" i="21"/>
  <c r="J520" i="21"/>
  <c r="F520" i="21"/>
  <c r="M519" i="21"/>
  <c r="J519" i="21"/>
  <c r="F519" i="21"/>
  <c r="M518" i="21"/>
  <c r="J518" i="21"/>
  <c r="F518" i="21"/>
  <c r="M517" i="21"/>
  <c r="J517" i="21"/>
  <c r="F517" i="21"/>
  <c r="M516" i="21"/>
  <c r="J516" i="21"/>
  <c r="F516" i="21"/>
  <c r="M515" i="21"/>
  <c r="J515" i="21"/>
  <c r="F515" i="21"/>
  <c r="M514" i="21"/>
  <c r="J514" i="21"/>
  <c r="F514" i="21"/>
  <c r="M513" i="21"/>
  <c r="J513" i="21"/>
  <c r="F513" i="21"/>
  <c r="M512" i="21"/>
  <c r="J512" i="21"/>
  <c r="F512" i="21"/>
  <c r="M511" i="21"/>
  <c r="J511" i="21"/>
  <c r="F511" i="21"/>
  <c r="M510" i="21"/>
  <c r="J510" i="21"/>
  <c r="F510" i="21"/>
  <c r="M509" i="21"/>
  <c r="J509" i="21"/>
  <c r="F509" i="21"/>
  <c r="M508" i="21"/>
  <c r="J508" i="21"/>
  <c r="F508" i="21"/>
  <c r="M507" i="21"/>
  <c r="J507" i="21"/>
  <c r="F507" i="21"/>
  <c r="M506" i="21"/>
  <c r="J506" i="21"/>
  <c r="F506" i="21"/>
  <c r="M505" i="21"/>
  <c r="J505" i="21"/>
  <c r="F505" i="21"/>
  <c r="M504" i="21"/>
  <c r="J504" i="21"/>
  <c r="F504" i="21"/>
  <c r="M503" i="21"/>
  <c r="J503" i="21"/>
  <c r="F503" i="21"/>
  <c r="M502" i="21"/>
  <c r="J502" i="21"/>
  <c r="F502" i="21"/>
  <c r="M501" i="21"/>
  <c r="J501" i="21"/>
  <c r="F501" i="21"/>
  <c r="M500" i="21"/>
  <c r="J500" i="21"/>
  <c r="F500" i="21"/>
  <c r="M499" i="21"/>
  <c r="J499" i="21"/>
  <c r="F499" i="21"/>
  <c r="M498" i="21"/>
  <c r="J498" i="21"/>
  <c r="F498" i="21"/>
  <c r="M497" i="21"/>
  <c r="J497" i="21"/>
  <c r="F497" i="21"/>
  <c r="M496" i="21"/>
  <c r="J496" i="21"/>
  <c r="F496" i="21"/>
  <c r="M495" i="21"/>
  <c r="J495" i="21"/>
  <c r="F495" i="21"/>
  <c r="M494" i="21"/>
  <c r="J494" i="21"/>
  <c r="F494" i="21"/>
  <c r="M493" i="21"/>
  <c r="J493" i="21"/>
  <c r="F493" i="21"/>
  <c r="M492" i="21"/>
  <c r="J492" i="21"/>
  <c r="F492" i="21"/>
  <c r="M491" i="21"/>
  <c r="J491" i="21"/>
  <c r="F491" i="21"/>
  <c r="M490" i="21"/>
  <c r="J490" i="21"/>
  <c r="F490" i="21"/>
  <c r="M489" i="21"/>
  <c r="J489" i="21"/>
  <c r="F489" i="21"/>
  <c r="M488" i="21"/>
  <c r="J488" i="21"/>
  <c r="F488" i="21"/>
  <c r="M487" i="21"/>
  <c r="J487" i="21"/>
  <c r="F487" i="21"/>
  <c r="M486" i="21"/>
  <c r="J486" i="21"/>
  <c r="F486" i="21"/>
  <c r="M485" i="21"/>
  <c r="J485" i="21"/>
  <c r="F485" i="21"/>
  <c r="M484" i="21"/>
  <c r="J484" i="21"/>
  <c r="F484" i="21"/>
  <c r="M483" i="21"/>
  <c r="J483" i="21"/>
  <c r="F483" i="21"/>
  <c r="M482" i="21"/>
  <c r="J482" i="21"/>
  <c r="F482" i="21"/>
  <c r="M481" i="21"/>
  <c r="J481" i="21"/>
  <c r="F481" i="21"/>
  <c r="M480" i="21"/>
  <c r="J480" i="21"/>
  <c r="F480" i="21"/>
  <c r="M479" i="21"/>
  <c r="J479" i="21"/>
  <c r="F479" i="21"/>
  <c r="M478" i="21"/>
  <c r="J478" i="21"/>
  <c r="F478" i="21"/>
  <c r="M477" i="21"/>
  <c r="J477" i="21"/>
  <c r="F477" i="21"/>
  <c r="M476" i="21"/>
  <c r="J476" i="21"/>
  <c r="F476" i="21"/>
  <c r="M475" i="21"/>
  <c r="J475" i="21"/>
  <c r="F475" i="21"/>
  <c r="M474" i="21"/>
  <c r="J474" i="21"/>
  <c r="F474" i="21"/>
  <c r="M473" i="21"/>
  <c r="J473" i="21"/>
  <c r="F473" i="21"/>
  <c r="M472" i="21"/>
  <c r="J472" i="21"/>
  <c r="F472" i="21"/>
  <c r="M471" i="21"/>
  <c r="J471" i="21"/>
  <c r="F471" i="21"/>
  <c r="M470" i="21"/>
  <c r="J470" i="21"/>
  <c r="F470" i="21"/>
  <c r="M469" i="21"/>
  <c r="J469" i="21"/>
  <c r="F469" i="21"/>
  <c r="M468" i="21"/>
  <c r="J468" i="21"/>
  <c r="F468" i="21"/>
  <c r="M467" i="21"/>
  <c r="J467" i="21"/>
  <c r="F467" i="21"/>
  <c r="M466" i="21"/>
  <c r="J466" i="21"/>
  <c r="F466" i="21"/>
  <c r="M465" i="21"/>
  <c r="J465" i="21"/>
  <c r="F465" i="21"/>
  <c r="M464" i="21"/>
  <c r="J464" i="21"/>
  <c r="F464" i="21"/>
  <c r="M463" i="21"/>
  <c r="J463" i="21"/>
  <c r="F463" i="21"/>
  <c r="M462" i="21"/>
  <c r="J462" i="21"/>
  <c r="F462" i="21"/>
  <c r="M461" i="21"/>
  <c r="J461" i="21"/>
  <c r="F461" i="21"/>
  <c r="M460" i="21"/>
  <c r="J460" i="21"/>
  <c r="F460" i="21"/>
  <c r="M459" i="21"/>
  <c r="J459" i="21"/>
  <c r="F459" i="21"/>
  <c r="M458" i="21"/>
  <c r="J458" i="21"/>
  <c r="F458" i="21"/>
  <c r="M457" i="21"/>
  <c r="J457" i="21"/>
  <c r="F457" i="21"/>
  <c r="M456" i="21"/>
  <c r="J456" i="21"/>
  <c r="F456" i="21"/>
  <c r="M455" i="21"/>
  <c r="J455" i="21"/>
  <c r="F455" i="21"/>
  <c r="M454" i="21"/>
  <c r="J454" i="21"/>
  <c r="F454" i="21"/>
  <c r="M453" i="21"/>
  <c r="J453" i="21"/>
  <c r="F453" i="21"/>
  <c r="M452" i="21"/>
  <c r="J452" i="21"/>
  <c r="F452" i="21"/>
  <c r="M451" i="21"/>
  <c r="J451" i="21"/>
  <c r="F451" i="21"/>
  <c r="M450" i="21"/>
  <c r="J450" i="21"/>
  <c r="F450" i="21"/>
  <c r="M449" i="21"/>
  <c r="J449" i="21"/>
  <c r="F449" i="21"/>
  <c r="M448" i="21"/>
  <c r="J448" i="21"/>
  <c r="F448" i="21"/>
  <c r="M447" i="21"/>
  <c r="J447" i="21"/>
  <c r="F447" i="21"/>
  <c r="M446" i="21"/>
  <c r="J446" i="21"/>
  <c r="F446" i="21"/>
  <c r="M445" i="21"/>
  <c r="J445" i="21"/>
  <c r="F445" i="21"/>
  <c r="M444" i="21"/>
  <c r="J444" i="21"/>
  <c r="F444" i="21"/>
  <c r="M443" i="21"/>
  <c r="J443" i="21"/>
  <c r="F443" i="21"/>
  <c r="M442" i="21"/>
  <c r="J442" i="21"/>
  <c r="F442" i="21"/>
  <c r="M441" i="21"/>
  <c r="J441" i="21"/>
  <c r="F441" i="21"/>
  <c r="M440" i="21"/>
  <c r="J440" i="21"/>
  <c r="F440" i="21"/>
  <c r="M439" i="21"/>
  <c r="J439" i="21"/>
  <c r="F439" i="21"/>
  <c r="M438" i="21"/>
  <c r="J438" i="21"/>
  <c r="F438" i="21"/>
  <c r="M437" i="21"/>
  <c r="J437" i="21"/>
  <c r="F437" i="21"/>
  <c r="M436" i="21"/>
  <c r="J436" i="21"/>
  <c r="F436" i="21"/>
  <c r="M435" i="21"/>
  <c r="J435" i="21"/>
  <c r="F435" i="21"/>
  <c r="M434" i="21"/>
  <c r="J434" i="21"/>
  <c r="F434" i="21"/>
  <c r="M433" i="21"/>
  <c r="J433" i="21"/>
  <c r="F433" i="21"/>
  <c r="M432" i="21"/>
  <c r="J432" i="21"/>
  <c r="F432" i="21"/>
  <c r="M431" i="21"/>
  <c r="J431" i="21"/>
  <c r="F431" i="21"/>
  <c r="M430" i="21"/>
  <c r="J430" i="21"/>
  <c r="F430" i="21"/>
  <c r="M429" i="21"/>
  <c r="J429" i="21"/>
  <c r="F429" i="21"/>
  <c r="M428" i="21"/>
  <c r="J428" i="21"/>
  <c r="F428" i="21"/>
  <c r="M427" i="21"/>
  <c r="J427" i="21"/>
  <c r="F427" i="21"/>
  <c r="M426" i="21"/>
  <c r="J426" i="21"/>
  <c r="F426" i="21"/>
  <c r="M425" i="21"/>
  <c r="J425" i="21"/>
  <c r="F425" i="21"/>
  <c r="M424" i="21"/>
  <c r="J424" i="21"/>
  <c r="F424" i="21"/>
  <c r="M423" i="21"/>
  <c r="J423" i="21"/>
  <c r="F423" i="21"/>
  <c r="M422" i="21"/>
  <c r="J422" i="21"/>
  <c r="F422" i="21"/>
  <c r="M421" i="21"/>
  <c r="J421" i="21"/>
  <c r="F421" i="21"/>
  <c r="M420" i="21"/>
  <c r="J420" i="21"/>
  <c r="F420" i="21"/>
  <c r="M419" i="21"/>
  <c r="J419" i="21"/>
  <c r="F419" i="21"/>
  <c r="M418" i="21"/>
  <c r="J418" i="21"/>
  <c r="F418" i="21"/>
  <c r="M417" i="21"/>
  <c r="J417" i="21"/>
  <c r="F417" i="21"/>
  <c r="M416" i="21"/>
  <c r="J416" i="21"/>
  <c r="F416" i="21"/>
  <c r="M415" i="21"/>
  <c r="J415" i="21"/>
  <c r="F415" i="21"/>
  <c r="M414" i="21"/>
  <c r="J414" i="21"/>
  <c r="F414" i="21"/>
  <c r="M413" i="21"/>
  <c r="J413" i="21"/>
  <c r="F413" i="21"/>
  <c r="M412" i="21"/>
  <c r="J412" i="21"/>
  <c r="F412" i="21"/>
  <c r="M411" i="21"/>
  <c r="J411" i="21"/>
  <c r="F411" i="21"/>
  <c r="M410" i="21"/>
  <c r="J410" i="21"/>
  <c r="F410" i="21"/>
  <c r="M409" i="21"/>
  <c r="J409" i="21"/>
  <c r="F409" i="21"/>
  <c r="M408" i="21"/>
  <c r="J408" i="21"/>
  <c r="F408" i="21"/>
  <c r="M407" i="21"/>
  <c r="J407" i="21"/>
  <c r="F407" i="21"/>
  <c r="M406" i="21"/>
  <c r="J406" i="21"/>
  <c r="F406" i="21"/>
  <c r="M405" i="21"/>
  <c r="J405" i="21"/>
  <c r="F405" i="21"/>
  <c r="M404" i="21"/>
  <c r="J404" i="21"/>
  <c r="F404" i="21"/>
  <c r="M403" i="21"/>
  <c r="J403" i="21"/>
  <c r="F403" i="21"/>
  <c r="M402" i="21"/>
  <c r="J402" i="21"/>
  <c r="F402" i="21"/>
  <c r="M401" i="21"/>
  <c r="J401" i="21"/>
  <c r="F401" i="21"/>
  <c r="M400" i="21"/>
  <c r="J400" i="21"/>
  <c r="F400" i="21"/>
  <c r="M399" i="21"/>
  <c r="J399" i="21"/>
  <c r="F399" i="21"/>
  <c r="M398" i="21"/>
  <c r="J398" i="21"/>
  <c r="F398" i="21"/>
  <c r="M397" i="21"/>
  <c r="J397" i="21"/>
  <c r="F397" i="21"/>
  <c r="M396" i="21"/>
  <c r="J396" i="21"/>
  <c r="F396" i="21"/>
  <c r="M395" i="21"/>
  <c r="J395" i="21"/>
  <c r="F395" i="21"/>
  <c r="M394" i="21"/>
  <c r="J394" i="21"/>
  <c r="F394" i="21"/>
  <c r="M393" i="21"/>
  <c r="J393" i="21"/>
  <c r="F393" i="21"/>
  <c r="M392" i="21"/>
  <c r="J392" i="21"/>
  <c r="F392" i="21"/>
  <c r="M391" i="21"/>
  <c r="J391" i="21"/>
  <c r="F391" i="21"/>
  <c r="M390" i="21"/>
  <c r="J390" i="21"/>
  <c r="F390" i="21"/>
  <c r="M389" i="21"/>
  <c r="J389" i="21"/>
  <c r="F389" i="21"/>
  <c r="M388" i="21"/>
  <c r="J388" i="21"/>
  <c r="F388" i="21"/>
  <c r="M387" i="21"/>
  <c r="J387" i="21"/>
  <c r="F387" i="21"/>
  <c r="M386" i="21"/>
  <c r="J386" i="21"/>
  <c r="F386" i="21"/>
  <c r="M385" i="21"/>
  <c r="J385" i="21"/>
  <c r="F385" i="21"/>
  <c r="M384" i="21"/>
  <c r="J384" i="21"/>
  <c r="F384" i="21"/>
  <c r="M383" i="21"/>
  <c r="J383" i="21"/>
  <c r="F383" i="21"/>
  <c r="M382" i="21"/>
  <c r="J382" i="21"/>
  <c r="F382" i="21"/>
  <c r="M381" i="21"/>
  <c r="J381" i="21"/>
  <c r="F381" i="21"/>
  <c r="M380" i="21"/>
  <c r="J380" i="21"/>
  <c r="F380" i="21"/>
  <c r="M379" i="21"/>
  <c r="J379" i="21"/>
  <c r="F379" i="21"/>
  <c r="M378" i="21"/>
  <c r="J378" i="21"/>
  <c r="F378" i="21"/>
  <c r="M377" i="21"/>
  <c r="J377" i="21"/>
  <c r="F377" i="21"/>
  <c r="M376" i="21"/>
  <c r="J376" i="21"/>
  <c r="F376" i="21"/>
  <c r="M375" i="21"/>
  <c r="J375" i="21"/>
  <c r="F375" i="21"/>
  <c r="M374" i="21"/>
  <c r="J374" i="21"/>
  <c r="F374" i="21"/>
  <c r="M373" i="21"/>
  <c r="J373" i="21"/>
  <c r="F373" i="21"/>
  <c r="M372" i="21"/>
  <c r="J372" i="21"/>
  <c r="F372" i="21"/>
  <c r="M371" i="21"/>
  <c r="J371" i="21"/>
  <c r="F371" i="21"/>
  <c r="M370" i="21"/>
  <c r="J370" i="21"/>
  <c r="F370" i="21"/>
  <c r="M369" i="21"/>
  <c r="J369" i="21"/>
  <c r="F369" i="21"/>
  <c r="M368" i="21"/>
  <c r="J368" i="21"/>
  <c r="F368" i="21"/>
  <c r="M367" i="21"/>
  <c r="J367" i="21"/>
  <c r="F367" i="21"/>
  <c r="M366" i="21"/>
  <c r="J366" i="21"/>
  <c r="F366" i="21"/>
  <c r="M365" i="21"/>
  <c r="J365" i="21"/>
  <c r="F365" i="21"/>
  <c r="M364" i="21"/>
  <c r="J364" i="21"/>
  <c r="F364" i="21"/>
  <c r="M363" i="21"/>
  <c r="J363" i="21"/>
  <c r="F363" i="21"/>
  <c r="M362" i="21"/>
  <c r="J362" i="21"/>
  <c r="F362" i="21"/>
  <c r="M361" i="21"/>
  <c r="J361" i="21"/>
  <c r="F361" i="21"/>
  <c r="M360" i="21"/>
  <c r="J360" i="21"/>
  <c r="F360" i="21"/>
  <c r="M359" i="21"/>
  <c r="J359" i="21"/>
  <c r="F359" i="21"/>
  <c r="M358" i="21"/>
  <c r="J358" i="21"/>
  <c r="F358" i="21"/>
  <c r="M357" i="21"/>
  <c r="J357" i="21"/>
  <c r="F357" i="21"/>
  <c r="M356" i="21"/>
  <c r="J356" i="21"/>
  <c r="F356" i="21"/>
  <c r="M355" i="21"/>
  <c r="J355" i="21"/>
  <c r="F355" i="21"/>
  <c r="M354" i="21"/>
  <c r="J354" i="21"/>
  <c r="F354" i="21"/>
  <c r="M353" i="21"/>
  <c r="J353" i="21"/>
  <c r="F353" i="21"/>
  <c r="M352" i="21"/>
  <c r="J352" i="21"/>
  <c r="F352" i="21"/>
  <c r="M351" i="21"/>
  <c r="J351" i="21"/>
  <c r="F351" i="21"/>
  <c r="M350" i="21"/>
  <c r="J350" i="21"/>
  <c r="F350" i="21"/>
  <c r="M349" i="21"/>
  <c r="J349" i="21"/>
  <c r="F349" i="21"/>
  <c r="M348" i="21"/>
  <c r="J348" i="21"/>
  <c r="F348" i="21"/>
  <c r="M347" i="21"/>
  <c r="J347" i="21"/>
  <c r="F347" i="21"/>
  <c r="M346" i="21"/>
  <c r="J346" i="21"/>
  <c r="F346" i="21"/>
  <c r="M345" i="21"/>
  <c r="J345" i="21"/>
  <c r="F345" i="21"/>
  <c r="M344" i="21"/>
  <c r="J344" i="21"/>
  <c r="F344" i="21"/>
  <c r="M343" i="21"/>
  <c r="J343" i="21"/>
  <c r="F343" i="21"/>
  <c r="M342" i="21"/>
  <c r="J342" i="21"/>
  <c r="F342" i="21"/>
  <c r="M341" i="21"/>
  <c r="J341" i="21"/>
  <c r="F341" i="21"/>
  <c r="M340" i="21"/>
  <c r="J340" i="21"/>
  <c r="F340" i="21"/>
  <c r="M339" i="21"/>
  <c r="J339" i="21"/>
  <c r="F339" i="21"/>
  <c r="M338" i="21"/>
  <c r="J338" i="21"/>
  <c r="F338" i="21"/>
  <c r="M337" i="21"/>
  <c r="J337" i="21"/>
  <c r="F337" i="21"/>
  <c r="M336" i="21"/>
  <c r="J336" i="21"/>
  <c r="F336" i="21"/>
  <c r="M335" i="21"/>
  <c r="J335" i="21"/>
  <c r="F335" i="21"/>
  <c r="M334" i="21"/>
  <c r="J334" i="21"/>
  <c r="F334" i="21"/>
  <c r="M333" i="21"/>
  <c r="J333" i="21"/>
  <c r="F333" i="21"/>
  <c r="M332" i="21"/>
  <c r="J332" i="21"/>
  <c r="F332" i="21"/>
  <c r="M331" i="21"/>
  <c r="J331" i="21"/>
  <c r="F331" i="21"/>
  <c r="M330" i="21"/>
  <c r="J330" i="21"/>
  <c r="F330" i="21"/>
  <c r="M329" i="21"/>
  <c r="J329" i="21"/>
  <c r="F329" i="21"/>
  <c r="M328" i="21"/>
  <c r="J328" i="21"/>
  <c r="F328" i="21"/>
  <c r="M327" i="21"/>
  <c r="J327" i="21"/>
  <c r="F327" i="21"/>
  <c r="M326" i="21"/>
  <c r="J326" i="21"/>
  <c r="F326" i="21"/>
  <c r="M325" i="21"/>
  <c r="J325" i="21"/>
  <c r="F325" i="21"/>
  <c r="M324" i="21"/>
  <c r="J324" i="21"/>
  <c r="F324" i="21"/>
  <c r="M323" i="21"/>
  <c r="J323" i="21"/>
  <c r="F323" i="21"/>
  <c r="M322" i="21"/>
  <c r="J322" i="21"/>
  <c r="F322" i="21"/>
  <c r="M321" i="21"/>
  <c r="J321" i="21"/>
  <c r="F321" i="21"/>
  <c r="M320" i="21"/>
  <c r="J320" i="21"/>
  <c r="F320" i="21"/>
  <c r="M319" i="21"/>
  <c r="J319" i="21"/>
  <c r="F319" i="21"/>
  <c r="M318" i="21"/>
  <c r="J318" i="21"/>
  <c r="F318" i="21"/>
  <c r="M317" i="21"/>
  <c r="J317" i="21"/>
  <c r="F317" i="21"/>
  <c r="M316" i="21"/>
  <c r="J316" i="21"/>
  <c r="F316" i="21"/>
  <c r="M315" i="21"/>
  <c r="J315" i="21"/>
  <c r="F315" i="21"/>
  <c r="M314" i="21"/>
  <c r="J314" i="21"/>
  <c r="F314" i="21"/>
  <c r="M313" i="21"/>
  <c r="J313" i="21"/>
  <c r="F313" i="21"/>
  <c r="M312" i="21"/>
  <c r="J312" i="21"/>
  <c r="F312" i="21"/>
  <c r="M311" i="21"/>
  <c r="J311" i="21"/>
  <c r="F311" i="21"/>
  <c r="M310" i="21"/>
  <c r="J310" i="21"/>
  <c r="F310" i="21"/>
  <c r="M309" i="21"/>
  <c r="J309" i="21"/>
  <c r="F309" i="21"/>
  <c r="M308" i="21"/>
  <c r="J308" i="21"/>
  <c r="F308" i="21"/>
  <c r="M307" i="21"/>
  <c r="J307" i="21"/>
  <c r="F307" i="21"/>
  <c r="M306" i="21"/>
  <c r="J306" i="21"/>
  <c r="F306" i="21"/>
  <c r="M305" i="21"/>
  <c r="J305" i="21"/>
  <c r="F305" i="21"/>
  <c r="M304" i="21"/>
  <c r="J304" i="21"/>
  <c r="F304" i="21"/>
  <c r="M303" i="21"/>
  <c r="J303" i="21"/>
  <c r="F303" i="21"/>
  <c r="M302" i="21"/>
  <c r="J302" i="21"/>
  <c r="F302" i="21"/>
  <c r="M301" i="21"/>
  <c r="J301" i="21"/>
  <c r="F301" i="21"/>
  <c r="M300" i="21"/>
  <c r="J300" i="21"/>
  <c r="F300" i="21"/>
  <c r="M299" i="21"/>
  <c r="J299" i="21"/>
  <c r="F299" i="21"/>
  <c r="M298" i="21"/>
  <c r="J298" i="21"/>
  <c r="F298" i="21"/>
  <c r="M297" i="21"/>
  <c r="J297" i="21"/>
  <c r="F297" i="21"/>
  <c r="M296" i="21"/>
  <c r="J296" i="21"/>
  <c r="F296" i="21"/>
  <c r="M295" i="21"/>
  <c r="J295" i="21"/>
  <c r="F295" i="21"/>
  <c r="M294" i="21"/>
  <c r="J294" i="21"/>
  <c r="F294" i="21"/>
  <c r="M293" i="21"/>
  <c r="J293" i="21"/>
  <c r="F293" i="21"/>
  <c r="M292" i="21"/>
  <c r="J292" i="21"/>
  <c r="F292" i="21"/>
  <c r="M291" i="21"/>
  <c r="J291" i="21"/>
  <c r="F291" i="21"/>
  <c r="M290" i="21"/>
  <c r="J290" i="21"/>
  <c r="F290" i="21"/>
  <c r="M289" i="21"/>
  <c r="J289" i="21"/>
  <c r="F289" i="21"/>
  <c r="M288" i="21"/>
  <c r="J288" i="21"/>
  <c r="F288" i="21"/>
  <c r="M287" i="21"/>
  <c r="J287" i="21"/>
  <c r="F287" i="21"/>
  <c r="M286" i="21"/>
  <c r="J286" i="21"/>
  <c r="F286" i="21"/>
  <c r="M285" i="21"/>
  <c r="J285" i="21"/>
  <c r="F285" i="21"/>
  <c r="M284" i="21"/>
  <c r="J284" i="21"/>
  <c r="F284" i="21"/>
  <c r="M283" i="21"/>
  <c r="J283" i="21"/>
  <c r="F283" i="21"/>
  <c r="M282" i="21"/>
  <c r="J282" i="21"/>
  <c r="F282" i="21"/>
  <c r="M281" i="21"/>
  <c r="J281" i="21"/>
  <c r="F281" i="21"/>
  <c r="M280" i="21"/>
  <c r="J280" i="21"/>
  <c r="F280" i="21"/>
  <c r="M279" i="21"/>
  <c r="J279" i="21"/>
  <c r="F279" i="21"/>
  <c r="M278" i="21"/>
  <c r="J278" i="21"/>
  <c r="F278" i="21"/>
  <c r="M277" i="21"/>
  <c r="J277" i="21"/>
  <c r="F277" i="21"/>
  <c r="M276" i="21"/>
  <c r="J276" i="21"/>
  <c r="F276" i="21"/>
  <c r="M275" i="21"/>
  <c r="J275" i="21"/>
  <c r="F275" i="21"/>
  <c r="M274" i="21"/>
  <c r="J274" i="21"/>
  <c r="F274" i="21"/>
  <c r="M273" i="21"/>
  <c r="J273" i="21"/>
  <c r="F273" i="21"/>
  <c r="M272" i="21"/>
  <c r="J272" i="21"/>
  <c r="F272" i="21"/>
  <c r="M271" i="21"/>
  <c r="J271" i="21"/>
  <c r="F271" i="21"/>
  <c r="M270" i="21"/>
  <c r="J270" i="21"/>
  <c r="F270" i="21"/>
  <c r="M269" i="21"/>
  <c r="J269" i="21"/>
  <c r="F269" i="21"/>
  <c r="M268" i="21"/>
  <c r="J268" i="21"/>
  <c r="F268" i="21"/>
  <c r="M267" i="21"/>
  <c r="J267" i="21"/>
  <c r="F267" i="21"/>
  <c r="M266" i="21"/>
  <c r="J266" i="21"/>
  <c r="F266" i="21"/>
  <c r="M265" i="21"/>
  <c r="J265" i="21"/>
  <c r="F265" i="21"/>
  <c r="M264" i="21"/>
  <c r="J264" i="21"/>
  <c r="F264" i="21"/>
  <c r="M263" i="21"/>
  <c r="J263" i="21"/>
  <c r="F263" i="21"/>
  <c r="M262" i="21"/>
  <c r="J262" i="21"/>
  <c r="F262" i="21"/>
  <c r="M261" i="21"/>
  <c r="J261" i="21"/>
  <c r="F261" i="21"/>
  <c r="M260" i="21"/>
  <c r="J260" i="21"/>
  <c r="F260" i="21"/>
  <c r="M259" i="21"/>
  <c r="J259" i="21"/>
  <c r="F259" i="21"/>
  <c r="M258" i="21"/>
  <c r="J258" i="21"/>
  <c r="F258" i="21"/>
  <c r="M257" i="21"/>
  <c r="J257" i="21"/>
  <c r="F257" i="21"/>
  <c r="M256" i="21"/>
  <c r="J256" i="21"/>
  <c r="F256" i="21"/>
  <c r="M255" i="21"/>
  <c r="J255" i="21"/>
  <c r="F255" i="21"/>
  <c r="M254" i="21"/>
  <c r="J254" i="21"/>
  <c r="F254" i="21"/>
  <c r="M253" i="21"/>
  <c r="J253" i="21"/>
  <c r="F253" i="21"/>
  <c r="M252" i="21"/>
  <c r="J252" i="21"/>
  <c r="F252" i="21"/>
  <c r="M251" i="21"/>
  <c r="J251" i="21"/>
  <c r="F251" i="21"/>
  <c r="M250" i="21"/>
  <c r="J250" i="21"/>
  <c r="F250" i="21"/>
  <c r="M249" i="21"/>
  <c r="J249" i="21"/>
  <c r="F249" i="21"/>
  <c r="M248" i="21"/>
  <c r="J248" i="21"/>
  <c r="F248" i="21"/>
  <c r="M247" i="21"/>
  <c r="J247" i="21"/>
  <c r="F247" i="21"/>
  <c r="M246" i="21"/>
  <c r="J246" i="21"/>
  <c r="F246" i="21"/>
  <c r="M245" i="21"/>
  <c r="J245" i="21"/>
  <c r="F245" i="21"/>
  <c r="M244" i="21"/>
  <c r="J244" i="21"/>
  <c r="F244" i="21"/>
  <c r="M243" i="21"/>
  <c r="J243" i="21"/>
  <c r="F243" i="21"/>
  <c r="M242" i="21"/>
  <c r="J242" i="21"/>
  <c r="F242" i="21"/>
  <c r="M241" i="21"/>
  <c r="J241" i="21"/>
  <c r="F241" i="21"/>
  <c r="M240" i="21"/>
  <c r="J240" i="21"/>
  <c r="F240" i="21"/>
  <c r="M239" i="21"/>
  <c r="J239" i="21"/>
  <c r="F239" i="21"/>
  <c r="M238" i="21"/>
  <c r="J238" i="21"/>
  <c r="F238" i="21"/>
  <c r="M237" i="21"/>
  <c r="J237" i="21"/>
  <c r="F237" i="21"/>
  <c r="M236" i="21"/>
  <c r="J236" i="21"/>
  <c r="F236" i="21"/>
  <c r="M235" i="21"/>
  <c r="J235" i="21"/>
  <c r="F235" i="21"/>
  <c r="M234" i="21"/>
  <c r="J234" i="21"/>
  <c r="F234" i="21"/>
  <c r="M233" i="21"/>
  <c r="J233" i="21"/>
  <c r="F233" i="21"/>
  <c r="M232" i="21"/>
  <c r="J232" i="21"/>
  <c r="F232" i="21"/>
  <c r="M231" i="21"/>
  <c r="J231" i="21"/>
  <c r="F231" i="21"/>
  <c r="M230" i="21"/>
  <c r="J230" i="21"/>
  <c r="F230" i="21"/>
  <c r="M229" i="21"/>
  <c r="J229" i="21"/>
  <c r="F229" i="21"/>
  <c r="M228" i="21"/>
  <c r="J228" i="21"/>
  <c r="F228" i="21"/>
  <c r="M227" i="21"/>
  <c r="J227" i="21"/>
  <c r="F227" i="21"/>
  <c r="M226" i="21"/>
  <c r="J226" i="21"/>
  <c r="F226" i="21"/>
  <c r="M225" i="21"/>
  <c r="J225" i="21"/>
  <c r="F225" i="21"/>
  <c r="M224" i="21"/>
  <c r="J224" i="21"/>
  <c r="F224" i="21"/>
  <c r="M223" i="21"/>
  <c r="J223" i="21"/>
  <c r="F223" i="21"/>
  <c r="M222" i="21"/>
  <c r="J222" i="21"/>
  <c r="F222" i="21"/>
  <c r="M221" i="21"/>
  <c r="J221" i="21"/>
  <c r="F221" i="21"/>
  <c r="M220" i="21"/>
  <c r="J220" i="21"/>
  <c r="F220" i="21"/>
  <c r="M219" i="21"/>
  <c r="J219" i="21"/>
  <c r="F219" i="21"/>
  <c r="M218" i="21"/>
  <c r="J218" i="21"/>
  <c r="F218" i="21"/>
  <c r="M217" i="21"/>
  <c r="J217" i="21"/>
  <c r="F217" i="21"/>
  <c r="M216" i="21"/>
  <c r="J216" i="21"/>
  <c r="F216" i="21"/>
  <c r="M215" i="21"/>
  <c r="J215" i="21"/>
  <c r="F215" i="21"/>
  <c r="M214" i="21"/>
  <c r="J214" i="21"/>
  <c r="F214" i="21"/>
  <c r="M213" i="21"/>
  <c r="J213" i="21"/>
  <c r="F213" i="21"/>
  <c r="M212" i="21"/>
  <c r="J212" i="21"/>
  <c r="F212" i="21"/>
  <c r="M211" i="21"/>
  <c r="J211" i="21"/>
  <c r="F211" i="21"/>
  <c r="M210" i="21"/>
  <c r="J210" i="21"/>
  <c r="F210" i="21"/>
  <c r="M209" i="21"/>
  <c r="J209" i="21"/>
  <c r="F209" i="21"/>
  <c r="M208" i="21"/>
  <c r="J208" i="21"/>
  <c r="F208" i="21"/>
  <c r="M207" i="21"/>
  <c r="J207" i="21"/>
  <c r="F207" i="21"/>
  <c r="M206" i="21"/>
  <c r="J206" i="21"/>
  <c r="F206" i="21"/>
  <c r="M205" i="21"/>
  <c r="J205" i="21"/>
  <c r="F205" i="21"/>
  <c r="M204" i="21"/>
  <c r="J204" i="21"/>
  <c r="F204" i="21"/>
  <c r="M203" i="21"/>
  <c r="J203" i="21"/>
  <c r="F203" i="21"/>
  <c r="M202" i="21"/>
  <c r="J202" i="21"/>
  <c r="F202" i="21"/>
  <c r="M201" i="21"/>
  <c r="J201" i="21"/>
  <c r="F201" i="21"/>
  <c r="M200" i="21"/>
  <c r="J200" i="21"/>
  <c r="F200" i="21"/>
  <c r="M199" i="21"/>
  <c r="J199" i="21"/>
  <c r="F199" i="21"/>
  <c r="M198" i="21"/>
  <c r="J198" i="21"/>
  <c r="F198" i="21"/>
  <c r="M197" i="21"/>
  <c r="J197" i="21"/>
  <c r="F197" i="21"/>
  <c r="M196" i="21"/>
  <c r="J196" i="21"/>
  <c r="F196" i="21"/>
  <c r="M195" i="21"/>
  <c r="J195" i="21"/>
  <c r="F195" i="21"/>
  <c r="M194" i="21"/>
  <c r="J194" i="21"/>
  <c r="F194" i="21"/>
  <c r="M193" i="21"/>
  <c r="J193" i="21"/>
  <c r="F193" i="21"/>
  <c r="M192" i="21"/>
  <c r="J192" i="21"/>
  <c r="F192" i="21"/>
  <c r="M191" i="21"/>
  <c r="J191" i="21"/>
  <c r="F191" i="21"/>
  <c r="M190" i="21"/>
  <c r="J190" i="21"/>
  <c r="F190" i="21"/>
  <c r="M189" i="21"/>
  <c r="J189" i="21"/>
  <c r="F189" i="21"/>
  <c r="M188" i="21"/>
  <c r="J188" i="21"/>
  <c r="F188" i="21"/>
  <c r="M187" i="21"/>
  <c r="J187" i="21"/>
  <c r="F187" i="21"/>
  <c r="M186" i="21"/>
  <c r="J186" i="21"/>
  <c r="F186" i="21"/>
  <c r="M185" i="21"/>
  <c r="J185" i="21"/>
  <c r="F185" i="21"/>
  <c r="M184" i="21"/>
  <c r="J184" i="21"/>
  <c r="F184" i="21"/>
  <c r="M183" i="21"/>
  <c r="J183" i="21"/>
  <c r="F183" i="21"/>
  <c r="M182" i="21"/>
  <c r="J182" i="21"/>
  <c r="F182" i="21"/>
  <c r="M181" i="21"/>
  <c r="J181" i="21"/>
  <c r="F181" i="21"/>
  <c r="M180" i="21"/>
  <c r="J180" i="21"/>
  <c r="F180" i="21"/>
  <c r="M179" i="21"/>
  <c r="J179" i="21"/>
  <c r="F179" i="21"/>
  <c r="M178" i="21"/>
  <c r="J178" i="21"/>
  <c r="F178" i="21"/>
  <c r="M177" i="21"/>
  <c r="J177" i="21"/>
  <c r="F177" i="21"/>
  <c r="M176" i="21"/>
  <c r="J176" i="21"/>
  <c r="F176" i="21"/>
  <c r="M175" i="21"/>
  <c r="J175" i="21"/>
  <c r="F175" i="21"/>
  <c r="M174" i="21"/>
  <c r="J174" i="21"/>
  <c r="F174" i="21"/>
  <c r="M173" i="21"/>
  <c r="J173" i="21"/>
  <c r="F173" i="21"/>
  <c r="M172" i="21"/>
  <c r="J172" i="21"/>
  <c r="F172" i="21"/>
  <c r="M171" i="21"/>
  <c r="J171" i="21"/>
  <c r="F171" i="21"/>
  <c r="M170" i="21"/>
  <c r="J170" i="21"/>
  <c r="F170" i="21"/>
  <c r="M169" i="21"/>
  <c r="J169" i="21"/>
  <c r="F169" i="21"/>
  <c r="M168" i="21"/>
  <c r="J168" i="21"/>
  <c r="F168" i="21"/>
  <c r="M167" i="21"/>
  <c r="J167" i="21"/>
  <c r="F167" i="21"/>
  <c r="M166" i="21"/>
  <c r="J166" i="21"/>
  <c r="F166" i="21"/>
  <c r="M165" i="21"/>
  <c r="J165" i="21"/>
  <c r="F165" i="21"/>
  <c r="M164" i="21"/>
  <c r="J164" i="21"/>
  <c r="F164" i="21"/>
  <c r="M163" i="21"/>
  <c r="J163" i="21"/>
  <c r="F163" i="21"/>
  <c r="M162" i="21"/>
  <c r="J162" i="21"/>
  <c r="F162" i="21"/>
  <c r="M161" i="21"/>
  <c r="J161" i="21"/>
  <c r="F161" i="21"/>
  <c r="M160" i="21"/>
  <c r="J160" i="21"/>
  <c r="F160" i="21"/>
  <c r="M159" i="21"/>
  <c r="J159" i="21"/>
  <c r="F159" i="21"/>
  <c r="M158" i="21"/>
  <c r="J158" i="21"/>
  <c r="F158" i="21"/>
  <c r="M157" i="21"/>
  <c r="J157" i="21"/>
  <c r="F157" i="21"/>
  <c r="M156" i="21"/>
  <c r="J156" i="21"/>
  <c r="F156" i="21"/>
  <c r="M155" i="21"/>
  <c r="J155" i="21"/>
  <c r="F155" i="21"/>
  <c r="M154" i="21"/>
  <c r="J154" i="21"/>
  <c r="F154" i="21"/>
  <c r="M153" i="21"/>
  <c r="J153" i="21"/>
  <c r="F153" i="21"/>
  <c r="M152" i="21"/>
  <c r="J152" i="21"/>
  <c r="F152" i="21"/>
  <c r="M151" i="21"/>
  <c r="J151" i="21"/>
  <c r="F151" i="21"/>
  <c r="M150" i="21"/>
  <c r="J150" i="21"/>
  <c r="F150" i="21"/>
  <c r="M149" i="21"/>
  <c r="J149" i="21"/>
  <c r="F149" i="21"/>
  <c r="M148" i="21"/>
  <c r="J148" i="21"/>
  <c r="F148" i="21"/>
  <c r="M147" i="21"/>
  <c r="J147" i="21"/>
  <c r="F147" i="21"/>
  <c r="M146" i="21"/>
  <c r="J146" i="21"/>
  <c r="F146" i="21"/>
  <c r="M145" i="21"/>
  <c r="J145" i="21"/>
  <c r="F145" i="21"/>
  <c r="M144" i="21"/>
  <c r="J144" i="21"/>
  <c r="F144" i="21"/>
  <c r="M143" i="21"/>
  <c r="J143" i="21"/>
  <c r="F143" i="21"/>
  <c r="M142" i="21"/>
  <c r="J142" i="21"/>
  <c r="F142" i="21"/>
  <c r="M141" i="21"/>
  <c r="J141" i="21"/>
  <c r="F141" i="21"/>
  <c r="M140" i="21"/>
  <c r="J140" i="21"/>
  <c r="F140" i="21"/>
  <c r="M139" i="21"/>
  <c r="J139" i="21"/>
  <c r="F139" i="21"/>
  <c r="M138" i="21"/>
  <c r="J138" i="21"/>
  <c r="F138" i="21"/>
  <c r="M137" i="21"/>
  <c r="J137" i="21"/>
  <c r="F137" i="21"/>
  <c r="M136" i="21"/>
  <c r="J136" i="21"/>
  <c r="F136" i="21"/>
  <c r="M135" i="21"/>
  <c r="J135" i="21"/>
  <c r="F135" i="21"/>
  <c r="M134" i="21"/>
  <c r="J134" i="21"/>
  <c r="F134" i="21"/>
  <c r="M133" i="21"/>
  <c r="J133" i="21"/>
  <c r="F133" i="21"/>
  <c r="M132" i="21"/>
  <c r="J132" i="21"/>
  <c r="F132" i="21"/>
  <c r="M131" i="21"/>
  <c r="J131" i="21"/>
  <c r="F131" i="21"/>
  <c r="M130" i="21"/>
  <c r="J130" i="21"/>
  <c r="F130" i="21"/>
  <c r="M129" i="21"/>
  <c r="J129" i="21"/>
  <c r="F129" i="21"/>
  <c r="M128" i="21"/>
  <c r="J128" i="21"/>
  <c r="F128" i="21"/>
  <c r="M127" i="21"/>
  <c r="J127" i="21"/>
  <c r="F127" i="21"/>
  <c r="M126" i="21"/>
  <c r="J126" i="21"/>
  <c r="F126" i="21"/>
  <c r="M125" i="21"/>
  <c r="J125" i="21"/>
  <c r="F125" i="21"/>
  <c r="M124" i="21"/>
  <c r="J124" i="21"/>
  <c r="F124" i="21"/>
  <c r="M123" i="21"/>
  <c r="J123" i="21"/>
  <c r="F123" i="21"/>
  <c r="M122" i="21"/>
  <c r="J122" i="21"/>
  <c r="F122" i="21"/>
  <c r="M121" i="21"/>
  <c r="J121" i="21"/>
  <c r="F121" i="21"/>
  <c r="M120" i="21"/>
  <c r="J120" i="21"/>
  <c r="F120" i="21"/>
  <c r="M119" i="21"/>
  <c r="J119" i="21"/>
  <c r="F119" i="21"/>
  <c r="M118" i="21"/>
  <c r="J118" i="21"/>
  <c r="F118" i="21"/>
  <c r="M117" i="21"/>
  <c r="J117" i="21"/>
  <c r="F117" i="21"/>
  <c r="M116" i="21"/>
  <c r="J116" i="21"/>
  <c r="F116" i="21"/>
  <c r="M115" i="21"/>
  <c r="J115" i="21"/>
  <c r="F115" i="21"/>
  <c r="M114" i="21"/>
  <c r="J114" i="21"/>
  <c r="F114" i="21"/>
  <c r="M113" i="21"/>
  <c r="J113" i="21"/>
  <c r="F113" i="21"/>
  <c r="M112" i="21"/>
  <c r="J112" i="21"/>
  <c r="F112" i="21"/>
  <c r="M111" i="21"/>
  <c r="J111" i="21"/>
  <c r="F111" i="21"/>
  <c r="M110" i="21"/>
  <c r="J110" i="21"/>
  <c r="F110" i="21"/>
  <c r="M109" i="21"/>
  <c r="J109" i="21"/>
  <c r="F109" i="21"/>
  <c r="M108" i="21"/>
  <c r="J108" i="21"/>
  <c r="F108" i="21"/>
  <c r="M107" i="21"/>
  <c r="J107" i="21"/>
  <c r="F107" i="21"/>
  <c r="M106" i="21"/>
  <c r="J106" i="21"/>
  <c r="F106" i="21"/>
  <c r="M105" i="21"/>
  <c r="J105" i="21"/>
  <c r="F105" i="21"/>
  <c r="M104" i="21"/>
  <c r="J104" i="21"/>
  <c r="F104" i="21"/>
  <c r="M103" i="21"/>
  <c r="J103" i="21"/>
  <c r="F103" i="21"/>
  <c r="M102" i="21"/>
  <c r="J102" i="21"/>
  <c r="F102" i="21"/>
  <c r="M101" i="21"/>
  <c r="J101" i="21"/>
  <c r="F101" i="21"/>
  <c r="M100" i="21"/>
  <c r="J100" i="21"/>
  <c r="F100" i="21"/>
  <c r="M99" i="21"/>
  <c r="J99" i="21"/>
  <c r="F99" i="21"/>
  <c r="M98" i="21"/>
  <c r="J98" i="21"/>
  <c r="F98" i="21"/>
  <c r="M97" i="21"/>
  <c r="J97" i="21"/>
  <c r="F97" i="21"/>
  <c r="M96" i="21"/>
  <c r="J96" i="21"/>
  <c r="F96" i="21"/>
  <c r="M95" i="21"/>
  <c r="J95" i="21"/>
  <c r="F95" i="21"/>
  <c r="M94" i="21"/>
  <c r="J94" i="21"/>
  <c r="F94" i="21"/>
  <c r="M93" i="21"/>
  <c r="J93" i="21"/>
  <c r="F93" i="21"/>
  <c r="M92" i="21"/>
  <c r="J92" i="21"/>
  <c r="F92" i="21"/>
  <c r="M91" i="21"/>
  <c r="J91" i="21"/>
  <c r="F91" i="21"/>
  <c r="M90" i="21"/>
  <c r="J90" i="21"/>
  <c r="F90" i="21"/>
  <c r="M89" i="21"/>
  <c r="J89" i="21"/>
  <c r="F89" i="21"/>
  <c r="M88" i="21"/>
  <c r="J88" i="21"/>
  <c r="F88" i="21"/>
  <c r="M87" i="21"/>
  <c r="J87" i="21"/>
  <c r="F87" i="21"/>
  <c r="M86" i="21"/>
  <c r="J86" i="21"/>
  <c r="F86" i="21"/>
  <c r="M85" i="21"/>
  <c r="J85" i="21"/>
  <c r="F85" i="21"/>
  <c r="M84" i="21"/>
  <c r="J84" i="21"/>
  <c r="F84" i="21"/>
  <c r="M83" i="21"/>
  <c r="J83" i="21"/>
  <c r="F83" i="21"/>
  <c r="M82" i="21"/>
  <c r="J82" i="21"/>
  <c r="F82" i="21"/>
  <c r="M81" i="21"/>
  <c r="J81" i="21"/>
  <c r="F81" i="21"/>
  <c r="M80" i="21"/>
  <c r="J80" i="21"/>
  <c r="F80" i="21"/>
  <c r="M79" i="21"/>
  <c r="J79" i="21"/>
  <c r="F79" i="21"/>
  <c r="M78" i="21"/>
  <c r="J78" i="21"/>
  <c r="F78" i="21"/>
  <c r="M77" i="21"/>
  <c r="J77" i="21"/>
  <c r="F77" i="21"/>
  <c r="M76" i="21"/>
  <c r="J76" i="21"/>
  <c r="F76" i="21"/>
  <c r="M75" i="21"/>
  <c r="J75" i="21"/>
  <c r="F75" i="21"/>
  <c r="M74" i="21"/>
  <c r="J74" i="21"/>
  <c r="F74" i="21"/>
  <c r="M73" i="21"/>
  <c r="J73" i="21"/>
  <c r="F73" i="21"/>
  <c r="M72" i="21"/>
  <c r="J72" i="21"/>
  <c r="F72" i="21"/>
  <c r="M71" i="21"/>
  <c r="J71" i="21"/>
  <c r="F71" i="21"/>
  <c r="M70" i="21"/>
  <c r="J70" i="21"/>
  <c r="F70" i="21"/>
  <c r="M69" i="21"/>
  <c r="J69" i="21"/>
  <c r="F69" i="21"/>
  <c r="M68" i="21"/>
  <c r="J68" i="21"/>
  <c r="F68" i="21"/>
  <c r="M67" i="21"/>
  <c r="J67" i="21"/>
  <c r="F67" i="21"/>
  <c r="M66" i="21"/>
  <c r="J66" i="21"/>
  <c r="F66" i="21"/>
  <c r="M65" i="21"/>
  <c r="J65" i="21"/>
  <c r="F65" i="21"/>
  <c r="M64" i="21"/>
  <c r="J64" i="21"/>
  <c r="F64" i="21"/>
  <c r="M63" i="21"/>
  <c r="J63" i="21"/>
  <c r="F63" i="21"/>
  <c r="M62" i="21"/>
  <c r="J62" i="21"/>
  <c r="F62" i="21"/>
  <c r="M61" i="21"/>
  <c r="J61" i="21"/>
  <c r="F61" i="21"/>
  <c r="M60" i="21"/>
  <c r="J60" i="21"/>
  <c r="F60" i="21"/>
  <c r="M59" i="21"/>
  <c r="J59" i="21"/>
  <c r="F59" i="21"/>
  <c r="M58" i="21"/>
  <c r="J58" i="21"/>
  <c r="F58" i="21"/>
  <c r="M57" i="21"/>
  <c r="J57" i="21"/>
  <c r="F57" i="21"/>
  <c r="M56" i="21"/>
  <c r="J56" i="21"/>
  <c r="F56" i="21"/>
  <c r="M55" i="21"/>
  <c r="J55" i="21"/>
  <c r="F55" i="21"/>
  <c r="M54" i="21"/>
  <c r="J54" i="21"/>
  <c r="F54" i="21"/>
  <c r="M53" i="21"/>
  <c r="J53" i="21"/>
  <c r="F53" i="21"/>
  <c r="M52" i="21"/>
  <c r="J52" i="21"/>
  <c r="F52" i="21"/>
  <c r="M51" i="21"/>
  <c r="J51" i="21"/>
  <c r="F51" i="21"/>
  <c r="M50" i="21"/>
  <c r="J50" i="21"/>
  <c r="F50" i="21"/>
  <c r="M49" i="21"/>
  <c r="J49" i="21"/>
  <c r="F49" i="21"/>
  <c r="M48" i="21"/>
  <c r="J48" i="21"/>
  <c r="F48" i="21"/>
  <c r="M47" i="21"/>
  <c r="J47" i="21"/>
  <c r="F47" i="21"/>
  <c r="M46" i="21"/>
  <c r="J46" i="21"/>
  <c r="F46" i="21"/>
  <c r="M45" i="21"/>
  <c r="J45" i="21"/>
  <c r="F45" i="21"/>
  <c r="M44" i="21"/>
  <c r="J44" i="21"/>
  <c r="F44" i="21"/>
  <c r="M43" i="21"/>
  <c r="J43" i="21"/>
  <c r="F43" i="21"/>
  <c r="M42" i="21"/>
  <c r="J42" i="21"/>
  <c r="F42" i="21"/>
  <c r="M41" i="21"/>
  <c r="J41" i="21"/>
  <c r="F41" i="21"/>
  <c r="M40" i="21"/>
  <c r="J40" i="21"/>
  <c r="F40" i="21"/>
  <c r="M39" i="21"/>
  <c r="J39" i="21"/>
  <c r="F39" i="21"/>
  <c r="M38" i="21"/>
  <c r="J38" i="21"/>
  <c r="F38" i="21"/>
  <c r="M37" i="21"/>
  <c r="J37" i="21"/>
  <c r="F37" i="21"/>
  <c r="M36" i="21"/>
  <c r="J36" i="21"/>
  <c r="F36" i="21"/>
  <c r="M35" i="21"/>
  <c r="J35" i="21"/>
  <c r="F35" i="21"/>
  <c r="M34" i="21"/>
  <c r="J34" i="21"/>
  <c r="F34" i="21"/>
  <c r="M33" i="21"/>
  <c r="J33" i="21"/>
  <c r="F33" i="21"/>
  <c r="M32" i="21"/>
  <c r="J32" i="21"/>
  <c r="F32" i="21"/>
  <c r="M31" i="21"/>
  <c r="J31" i="21"/>
  <c r="F31" i="21"/>
  <c r="M30" i="21"/>
  <c r="J30" i="21"/>
  <c r="F30" i="21"/>
  <c r="M29" i="21"/>
  <c r="J29" i="21"/>
  <c r="F29" i="21"/>
  <c r="M28" i="21"/>
  <c r="J28" i="21"/>
  <c r="F28" i="21"/>
  <c r="M27" i="21"/>
  <c r="J27" i="21"/>
  <c r="F27" i="21"/>
  <c r="M26" i="21"/>
  <c r="J26" i="21"/>
  <c r="F26" i="21"/>
  <c r="M25" i="21"/>
  <c r="J25" i="21"/>
  <c r="F25" i="21"/>
  <c r="M24" i="21"/>
  <c r="J24" i="21"/>
  <c r="F24" i="21"/>
  <c r="M23" i="21"/>
  <c r="J23" i="21"/>
  <c r="F23" i="21"/>
  <c r="M22" i="21"/>
  <c r="J22" i="21"/>
  <c r="F22" i="21"/>
  <c r="M21" i="21"/>
  <c r="J21" i="21"/>
  <c r="F21" i="21"/>
  <c r="M20" i="21"/>
  <c r="J20" i="21"/>
  <c r="F20" i="21"/>
  <c r="M19" i="21"/>
  <c r="J19" i="21"/>
  <c r="F19" i="21"/>
  <c r="M18" i="21"/>
  <c r="J18" i="21"/>
  <c r="F18" i="21"/>
  <c r="M17" i="21"/>
  <c r="J17" i="21"/>
  <c r="F17" i="21"/>
  <c r="M16" i="21"/>
  <c r="J16" i="21"/>
  <c r="F16" i="21"/>
  <c r="M15" i="21"/>
  <c r="J15" i="21"/>
  <c r="F15" i="21"/>
  <c r="M14" i="21"/>
  <c r="J14" i="21"/>
  <c r="F14" i="21"/>
  <c r="M13" i="21"/>
  <c r="J13" i="21"/>
  <c r="F13" i="21"/>
  <c r="M12" i="21"/>
  <c r="J12" i="21"/>
  <c r="F12" i="21"/>
  <c r="M11" i="21"/>
  <c r="J11" i="21"/>
  <c r="F11" i="21"/>
  <c r="M10" i="21"/>
  <c r="J10" i="21"/>
  <c r="F10" i="21"/>
  <c r="M9" i="21"/>
  <c r="J9" i="21"/>
  <c r="F9" i="21"/>
  <c r="M8" i="21"/>
  <c r="J8" i="21"/>
  <c r="F8" i="21"/>
  <c r="M7" i="21"/>
  <c r="J7" i="21"/>
  <c r="F7" i="21"/>
  <c r="M6" i="21"/>
  <c r="J6" i="21"/>
  <c r="F6" i="21"/>
  <c r="M5" i="21"/>
  <c r="J5" i="21"/>
  <c r="F5" i="21"/>
  <c r="M4" i="21"/>
  <c r="J4" i="21"/>
  <c r="F4" i="21"/>
  <c r="M3" i="21"/>
  <c r="J3" i="21"/>
  <c r="F3" i="21"/>
  <c r="M2" i="21"/>
  <c r="J2" i="21"/>
  <c r="F2" i="21"/>
  <c r="L14" i="33" l="1"/>
  <c r="L15" i="33" l="1"/>
  <c r="L16" i="33"/>
  <c r="E21" i="33" l="1"/>
  <c r="E967" i="33"/>
  <c r="E966" i="33"/>
  <c r="E960" i="33"/>
  <c r="E815" i="33"/>
  <c r="E13" i="33"/>
  <c r="E7" i="33"/>
  <c r="E33" i="33"/>
  <c r="E31" i="33"/>
  <c r="E26" i="33"/>
  <c r="E970" i="33"/>
  <c r="E969" i="33"/>
  <c r="E32" i="33"/>
  <c r="E971" i="33"/>
  <c r="E961" i="33"/>
  <c r="E958" i="33"/>
  <c r="E957" i="33"/>
  <c r="E878" i="33"/>
  <c r="E25" i="33"/>
  <c r="E24" i="33"/>
  <c r="E23" i="33"/>
  <c r="E22" i="33"/>
  <c r="E962" i="33"/>
  <c r="E959" i="33"/>
  <c r="E17" i="33"/>
  <c r="E16" i="33"/>
  <c r="E15" i="33"/>
  <c r="E14" i="33"/>
  <c r="E12" i="33"/>
  <c r="E11" i="33"/>
  <c r="E10" i="33"/>
  <c r="E988" i="33"/>
  <c r="E987" i="33"/>
  <c r="E986" i="33"/>
  <c r="E985" i="33"/>
  <c r="E983" i="33"/>
  <c r="E982" i="33"/>
  <c r="E981" i="33"/>
  <c r="E980" i="33"/>
  <c r="E979" i="33"/>
  <c r="E978" i="33"/>
  <c r="E977" i="33"/>
  <c r="E976" i="33"/>
  <c r="E974" i="33"/>
  <c r="E973" i="33"/>
  <c r="E972" i="33"/>
  <c r="E877" i="33"/>
  <c r="E876" i="33"/>
  <c r="E875" i="33"/>
  <c r="E512" i="33"/>
  <c r="E511" i="33"/>
  <c r="E510" i="33"/>
  <c r="E509" i="33"/>
  <c r="E397" i="33"/>
  <c r="E395" i="33"/>
  <c r="E394" i="33"/>
  <c r="E393" i="33"/>
  <c r="E391" i="33"/>
  <c r="E213" i="33"/>
  <c r="E396" i="33"/>
  <c r="E392" i="33"/>
  <c r="E283" i="33"/>
  <c r="E182" i="33"/>
  <c r="E214" i="33"/>
  <c r="E816" i="33"/>
  <c r="E984" i="33"/>
  <c r="E975" i="33"/>
  <c r="E965" i="33"/>
  <c r="E964" i="33"/>
  <c r="E963" i="33"/>
  <c r="E30" i="33"/>
  <c r="E29" i="33"/>
  <c r="E28" i="33"/>
  <c r="E27" i="33"/>
  <c r="E20" i="33"/>
  <c r="E19" i="33"/>
  <c r="E18" i="33"/>
  <c r="E968" i="33"/>
  <c r="E508" i="33"/>
  <c r="E9" i="33"/>
  <c r="E8" i="33"/>
  <c r="E1006" i="33"/>
  <c r="E1005" i="33"/>
  <c r="E1004" i="33"/>
  <c r="E1003" i="33"/>
  <c r="E1002" i="33"/>
  <c r="E1001" i="33"/>
  <c r="E1000" i="33"/>
  <c r="E999" i="33"/>
  <c r="E998" i="33"/>
  <c r="E997" i="33"/>
  <c r="E996" i="33"/>
  <c r="E995" i="33"/>
  <c r="E994" i="33"/>
  <c r="E993" i="33"/>
  <c r="E992" i="33"/>
  <c r="E991" i="33"/>
  <c r="E990" i="33"/>
  <c r="E989" i="33"/>
  <c r="E507" i="33"/>
  <c r="E458" i="33"/>
  <c r="E457" i="33"/>
  <c r="E456" i="33"/>
  <c r="E455" i="33"/>
  <c r="E454" i="33"/>
  <c r="E453" i="33"/>
  <c r="E452" i="33"/>
  <c r="E451" i="33"/>
  <c r="E450" i="33"/>
  <c r="E449" i="33"/>
  <c r="E448" i="33"/>
  <c r="E447" i="33"/>
  <c r="E446" i="33"/>
  <c r="E445" i="33"/>
  <c r="E444" i="33"/>
  <c r="E443" i="33"/>
  <c r="E442" i="33"/>
  <c r="E441" i="33"/>
  <c r="E440" i="33"/>
  <c r="E439" i="33"/>
  <c r="E438" i="33"/>
  <c r="E437" i="33"/>
  <c r="E436" i="33"/>
  <c r="E435" i="33"/>
  <c r="E434" i="33"/>
  <c r="E433" i="33"/>
  <c r="E432" i="33"/>
  <c r="E431" i="33"/>
  <c r="E430" i="33"/>
  <c r="E428" i="33"/>
  <c r="E427" i="33"/>
  <c r="E426" i="33"/>
  <c r="E425" i="33"/>
  <c r="E424" i="33"/>
  <c r="E423" i="33"/>
  <c r="E422" i="33"/>
  <c r="E421" i="33"/>
  <c r="E420" i="33"/>
  <c r="E419" i="33"/>
  <c r="E418" i="33"/>
  <c r="E417" i="33"/>
  <c r="E415" i="33"/>
  <c r="E413" i="33"/>
  <c r="E411" i="33"/>
  <c r="E409" i="33"/>
  <c r="E398" i="33"/>
  <c r="E429" i="33"/>
  <c r="E416" i="33"/>
  <c r="E414" i="33"/>
  <c r="E412" i="33"/>
  <c r="E410" i="33"/>
  <c r="E399" i="33"/>
  <c r="E390" i="33"/>
  <c r="E389" i="33"/>
  <c r="E388" i="33"/>
  <c r="E387" i="33"/>
  <c r="E386" i="33"/>
  <c r="E385" i="33"/>
  <c r="E384" i="33"/>
  <c r="E383" i="33"/>
  <c r="E382" i="33"/>
  <c r="E380" i="33"/>
  <c r="E379" i="33"/>
  <c r="E378" i="33"/>
  <c r="E377" i="33"/>
  <c r="E376" i="33"/>
  <c r="E375" i="33"/>
  <c r="E374" i="33"/>
  <c r="E373" i="33"/>
  <c r="E372" i="33"/>
  <c r="E371" i="33"/>
  <c r="E370" i="33"/>
  <c r="E369" i="33"/>
  <c r="E368" i="33"/>
  <c r="E367" i="33"/>
  <c r="E366" i="33"/>
  <c r="E365" i="33"/>
  <c r="E364" i="33"/>
  <c r="E363" i="33"/>
  <c r="E362" i="33"/>
  <c r="E361" i="33"/>
  <c r="E360" i="33"/>
  <c r="E359" i="33"/>
  <c r="E284" i="33"/>
  <c r="E358" i="33"/>
  <c r="E357" i="33"/>
  <c r="E356" i="33"/>
  <c r="E355" i="33"/>
  <c r="E354" i="33"/>
  <c r="E353" i="33"/>
  <c r="E352" i="33"/>
  <c r="E351" i="33"/>
  <c r="E350" i="33"/>
  <c r="E349" i="33"/>
  <c r="E348" i="33"/>
  <c r="E347" i="33"/>
  <c r="E346" i="33"/>
  <c r="E345" i="33"/>
  <c r="E344" i="33"/>
  <c r="E343" i="33"/>
  <c r="E342" i="33"/>
  <c r="E341" i="33"/>
  <c r="E340" i="33"/>
  <c r="E339" i="33"/>
  <c r="E338" i="33"/>
  <c r="E337" i="33"/>
  <c r="E336" i="33"/>
  <c r="E335" i="33"/>
  <c r="E334" i="33"/>
  <c r="E333" i="33"/>
  <c r="E285" i="33"/>
  <c r="E212" i="33"/>
  <c r="E211" i="33"/>
  <c r="E210" i="33"/>
  <c r="E209" i="33"/>
  <c r="E208" i="33"/>
  <c r="E207" i="33"/>
  <c r="E206" i="33"/>
  <c r="E205" i="33"/>
  <c r="E204" i="33"/>
  <c r="E203" i="33"/>
  <c r="E202" i="33"/>
  <c r="E201" i="33"/>
  <c r="E200" i="33"/>
  <c r="E199" i="33"/>
  <c r="E198" i="33"/>
  <c r="E197" i="33"/>
  <c r="E196" i="33"/>
  <c r="E195" i="33"/>
  <c r="E194" i="33"/>
  <c r="E193" i="33"/>
  <c r="E192" i="33"/>
  <c r="E191" i="33"/>
  <c r="E190" i="33"/>
  <c r="E189" i="33"/>
  <c r="E188" i="33"/>
  <c r="E187" i="33"/>
  <c r="E186" i="33"/>
  <c r="E185" i="33"/>
  <c r="E184" i="33"/>
  <c r="E183" i="33"/>
  <c r="E956" i="33"/>
  <c r="E955" i="33"/>
  <c r="E954" i="33"/>
  <c r="E953" i="33"/>
  <c r="E952" i="33"/>
  <c r="E951" i="33"/>
  <c r="E950" i="33"/>
  <c r="E949" i="33"/>
  <c r="E948" i="33"/>
  <c r="E947" i="33"/>
  <c r="E946" i="33"/>
  <c r="E945" i="33"/>
  <c r="E944" i="33"/>
  <c r="E943" i="33"/>
  <c r="E942" i="33"/>
  <c r="E941" i="33"/>
  <c r="E940" i="33"/>
  <c r="E939" i="33"/>
  <c r="E938" i="33"/>
  <c r="E937" i="33"/>
  <c r="E936" i="33"/>
  <c r="E935" i="33"/>
  <c r="E934" i="33"/>
  <c r="E933" i="33"/>
  <c r="E932" i="33"/>
  <c r="E931" i="33"/>
  <c r="E930" i="33"/>
  <c r="E929" i="33"/>
  <c r="E928" i="33"/>
  <c r="E927" i="33"/>
  <c r="E926" i="33"/>
  <c r="E925" i="33"/>
  <c r="E924" i="33"/>
  <c r="E923" i="33"/>
  <c r="E922" i="33"/>
  <c r="E921" i="33"/>
  <c r="E920" i="33"/>
  <c r="E919" i="33"/>
  <c r="E918" i="33"/>
  <c r="E917" i="33"/>
  <c r="E916" i="33"/>
  <c r="E915" i="33"/>
  <c r="E914" i="33"/>
  <c r="E913" i="33"/>
  <c r="E912" i="33"/>
  <c r="E911" i="33"/>
  <c r="E910" i="33"/>
  <c r="E909" i="33"/>
  <c r="E908" i="33"/>
  <c r="E907" i="33"/>
  <c r="E906" i="33"/>
  <c r="E905" i="33"/>
  <c r="E904" i="33"/>
  <c r="E903" i="33"/>
  <c r="E902" i="33"/>
  <c r="E901" i="33"/>
  <c r="E900" i="33"/>
  <c r="E899" i="33"/>
  <c r="E898" i="33"/>
  <c r="E897" i="33"/>
  <c r="E896" i="33"/>
  <c r="E895" i="33"/>
  <c r="E894" i="33"/>
  <c r="E893" i="33"/>
  <c r="E892" i="33"/>
  <c r="E891" i="33"/>
  <c r="E890" i="33"/>
  <c r="E889" i="33"/>
  <c r="E888" i="33"/>
  <c r="E887" i="33"/>
  <c r="E886" i="33"/>
  <c r="E885" i="33"/>
  <c r="E884" i="33"/>
  <c r="E883" i="33"/>
  <c r="E882" i="33"/>
  <c r="E881" i="33"/>
  <c r="E880" i="33"/>
  <c r="E879" i="33"/>
  <c r="E874" i="33"/>
  <c r="E873" i="33"/>
  <c r="E872" i="33"/>
  <c r="E871" i="33"/>
  <c r="E870" i="33"/>
  <c r="E869" i="33"/>
  <c r="E868" i="33"/>
  <c r="E867" i="33"/>
  <c r="E866" i="33"/>
  <c r="E865" i="33"/>
  <c r="E864" i="33"/>
  <c r="E863" i="33"/>
  <c r="E862" i="33"/>
  <c r="E861" i="33"/>
  <c r="E860" i="33"/>
  <c r="E859" i="33"/>
  <c r="E858" i="33"/>
  <c r="E857" i="33"/>
  <c r="E856" i="33"/>
  <c r="E855" i="33"/>
  <c r="E854" i="33"/>
  <c r="E853" i="33"/>
  <c r="E852" i="33"/>
  <c r="E851" i="33"/>
  <c r="E850" i="33"/>
  <c r="E849" i="33"/>
  <c r="E848" i="33"/>
  <c r="E847" i="33"/>
  <c r="E846" i="33"/>
  <c r="E845" i="33"/>
  <c r="E844" i="33"/>
  <c r="E843" i="33"/>
  <c r="E842" i="33"/>
  <c r="E841" i="33"/>
  <c r="E840" i="33"/>
  <c r="E839" i="33"/>
  <c r="E838" i="33"/>
  <c r="E837" i="33"/>
  <c r="E836" i="33"/>
  <c r="E835" i="33"/>
  <c r="E834" i="33"/>
  <c r="E833" i="33"/>
  <c r="E832" i="33"/>
  <c r="E831" i="33"/>
  <c r="E830" i="33"/>
  <c r="E829" i="33"/>
  <c r="E828" i="33"/>
  <c r="E827" i="33"/>
  <c r="E826" i="33"/>
  <c r="E825" i="33"/>
  <c r="E824" i="33"/>
  <c r="E823" i="33"/>
  <c r="E822" i="33"/>
  <c r="E821" i="33"/>
  <c r="E820" i="33"/>
  <c r="E819" i="33"/>
  <c r="E818" i="33"/>
  <c r="E817" i="33"/>
  <c r="E814" i="33"/>
  <c r="E813" i="33"/>
  <c r="E812" i="33"/>
  <c r="E811" i="33"/>
  <c r="E810" i="33"/>
  <c r="E809" i="33"/>
  <c r="E808" i="33"/>
  <c r="E807" i="33"/>
  <c r="E806" i="33"/>
  <c r="E805" i="33"/>
  <c r="E804" i="33"/>
  <c r="E803" i="33"/>
  <c r="E802" i="33"/>
  <c r="E801" i="33"/>
  <c r="E800" i="33"/>
  <c r="E799" i="33"/>
  <c r="E798" i="33"/>
  <c r="E797" i="33"/>
  <c r="E796" i="33"/>
  <c r="E795" i="33"/>
  <c r="E794" i="33"/>
  <c r="E793" i="33"/>
  <c r="E792" i="33"/>
  <c r="E791" i="33"/>
  <c r="E517" i="33"/>
  <c r="E514" i="33"/>
  <c r="E790" i="33"/>
  <c r="E789" i="33"/>
  <c r="E788" i="33"/>
  <c r="E787" i="33"/>
  <c r="E786" i="33"/>
  <c r="E597" i="33"/>
  <c r="E596" i="33"/>
  <c r="E595" i="33"/>
  <c r="E594" i="33"/>
  <c r="E593" i="33"/>
  <c r="E592" i="33"/>
  <c r="E591" i="33"/>
  <c r="E590" i="33"/>
  <c r="E589" i="33"/>
  <c r="E588" i="33"/>
  <c r="E587" i="33"/>
  <c r="E586" i="33"/>
  <c r="E585" i="33"/>
  <c r="E584" i="33"/>
  <c r="E583" i="33"/>
  <c r="E582" i="33"/>
  <c r="E581" i="33"/>
  <c r="E580" i="33"/>
  <c r="E579" i="33"/>
  <c r="E578" i="33"/>
  <c r="E577" i="33"/>
  <c r="E576" i="33"/>
  <c r="E575" i="33"/>
  <c r="E574" i="33"/>
  <c r="E573" i="33"/>
  <c r="E572" i="33"/>
  <c r="E571" i="33"/>
  <c r="E570" i="33"/>
  <c r="E569" i="33"/>
  <c r="E568" i="33"/>
  <c r="E567" i="33"/>
  <c r="E566" i="33"/>
  <c r="E565" i="33"/>
  <c r="E564" i="33"/>
  <c r="E563" i="33"/>
  <c r="E562" i="33"/>
  <c r="E561" i="33"/>
  <c r="E560" i="33"/>
  <c r="E559" i="33"/>
  <c r="E558" i="33"/>
  <c r="E557" i="33"/>
  <c r="E556" i="33"/>
  <c r="E555" i="33"/>
  <c r="E554" i="33"/>
  <c r="E553" i="33"/>
  <c r="E552" i="33"/>
  <c r="E551" i="33"/>
  <c r="E550" i="33"/>
  <c r="E549" i="33"/>
  <c r="E548" i="33"/>
  <c r="E547" i="33"/>
  <c r="E546" i="33"/>
  <c r="E545" i="33"/>
  <c r="E544" i="33"/>
  <c r="E543" i="33"/>
  <c r="E542" i="33"/>
  <c r="E541" i="33"/>
  <c r="E540" i="33"/>
  <c r="E539" i="33"/>
  <c r="E538" i="33"/>
  <c r="E537" i="33"/>
  <c r="E536" i="33"/>
  <c r="E535" i="33"/>
  <c r="E534" i="33"/>
  <c r="E519" i="33"/>
  <c r="E518" i="33"/>
  <c r="E516" i="33"/>
  <c r="E515" i="33"/>
  <c r="E513" i="33"/>
  <c r="E506" i="33"/>
  <c r="E505" i="33"/>
  <c r="E504" i="33"/>
  <c r="E503" i="33"/>
  <c r="E502" i="33"/>
  <c r="E501" i="33"/>
  <c r="E500" i="33"/>
  <c r="E499" i="33"/>
  <c r="E498" i="33"/>
  <c r="E497" i="33"/>
  <c r="E496" i="33"/>
  <c r="E495" i="33"/>
  <c r="E494" i="33"/>
  <c r="E493" i="33"/>
  <c r="E492" i="33"/>
  <c r="E491" i="33"/>
  <c r="E490" i="33"/>
  <c r="E489" i="33"/>
  <c r="E488" i="33"/>
  <c r="E487" i="33"/>
  <c r="E486" i="33"/>
  <c r="E485" i="33"/>
  <c r="E484" i="33"/>
  <c r="E483" i="33"/>
  <c r="E482" i="33"/>
  <c r="E481" i="33"/>
  <c r="E480" i="33"/>
  <c r="E479" i="33"/>
  <c r="E478" i="33"/>
  <c r="E477" i="33"/>
  <c r="E476" i="33"/>
  <c r="E475" i="33"/>
  <c r="E474" i="33"/>
  <c r="E473" i="33"/>
  <c r="E472" i="33"/>
  <c r="E471" i="33"/>
  <c r="E470" i="33"/>
  <c r="E469" i="33"/>
  <c r="E468" i="33"/>
  <c r="E467" i="33"/>
  <c r="E466" i="33"/>
  <c r="E465" i="33"/>
  <c r="E464" i="33"/>
  <c r="E463" i="33"/>
  <c r="E462" i="33"/>
  <c r="E461" i="33"/>
  <c r="E460" i="33"/>
  <c r="E459" i="33"/>
  <c r="E332" i="33"/>
  <c r="E331" i="33"/>
  <c r="E330" i="33"/>
  <c r="E329" i="33"/>
  <c r="E328" i="33"/>
  <c r="E327" i="33"/>
  <c r="E326" i="33"/>
  <c r="E325" i="33"/>
  <c r="E324" i="33"/>
  <c r="E323" i="33"/>
  <c r="E322" i="33"/>
  <c r="E321" i="33"/>
  <c r="E320" i="33"/>
  <c r="E319" i="33"/>
  <c r="E318" i="33"/>
  <c r="E317" i="33"/>
  <c r="E316" i="33"/>
  <c r="E315" i="33"/>
  <c r="E314" i="33"/>
  <c r="E313" i="33"/>
  <c r="E312" i="33"/>
  <c r="E311" i="33"/>
  <c r="E310" i="33"/>
  <c r="E309" i="33"/>
  <c r="E308" i="33"/>
  <c r="E307" i="33"/>
  <c r="E306" i="33"/>
  <c r="E305" i="33"/>
  <c r="E304" i="33"/>
  <c r="E303" i="33"/>
  <c r="E302" i="33"/>
  <c r="E301" i="33"/>
  <c r="E300" i="33"/>
  <c r="E299" i="33"/>
  <c r="E298" i="33"/>
  <c r="E297" i="33"/>
  <c r="E296" i="33"/>
  <c r="E295" i="33"/>
  <c r="E294" i="33"/>
  <c r="E293" i="33"/>
  <c r="E292" i="33"/>
  <c r="E291" i="33"/>
  <c r="E290" i="33"/>
  <c r="E289" i="33"/>
  <c r="E288" i="33"/>
  <c r="E287" i="33"/>
  <c r="E286" i="33"/>
  <c r="E181" i="33"/>
  <c r="E180" i="33"/>
  <c r="E179" i="33"/>
  <c r="E178" i="33"/>
  <c r="E177" i="33"/>
  <c r="E176" i="33"/>
  <c r="E175" i="33"/>
  <c r="E174" i="33"/>
  <c r="E173" i="33"/>
  <c r="E172" i="33"/>
  <c r="E171" i="33"/>
  <c r="E170" i="33"/>
  <c r="E169" i="33"/>
  <c r="E168" i="33"/>
  <c r="E167" i="33"/>
  <c r="E166" i="33"/>
  <c r="E165" i="33"/>
  <c r="E164" i="33"/>
  <c r="E163" i="33"/>
  <c r="E162" i="33"/>
  <c r="E161" i="33"/>
  <c r="E160" i="33"/>
  <c r="E159" i="33"/>
  <c r="E158" i="33"/>
  <c r="E90" i="33"/>
  <c r="E89" i="33"/>
  <c r="E88" i="33"/>
  <c r="E87" i="33"/>
  <c r="E86" i="33"/>
  <c r="E85" i="33"/>
  <c r="E84" i="33"/>
  <c r="E83" i="33"/>
  <c r="E82" i="33"/>
  <c r="E81" i="33"/>
  <c r="E80" i="33"/>
  <c r="E79" i="33"/>
  <c r="E78" i="33"/>
  <c r="E77" i="33"/>
  <c r="E76" i="33"/>
  <c r="E75" i="33"/>
  <c r="E74" i="33"/>
  <c r="E73" i="33"/>
  <c r="E72" i="33"/>
  <c r="E71" i="33"/>
  <c r="E70" i="33"/>
  <c r="E69" i="33"/>
  <c r="E68" i="33"/>
  <c r="E67" i="33"/>
  <c r="E66" i="33"/>
  <c r="E65" i="33"/>
  <c r="E64" i="33"/>
  <c r="E63" i="33"/>
  <c r="E62" i="33"/>
  <c r="E61" i="33"/>
  <c r="E60" i="33"/>
  <c r="E59" i="33"/>
  <c r="E58" i="33"/>
  <c r="E57" i="33"/>
  <c r="E56" i="33"/>
  <c r="E55" i="33"/>
  <c r="E54" i="33"/>
  <c r="E53" i="33"/>
  <c r="E52" i="33"/>
  <c r="E51" i="33"/>
  <c r="E50" i="33"/>
  <c r="E48" i="33"/>
  <c r="E47" i="33"/>
  <c r="E46" i="33"/>
  <c r="E45" i="33"/>
  <c r="E44" i="33"/>
  <c r="E43" i="33"/>
  <c r="E42" i="33"/>
  <c r="E41" i="33"/>
  <c r="E40" i="33"/>
  <c r="E39" i="33"/>
  <c r="E38" i="33"/>
  <c r="E49" i="33"/>
  <c r="E35" i="33"/>
  <c r="E381" i="33"/>
  <c r="E37" i="33"/>
  <c r="E36" i="33"/>
  <c r="E34" i="33"/>
  <c r="E783" i="33"/>
  <c r="E782" i="33"/>
  <c r="E781" i="33"/>
  <c r="E780" i="33"/>
  <c r="E779" i="33"/>
  <c r="E778" i="33"/>
  <c r="E777" i="33"/>
  <c r="E776" i="33"/>
  <c r="E775" i="33"/>
  <c r="E774" i="33"/>
  <c r="E773" i="33"/>
  <c r="E772" i="33"/>
  <c r="E771" i="33"/>
  <c r="E770" i="33"/>
  <c r="E769" i="33"/>
  <c r="E768" i="33"/>
  <c r="E767" i="33"/>
  <c r="E766" i="33"/>
  <c r="E765" i="33"/>
  <c r="E764" i="33"/>
  <c r="E763" i="33"/>
  <c r="E762" i="33"/>
  <c r="E761" i="33"/>
  <c r="E760" i="33"/>
  <c r="E759" i="33"/>
  <c r="E758" i="33"/>
  <c r="E757" i="33"/>
  <c r="E756" i="33"/>
  <c r="E755" i="33"/>
  <c r="E754" i="33"/>
  <c r="E753" i="33"/>
  <c r="E752" i="33"/>
  <c r="E751" i="33"/>
  <c r="E750" i="33"/>
  <c r="E749" i="33"/>
  <c r="E748" i="33"/>
  <c r="E747" i="33"/>
  <c r="E746" i="33"/>
  <c r="E745" i="33"/>
  <c r="E744" i="33"/>
  <c r="E743" i="33"/>
  <c r="E742" i="33"/>
  <c r="E741" i="33"/>
  <c r="E740" i="33"/>
  <c r="E739" i="33"/>
  <c r="E738" i="33"/>
  <c r="E737" i="33"/>
  <c r="E736" i="33"/>
  <c r="E735" i="33"/>
  <c r="E734" i="33"/>
  <c r="E733" i="33"/>
  <c r="E732" i="33"/>
  <c r="E731" i="33"/>
  <c r="E730" i="33"/>
  <c r="E729" i="33"/>
  <c r="E728" i="33"/>
  <c r="E727" i="33"/>
  <c r="E726" i="33"/>
  <c r="E725" i="33"/>
  <c r="E724" i="33"/>
  <c r="E723" i="33"/>
  <c r="E722" i="33"/>
  <c r="E721" i="33"/>
  <c r="E720" i="33"/>
  <c r="E719" i="33"/>
  <c r="E718" i="33"/>
  <c r="E717" i="33"/>
  <c r="E716" i="33"/>
  <c r="E715" i="33"/>
  <c r="E714" i="33"/>
  <c r="E713" i="33"/>
  <c r="E712" i="33"/>
  <c r="E711" i="33"/>
  <c r="E710" i="33"/>
  <c r="E709" i="33"/>
  <c r="E708" i="33"/>
  <c r="E707" i="33"/>
  <c r="E706" i="33"/>
  <c r="E705" i="33"/>
  <c r="E704" i="33"/>
  <c r="E703" i="33"/>
  <c r="E702" i="33"/>
  <c r="E701" i="33"/>
  <c r="E700" i="33"/>
  <c r="E699" i="33"/>
  <c r="E698" i="33"/>
  <c r="E697" i="33"/>
  <c r="E696" i="33"/>
  <c r="E695" i="33"/>
  <c r="E694" i="33"/>
  <c r="E693" i="33"/>
  <c r="E692" i="33"/>
  <c r="E691" i="33"/>
  <c r="E690" i="33"/>
  <c r="E689" i="33"/>
  <c r="E688" i="33"/>
  <c r="E687" i="33"/>
  <c r="E686" i="33"/>
  <c r="E685" i="33"/>
  <c r="E684" i="33"/>
  <c r="E683" i="33"/>
  <c r="E682" i="33"/>
  <c r="E681" i="33"/>
  <c r="E680" i="33"/>
  <c r="E679" i="33"/>
  <c r="E678" i="33"/>
  <c r="E677" i="33"/>
  <c r="E676" i="33"/>
  <c r="E675" i="33"/>
  <c r="E674" i="33"/>
  <c r="E673" i="33"/>
  <c r="E672" i="33"/>
  <c r="E671" i="33"/>
  <c r="E670" i="33"/>
  <c r="E669" i="33"/>
  <c r="E668" i="33"/>
  <c r="E667" i="33"/>
  <c r="E666" i="33"/>
  <c r="E665" i="33"/>
  <c r="E664" i="33"/>
  <c r="E663" i="33"/>
  <c r="E662" i="33"/>
  <c r="E661" i="33"/>
  <c r="E660" i="33"/>
  <c r="E659" i="33"/>
  <c r="E658" i="33"/>
  <c r="E657" i="33"/>
  <c r="E656" i="33"/>
  <c r="E655" i="33"/>
  <c r="E654" i="33"/>
  <c r="E653" i="33"/>
  <c r="E652" i="33"/>
  <c r="E651" i="33"/>
  <c r="E650" i="33"/>
  <c r="E649" i="33"/>
  <c r="E648" i="33"/>
  <c r="E647" i="33"/>
  <c r="E646" i="33"/>
  <c r="E645" i="33"/>
  <c r="E644" i="33"/>
  <c r="E643" i="33"/>
  <c r="E642" i="33"/>
  <c r="E641" i="33"/>
  <c r="E640" i="33"/>
  <c r="E639" i="33"/>
  <c r="E638" i="33"/>
  <c r="E637" i="33"/>
  <c r="E636" i="33"/>
  <c r="E635" i="33"/>
  <c r="E634" i="33"/>
  <c r="E633" i="33"/>
  <c r="E632" i="33"/>
  <c r="E631" i="33"/>
  <c r="E630" i="33"/>
  <c r="E629" i="33"/>
  <c r="E628" i="33"/>
  <c r="E626" i="33"/>
  <c r="E625" i="33"/>
  <c r="E624" i="33"/>
  <c r="E623" i="33"/>
  <c r="E622" i="33"/>
  <c r="E621" i="33"/>
  <c r="E620" i="33"/>
  <c r="E619" i="33"/>
  <c r="E618" i="33"/>
  <c r="E617" i="33"/>
  <c r="E616" i="33"/>
  <c r="E615" i="33"/>
  <c r="E614" i="33"/>
  <c r="E613" i="33"/>
  <c r="E611" i="33"/>
  <c r="E599" i="33"/>
  <c r="E627" i="33"/>
  <c r="E612" i="33"/>
  <c r="E610" i="33"/>
  <c r="E609" i="33"/>
  <c r="E608" i="33"/>
  <c r="E607" i="33"/>
  <c r="E606" i="33"/>
  <c r="E605" i="33"/>
  <c r="E604" i="33"/>
  <c r="E603" i="33"/>
  <c r="E602" i="33"/>
  <c r="E601" i="33"/>
  <c r="E600" i="33"/>
  <c r="E598" i="33"/>
  <c r="E533" i="33"/>
  <c r="E532" i="33"/>
  <c r="E531" i="33"/>
  <c r="E530" i="33"/>
  <c r="E529" i="33"/>
  <c r="E528" i="33"/>
  <c r="E527" i="33"/>
  <c r="E526" i="33"/>
  <c r="E525" i="33"/>
  <c r="E524" i="33"/>
  <c r="E523" i="33"/>
  <c r="E522" i="33"/>
  <c r="E521" i="33"/>
  <c r="E520" i="33"/>
  <c r="E408" i="33"/>
  <c r="E407" i="33"/>
  <c r="E406" i="33"/>
  <c r="E405" i="33"/>
  <c r="E404" i="33"/>
  <c r="E403" i="33"/>
  <c r="E402" i="33"/>
  <c r="E401" i="33"/>
  <c r="E400" i="33"/>
  <c r="E282" i="33"/>
  <c r="E281" i="33"/>
  <c r="E280" i="33"/>
  <c r="E279" i="33"/>
  <c r="E278" i="33"/>
  <c r="E277" i="33"/>
  <c r="E276" i="33"/>
  <c r="E275" i="33"/>
  <c r="E274" i="33"/>
  <c r="E273" i="33"/>
  <c r="E272" i="33"/>
  <c r="E271" i="33"/>
  <c r="E270" i="33"/>
  <c r="E269" i="33"/>
  <c r="E268" i="33"/>
  <c r="E267" i="33"/>
  <c r="E266" i="33"/>
  <c r="E265" i="33"/>
  <c r="E264" i="33"/>
  <c r="E263" i="33"/>
  <c r="E262" i="33"/>
  <c r="E261" i="33"/>
  <c r="E260" i="33"/>
  <c r="E259" i="33"/>
  <c r="E258" i="33"/>
  <c r="E257" i="33"/>
  <c r="E256" i="33"/>
  <c r="E255" i="33"/>
  <c r="E254" i="33"/>
  <c r="E253" i="33"/>
  <c r="E252" i="33"/>
  <c r="E251" i="33"/>
  <c r="E250" i="33"/>
  <c r="E249" i="33"/>
  <c r="E248" i="33"/>
  <c r="E247" i="33"/>
  <c r="E246" i="33"/>
  <c r="E245" i="33"/>
  <c r="E244" i="33"/>
  <c r="E243" i="33"/>
  <c r="E242" i="33"/>
  <c r="E241" i="33"/>
  <c r="E240" i="33"/>
  <c r="E239" i="33"/>
  <c r="E238" i="33"/>
  <c r="E237" i="33"/>
  <c r="E236" i="33"/>
  <c r="E235" i="33"/>
  <c r="E234" i="33"/>
  <c r="E233" i="33"/>
  <c r="E232" i="33"/>
  <c r="E231" i="33"/>
  <c r="E230" i="33"/>
  <c r="E229" i="33"/>
  <c r="E228" i="33"/>
  <c r="E227" i="33"/>
  <c r="E226" i="33"/>
  <c r="E225" i="33"/>
  <c r="E224" i="33"/>
  <c r="E223" i="33"/>
  <c r="E222" i="33"/>
  <c r="E221" i="33"/>
  <c r="E220" i="33"/>
  <c r="E219" i="33"/>
  <c r="E218" i="33"/>
  <c r="E217" i="33"/>
  <c r="E216" i="33"/>
  <c r="E215" i="33"/>
  <c r="E157" i="33"/>
  <c r="E156" i="33"/>
  <c r="E155" i="33"/>
  <c r="E154" i="33"/>
  <c r="E153" i="33"/>
  <c r="E152" i="33"/>
  <c r="E151" i="33"/>
  <c r="E150" i="33"/>
  <c r="E149" i="33"/>
  <c r="E148" i="33"/>
  <c r="E147" i="33"/>
  <c r="E146" i="33"/>
  <c r="E145" i="33"/>
  <c r="E144" i="33"/>
  <c r="E143" i="33"/>
  <c r="E142" i="33"/>
  <c r="E141" i="33"/>
  <c r="E140" i="33"/>
  <c r="E139" i="33"/>
  <c r="E138" i="33"/>
  <c r="E137" i="33"/>
  <c r="E136" i="33"/>
  <c r="E135" i="33"/>
  <c r="E134" i="33"/>
  <c r="E133" i="33"/>
  <c r="E132" i="33"/>
  <c r="E131" i="33"/>
  <c r="E130" i="33"/>
  <c r="E129" i="33"/>
  <c r="E128" i="33"/>
  <c r="E127" i="33"/>
  <c r="E126" i="33"/>
  <c r="E125" i="33"/>
  <c r="E124" i="33"/>
  <c r="E123" i="33"/>
  <c r="E122" i="33"/>
  <c r="E121" i="33"/>
  <c r="E120" i="33"/>
  <c r="E119" i="33"/>
  <c r="E118" i="33"/>
  <c r="E117" i="33"/>
  <c r="E116" i="33"/>
  <c r="E115" i="33"/>
  <c r="E114" i="33"/>
  <c r="E113" i="33"/>
  <c r="E112" i="33"/>
  <c r="E111" i="33"/>
  <c r="E110" i="33"/>
  <c r="E109" i="33"/>
  <c r="E108" i="33"/>
  <c r="E107" i="33"/>
  <c r="E106" i="33"/>
  <c r="E105" i="33"/>
  <c r="E104" i="33"/>
  <c r="E103" i="33"/>
  <c r="E102" i="33"/>
  <c r="E101" i="33"/>
  <c r="E100" i="33"/>
  <c r="E99" i="33"/>
  <c r="E98" i="33"/>
  <c r="E97" i="33"/>
  <c r="E96" i="33"/>
  <c r="E95" i="33"/>
  <c r="E94" i="33"/>
  <c r="E93" i="33"/>
  <c r="E92" i="33"/>
  <c r="E91" i="33"/>
  <c r="E785" i="33"/>
  <c r="E784" i="33"/>
  <c r="G21" i="33" l="1"/>
  <c r="F21" i="33"/>
  <c r="G815" i="33"/>
  <c r="F815" i="33"/>
  <c r="G13" i="33"/>
  <c r="F13" i="33"/>
  <c r="F7" i="33"/>
  <c r="G7" i="33"/>
  <c r="G33" i="33"/>
  <c r="F33" i="33"/>
  <c r="G31" i="33"/>
  <c r="F31" i="33"/>
  <c r="F32" i="33"/>
  <c r="G32" i="33"/>
  <c r="F214" i="33"/>
  <c r="G214" i="33"/>
  <c r="G816" i="33"/>
  <c r="F816" i="33"/>
  <c r="F30" i="33"/>
  <c r="G30" i="33"/>
  <c r="G967" i="33"/>
  <c r="F967" i="33"/>
  <c r="F966" i="33"/>
  <c r="G966" i="33"/>
  <c r="G960" i="33"/>
  <c r="F960" i="33"/>
  <c r="G26" i="33"/>
  <c r="F26" i="33"/>
  <c r="G25" i="33"/>
  <c r="F25" i="33"/>
  <c r="F24" i="33"/>
  <c r="G24" i="33"/>
  <c r="G29" i="33"/>
  <c r="F29" i="33"/>
  <c r="F28" i="33"/>
  <c r="G28" i="33"/>
  <c r="G27" i="33"/>
  <c r="F27" i="33"/>
  <c r="G970" i="33"/>
  <c r="F970" i="33"/>
  <c r="G969" i="33"/>
  <c r="F969" i="33"/>
  <c r="G971" i="33"/>
  <c r="F971" i="33"/>
  <c r="G961" i="33"/>
  <c r="F961" i="33"/>
  <c r="F958" i="33"/>
  <c r="G958" i="33"/>
  <c r="G957" i="33"/>
  <c r="F957" i="33"/>
  <c r="F878" i="33"/>
  <c r="G878" i="33"/>
  <c r="G23" i="33"/>
  <c r="F23" i="33"/>
  <c r="G22" i="33"/>
  <c r="F22" i="33"/>
  <c r="F962" i="33"/>
  <c r="G962" i="33"/>
  <c r="G959" i="33"/>
  <c r="F959" i="33"/>
  <c r="G17" i="33"/>
  <c r="F17" i="33"/>
  <c r="G16" i="33"/>
  <c r="F16" i="33"/>
  <c r="F15" i="33"/>
  <c r="G15" i="33"/>
  <c r="G20" i="33"/>
  <c r="F20" i="33"/>
  <c r="F19" i="33"/>
  <c r="G19" i="33"/>
  <c r="G18" i="33"/>
  <c r="F18" i="33"/>
  <c r="F14" i="33"/>
  <c r="G14" i="33"/>
  <c r="F12" i="33"/>
  <c r="G12" i="33"/>
  <c r="F11" i="33"/>
  <c r="G11" i="33"/>
  <c r="F10" i="33"/>
  <c r="G10" i="33"/>
  <c r="G9" i="33"/>
  <c r="F9" i="33"/>
  <c r="F8" i="33"/>
  <c r="G8" i="33"/>
  <c r="G1006" i="33"/>
  <c r="F1006" i="33"/>
  <c r="G1005" i="33"/>
  <c r="F1005" i="33"/>
  <c r="F1004" i="33"/>
  <c r="G1004" i="33"/>
  <c r="G1003" i="33"/>
  <c r="F1003" i="33"/>
  <c r="F1002" i="33"/>
  <c r="G1002" i="33"/>
  <c r="F1001" i="33"/>
  <c r="G1001" i="33"/>
  <c r="G1000" i="33"/>
  <c r="F1000" i="33"/>
  <c r="G999" i="33"/>
  <c r="F999" i="33"/>
  <c r="F988" i="33"/>
  <c r="G988" i="33"/>
  <c r="F987" i="33"/>
  <c r="G987" i="33"/>
  <c r="G986" i="33"/>
  <c r="F986" i="33"/>
  <c r="G985" i="33"/>
  <c r="F985" i="33"/>
  <c r="F983" i="33"/>
  <c r="G983" i="33"/>
  <c r="F982" i="33"/>
  <c r="G982" i="33"/>
  <c r="G981" i="33"/>
  <c r="F981" i="33"/>
  <c r="G980" i="33"/>
  <c r="F980" i="33"/>
  <c r="G979" i="33"/>
  <c r="F979" i="33"/>
  <c r="F978" i="33"/>
  <c r="G978" i="33"/>
  <c r="G977" i="33"/>
  <c r="F977" i="33"/>
  <c r="G976" i="33"/>
  <c r="F976" i="33"/>
  <c r="G974" i="33"/>
  <c r="F974" i="33"/>
  <c r="F973" i="33"/>
  <c r="G973" i="33"/>
  <c r="F972" i="33"/>
  <c r="G972" i="33"/>
  <c r="F877" i="33"/>
  <c r="G877" i="33"/>
  <c r="G876" i="33"/>
  <c r="F876" i="33"/>
  <c r="F875" i="33"/>
  <c r="G875" i="33"/>
  <c r="F512" i="33"/>
  <c r="G512" i="33"/>
  <c r="F511" i="33"/>
  <c r="G511" i="33"/>
  <c r="G510" i="33"/>
  <c r="F510" i="33"/>
  <c r="F509" i="33"/>
  <c r="G509" i="33"/>
  <c r="G397" i="33"/>
  <c r="F397" i="33"/>
  <c r="F395" i="33"/>
  <c r="G395" i="33"/>
  <c r="F394" i="33"/>
  <c r="G394" i="33"/>
  <c r="F393" i="33"/>
  <c r="G393" i="33"/>
  <c r="G391" i="33"/>
  <c r="F391" i="33"/>
  <c r="F213" i="33"/>
  <c r="G213" i="33"/>
  <c r="G396" i="33"/>
  <c r="F396" i="33"/>
  <c r="G392" i="33"/>
  <c r="F392" i="33"/>
  <c r="G283" i="33"/>
  <c r="F283" i="33"/>
  <c r="G182" i="33"/>
  <c r="F182" i="33"/>
  <c r="F984" i="33"/>
  <c r="G984" i="33"/>
  <c r="F975" i="33"/>
  <c r="G975" i="33"/>
  <c r="F965" i="33"/>
  <c r="G965" i="33"/>
  <c r="F964" i="33"/>
  <c r="G964" i="33"/>
  <c r="F963" i="33"/>
  <c r="G963" i="33"/>
  <c r="F968" i="33"/>
  <c r="G968" i="33"/>
  <c r="G998" i="33"/>
  <c r="F998" i="33"/>
  <c r="F997" i="33"/>
  <c r="G997" i="33"/>
  <c r="F996" i="33"/>
  <c r="G996" i="33"/>
  <c r="G995" i="33"/>
  <c r="F995" i="33"/>
  <c r="G994" i="33"/>
  <c r="F994" i="33"/>
  <c r="G993" i="33"/>
  <c r="F993" i="33"/>
  <c r="F992" i="33"/>
  <c r="G992" i="33"/>
  <c r="F991" i="33"/>
  <c r="G991" i="33"/>
  <c r="F990" i="33"/>
  <c r="G990" i="33"/>
  <c r="F989" i="33"/>
  <c r="G989" i="33"/>
  <c r="G508" i="33"/>
  <c r="F508" i="33"/>
  <c r="F507" i="33"/>
  <c r="G507" i="33"/>
  <c r="F458" i="33"/>
  <c r="G458" i="33"/>
  <c r="F457" i="33"/>
  <c r="G457" i="33"/>
  <c r="G456" i="33"/>
  <c r="F456" i="33"/>
  <c r="F455" i="33"/>
  <c r="G455" i="33"/>
  <c r="F454" i="33"/>
  <c r="G454" i="33"/>
  <c r="G453" i="33"/>
  <c r="F453" i="33"/>
  <c r="F452" i="33"/>
  <c r="G452" i="33"/>
  <c r="G451" i="33"/>
  <c r="F451" i="33"/>
  <c r="F450" i="33"/>
  <c r="G450" i="33"/>
  <c r="G449" i="33"/>
  <c r="F449" i="33"/>
  <c r="G448" i="33"/>
  <c r="F448" i="33"/>
  <c r="F447" i="33"/>
  <c r="G447" i="33"/>
  <c r="F446" i="33"/>
  <c r="G446" i="33"/>
  <c r="F445" i="33"/>
  <c r="G445" i="33"/>
  <c r="F444" i="33"/>
  <c r="G444" i="33"/>
  <c r="G443" i="33"/>
  <c r="F443" i="33"/>
  <c r="G442" i="33"/>
  <c r="F442" i="33"/>
  <c r="G441" i="33"/>
  <c r="F441" i="33"/>
  <c r="F440" i="33"/>
  <c r="G440" i="33"/>
  <c r="F439" i="33"/>
  <c r="G439" i="33"/>
  <c r="G438" i="33"/>
  <c r="F438" i="33"/>
  <c r="F437" i="33"/>
  <c r="G437" i="33"/>
  <c r="G436" i="33"/>
  <c r="F436" i="33"/>
  <c r="F435" i="33"/>
  <c r="G435" i="33"/>
  <c r="F434" i="33"/>
  <c r="G434" i="33"/>
  <c r="G433" i="33"/>
  <c r="F433" i="33"/>
  <c r="G432" i="33"/>
  <c r="F432" i="33"/>
  <c r="F431" i="33"/>
  <c r="G431" i="33"/>
  <c r="G430" i="33"/>
  <c r="F430" i="33"/>
  <c r="F428" i="33"/>
  <c r="G428" i="33"/>
  <c r="F427" i="33"/>
  <c r="G427" i="33"/>
  <c r="G426" i="33"/>
  <c r="F426" i="33"/>
  <c r="G425" i="33"/>
  <c r="F425" i="33"/>
  <c r="G424" i="33"/>
  <c r="F424" i="33"/>
  <c r="G423" i="33"/>
  <c r="F423" i="33"/>
  <c r="G422" i="33"/>
  <c r="F422" i="33"/>
  <c r="G421" i="33"/>
  <c r="F421" i="33"/>
  <c r="G420" i="33"/>
  <c r="F420" i="33"/>
  <c r="G419" i="33"/>
  <c r="F419" i="33"/>
  <c r="G418" i="33"/>
  <c r="F418" i="33"/>
  <c r="G417" i="33"/>
  <c r="F417" i="33"/>
  <c r="F415" i="33"/>
  <c r="G415" i="33"/>
  <c r="F413" i="33"/>
  <c r="G413" i="33"/>
  <c r="F411" i="33"/>
  <c r="G411" i="33"/>
  <c r="F409" i="33"/>
  <c r="G409" i="33"/>
  <c r="F398" i="33"/>
  <c r="G398" i="33"/>
  <c r="G429" i="33"/>
  <c r="F429" i="33"/>
  <c r="G416" i="33"/>
  <c r="F416" i="33"/>
  <c r="G414" i="33"/>
  <c r="F414" i="33"/>
  <c r="G412" i="33"/>
  <c r="F412" i="33"/>
  <c r="G410" i="33"/>
  <c r="F410" i="33"/>
  <c r="G399" i="33"/>
  <c r="F399" i="33"/>
  <c r="G390" i="33"/>
  <c r="F390" i="33"/>
  <c r="F389" i="33"/>
  <c r="G389" i="33"/>
  <c r="F388" i="33"/>
  <c r="G388" i="33"/>
  <c r="F387" i="33"/>
  <c r="G387" i="33"/>
  <c r="G386" i="33"/>
  <c r="F386" i="33"/>
  <c r="F385" i="33"/>
  <c r="G385" i="33"/>
  <c r="F384" i="33"/>
  <c r="G384" i="33"/>
  <c r="F383" i="33"/>
  <c r="G383" i="33"/>
  <c r="F382" i="33"/>
  <c r="G382" i="33"/>
  <c r="F380" i="33"/>
  <c r="G380" i="33"/>
  <c r="G379" i="33"/>
  <c r="F379" i="33"/>
  <c r="F378" i="33"/>
  <c r="G378" i="33"/>
  <c r="G377" i="33"/>
  <c r="F377" i="33"/>
  <c r="F376" i="33"/>
  <c r="G376" i="33"/>
  <c r="F375" i="33"/>
  <c r="G375" i="33"/>
  <c r="F374" i="33"/>
  <c r="G374" i="33"/>
  <c r="F373" i="33"/>
  <c r="G373" i="33"/>
  <c r="F372" i="33"/>
  <c r="G372" i="33"/>
  <c r="G371" i="33"/>
  <c r="F371" i="33"/>
  <c r="G370" i="33"/>
  <c r="F370" i="33"/>
  <c r="F369" i="33"/>
  <c r="G369" i="33"/>
  <c r="F368" i="33"/>
  <c r="G368" i="33"/>
  <c r="G367" i="33"/>
  <c r="F367" i="33"/>
  <c r="F366" i="33"/>
  <c r="G366" i="33"/>
  <c r="F365" i="33"/>
  <c r="G365" i="33"/>
  <c r="G364" i="33"/>
  <c r="F364" i="33"/>
  <c r="F363" i="33"/>
  <c r="G363" i="33"/>
  <c r="F362" i="33"/>
  <c r="G362" i="33"/>
  <c r="G361" i="33"/>
  <c r="F361" i="33"/>
  <c r="F360" i="33"/>
  <c r="G360" i="33"/>
  <c r="F359" i="33"/>
  <c r="G359" i="33"/>
  <c r="F358" i="33"/>
  <c r="G358" i="33"/>
  <c r="F357" i="33"/>
  <c r="G357" i="33"/>
  <c r="G284" i="33"/>
  <c r="F284" i="33"/>
  <c r="F356" i="33"/>
  <c r="G356" i="33"/>
  <c r="F355" i="33"/>
  <c r="G355" i="33"/>
  <c r="F354" i="33"/>
  <c r="G354" i="33"/>
  <c r="F353" i="33"/>
  <c r="G353" i="33"/>
  <c r="F352" i="33"/>
  <c r="G352" i="33"/>
  <c r="G351" i="33"/>
  <c r="F351" i="33"/>
  <c r="G350" i="33"/>
  <c r="F350" i="33"/>
  <c r="G349" i="33"/>
  <c r="F349" i="33"/>
  <c r="G348" i="33"/>
  <c r="F348" i="33"/>
  <c r="G347" i="33"/>
  <c r="F347" i="33"/>
  <c r="G346" i="33"/>
  <c r="F346" i="33"/>
  <c r="G345" i="33"/>
  <c r="F345" i="33"/>
  <c r="G344" i="33"/>
  <c r="F344" i="33"/>
  <c r="G343" i="33"/>
  <c r="F343" i="33"/>
  <c r="G342" i="33"/>
  <c r="F342" i="33"/>
  <c r="G341" i="33"/>
  <c r="F341" i="33"/>
  <c r="F340" i="33"/>
  <c r="G340" i="33"/>
  <c r="G339" i="33"/>
  <c r="F339" i="33"/>
  <c r="G338" i="33"/>
  <c r="F338" i="33"/>
  <c r="F337" i="33"/>
  <c r="G337" i="33"/>
  <c r="G336" i="33"/>
  <c r="F336" i="33"/>
  <c r="G335" i="33"/>
  <c r="F335" i="33"/>
  <c r="G334" i="33"/>
  <c r="F334" i="33"/>
  <c r="F333" i="33"/>
  <c r="G333" i="33"/>
  <c r="G285" i="33"/>
  <c r="F285" i="33"/>
  <c r="F212" i="33"/>
  <c r="G212" i="33"/>
  <c r="F211" i="33"/>
  <c r="G211" i="33"/>
  <c r="G210" i="33"/>
  <c r="F210" i="33"/>
  <c r="F209" i="33"/>
  <c r="G209" i="33"/>
  <c r="F208" i="33"/>
  <c r="G208" i="33"/>
  <c r="F207" i="33"/>
  <c r="G207" i="33"/>
  <c r="G206" i="33"/>
  <c r="F206" i="33"/>
  <c r="G205" i="33"/>
  <c r="F205" i="33"/>
  <c r="F204" i="33"/>
  <c r="G204" i="33"/>
  <c r="G203" i="33"/>
  <c r="F203" i="33"/>
  <c r="G202" i="33"/>
  <c r="F202" i="33"/>
  <c r="F201" i="33"/>
  <c r="G201" i="33"/>
  <c r="G200" i="33"/>
  <c r="F200" i="33"/>
  <c r="G199" i="33"/>
  <c r="F199" i="33"/>
  <c r="G198" i="33"/>
  <c r="F198" i="33"/>
  <c r="G197" i="33"/>
  <c r="F197" i="33"/>
  <c r="F196" i="33"/>
  <c r="G196" i="33"/>
  <c r="F195" i="33"/>
  <c r="G195" i="33"/>
  <c r="G194" i="33"/>
  <c r="F194" i="33"/>
  <c r="G193" i="33"/>
  <c r="F193" i="33"/>
  <c r="G192" i="33"/>
  <c r="F192" i="33"/>
  <c r="G191" i="33"/>
  <c r="F191" i="33"/>
  <c r="G190" i="33"/>
  <c r="F190" i="33"/>
  <c r="G189" i="33"/>
  <c r="F189" i="33"/>
  <c r="G188" i="33"/>
  <c r="F188" i="33"/>
  <c r="G187" i="33"/>
  <c r="F187" i="33"/>
  <c r="F186" i="33"/>
  <c r="G186" i="33"/>
  <c r="F185" i="33"/>
  <c r="G185" i="33"/>
  <c r="F184" i="33"/>
  <c r="G184" i="33"/>
  <c r="F183" i="33"/>
  <c r="G183" i="33"/>
  <c r="G956" i="33"/>
  <c r="F956" i="33"/>
  <c r="G955" i="33"/>
  <c r="F955" i="33"/>
  <c r="F954" i="33"/>
  <c r="G954" i="33"/>
  <c r="F953" i="33"/>
  <c r="G953" i="33"/>
  <c r="G952" i="33"/>
  <c r="F952" i="33"/>
  <c r="F951" i="33"/>
  <c r="G951" i="33"/>
  <c r="F950" i="33"/>
  <c r="G950" i="33"/>
  <c r="G949" i="33"/>
  <c r="F949" i="33"/>
  <c r="G948" i="33"/>
  <c r="F948" i="33"/>
  <c r="F947" i="33"/>
  <c r="G947" i="33"/>
  <c r="F946" i="33"/>
  <c r="G946" i="33"/>
  <c r="G945" i="33"/>
  <c r="F945" i="33"/>
  <c r="F944" i="33"/>
  <c r="G944" i="33"/>
  <c r="F943" i="33"/>
  <c r="G943" i="33"/>
  <c r="G942" i="33"/>
  <c r="F942" i="33"/>
  <c r="F941" i="33"/>
  <c r="G941" i="33"/>
  <c r="F940" i="33"/>
  <c r="G940" i="33"/>
  <c r="F939" i="33"/>
  <c r="G939" i="33"/>
  <c r="F938" i="33"/>
  <c r="G938" i="33"/>
  <c r="F937" i="33"/>
  <c r="G937" i="33"/>
  <c r="F936" i="33"/>
  <c r="G936" i="33"/>
  <c r="G935" i="33"/>
  <c r="F935" i="33"/>
  <c r="G934" i="33"/>
  <c r="F934" i="33"/>
  <c r="G933" i="33"/>
  <c r="F933" i="33"/>
  <c r="F932" i="33"/>
  <c r="G932" i="33"/>
  <c r="F931" i="33"/>
  <c r="G931" i="33"/>
  <c r="F930" i="33"/>
  <c r="G930" i="33"/>
  <c r="F929" i="33"/>
  <c r="G929" i="33"/>
  <c r="G928" i="33"/>
  <c r="F928" i="33"/>
  <c r="F927" i="33"/>
  <c r="G927" i="33"/>
  <c r="G926" i="33"/>
  <c r="F926" i="33"/>
  <c r="F925" i="33"/>
  <c r="G925" i="33"/>
  <c r="F924" i="33"/>
  <c r="G924" i="33"/>
  <c r="G923" i="33"/>
  <c r="F923" i="33"/>
  <c r="F922" i="33"/>
  <c r="G922" i="33"/>
  <c r="F921" i="33"/>
  <c r="G921" i="33"/>
  <c r="F920" i="33"/>
  <c r="G920" i="33"/>
  <c r="F919" i="33"/>
  <c r="G919" i="33"/>
  <c r="G918" i="33"/>
  <c r="F918" i="33"/>
  <c r="F917" i="33"/>
  <c r="G917" i="33"/>
  <c r="F916" i="33"/>
  <c r="G916" i="33"/>
  <c r="F915" i="33"/>
  <c r="G915" i="33"/>
  <c r="G914" i="33"/>
  <c r="F914" i="33"/>
  <c r="G913" i="33"/>
  <c r="F913" i="33"/>
  <c r="F912" i="33"/>
  <c r="G912" i="33"/>
  <c r="F911" i="33"/>
  <c r="G911" i="33"/>
  <c r="G910" i="33"/>
  <c r="F910" i="33"/>
  <c r="G909" i="33"/>
  <c r="F909" i="33"/>
  <c r="G908" i="33"/>
  <c r="F908" i="33"/>
  <c r="G907" i="33"/>
  <c r="F907" i="33"/>
  <c r="G906" i="33"/>
  <c r="F906" i="33"/>
  <c r="F905" i="33"/>
  <c r="G905" i="33"/>
  <c r="F904" i="33"/>
  <c r="G904" i="33"/>
  <c r="G903" i="33"/>
  <c r="F903" i="33"/>
  <c r="G902" i="33"/>
  <c r="F902" i="33"/>
  <c r="G901" i="33"/>
  <c r="F901" i="33"/>
  <c r="G900" i="33"/>
  <c r="F900" i="33"/>
  <c r="G899" i="33"/>
  <c r="F899" i="33"/>
  <c r="F898" i="33"/>
  <c r="G898" i="33"/>
  <c r="F897" i="33"/>
  <c r="G897" i="33"/>
  <c r="F896" i="33"/>
  <c r="G896" i="33"/>
  <c r="G895" i="33"/>
  <c r="F895" i="33"/>
  <c r="F894" i="33"/>
  <c r="G894" i="33"/>
  <c r="G893" i="33"/>
  <c r="F893" i="33"/>
  <c r="F892" i="33"/>
  <c r="G892" i="33"/>
  <c r="G891" i="33"/>
  <c r="F891" i="33"/>
  <c r="G890" i="33"/>
  <c r="F890" i="33"/>
  <c r="G889" i="33"/>
  <c r="F889" i="33"/>
  <c r="F888" i="33"/>
  <c r="G888" i="33"/>
  <c r="F887" i="33"/>
  <c r="G887" i="33"/>
  <c r="F886" i="33"/>
  <c r="G886" i="33"/>
  <c r="F885" i="33"/>
  <c r="G885" i="33"/>
  <c r="G884" i="33"/>
  <c r="F884" i="33"/>
  <c r="F883" i="33"/>
  <c r="G883" i="33"/>
  <c r="G882" i="33"/>
  <c r="F882" i="33"/>
  <c r="F881" i="33"/>
  <c r="G881" i="33"/>
  <c r="F880" i="33"/>
  <c r="G880" i="33"/>
  <c r="G879" i="33"/>
  <c r="F879" i="33"/>
  <c r="F874" i="33"/>
  <c r="G874" i="33"/>
  <c r="G873" i="33"/>
  <c r="F873" i="33"/>
  <c r="F872" i="33"/>
  <c r="G872" i="33"/>
  <c r="G871" i="33"/>
  <c r="F871" i="33"/>
  <c r="G870" i="33"/>
  <c r="F870" i="33"/>
  <c r="F869" i="33"/>
  <c r="G869" i="33"/>
  <c r="F868" i="33"/>
  <c r="G868" i="33"/>
  <c r="G867" i="33"/>
  <c r="F867" i="33"/>
  <c r="G866" i="33"/>
  <c r="F866" i="33"/>
  <c r="G865" i="33"/>
  <c r="F865" i="33"/>
  <c r="F864" i="33"/>
  <c r="G864" i="33"/>
  <c r="F863" i="33"/>
  <c r="G863" i="33"/>
  <c r="G862" i="33"/>
  <c r="F862" i="33"/>
  <c r="F861" i="33"/>
  <c r="G861" i="33"/>
  <c r="F860" i="33"/>
  <c r="G860" i="33"/>
  <c r="F859" i="33"/>
  <c r="G859" i="33"/>
  <c r="F858" i="33"/>
  <c r="G858" i="33"/>
  <c r="G857" i="33"/>
  <c r="F857" i="33"/>
  <c r="G856" i="33"/>
  <c r="F856" i="33"/>
  <c r="G855" i="33"/>
  <c r="F855" i="33"/>
  <c r="G854" i="33"/>
  <c r="F854" i="33"/>
  <c r="G853" i="33"/>
  <c r="F853" i="33"/>
  <c r="F852" i="33"/>
  <c r="G852" i="33"/>
  <c r="G851" i="33"/>
  <c r="F851" i="33"/>
  <c r="G850" i="33"/>
  <c r="F850" i="33"/>
  <c r="F849" i="33"/>
  <c r="G849" i="33"/>
  <c r="F848" i="33"/>
  <c r="G848" i="33"/>
  <c r="G847" i="33"/>
  <c r="F847" i="33"/>
  <c r="G846" i="33"/>
  <c r="F846" i="33"/>
  <c r="G845" i="33"/>
  <c r="F845" i="33"/>
  <c r="F844" i="33"/>
  <c r="G844" i="33"/>
  <c r="F843" i="33"/>
  <c r="G843" i="33"/>
  <c r="G842" i="33"/>
  <c r="F842" i="33"/>
  <c r="F841" i="33"/>
  <c r="G841" i="33"/>
  <c r="F840" i="33"/>
  <c r="G840" i="33"/>
  <c r="G839" i="33"/>
  <c r="F839" i="33"/>
  <c r="F838" i="33"/>
  <c r="G838" i="33"/>
  <c r="G837" i="33"/>
  <c r="F837" i="33"/>
  <c r="F836" i="33"/>
  <c r="G836" i="33"/>
  <c r="F835" i="33"/>
  <c r="G835" i="33"/>
  <c r="F834" i="33"/>
  <c r="G834" i="33"/>
  <c r="G833" i="33"/>
  <c r="F833" i="33"/>
  <c r="G832" i="33"/>
  <c r="F832" i="33"/>
  <c r="F831" i="33"/>
  <c r="G831" i="33"/>
  <c r="G830" i="33"/>
  <c r="F830" i="33"/>
  <c r="F829" i="33"/>
  <c r="G829" i="33"/>
  <c r="F828" i="33"/>
  <c r="G828" i="33"/>
  <c r="F827" i="33"/>
  <c r="G827" i="33"/>
  <c r="G826" i="33"/>
  <c r="F826" i="33"/>
  <c r="G825" i="33"/>
  <c r="F825" i="33"/>
  <c r="F824" i="33"/>
  <c r="G824" i="33"/>
  <c r="F823" i="33"/>
  <c r="G823" i="33"/>
  <c r="F822" i="33"/>
  <c r="G822" i="33"/>
  <c r="G821" i="33"/>
  <c r="F821" i="33"/>
  <c r="F820" i="33"/>
  <c r="G820" i="33"/>
  <c r="F819" i="33"/>
  <c r="G819" i="33"/>
  <c r="G818" i="33"/>
  <c r="F818" i="33"/>
  <c r="F817" i="33"/>
  <c r="G817" i="33"/>
  <c r="G814" i="33"/>
  <c r="F814" i="33"/>
  <c r="F813" i="33"/>
  <c r="G813" i="33"/>
  <c r="G812" i="33"/>
  <c r="F812" i="33"/>
  <c r="G811" i="33"/>
  <c r="F811" i="33"/>
  <c r="G810" i="33"/>
  <c r="F810" i="33"/>
  <c r="G809" i="33"/>
  <c r="F809" i="33"/>
  <c r="F808" i="33"/>
  <c r="G808" i="33"/>
  <c r="F807" i="33"/>
  <c r="G807" i="33"/>
  <c r="F806" i="33"/>
  <c r="G806" i="33"/>
  <c r="G805" i="33"/>
  <c r="F805" i="33"/>
  <c r="F804" i="33"/>
  <c r="G804" i="33"/>
  <c r="G803" i="33"/>
  <c r="F803" i="33"/>
  <c r="G802" i="33"/>
  <c r="F802" i="33"/>
  <c r="G801" i="33"/>
  <c r="F801" i="33"/>
  <c r="F800" i="33"/>
  <c r="G800" i="33"/>
  <c r="G799" i="33"/>
  <c r="F799" i="33"/>
  <c r="F798" i="33"/>
  <c r="G798" i="33"/>
  <c r="G797" i="33"/>
  <c r="F797" i="33"/>
  <c r="F796" i="33"/>
  <c r="G796" i="33"/>
  <c r="F795" i="33"/>
  <c r="G795" i="33"/>
  <c r="G794" i="33"/>
  <c r="F794" i="33"/>
  <c r="G793" i="33"/>
  <c r="F793" i="33"/>
  <c r="F792" i="33"/>
  <c r="G792" i="33"/>
  <c r="F791" i="33"/>
  <c r="G791" i="33"/>
  <c r="F517" i="33"/>
  <c r="G517" i="33"/>
  <c r="F514" i="33"/>
  <c r="G514" i="33"/>
  <c r="F790" i="33"/>
  <c r="G790" i="33"/>
  <c r="F789" i="33"/>
  <c r="G789" i="33"/>
  <c r="F788" i="33"/>
  <c r="G788" i="33"/>
  <c r="F787" i="33"/>
  <c r="G787" i="33"/>
  <c r="G786" i="33"/>
  <c r="F786" i="33"/>
  <c r="F597" i="33"/>
  <c r="G597" i="33"/>
  <c r="F596" i="33"/>
  <c r="G596" i="33"/>
  <c r="G595" i="33"/>
  <c r="F595" i="33"/>
  <c r="F594" i="33"/>
  <c r="G594" i="33"/>
  <c r="G593" i="33"/>
  <c r="F593" i="33"/>
  <c r="F592" i="33"/>
  <c r="G592" i="33"/>
  <c r="G591" i="33"/>
  <c r="F591" i="33"/>
  <c r="F590" i="33"/>
  <c r="G590" i="33"/>
  <c r="F589" i="33"/>
  <c r="G589" i="33"/>
  <c r="G588" i="33"/>
  <c r="F588" i="33"/>
  <c r="F587" i="33"/>
  <c r="G587" i="33"/>
  <c r="G586" i="33"/>
  <c r="F586" i="33"/>
  <c r="F585" i="33"/>
  <c r="G585" i="33"/>
  <c r="F584" i="33"/>
  <c r="G584" i="33"/>
  <c r="F583" i="33"/>
  <c r="G583" i="33"/>
  <c r="G582" i="33"/>
  <c r="F582" i="33"/>
  <c r="G581" i="33"/>
  <c r="F581" i="33"/>
  <c r="G580" i="33"/>
  <c r="F580" i="33"/>
  <c r="F579" i="33"/>
  <c r="G579" i="33"/>
  <c r="G578" i="33"/>
  <c r="F578" i="33"/>
  <c r="F577" i="33"/>
  <c r="G577" i="33"/>
  <c r="G576" i="33"/>
  <c r="F576" i="33"/>
  <c r="F575" i="33"/>
  <c r="G575" i="33"/>
  <c r="G574" i="33"/>
  <c r="F574" i="33"/>
  <c r="F573" i="33"/>
  <c r="G573" i="33"/>
  <c r="F572" i="33"/>
  <c r="G572" i="33"/>
  <c r="G571" i="33"/>
  <c r="F571" i="33"/>
  <c r="G570" i="33"/>
  <c r="F570" i="33"/>
  <c r="F569" i="33"/>
  <c r="G569" i="33"/>
  <c r="G568" i="33"/>
  <c r="F568" i="33"/>
  <c r="F567" i="33"/>
  <c r="G567" i="33"/>
  <c r="F566" i="33"/>
  <c r="G566" i="33"/>
  <c r="G565" i="33"/>
  <c r="F565" i="33"/>
  <c r="G564" i="33"/>
  <c r="F564" i="33"/>
  <c r="F563" i="33"/>
  <c r="G563" i="33"/>
  <c r="F562" i="33"/>
  <c r="G562" i="33"/>
  <c r="G561" i="33"/>
  <c r="F561" i="33"/>
  <c r="F560" i="33"/>
  <c r="G560" i="33"/>
  <c r="F559" i="33"/>
  <c r="G559" i="33"/>
  <c r="G558" i="33"/>
  <c r="F558" i="33"/>
  <c r="F557" i="33"/>
  <c r="G557" i="33"/>
  <c r="F556" i="33"/>
  <c r="G556" i="33"/>
  <c r="G555" i="33"/>
  <c r="F555" i="33"/>
  <c r="F554" i="33"/>
  <c r="G554" i="33"/>
  <c r="G553" i="33"/>
  <c r="F553" i="33"/>
  <c r="F552" i="33"/>
  <c r="G552" i="33"/>
  <c r="F551" i="33"/>
  <c r="G551" i="33"/>
  <c r="F550" i="33"/>
  <c r="G550" i="33"/>
  <c r="F549" i="33"/>
  <c r="G549" i="33"/>
  <c r="G548" i="33"/>
  <c r="F548" i="33"/>
  <c r="G547" i="33"/>
  <c r="F547" i="33"/>
  <c r="F546" i="33"/>
  <c r="G546" i="33"/>
  <c r="F545" i="33"/>
  <c r="G545" i="33"/>
  <c r="G544" i="33"/>
  <c r="F544" i="33"/>
  <c r="F543" i="33"/>
  <c r="G543" i="33"/>
  <c r="F542" i="33"/>
  <c r="G542" i="33"/>
  <c r="F541" i="33"/>
  <c r="G541" i="33"/>
  <c r="F540" i="33"/>
  <c r="G540" i="33"/>
  <c r="F539" i="33"/>
  <c r="G539" i="33"/>
  <c r="F538" i="33"/>
  <c r="G538" i="33"/>
  <c r="F537" i="33"/>
  <c r="G537" i="33"/>
  <c r="G536" i="33"/>
  <c r="F536" i="33"/>
  <c r="F535" i="33"/>
  <c r="G535" i="33"/>
  <c r="F534" i="33"/>
  <c r="G534" i="33"/>
  <c r="F519" i="33"/>
  <c r="G519" i="33"/>
  <c r="G518" i="33"/>
  <c r="F518" i="33"/>
  <c r="F516" i="33"/>
  <c r="G516" i="33"/>
  <c r="G515" i="33"/>
  <c r="F515" i="33"/>
  <c r="G513" i="33"/>
  <c r="F513" i="33"/>
  <c r="F506" i="33"/>
  <c r="G506" i="33"/>
  <c r="F505" i="33"/>
  <c r="G505" i="33"/>
  <c r="F504" i="33"/>
  <c r="G504" i="33"/>
  <c r="F503" i="33"/>
  <c r="G503" i="33"/>
  <c r="G502" i="33"/>
  <c r="F502" i="33"/>
  <c r="G501" i="33"/>
  <c r="F501" i="33"/>
  <c r="F500" i="33"/>
  <c r="G500" i="33"/>
  <c r="G499" i="33"/>
  <c r="F499" i="33"/>
  <c r="F498" i="33"/>
  <c r="G498" i="33"/>
  <c r="G497" i="33"/>
  <c r="F497" i="33"/>
  <c r="F496" i="33"/>
  <c r="G496" i="33"/>
  <c r="F495" i="33"/>
  <c r="G495" i="33"/>
  <c r="F494" i="33"/>
  <c r="G494" i="33"/>
  <c r="F493" i="33"/>
  <c r="G493" i="33"/>
  <c r="F492" i="33"/>
  <c r="G492" i="33"/>
  <c r="G491" i="33"/>
  <c r="F491" i="33"/>
  <c r="F490" i="33"/>
  <c r="G490" i="33"/>
  <c r="F489" i="33"/>
  <c r="G489" i="33"/>
  <c r="F488" i="33"/>
  <c r="G488" i="33"/>
  <c r="F487" i="33"/>
  <c r="G487" i="33"/>
  <c r="F486" i="33"/>
  <c r="G486" i="33"/>
  <c r="G485" i="33"/>
  <c r="F485" i="33"/>
  <c r="F484" i="33"/>
  <c r="G484" i="33"/>
  <c r="F483" i="33"/>
  <c r="G483" i="33"/>
  <c r="G482" i="33"/>
  <c r="F482" i="33"/>
  <c r="F481" i="33"/>
  <c r="G481" i="33"/>
  <c r="F480" i="33"/>
  <c r="G480" i="33"/>
  <c r="F479" i="33"/>
  <c r="G479" i="33"/>
  <c r="F478" i="33"/>
  <c r="G478" i="33"/>
  <c r="F477" i="33"/>
  <c r="G477" i="33"/>
  <c r="F476" i="33"/>
  <c r="G476" i="33"/>
  <c r="F475" i="33"/>
  <c r="G475" i="33"/>
  <c r="G474" i="33"/>
  <c r="F474" i="33"/>
  <c r="G473" i="33"/>
  <c r="F473" i="33"/>
  <c r="F472" i="33"/>
  <c r="G472" i="33"/>
  <c r="G471" i="33"/>
  <c r="F471" i="33"/>
  <c r="G470" i="33"/>
  <c r="F470" i="33"/>
  <c r="F469" i="33"/>
  <c r="G469" i="33"/>
  <c r="G468" i="33"/>
  <c r="F468" i="33"/>
  <c r="G467" i="33"/>
  <c r="F467" i="33"/>
  <c r="G466" i="33"/>
  <c r="F466" i="33"/>
  <c r="G465" i="33"/>
  <c r="F465" i="33"/>
  <c r="F464" i="33"/>
  <c r="G464" i="33"/>
  <c r="F463" i="33"/>
  <c r="G463" i="33"/>
  <c r="G462" i="33"/>
  <c r="F462" i="33"/>
  <c r="F461" i="33"/>
  <c r="G461" i="33"/>
  <c r="F460" i="33"/>
  <c r="G460" i="33"/>
  <c r="F459" i="33"/>
  <c r="G459" i="33"/>
  <c r="G332" i="33"/>
  <c r="F332" i="33"/>
  <c r="F331" i="33"/>
  <c r="G331" i="33"/>
  <c r="G330" i="33"/>
  <c r="F330" i="33"/>
  <c r="G329" i="33"/>
  <c r="F329" i="33"/>
  <c r="G328" i="33"/>
  <c r="F328" i="33"/>
  <c r="G327" i="33"/>
  <c r="F327" i="33"/>
  <c r="G326" i="33"/>
  <c r="F326" i="33"/>
  <c r="G325" i="33"/>
  <c r="F325" i="33"/>
  <c r="G324" i="33"/>
  <c r="F324" i="33"/>
  <c r="F323" i="33"/>
  <c r="G323" i="33"/>
  <c r="G322" i="33"/>
  <c r="F322" i="33"/>
  <c r="G321" i="33"/>
  <c r="F321" i="33"/>
  <c r="F320" i="33"/>
  <c r="G320" i="33"/>
  <c r="G319" i="33"/>
  <c r="F319" i="33"/>
  <c r="F318" i="33"/>
  <c r="G318" i="33"/>
  <c r="G317" i="33"/>
  <c r="F317" i="33"/>
  <c r="F316" i="33"/>
  <c r="G316" i="33"/>
  <c r="G315" i="33"/>
  <c r="F315" i="33"/>
  <c r="G314" i="33"/>
  <c r="F314" i="33"/>
  <c r="F313" i="33"/>
  <c r="G313" i="33"/>
  <c r="G312" i="33"/>
  <c r="F312" i="33"/>
  <c r="G311" i="33"/>
  <c r="F311" i="33"/>
  <c r="F310" i="33"/>
  <c r="G310" i="33"/>
  <c r="F309" i="33"/>
  <c r="G309" i="33"/>
  <c r="F308" i="33"/>
  <c r="G308" i="33"/>
  <c r="G307" i="33"/>
  <c r="F307" i="33"/>
  <c r="G306" i="33"/>
  <c r="F306" i="33"/>
  <c r="G305" i="33"/>
  <c r="F305" i="33"/>
  <c r="F304" i="33"/>
  <c r="G304" i="33"/>
  <c r="F303" i="33"/>
  <c r="G303" i="33"/>
  <c r="F302" i="33"/>
  <c r="G302" i="33"/>
  <c r="F301" i="33"/>
  <c r="G301" i="33"/>
  <c r="F300" i="33"/>
  <c r="G300" i="33"/>
  <c r="F299" i="33"/>
  <c r="G299" i="33"/>
  <c r="F298" i="33"/>
  <c r="G298" i="33"/>
  <c r="G297" i="33"/>
  <c r="F297" i="33"/>
  <c r="F296" i="33"/>
  <c r="G296" i="33"/>
  <c r="G295" i="33"/>
  <c r="F295" i="33"/>
  <c r="G294" i="33"/>
  <c r="F294" i="33"/>
  <c r="G293" i="33"/>
  <c r="F293" i="33"/>
  <c r="F292" i="33"/>
  <c r="G292" i="33"/>
  <c r="G291" i="33"/>
  <c r="F291" i="33"/>
  <c r="F290" i="33"/>
  <c r="G290" i="33"/>
  <c r="G289" i="33"/>
  <c r="F289" i="33"/>
  <c r="F288" i="33"/>
  <c r="G288" i="33"/>
  <c r="G287" i="33"/>
  <c r="F287" i="33"/>
  <c r="F286" i="33"/>
  <c r="G286" i="33"/>
  <c r="G181" i="33"/>
  <c r="F181" i="33"/>
  <c r="G180" i="33"/>
  <c r="F180" i="33"/>
  <c r="F179" i="33"/>
  <c r="G179" i="33"/>
  <c r="G178" i="33"/>
  <c r="F178" i="33"/>
  <c r="F177" i="33"/>
  <c r="G177" i="33"/>
  <c r="F176" i="33"/>
  <c r="G176" i="33"/>
  <c r="G175" i="33"/>
  <c r="F175" i="33"/>
  <c r="G174" i="33"/>
  <c r="F174" i="33"/>
  <c r="F173" i="33"/>
  <c r="G173" i="33"/>
  <c r="G172" i="33"/>
  <c r="F172" i="33"/>
  <c r="G171" i="33"/>
  <c r="F171" i="33"/>
  <c r="F170" i="33"/>
  <c r="G170" i="33"/>
  <c r="G169" i="33"/>
  <c r="F169" i="33"/>
  <c r="F168" i="33"/>
  <c r="G168" i="33"/>
  <c r="G167" i="33"/>
  <c r="F167" i="33"/>
  <c r="G166" i="33"/>
  <c r="F166" i="33"/>
  <c r="F165" i="33"/>
  <c r="G165" i="33"/>
  <c r="F164" i="33"/>
  <c r="G164" i="33"/>
  <c r="G163" i="33"/>
  <c r="F163" i="33"/>
  <c r="G162" i="33"/>
  <c r="F162" i="33"/>
  <c r="G161" i="33"/>
  <c r="F161" i="33"/>
  <c r="G160" i="33"/>
  <c r="F160" i="33"/>
  <c r="G159" i="33"/>
  <c r="F159" i="33"/>
  <c r="G158" i="33"/>
  <c r="F158" i="33"/>
  <c r="G90" i="33"/>
  <c r="F90" i="33"/>
  <c r="F89" i="33"/>
  <c r="G89" i="33"/>
  <c r="G88" i="33"/>
  <c r="F88" i="33"/>
  <c r="F87" i="33"/>
  <c r="G87" i="33"/>
  <c r="G86" i="33"/>
  <c r="F86" i="33"/>
  <c r="F85" i="33"/>
  <c r="G85" i="33"/>
  <c r="G84" i="33"/>
  <c r="F84" i="33"/>
  <c r="F83" i="33"/>
  <c r="G83" i="33"/>
  <c r="F82" i="33"/>
  <c r="G82" i="33"/>
  <c r="F81" i="33"/>
  <c r="G81" i="33"/>
  <c r="F80" i="33"/>
  <c r="G80" i="33"/>
  <c r="G79" i="33"/>
  <c r="F79" i="33"/>
  <c r="F78" i="33"/>
  <c r="G78" i="33"/>
  <c r="G77" i="33"/>
  <c r="F77" i="33"/>
  <c r="G76" i="33"/>
  <c r="F76" i="33"/>
  <c r="G75" i="33"/>
  <c r="F75" i="33"/>
  <c r="G74" i="33"/>
  <c r="F74" i="33"/>
  <c r="F73" i="33"/>
  <c r="G73" i="33"/>
  <c r="G72" i="33"/>
  <c r="F72" i="33"/>
  <c r="F71" i="33"/>
  <c r="G71" i="33"/>
  <c r="G70" i="33"/>
  <c r="F70" i="33"/>
  <c r="F69" i="33"/>
  <c r="G69" i="33"/>
  <c r="G68" i="33"/>
  <c r="F68" i="33"/>
  <c r="G67" i="33"/>
  <c r="F67" i="33"/>
  <c r="F66" i="33"/>
  <c r="G66" i="33"/>
  <c r="G65" i="33"/>
  <c r="F65" i="33"/>
  <c r="G64" i="33"/>
  <c r="F64" i="33"/>
  <c r="F63" i="33"/>
  <c r="G63" i="33"/>
  <c r="F62" i="33"/>
  <c r="G62" i="33"/>
  <c r="G61" i="33"/>
  <c r="F61" i="33"/>
  <c r="G60" i="33"/>
  <c r="F60" i="33"/>
  <c r="F59" i="33"/>
  <c r="G59" i="33"/>
  <c r="G58" i="33"/>
  <c r="F58" i="33"/>
  <c r="F57" i="33"/>
  <c r="G57" i="33"/>
  <c r="F56" i="33"/>
  <c r="G56" i="33"/>
  <c r="G55" i="33"/>
  <c r="F55" i="33"/>
  <c r="F54" i="33"/>
  <c r="G54" i="33"/>
  <c r="G53" i="33"/>
  <c r="F53" i="33"/>
  <c r="F52" i="33"/>
  <c r="G52" i="33"/>
  <c r="G51" i="33"/>
  <c r="F51" i="33"/>
  <c r="G50" i="33"/>
  <c r="F50" i="33"/>
  <c r="F48" i="33"/>
  <c r="G48" i="33"/>
  <c r="F47" i="33"/>
  <c r="G47" i="33"/>
  <c r="G46" i="33"/>
  <c r="F46" i="33"/>
  <c r="G45" i="33"/>
  <c r="F45" i="33"/>
  <c r="F44" i="33"/>
  <c r="G44" i="33"/>
  <c r="G43" i="33"/>
  <c r="F43" i="33"/>
  <c r="G42" i="33"/>
  <c r="F42" i="33"/>
  <c r="G41" i="33"/>
  <c r="F41" i="33"/>
  <c r="F40" i="33"/>
  <c r="G40" i="33"/>
  <c r="F39" i="33"/>
  <c r="G39" i="33"/>
  <c r="G38" i="33"/>
  <c r="F38" i="33"/>
  <c r="F49" i="33"/>
  <c r="G49" i="33"/>
  <c r="G35" i="33"/>
  <c r="F35" i="33"/>
  <c r="F381" i="33"/>
  <c r="G381" i="33"/>
  <c r="G37" i="33"/>
  <c r="F37" i="33"/>
  <c r="F36" i="33"/>
  <c r="G36" i="33"/>
  <c r="G34" i="33"/>
  <c r="F34" i="33"/>
  <c r="F783" i="33"/>
  <c r="G783" i="33"/>
  <c r="G782" i="33"/>
  <c r="F782" i="33"/>
  <c r="G781" i="33"/>
  <c r="F781" i="33"/>
  <c r="F780" i="33"/>
  <c r="G780" i="33"/>
  <c r="G779" i="33"/>
  <c r="F779" i="33"/>
  <c r="G778" i="33"/>
  <c r="F778" i="33"/>
  <c r="F777" i="33"/>
  <c r="G777" i="33"/>
  <c r="F776" i="33"/>
  <c r="G776" i="33"/>
  <c r="F775" i="33"/>
  <c r="G775" i="33"/>
  <c r="F774" i="33"/>
  <c r="G774" i="33"/>
  <c r="F773" i="33"/>
  <c r="G773" i="33"/>
  <c r="G772" i="33"/>
  <c r="F772" i="33"/>
  <c r="F771" i="33"/>
  <c r="G771" i="33"/>
  <c r="F770" i="33"/>
  <c r="G770" i="33"/>
  <c r="F769" i="33"/>
  <c r="G769" i="33"/>
  <c r="G768" i="33"/>
  <c r="F768" i="33"/>
  <c r="G767" i="33"/>
  <c r="F767" i="33"/>
  <c r="G766" i="33"/>
  <c r="F766" i="33"/>
  <c r="G765" i="33"/>
  <c r="F765" i="33"/>
  <c r="G764" i="33"/>
  <c r="F764" i="33"/>
  <c r="F763" i="33"/>
  <c r="G763" i="33"/>
  <c r="G762" i="33"/>
  <c r="F762" i="33"/>
  <c r="G761" i="33"/>
  <c r="F761" i="33"/>
  <c r="F760" i="33"/>
  <c r="G760" i="33"/>
  <c r="G759" i="33"/>
  <c r="F759" i="33"/>
  <c r="G758" i="33"/>
  <c r="F758" i="33"/>
  <c r="F757" i="33"/>
  <c r="G757" i="33"/>
  <c r="F756" i="33"/>
  <c r="G756" i="33"/>
  <c r="G755" i="33"/>
  <c r="F755" i="33"/>
  <c r="G754" i="33"/>
  <c r="F754" i="33"/>
  <c r="G753" i="33"/>
  <c r="F753" i="33"/>
  <c r="F752" i="33"/>
  <c r="G752" i="33"/>
  <c r="F751" i="33"/>
  <c r="G751" i="33"/>
  <c r="F750" i="33"/>
  <c r="G750" i="33"/>
  <c r="F749" i="33"/>
  <c r="G749" i="33"/>
  <c r="G748" i="33"/>
  <c r="F748" i="33"/>
  <c r="G747" i="33"/>
  <c r="F747" i="33"/>
  <c r="G746" i="33"/>
  <c r="F746" i="33"/>
  <c r="G745" i="33"/>
  <c r="F745" i="33"/>
  <c r="G744" i="33"/>
  <c r="F744" i="33"/>
  <c r="G743" i="33"/>
  <c r="F743" i="33"/>
  <c r="F742" i="33"/>
  <c r="G742" i="33"/>
  <c r="G741" i="33"/>
  <c r="F741" i="33"/>
  <c r="G740" i="33"/>
  <c r="F740" i="33"/>
  <c r="G739" i="33"/>
  <c r="F739" i="33"/>
  <c r="G738" i="33"/>
  <c r="F738" i="33"/>
  <c r="G737" i="33"/>
  <c r="F737" i="33"/>
  <c r="G736" i="33"/>
  <c r="F736" i="33"/>
  <c r="F735" i="33"/>
  <c r="G735" i="33"/>
  <c r="G734" i="33"/>
  <c r="F734" i="33"/>
  <c r="F733" i="33"/>
  <c r="G733" i="33"/>
  <c r="G732" i="33"/>
  <c r="F732" i="33"/>
  <c r="G731" i="33"/>
  <c r="F731" i="33"/>
  <c r="F730" i="33"/>
  <c r="G730" i="33"/>
  <c r="F729" i="33"/>
  <c r="G729" i="33"/>
  <c r="G728" i="33"/>
  <c r="F728" i="33"/>
  <c r="G727" i="33"/>
  <c r="F727" i="33"/>
  <c r="G726" i="33"/>
  <c r="F726" i="33"/>
  <c r="G725" i="33"/>
  <c r="F725" i="33"/>
  <c r="G724" i="33"/>
  <c r="F724" i="33"/>
  <c r="F723" i="33"/>
  <c r="G723" i="33"/>
  <c r="G722" i="33"/>
  <c r="F722" i="33"/>
  <c r="G721" i="33"/>
  <c r="F721" i="33"/>
  <c r="G720" i="33"/>
  <c r="F720" i="33"/>
  <c r="G719" i="33"/>
  <c r="F719" i="33"/>
  <c r="G718" i="33"/>
  <c r="F718" i="33"/>
  <c r="G717" i="33"/>
  <c r="F717" i="33"/>
  <c r="G716" i="33"/>
  <c r="F716" i="33"/>
  <c r="G715" i="33"/>
  <c r="F715" i="33"/>
  <c r="G714" i="33"/>
  <c r="F714" i="33"/>
  <c r="G713" i="33"/>
  <c r="F713" i="33"/>
  <c r="G712" i="33"/>
  <c r="F712" i="33"/>
  <c r="G711" i="33"/>
  <c r="F711" i="33"/>
  <c r="G710" i="33"/>
  <c r="F710" i="33"/>
  <c r="F709" i="33"/>
  <c r="G709" i="33"/>
  <c r="G708" i="33"/>
  <c r="F708" i="33"/>
  <c r="F707" i="33"/>
  <c r="G707" i="33"/>
  <c r="G706" i="33"/>
  <c r="F706" i="33"/>
  <c r="F705" i="33"/>
  <c r="G705" i="33"/>
  <c r="G704" i="33"/>
  <c r="F704" i="33"/>
  <c r="F703" i="33"/>
  <c r="G703" i="33"/>
  <c r="G702" i="33"/>
  <c r="F702" i="33"/>
  <c r="F701" i="33"/>
  <c r="G701" i="33"/>
  <c r="F700" i="33"/>
  <c r="G700" i="33"/>
  <c r="F699" i="33"/>
  <c r="G699" i="33"/>
  <c r="G698" i="33"/>
  <c r="F698" i="33"/>
  <c r="F697" i="33"/>
  <c r="G697" i="33"/>
  <c r="F696" i="33"/>
  <c r="G696" i="33"/>
  <c r="G695" i="33"/>
  <c r="F695" i="33"/>
  <c r="F694" i="33"/>
  <c r="G694" i="33"/>
  <c r="G693" i="33"/>
  <c r="F693" i="33"/>
  <c r="G692" i="33"/>
  <c r="F692" i="33"/>
  <c r="G691" i="33"/>
  <c r="F691" i="33"/>
  <c r="G690" i="33"/>
  <c r="F690" i="33"/>
  <c r="F689" i="33"/>
  <c r="G689" i="33"/>
  <c r="G688" i="33"/>
  <c r="F688" i="33"/>
  <c r="F687" i="33"/>
  <c r="G687" i="33"/>
  <c r="G686" i="33"/>
  <c r="F686" i="33"/>
  <c r="G685" i="33"/>
  <c r="F685" i="33"/>
  <c r="G684" i="33"/>
  <c r="F684" i="33"/>
  <c r="F683" i="33"/>
  <c r="G683" i="33"/>
  <c r="F682" i="33"/>
  <c r="G682" i="33"/>
  <c r="G681" i="33"/>
  <c r="F681" i="33"/>
  <c r="G680" i="33"/>
  <c r="F680" i="33"/>
  <c r="F679" i="33"/>
  <c r="G679" i="33"/>
  <c r="F678" i="33"/>
  <c r="G678" i="33"/>
  <c r="F677" i="33"/>
  <c r="G677" i="33"/>
  <c r="F676" i="33"/>
  <c r="G676" i="33"/>
  <c r="F675" i="33"/>
  <c r="G675" i="33"/>
  <c r="G674" i="33"/>
  <c r="F674" i="33"/>
  <c r="F673" i="33"/>
  <c r="G673" i="33"/>
  <c r="G672" i="33"/>
  <c r="F672" i="33"/>
  <c r="F671" i="33"/>
  <c r="G671" i="33"/>
  <c r="G670" i="33"/>
  <c r="F670" i="33"/>
  <c r="F669" i="33"/>
  <c r="G669" i="33"/>
  <c r="F668" i="33"/>
  <c r="G668" i="33"/>
  <c r="G667" i="33"/>
  <c r="F667" i="33"/>
  <c r="F666" i="33"/>
  <c r="G666" i="33"/>
  <c r="G665" i="33"/>
  <c r="F665" i="33"/>
  <c r="G664" i="33"/>
  <c r="F664" i="33"/>
  <c r="G663" i="33"/>
  <c r="F663" i="33"/>
  <c r="G662" i="33"/>
  <c r="F662" i="33"/>
  <c r="F661" i="33"/>
  <c r="G661" i="33"/>
  <c r="F660" i="33"/>
  <c r="G660" i="33"/>
  <c r="F659" i="33"/>
  <c r="G659" i="33"/>
  <c r="G658" i="33"/>
  <c r="F658" i="33"/>
  <c r="F657" i="33"/>
  <c r="G657" i="33"/>
  <c r="G656" i="33"/>
  <c r="F656" i="33"/>
  <c r="G655" i="33"/>
  <c r="F655" i="33"/>
  <c r="F654" i="33"/>
  <c r="G654" i="33"/>
  <c r="F653" i="33"/>
  <c r="G653" i="33"/>
  <c r="G652" i="33"/>
  <c r="F652" i="33"/>
  <c r="F651" i="33"/>
  <c r="G651" i="33"/>
  <c r="F650" i="33"/>
  <c r="G650" i="33"/>
  <c r="F649" i="33"/>
  <c r="G649" i="33"/>
  <c r="F648" i="33"/>
  <c r="G648" i="33"/>
  <c r="F647" i="33"/>
  <c r="G647" i="33"/>
  <c r="F646" i="33"/>
  <c r="G646" i="33"/>
  <c r="F645" i="33"/>
  <c r="G645" i="33"/>
  <c r="F644" i="33"/>
  <c r="G644" i="33"/>
  <c r="G643" i="33"/>
  <c r="F643" i="33"/>
  <c r="F642" i="33"/>
  <c r="G642" i="33"/>
  <c r="F641" i="33"/>
  <c r="G641" i="33"/>
  <c r="G640" i="33"/>
  <c r="F640" i="33"/>
  <c r="G639" i="33"/>
  <c r="F639" i="33"/>
  <c r="F638" i="33"/>
  <c r="G638" i="33"/>
  <c r="F637" i="33"/>
  <c r="G637" i="33"/>
  <c r="F636" i="33"/>
  <c r="G636" i="33"/>
  <c r="G635" i="33"/>
  <c r="F635" i="33"/>
  <c r="F634" i="33"/>
  <c r="G634" i="33"/>
  <c r="F633" i="33"/>
  <c r="G633" i="33"/>
  <c r="F632" i="33"/>
  <c r="G632" i="33"/>
  <c r="F631" i="33"/>
  <c r="G631" i="33"/>
  <c r="G630" i="33"/>
  <c r="F630" i="33"/>
  <c r="F629" i="33"/>
  <c r="G629" i="33"/>
  <c r="F628" i="33"/>
  <c r="G628" i="33"/>
  <c r="F626" i="33"/>
  <c r="G626" i="33"/>
  <c r="G625" i="33"/>
  <c r="F625" i="33"/>
  <c r="G624" i="33"/>
  <c r="F624" i="33"/>
  <c r="F623" i="33"/>
  <c r="G623" i="33"/>
  <c r="F622" i="33"/>
  <c r="G622" i="33"/>
  <c r="G621" i="33"/>
  <c r="F621" i="33"/>
  <c r="G620" i="33"/>
  <c r="F620" i="33"/>
  <c r="F619" i="33"/>
  <c r="G619" i="33"/>
  <c r="G618" i="33"/>
  <c r="F618" i="33"/>
  <c r="F617" i="33"/>
  <c r="G617" i="33"/>
  <c r="F616" i="33"/>
  <c r="G616" i="33"/>
  <c r="F615" i="33"/>
  <c r="G615" i="33"/>
  <c r="F614" i="33"/>
  <c r="G614" i="33"/>
  <c r="F613" i="33"/>
  <c r="G613" i="33"/>
  <c r="G611" i="33"/>
  <c r="F611" i="33"/>
  <c r="G599" i="33"/>
  <c r="F599" i="33"/>
  <c r="G627" i="33"/>
  <c r="F627" i="33"/>
  <c r="F612" i="33"/>
  <c r="G612" i="33"/>
  <c r="F610" i="33"/>
  <c r="G610" i="33"/>
  <c r="G609" i="33"/>
  <c r="F609" i="33"/>
  <c r="F608" i="33"/>
  <c r="G608" i="33"/>
  <c r="F607" i="33"/>
  <c r="G607" i="33"/>
  <c r="G606" i="33"/>
  <c r="F606" i="33"/>
  <c r="F605" i="33"/>
  <c r="G605" i="33"/>
  <c r="G604" i="33"/>
  <c r="F604" i="33"/>
  <c r="G603" i="33"/>
  <c r="F603" i="33"/>
  <c r="F602" i="33"/>
  <c r="G602" i="33"/>
  <c r="G601" i="33"/>
  <c r="F601" i="33"/>
  <c r="F600" i="33"/>
  <c r="G600" i="33"/>
  <c r="G598" i="33"/>
  <c r="F598" i="33"/>
  <c r="G533" i="33"/>
  <c r="F533" i="33"/>
  <c r="F532" i="33"/>
  <c r="G532" i="33"/>
  <c r="G531" i="33"/>
  <c r="F531" i="33"/>
  <c r="G530" i="33"/>
  <c r="F530" i="33"/>
  <c r="F529" i="33"/>
  <c r="G529" i="33"/>
  <c r="G528" i="33"/>
  <c r="F528" i="33"/>
  <c r="G527" i="33"/>
  <c r="F527" i="33"/>
  <c r="G526" i="33"/>
  <c r="F526" i="33"/>
  <c r="G525" i="33"/>
  <c r="F525" i="33"/>
  <c r="G524" i="33"/>
  <c r="F524" i="33"/>
  <c r="G523" i="33"/>
  <c r="F523" i="33"/>
  <c r="G522" i="33"/>
  <c r="F522" i="33"/>
  <c r="G521" i="33"/>
  <c r="F521" i="33"/>
  <c r="G520" i="33"/>
  <c r="F520" i="33"/>
  <c r="G408" i="33"/>
  <c r="F408" i="33"/>
  <c r="G407" i="33"/>
  <c r="F407" i="33"/>
  <c r="G406" i="33"/>
  <c r="F406" i="33"/>
  <c r="F405" i="33"/>
  <c r="G405" i="33"/>
  <c r="G404" i="33"/>
  <c r="F404" i="33"/>
  <c r="G403" i="33"/>
  <c r="F403" i="33"/>
  <c r="G402" i="33"/>
  <c r="F402" i="33"/>
  <c r="F401" i="33"/>
  <c r="G401" i="33"/>
  <c r="F400" i="33"/>
  <c r="G400" i="33"/>
  <c r="G282" i="33"/>
  <c r="F282" i="33"/>
  <c r="F281" i="33"/>
  <c r="G281" i="33"/>
  <c r="F280" i="33"/>
  <c r="G280" i="33"/>
  <c r="G279" i="33"/>
  <c r="F279" i="33"/>
  <c r="F278" i="33"/>
  <c r="G278" i="33"/>
  <c r="G277" i="33"/>
  <c r="F277" i="33"/>
  <c r="F276" i="33"/>
  <c r="G276" i="33"/>
  <c r="G275" i="33"/>
  <c r="F275" i="33"/>
  <c r="G274" i="33"/>
  <c r="F274" i="33"/>
  <c r="F273" i="33"/>
  <c r="G273" i="33"/>
  <c r="F272" i="33"/>
  <c r="G272" i="33"/>
  <c r="G271" i="33"/>
  <c r="F271" i="33"/>
  <c r="F270" i="33"/>
  <c r="G270" i="33"/>
  <c r="G269" i="33"/>
  <c r="F269" i="33"/>
  <c r="F268" i="33"/>
  <c r="G268" i="33"/>
  <c r="F267" i="33"/>
  <c r="G267" i="33"/>
  <c r="G266" i="33"/>
  <c r="F266" i="33"/>
  <c r="F265" i="33"/>
  <c r="G265" i="33"/>
  <c r="F264" i="33"/>
  <c r="G264" i="33"/>
  <c r="G263" i="33"/>
  <c r="F263" i="33"/>
  <c r="F262" i="33"/>
  <c r="G262" i="33"/>
  <c r="G261" i="33"/>
  <c r="F261" i="33"/>
  <c r="F260" i="33"/>
  <c r="G260" i="33"/>
  <c r="F259" i="33"/>
  <c r="G259" i="33"/>
  <c r="G258" i="33"/>
  <c r="F258" i="33"/>
  <c r="G257" i="33"/>
  <c r="F257" i="33"/>
  <c r="G256" i="33"/>
  <c r="F256" i="33"/>
  <c r="G255" i="33"/>
  <c r="F255" i="33"/>
  <c r="G254" i="33"/>
  <c r="F254" i="33"/>
  <c r="G253" i="33"/>
  <c r="F253" i="33"/>
  <c r="F252" i="33"/>
  <c r="G252" i="33"/>
  <c r="F251" i="33"/>
  <c r="G251" i="33"/>
  <c r="F250" i="33"/>
  <c r="G250" i="33"/>
  <c r="G249" i="33"/>
  <c r="F249" i="33"/>
  <c r="F248" i="33"/>
  <c r="G248" i="33"/>
  <c r="G247" i="33"/>
  <c r="F247" i="33"/>
  <c r="G246" i="33"/>
  <c r="F246" i="33"/>
  <c r="F245" i="33"/>
  <c r="G245" i="33"/>
  <c r="G244" i="33"/>
  <c r="F244" i="33"/>
  <c r="G243" i="33"/>
  <c r="F243" i="33"/>
  <c r="G242" i="33"/>
  <c r="F242" i="33"/>
  <c r="F241" i="33"/>
  <c r="G241" i="33"/>
  <c r="G240" i="33"/>
  <c r="F240" i="33"/>
  <c r="F239" i="33"/>
  <c r="G239" i="33"/>
  <c r="G238" i="33"/>
  <c r="F238" i="33"/>
  <c r="F237" i="33"/>
  <c r="G237" i="33"/>
  <c r="G236" i="33"/>
  <c r="F236" i="33"/>
  <c r="G235" i="33"/>
  <c r="F235" i="33"/>
  <c r="F234" i="33"/>
  <c r="G234" i="33"/>
  <c r="G233" i="33"/>
  <c r="F233" i="33"/>
  <c r="G232" i="33"/>
  <c r="F232" i="33"/>
  <c r="F231" i="33"/>
  <c r="G231" i="33"/>
  <c r="F230" i="33"/>
  <c r="G230" i="33"/>
  <c r="F229" i="33"/>
  <c r="G229" i="33"/>
  <c r="F228" i="33"/>
  <c r="G228" i="33"/>
  <c r="F227" i="33"/>
  <c r="G227" i="33"/>
  <c r="G226" i="33"/>
  <c r="F226" i="33"/>
  <c r="G225" i="33"/>
  <c r="F225" i="33"/>
  <c r="G224" i="33"/>
  <c r="F224" i="33"/>
  <c r="F223" i="33"/>
  <c r="G223" i="33"/>
  <c r="F222" i="33"/>
  <c r="G222" i="33"/>
  <c r="G221" i="33"/>
  <c r="F221" i="33"/>
  <c r="G220" i="33"/>
  <c r="F220" i="33"/>
  <c r="F219" i="33"/>
  <c r="G219" i="33"/>
  <c r="F218" i="33"/>
  <c r="G218" i="33"/>
  <c r="G217" i="33"/>
  <c r="F217" i="33"/>
  <c r="F216" i="33"/>
  <c r="G216" i="33"/>
  <c r="G215" i="33"/>
  <c r="F215" i="33"/>
  <c r="G157" i="33"/>
  <c r="F157" i="33"/>
  <c r="F156" i="33"/>
  <c r="G156" i="33"/>
  <c r="G155" i="33"/>
  <c r="F155" i="33"/>
  <c r="F154" i="33"/>
  <c r="G154" i="33"/>
  <c r="F153" i="33"/>
  <c r="G153" i="33"/>
  <c r="G152" i="33"/>
  <c r="F152" i="33"/>
  <c r="G151" i="33"/>
  <c r="F151" i="33"/>
  <c r="G150" i="33"/>
  <c r="F150" i="33"/>
  <c r="G149" i="33"/>
  <c r="F149" i="33"/>
  <c r="G148" i="33"/>
  <c r="F148" i="33"/>
  <c r="G147" i="33"/>
  <c r="F147" i="33"/>
  <c r="F146" i="33"/>
  <c r="G146" i="33"/>
  <c r="G145" i="33"/>
  <c r="F145" i="33"/>
  <c r="F144" i="33"/>
  <c r="G144" i="33"/>
  <c r="G143" i="33"/>
  <c r="F143" i="33"/>
  <c r="G142" i="33"/>
  <c r="F142" i="33"/>
  <c r="G141" i="33"/>
  <c r="F141" i="33"/>
  <c r="F140" i="33"/>
  <c r="G140" i="33"/>
  <c r="G139" i="33"/>
  <c r="F139" i="33"/>
  <c r="F138" i="33"/>
  <c r="G138" i="33"/>
  <c r="G137" i="33"/>
  <c r="F137" i="33"/>
  <c r="G136" i="33"/>
  <c r="F136" i="33"/>
  <c r="G135" i="33"/>
  <c r="F135" i="33"/>
  <c r="G134" i="33"/>
  <c r="F134" i="33"/>
  <c r="F133" i="33"/>
  <c r="G133" i="33"/>
  <c r="G132" i="33"/>
  <c r="F132" i="33"/>
  <c r="F131" i="33"/>
  <c r="G131" i="33"/>
  <c r="G130" i="33"/>
  <c r="F130" i="33"/>
  <c r="F129" i="33"/>
  <c r="G129" i="33"/>
  <c r="G128" i="33"/>
  <c r="F128" i="33"/>
  <c r="F127" i="33"/>
  <c r="G127" i="33"/>
  <c r="G126" i="33"/>
  <c r="F126" i="33"/>
  <c r="F125" i="33"/>
  <c r="G125" i="33"/>
  <c r="F124" i="33"/>
  <c r="G124" i="33"/>
  <c r="F123" i="33"/>
  <c r="G123" i="33"/>
  <c r="F122" i="33"/>
  <c r="G122" i="33"/>
  <c r="G121" i="33"/>
  <c r="F121" i="33"/>
  <c r="F120" i="33"/>
  <c r="G120" i="33"/>
  <c r="F119" i="33"/>
  <c r="G119" i="33"/>
  <c r="F118" i="33"/>
  <c r="G118" i="33"/>
  <c r="F117" i="33"/>
  <c r="G117" i="33"/>
  <c r="F116" i="33"/>
  <c r="G116" i="33"/>
  <c r="G115" i="33"/>
  <c r="F115" i="33"/>
  <c r="F114" i="33"/>
  <c r="G114" i="33"/>
  <c r="F113" i="33"/>
  <c r="G113" i="33"/>
  <c r="F112" i="33"/>
  <c r="G112" i="33"/>
  <c r="F111" i="33"/>
  <c r="G111" i="33"/>
  <c r="F110" i="33"/>
  <c r="G110" i="33"/>
  <c r="F109" i="33"/>
  <c r="G109" i="33"/>
  <c r="G108" i="33"/>
  <c r="F108" i="33"/>
  <c r="G107" i="33"/>
  <c r="F107" i="33"/>
  <c r="G106" i="33"/>
  <c r="F106" i="33"/>
  <c r="G105" i="33"/>
  <c r="F105" i="33"/>
  <c r="F104" i="33"/>
  <c r="G104" i="33"/>
  <c r="F103" i="33"/>
  <c r="G103" i="33"/>
  <c r="F102" i="33"/>
  <c r="G102" i="33"/>
  <c r="F101" i="33"/>
  <c r="G101" i="33"/>
  <c r="F100" i="33"/>
  <c r="G100" i="33"/>
  <c r="F99" i="33"/>
  <c r="G99" i="33"/>
  <c r="G98" i="33"/>
  <c r="F98" i="33"/>
  <c r="G97" i="33"/>
  <c r="F97" i="33"/>
  <c r="G96" i="33"/>
  <c r="F96" i="33"/>
  <c r="G95" i="33"/>
  <c r="F95" i="33"/>
  <c r="G94" i="33"/>
  <c r="F94" i="33"/>
  <c r="F93" i="33"/>
  <c r="G93" i="33"/>
  <c r="F92" i="33"/>
  <c r="G92" i="33"/>
  <c r="G91" i="33"/>
  <c r="F91" i="33"/>
  <c r="F785" i="33"/>
  <c r="G785" i="33"/>
  <c r="G784" i="33"/>
  <c r="F784"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C837C8-3996-4EA4-A09E-F0BB0F9BE419}" keepAlive="1" name="Query - dataset_1" description="Connection to the 'dataset_1' query in the workbook." type="5" refreshedVersion="0" background="1">
    <dbPr connection="Provider=Microsoft.Mashup.OleDb.1;Data Source=$Workbook$;Location=dataset_1;Extended Properties=&quot;&quot;" command="SELECT * FROM [dataset_1]"/>
  </connection>
  <connection id="2" xr16:uid="{BFF7CDA2-EC25-4191-BE0A-A9DCC6E41172}" keepAlive="1" name="Query - dataset_1 (2)" description="Connection to the 'dataset_1 (2)' query in the workbook." type="5" refreshedVersion="8" background="1" saveData="1">
    <dbPr connection="Provider=Microsoft.Mashup.OleDb.1;Data Source=$Workbook$;Location=&quot;dataset_1 (2)&quot;;Extended Properties=&quot;&quot;" command="SELECT * FROM [dataset_1 (2)]"/>
  </connection>
  <connection id="3" xr16:uid="{7FAB804C-A5E8-4C8D-9C1E-42A932B2A81C}" keepAlive="1" name="Query - dataset_1 (3)" description="Connection to the 'dataset_1 (3)' query in the workbook." type="5" refreshedVersion="0" background="1">
    <dbPr connection="Provider=Microsoft.Mashup.OleDb.1;Data Source=$Workbook$;Location=&quot;dataset_1 (3)&quot;;Extended Properties=&quot;&quot;" command="SELECT * FROM [dataset_1 (3)]"/>
  </connection>
  <connection id="4" xr16:uid="{ABD6AEC0-B887-414C-9E2A-58CBE2C6ADAB}" keepAlive="1" name="Query - dataset_2" description="Connection to the 'dataset_2' query in the workbook." type="5" refreshedVersion="0" background="1">
    <dbPr connection="Provider=Microsoft.Mashup.OleDb.1;Data Source=$Workbook$;Location=dataset_2;Extended Properties=&quot;&quot;" command="SELECT * FROM [dataset_2]"/>
  </connection>
  <connection id="5" xr16:uid="{CE097548-D117-4B58-B359-786D26B1DEE8}" keepAlive="1" name="Query - dataset_2 (2)" description="Connection to the 'dataset_2 (2)' query in the workbook." type="5" refreshedVersion="8" background="1" saveData="1">
    <dbPr connection="Provider=Microsoft.Mashup.OleDb.1;Data Source=$Workbook$;Location=&quot;dataset_2 (2)&quot;;Extended Properties=&quot;&quot;" command="SELECT * FROM [dataset_2 (2)]"/>
  </connection>
  <connection id="6" xr16:uid="{C0847E1D-6BF9-41AC-B5FC-D0C8184E07D1}" keepAlive="1" name="Query - dataset_2 (3)" description="Connection to the 'dataset_2 (3)' query in the workbook." type="5" refreshedVersion="0" background="1">
    <dbPr connection="Provider=Microsoft.Mashup.OleDb.1;Data Source=$Workbook$;Location=&quot;dataset_2 (3)&quot;;Extended Properties=&quot;&quot;" command="SELECT * FROM [dataset_2 (3)]"/>
  </connection>
  <connection id="7" xr16:uid="{F850122A-61D3-4C29-B30B-CB3358D1092D}"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8" xr16:uid="{08BCC93A-7D2A-44AE-BDD7-7FD98476D657}" keepAlive="1" name="Query - dataset_3 (2)" description="Connection to the 'dataset_3 (2)' query in the workbook." type="5" refreshedVersion="0" background="1">
    <dbPr connection="Provider=Microsoft.Mashup.OleDb.1;Data Source=$Workbook$;Location=&quot;dataset_3 (2)&quot;;Extended Properties=&quot;&quot;" command="SELECT * FROM [dataset_3 (2)]"/>
  </connection>
  <connection id="9" xr16:uid="{D06D1FA3-7798-4FFB-8FCF-653F599F9958}" keepAlive="1" name="Query - final data" description="Connection to the 'final data' query in the workbook." type="5" refreshedVersion="8" background="1" saveData="1">
    <dbPr connection="Provider=Microsoft.Mashup.OleDb.1;Data Source=$Workbook$;Location=&quot;final data&quot;;Extended Properties=&quot;&quot;" command="SELECT * FROM [final data]"/>
  </connection>
  <connection id="10" xr16:uid="{E01328E8-3856-4566-902C-C34AB48AA960}" keepAlive="1" name="Query - final data (2)" description="Connection to the 'final data (2)' query in the workbook." type="5" refreshedVersion="8" background="1" saveData="1">
    <dbPr connection="Provider=Microsoft.Mashup.OleDb.1;Data Source=$Workbook$;Location=&quot;final data (2)&quot;;Extended Properties=&quot;&quot;" command="SELECT * FROM [final data (2)]"/>
  </connection>
  <connection id="11" xr16:uid="{0285E3F1-F8EE-4ED5-A804-C10AC73927F8}" keepAlive="1" name="Query - final data (3)" description="Connection to the 'final data (3)' query in the workbook." type="5" refreshedVersion="8" background="1" saveData="1">
    <dbPr connection="Provider=Microsoft.Mashup.OleDb.1;Data Source=$Workbook$;Location=&quot;final data (3)&quot;;Extended Properties=&quot;&quot;" command="SELECT * FROM [final data (3)]"/>
  </connection>
  <connection id="12" xr16:uid="{6FAE855B-5348-43A4-B875-EF3F433F4CD0}" keepAlive="1" name="Query - final data (4)" description="Connection to the 'final data (4)' query in the workbook." type="5" refreshedVersion="8" background="1" saveData="1">
    <dbPr connection="Provider=Microsoft.Mashup.OleDb.1;Data Source=$Workbook$;Location=&quot;final data (4)&quot;;Extended Properties=&quot;&quot;" command="SELECT * FROM [final data (4)]"/>
  </connection>
  <connection id="13" xr16:uid="{A016B43E-6858-4973-8D48-9A8BADFB1715}" keepAlive="1" name="Query - final data (5)" description="Connection to the 'final data (5)' query in the workbook." type="5" refreshedVersion="8" background="1" saveData="1">
    <dbPr connection="Provider=Microsoft.Mashup.OleDb.1;Data Source=$Workbook$;Location=&quot;final data (5)&quot;;Extended Properties=&quot;&quot;" command="SELECT * FROM [final data (5)]"/>
  </connection>
  <connection id="14" xr16:uid="{9BBFB2F2-0D10-490D-A304-B55C54856BB5}" keepAlive="1" name="Query - final data (6)" description="Connection to the 'final data (6)' query in the workbook." type="5" refreshedVersion="8" background="1" saveData="1">
    <dbPr connection="Provider=Microsoft.Mashup.OleDb.1;Data Source=$Workbook$;Location=&quot;final data (6)&quot;;Extended Properties=&quot;&quot;" command="SELECT * FROM [final data (6)]"/>
  </connection>
  <connection id="15" xr16:uid="{8ACABF83-9E4F-41FA-A990-F075649AA3A2}"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16" xr16:uid="{5F817BEB-8FA9-49A0-9672-C4202176939F}"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17" xr16:uid="{A896F9F8-A4BD-4E7D-A860-9D4E0FA5B383}" keepAlive="1" name="Query - Merge2 (2)" description="Connection to the 'Merge2 (2)' query in the workbook." type="5" refreshedVersion="0" background="1">
    <dbPr connection="Provider=Microsoft.Mashup.OleDb.1;Data Source=$Workbook$;Location=&quot;Merge2 (2)&quot;;Extended Properties=&quot;&quot;" command="SELECT * FROM [Merge2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<sst xmlns="http://schemas.openxmlformats.org/spreadsheetml/2006/main" count="366" uniqueCount="197">
  <si>
    <t>Grand Total</t>
  </si>
  <si>
    <t>Row Labels</t>
  </si>
  <si>
    <t>instant</t>
  </si>
  <si>
    <t>dteday</t>
  </si>
  <si>
    <t>season</t>
  </si>
  <si>
    <t>yr</t>
  </si>
  <si>
    <t>mnth</t>
  </si>
  <si>
    <t>hr</t>
  </si>
  <si>
    <t>holiday</t>
  </si>
  <si>
    <t>weekday</t>
  </si>
  <si>
    <t>weathersit</t>
  </si>
  <si>
    <t>temp</t>
  </si>
  <si>
    <t>atemp</t>
  </si>
  <si>
    <t>hum</t>
  </si>
  <si>
    <t>windspeed</t>
  </si>
  <si>
    <t>casual</t>
  </si>
  <si>
    <t>registered</t>
  </si>
  <si>
    <t>cnt</t>
  </si>
  <si>
    <t>instant.1</t>
  </si>
  <si>
    <t>monday</t>
  </si>
  <si>
    <t>Tuesday</t>
  </si>
  <si>
    <t>Wednesday</t>
  </si>
  <si>
    <t>Thursday</t>
  </si>
  <si>
    <t>Friday</t>
  </si>
  <si>
    <t>Saturday</t>
  </si>
  <si>
    <t>Sunday</t>
  </si>
  <si>
    <t>MONTH</t>
  </si>
  <si>
    <t>DATE</t>
  </si>
  <si>
    <t>SR.NO</t>
  </si>
  <si>
    <t xml:space="preserve">SEASON_CODE </t>
  </si>
  <si>
    <t>YEAR</t>
  </si>
  <si>
    <t>MONTH_CODE</t>
  </si>
  <si>
    <t>HOUR</t>
  </si>
  <si>
    <t>HOLIDAY</t>
  </si>
  <si>
    <t>DAY_CODE</t>
  </si>
  <si>
    <t xml:space="preserve">WEEK_DAY </t>
  </si>
  <si>
    <t>WEATHER_CODE</t>
  </si>
  <si>
    <t>WEATHER_TYPE</t>
  </si>
  <si>
    <t>TEMP.</t>
  </si>
  <si>
    <t>ASSUMED_TEMP.</t>
  </si>
  <si>
    <t>HUMIDITY</t>
  </si>
  <si>
    <t>WINDSPEED</t>
  </si>
  <si>
    <t>CASUAL_RENTALS</t>
  </si>
  <si>
    <t>REGISTERED_RENTALS</t>
  </si>
  <si>
    <t>TOTAL_RENTALS</t>
  </si>
  <si>
    <t>DAY_TYPE</t>
  </si>
  <si>
    <t xml:space="preserve"> </t>
  </si>
  <si>
    <t>VARIABLES</t>
  </si>
  <si>
    <t>SUM</t>
  </si>
  <si>
    <t>AVERAGE</t>
  </si>
  <si>
    <t>MAX</t>
  </si>
  <si>
    <t>MIN</t>
  </si>
  <si>
    <t>ST.DEV</t>
  </si>
  <si>
    <t>RENTALS</t>
  </si>
  <si>
    <t>CASUAL</t>
  </si>
  <si>
    <t>REGISTERED</t>
  </si>
  <si>
    <t>TOTAL</t>
  </si>
  <si>
    <t>RENTAL DATA OVERVIEW</t>
  </si>
  <si>
    <t>VAIABLES</t>
  </si>
  <si>
    <t>TEMP</t>
  </si>
  <si>
    <t>A TEMP</t>
  </si>
  <si>
    <t xml:space="preserve">     WEATHER RENTAL OVERVIEW</t>
  </si>
  <si>
    <t>AVG</t>
  </si>
  <si>
    <t>WEATHER DATA OVERVIEW</t>
  </si>
  <si>
    <t>DAY</t>
  </si>
  <si>
    <t>CASUAL _RENTALS</t>
  </si>
  <si>
    <t>INDEX MATCH CALCULATUION</t>
  </si>
  <si>
    <t>CHANGE THE DATE</t>
  </si>
  <si>
    <t>FEBRUARY</t>
  </si>
  <si>
    <t>Sum of CASUAL_RENTALS</t>
  </si>
  <si>
    <t>Sum of REGISTERED_RENTALS</t>
  </si>
  <si>
    <t>Sum of TOTAL_RENTALS</t>
  </si>
  <si>
    <t>Max of CASUAL_RENTALS</t>
  </si>
  <si>
    <t>Max of REGISTERED_RENTALS</t>
  </si>
  <si>
    <t>Average of CASUAL_RENTALS</t>
  </si>
  <si>
    <t>Average of REGISTERED_RENTALS</t>
  </si>
  <si>
    <t>Average of TOTAL_RENTALS</t>
  </si>
  <si>
    <t>NON-WORKING DAY</t>
  </si>
  <si>
    <t>WORKING DAY</t>
  </si>
  <si>
    <t>clear</t>
  </si>
  <si>
    <t>cloudy</t>
  </si>
  <si>
    <t>heavy rain</t>
  </si>
  <si>
    <t>light rain</t>
  </si>
  <si>
    <t>0.02</t>
  </si>
  <si>
    <r>
      <t xml:space="preserve">                             </t>
    </r>
    <r>
      <rPr>
        <sz val="12"/>
        <color theme="1"/>
        <rFont val="Calibri"/>
        <family val="2"/>
        <scheme val="minor"/>
      </rPr>
      <t xml:space="preserve"> </t>
    </r>
    <r>
      <rPr>
        <b/>
        <u/>
        <sz val="12"/>
        <color theme="1"/>
        <rFont val="Calibri"/>
        <family val="2"/>
        <scheme val="minor"/>
      </rPr>
      <t>HOUR VS SUM OF BIKE RENTALS</t>
    </r>
  </si>
  <si>
    <t>WINDSPEED VS SUM OF BIKE RENTALS</t>
  </si>
  <si>
    <t>HUMIDITY VS SUM OF BIKE RENTALS</t>
  </si>
  <si>
    <t>WEATHER VS AVERAGE OF BIKE RENTALS</t>
  </si>
  <si>
    <t>MONTH VS SUM OF BIKE RENTALS</t>
  </si>
  <si>
    <t>HOLIDAY VS AVERAGE BIKE RENTALS</t>
  </si>
  <si>
    <t>WEEKDAY VS MAXIMUM RENTALS</t>
  </si>
  <si>
    <t xml:space="preserve">PIVOT TABLE ANALYSIS </t>
  </si>
  <si>
    <t>HOURS</t>
  </si>
  <si>
    <t>WEEKDAY</t>
  </si>
  <si>
    <t>AVERAGE RENTAL ACC. TO WEATHER</t>
  </si>
  <si>
    <t>RECORDS</t>
  </si>
  <si>
    <t>AVG.RENTALS</t>
  </si>
  <si>
    <t>CLEAR</t>
  </si>
  <si>
    <t>CLOUDY</t>
  </si>
  <si>
    <t>LIGHT RAIN</t>
  </si>
  <si>
    <t>HEAVY RAIN</t>
  </si>
  <si>
    <t>Forecast(TOTAL_RENTALS)</t>
  </si>
  <si>
    <t>Lower Confidence Bound(TOTAL_RENTALS)</t>
  </si>
  <si>
    <t>Upper Confidence Bound(TOTAL_RENTALS)</t>
  </si>
  <si>
    <t>WEATHER VS AVERAGE RENTALS</t>
  </si>
  <si>
    <t>MONTH VS SUM OF RENTALS</t>
  </si>
  <si>
    <t>HOUR VS SUM OF RENTALS</t>
  </si>
  <si>
    <t xml:space="preserve">                DAY VS AVERAGE.RENTALS</t>
  </si>
  <si>
    <r>
      <t xml:space="preserve">                                 </t>
    </r>
    <r>
      <rPr>
        <b/>
        <u/>
        <sz val="11"/>
        <color theme="1"/>
        <rFont val="Calibri"/>
        <family val="2"/>
        <scheme val="minor"/>
      </rPr>
      <t xml:space="preserve"> WEEKDAY VS MAX BIKE RENTALS</t>
    </r>
  </si>
  <si>
    <t xml:space="preserve">V  </t>
  </si>
  <si>
    <t>BIKE RENTAL ANALYSIS CHARTWISE</t>
  </si>
  <si>
    <t>Sum of TEMP.</t>
  </si>
  <si>
    <t>Max of TOTAL_RENTALS</t>
  </si>
  <si>
    <t xml:space="preserve">                                  v                                     </t>
  </si>
  <si>
    <t xml:space="preserve">                    HUMIDITY VS SUM OF RENTAL</t>
  </si>
  <si>
    <t>Column Labels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</si>
  <si>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</si>
  <si>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</si>
  <si>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</si>
  <si>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</si>
  <si>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</si>
  <si>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</si>
  <si>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</si>
  <si>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</si>
  <si>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</si>
  <si>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</si>
  <si>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</si>
  <si>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</si>
  <si>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</si>
  <si>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</si>
  <si>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</si>
  <si>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</si>
  <si>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</si>
  <si>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</si>
  <si>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</si>
  <si>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</si>
  <si>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</si>
  <si>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</si>
  <si>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</si>
  <si>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</si>
  <si>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</si>
  <si>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</si>
  <si>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</si>
  <si>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</si>
  <si>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</si>
  <si>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</si>
  <si>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</si>
  <si>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</si>
  <si>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</si>
  <si>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</si>
  <si>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</si>
  <si>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</si>
  <si>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</si>
  <si>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</si>
  <si>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</si>
  <si>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</si>
  <si>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</si>
  <si>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</si>
  <si>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</si>
  <si>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</si>
  <si>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</si>
  <si>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 xml:space="preserve">            WINDSPEED VS MAX CASUAL AND REGISTERED RENTAL</t>
  </si>
  <si>
    <t xml:space="preserve">                                           TEMPERATURE VS CASUAL RIDING</t>
  </si>
  <si>
    <t>asumed</t>
  </si>
  <si>
    <t>humidity</t>
  </si>
  <si>
    <t>LOWER QUARTILE</t>
  </si>
  <si>
    <t>HOLIDAYS</t>
  </si>
  <si>
    <t>UPPER QUARTILE</t>
  </si>
  <si>
    <t>INTERQUARTILE RANGE</t>
  </si>
  <si>
    <t>MIN NORMAL BOUNDARY</t>
  </si>
  <si>
    <t xml:space="preserve"> MAX NORMAL BOUNDARY</t>
  </si>
  <si>
    <t>STATUS</t>
  </si>
  <si>
    <t>16</t>
  </si>
  <si>
    <t>NORMAL VALUES</t>
  </si>
  <si>
    <t>ANAMOLY VALUES</t>
  </si>
  <si>
    <t>METRIC</t>
  </si>
  <si>
    <t>VALUE</t>
  </si>
  <si>
    <t>IQR CALCULATION SUMMARY</t>
  </si>
  <si>
    <t>THE IQR METHOD WAS USED TO IDENTIFY UNUSUAL RENTAL VALUES.</t>
  </si>
  <si>
    <t>MOST RENTAL VALUES FALL WITHIN THE CALCULATED NORMAL BOUNDARIES</t>
  </si>
  <si>
    <t>ACTUAL RENTAL DEMAND FLUCTUATES OVER TIME.</t>
  </si>
  <si>
    <t>CONFIDENCE BOUNDS SHOW THE UNCERTAINTY AROUND THE FORECAST.</t>
  </si>
  <si>
    <t>REG.USERS CONTRIBUTE THE MAJORITY OF RENTAL DEMAND.</t>
  </si>
  <si>
    <t>CASUAL RENTALS INDICATE HIGH VARIABILITY DEMAND RELATIVE TO ITS AVERAGE.</t>
  </si>
  <si>
    <t>WEATHER STATICS AND ANALYZES VARIATION IN RENTAL DEMAND.</t>
  </si>
  <si>
    <t>TEMP SHOWS POSITIVE RELATION WITH RENTALS BUT HUMIDITY</t>
  </si>
  <si>
    <t>SHOWS NEGATIVE RELATION WITH RENTALS.</t>
  </si>
  <si>
    <t>BIKE RENTAL DEMAND IS HIGHEST DURING CLEAR WEATHER</t>
  </si>
  <si>
    <t>WITH AN AVERAGE OF 61.67 RENTALS.</t>
  </si>
  <si>
    <t>HOLIDAY VS TEMP VS TOTAL RENTALS</t>
  </si>
  <si>
    <t>TEMP VS HUMIDITY</t>
  </si>
  <si>
    <t>TEMP VS WINDSPEED</t>
  </si>
  <si>
    <t xml:space="preserve">                                            TEMP VS A TEMP</t>
  </si>
  <si>
    <t>ATEMP</t>
  </si>
  <si>
    <t>TOTAL RENTALS</t>
  </si>
  <si>
    <t xml:space="preserve">TOTAL </t>
  </si>
  <si>
    <t>WEATHER &amp; BIKE RENTAL CORRELATION HEATMAP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</si>
</sst>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u/>
      <sz val="14"/>
      <color theme="1"/>
      <name val="Calibri"/>
      <family val="2"/>
      <scheme val="minor"/>
    </font>
    <font>
      <b/>
      <sz val="14"/>
      <color theme="1"/>
      <name val="Calibri"/>
      <family val="2"/>
      <scheme val="minor"/>
    </font>
    <font>
      <sz val="12"/>
      <color theme="1"/>
      <name val="Calibri"/>
      <family val="2"/>
      <scheme val="minor"/>
    </font>
    <font>
      <b/>
      <u/>
      <sz val="12"/>
      <color theme="1"/>
      <name val="Calibri"/>
      <family val="2"/>
      <scheme val="minor"/>
    </font>
    <font>
      <b/>
      <u/>
      <sz val="22"/>
      <color theme="1"/>
      <name val="Calibri"/>
      <family val="2"/>
      <scheme val="minor"/>
    </font>
    <font>
      <sz val="10"/>
      <color theme="1"/>
      <name val="Calibri"/>
      <family val="2"/>
      <scheme val="minor"/>
    </font>
    <font>
      <b/>
      <u/>
      <sz val="11"/>
      <color theme="1"/>
      <name val="Calibri"/>
      <family val="2"/>
      <scheme val="minor"/>
    </font>
    <font>
      <b/>
      <u/>
      <sz val="18"/>
      <color theme="1"/>
      <name val="Calibri"/>
      <family val="2"/>
      <scheme val="minor"/>
    </font>
    <font>
      <b/>
      <sz val="11"/>
      <color theme="1"/>
      <name val="Calibri"/>
      <family val="2"/>
      <scheme val="minor"/>
    </font>
    <font>
      <b/>
      <sz val="11"/>
      <color theme="0"/>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9"/>
        <bgColor indexed="64"/>
      </patternFill>
    </fill>
    <fill>
      <patternFill patternType="solid">
        <fgColor theme="5" tint="0.59999389629810485"/>
        <bgColor indexed="64"/>
      </patternFill>
    </fill>
    <fill>
      <patternFill patternType="solid">
        <fgColor theme="4" tint="0.39997558519241921"/>
        <bgColor theme="9"/>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48">
    <xf numFmtId="0" fontId="0" fillId="0" borderId="0" xfId="0"/>
    <xf numFmtId="14" fontId="0" fillId="0" borderId="0" xfId="0" applyNumberFormat="1"/>
    <xf numFmtId="0" fontId="0" fillId="0" borderId="0" xfId="0" applyAlignment="1">
      <alignment vertical="center"/>
    </xf>
    <xf numFmtId="0" fontId="0" fillId="2" borderId="1" xfId="0" applyFill="1" applyBorder="1"/>
    <xf numFmtId="0" fontId="1" fillId="2" borderId="1" xfId="0" applyFont="1" applyFill="1" applyBorder="1"/>
    <xf numFmtId="0" fontId="0" fillId="0" borderId="1" xfId="0" applyBorder="1"/>
    <xf numFmtId="0" fontId="0" fillId="2" borderId="2" xfId="0" applyFill="1" applyBorder="1"/>
    <xf numFmtId="0" fontId="1" fillId="2" borderId="3" xfId="0" applyFont="1"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0" borderId="5" xfId="0" applyBorder="1"/>
    <xf numFmtId="0" fontId="0" fillId="0" borderId="6" xfId="0" applyBorder="1"/>
    <xf numFmtId="0" fontId="0" fillId="2" borderId="0" xfId="0" applyFill="1"/>
    <xf numFmtId="0" fontId="0" fillId="3" borderId="1"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4" borderId="0" xfId="0" applyFill="1"/>
    <xf numFmtId="0" fontId="0" fillId="4" borderId="1" xfId="0" applyFill="1" applyBorder="1"/>
    <xf numFmtId="0" fontId="1" fillId="2" borderId="2" xfId="0" applyFont="1"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2" fillId="2" borderId="1" xfId="0" applyFont="1" applyFill="1" applyBorder="1"/>
    <xf numFmtId="0" fontId="0" fillId="5" borderId="1" xfId="0" applyFill="1" applyBorder="1"/>
    <xf numFmtId="0" fontId="0" fillId="5" borderId="0" xfId="0" applyFill="1"/>
    <xf numFmtId="14" fontId="0" fillId="4" borderId="1" xfId="0" applyNumberFormat="1"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left" indent="4"/>
    </xf>
    <xf numFmtId="0" fontId="0" fillId="2" borderId="1" xfId="0" applyFill="1" applyBorder="1" applyAlignment="1">
      <alignment horizontal="left" indent="4"/>
    </xf>
    <xf numFmtId="0" fontId="6" fillId="2" borderId="1" xfId="0" applyFont="1" applyFill="1" applyBorder="1"/>
    <xf numFmtId="14" fontId="0" fillId="0" borderId="1" xfId="0" applyNumberFormat="1" applyBorder="1"/>
    <xf numFmtId="2" fontId="0" fillId="0" borderId="0" xfId="0" applyNumberFormat="1"/>
    <xf numFmtId="0" fontId="0" fillId="7" borderId="0" xfId="0" applyFill="1"/>
    <xf numFmtId="0" fontId="0" fillId="0" borderId="0" xfId="0" applyAlignment="1">
      <alignment horizontal="center"/>
    </xf>
    <xf numFmtId="0" fontId="0" fillId="0" borderId="10" xfId="0" applyBorder="1" applyAlignment="1">
      <alignment horizontal="center"/>
    </xf>
    <xf numFmtId="0" fontId="0" fillId="7" borderId="0" xfId="0" applyFill="1" applyAlignment="1">
      <alignment horizontal="left" indent="3"/>
    </xf>
    <xf numFmtId="0" fontId="7" fillId="7" borderId="0" xfId="0" applyFont="1" applyFill="1" applyAlignment="1">
      <alignment horizontal="left" indent="3"/>
    </xf>
    <xf numFmtId="0" fontId="0" fillId="7" borderId="0" xfId="0" applyFill="1" applyAlignment="1">
      <alignment horizontal="left" indent="12"/>
    </xf>
    <xf numFmtId="0" fontId="7" fillId="7" borderId="0" xfId="0" applyFont="1" applyFill="1" applyAlignment="1">
      <alignment horizontal="left" indent="14"/>
    </xf>
    <xf numFmtId="0" fontId="0" fillId="7" borderId="0" xfId="0" applyFill="1" applyAlignment="1">
      <alignment horizontal="left" indent="14"/>
    </xf>
    <xf numFmtId="0" fontId="7" fillId="2" borderId="0" xfId="0" applyFont="1" applyFill="1"/>
    <xf numFmtId="0" fontId="7" fillId="2" borderId="0" xfId="0" applyFont="1" applyFill="1" applyAlignment="1">
      <alignment horizontal="left" indent="10"/>
    </xf>
    <xf numFmtId="0" fontId="0" fillId="0" borderId="16" xfId="0" applyBorder="1" applyAlignment="1">
      <alignment horizontal="center"/>
    </xf>
    <xf numFmtId="0" fontId="0" fillId="0" borderId="18" xfId="0" applyBorder="1" applyAlignment="1">
      <alignment horizontal="center"/>
    </xf>
    <xf numFmtId="0" fontId="0" fillId="5" borderId="0" xfId="0" applyFill="1" applyAlignment="1">
      <alignment horizontal="left" vertical="center" indent="8"/>
    </xf>
    <xf numFmtId="0" fontId="8" fillId="5" borderId="0" xfId="0" applyFont="1" applyFill="1" applyAlignment="1">
      <alignment horizontal="left" vertical="center" indent="8"/>
    </xf>
    <xf numFmtId="0" fontId="0" fillId="0" borderId="0" xfId="0" pivotButton="1"/>
    <xf numFmtId="0" fontId="0" fillId="0" borderId="0" xfId="0" applyAlignment="1">
      <alignment horizontal="left"/>
    </xf>
    <xf numFmtId="0" fontId="9" fillId="8" borderId="0" xfId="0" applyFont="1" applyFill="1"/>
    <xf numFmtId="0" fontId="10" fillId="9" borderId="25" xfId="0" applyFont="1" applyFill="1" applyBorder="1"/>
    <xf numFmtId="0" fontId="10" fillId="9" borderId="26" xfId="0" applyFont="1" applyFill="1" applyBorder="1"/>
    <xf numFmtId="0" fontId="0" fillId="10" borderId="25" xfId="0" applyFill="1" applyBorder="1"/>
    <xf numFmtId="0" fontId="0" fillId="10" borderId="26" xfId="0" applyFill="1" applyBorder="1"/>
    <xf numFmtId="0" fontId="0" fillId="0" borderId="25" xfId="0" applyBorder="1"/>
    <xf numFmtId="0" fontId="0" fillId="0" borderId="26" xfId="0" applyBorder="1"/>
    <xf numFmtId="14" fontId="0" fillId="10" borderId="25" xfId="0" applyNumberFormat="1" applyFill="1" applyBorder="1"/>
    <xf numFmtId="14" fontId="0" fillId="0" borderId="25" xfId="0" applyNumberFormat="1" applyBorder="1"/>
    <xf numFmtId="0" fontId="0" fillId="0" borderId="1" xfId="0" applyBorder="1" applyAlignment="1">
      <alignment horizontal="center" vertical="center" wrapText="1"/>
    </xf>
    <xf numFmtId="0" fontId="0" fillId="0" borderId="10" xfId="0" pivotButton="1"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0" xfId="0" applyAlignment="1">
      <alignment vertical="center" wrapText="1"/>
    </xf>
    <xf numFmtId="0" fontId="0" fillId="0" borderId="1" xfId="0" pivotButton="1" applyBorder="1" applyAlignment="1">
      <alignment horizontal="center" vertical="center" wrapText="1"/>
    </xf>
    <xf numFmtId="0" fontId="0" fillId="5" borderId="0" xfId="0" applyFill="1" applyAlignment="1">
      <alignment horizontal="left" vertical="center"/>
    </xf>
    <xf numFmtId="0" fontId="5" fillId="5" borderId="0" xfId="0" applyFont="1" applyFill="1" applyAlignment="1">
      <alignment horizontal="left" vertical="center"/>
    </xf>
    <xf numFmtId="0" fontId="0" fillId="5" borderId="0" xfId="0" applyFill="1" applyAlignment="1">
      <alignment vertical="center"/>
    </xf>
    <xf numFmtId="0" fontId="0" fillId="6" borderId="2" xfId="0" applyFill="1" applyBorder="1" applyAlignment="1">
      <alignment vertical="center"/>
    </xf>
    <xf numFmtId="0" fontId="4" fillId="6" borderId="3" xfId="0" applyFont="1" applyFill="1" applyBorder="1" applyAlignment="1">
      <alignment horizontal="left" vertical="center"/>
    </xf>
    <xf numFmtId="0" fontId="0" fillId="6" borderId="4" xfId="0" applyFill="1" applyBorder="1" applyAlignment="1">
      <alignment vertical="center"/>
    </xf>
    <xf numFmtId="0" fontId="0" fillId="6" borderId="3" xfId="0" applyFill="1" applyBorder="1" applyAlignment="1">
      <alignment horizontal="left" vertical="center"/>
    </xf>
    <xf numFmtId="0" fontId="0" fillId="6" borderId="1" xfId="0" applyFill="1" applyBorder="1" applyAlignment="1">
      <alignment vertical="center"/>
    </xf>
    <xf numFmtId="0" fontId="0" fillId="0" borderId="5" xfId="0" applyBorder="1" applyAlignment="1">
      <alignment vertical="center"/>
    </xf>
    <xf numFmtId="0" fontId="0" fillId="0" borderId="1" xfId="0" applyBorder="1" applyAlignment="1">
      <alignment vertical="center"/>
    </xf>
    <xf numFmtId="0" fontId="0" fillId="0" borderId="6" xfId="0" applyBorder="1" applyAlignment="1">
      <alignment vertical="center"/>
    </xf>
    <xf numFmtId="0" fontId="0" fillId="0" borderId="19"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0"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5" xfId="0" applyBorder="1" applyAlignment="1">
      <alignment vertical="center" wrapText="1"/>
    </xf>
    <xf numFmtId="0" fontId="0" fillId="0" borderId="1" xfId="0" applyBorder="1" applyAlignment="1">
      <alignment vertical="center" wrapText="1"/>
    </xf>
    <xf numFmtId="0" fontId="0" fillId="0" borderId="6" xfId="0" applyBorder="1" applyAlignment="1">
      <alignment vertical="center"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left" vertical="center"/>
    </xf>
    <xf numFmtId="0" fontId="0" fillId="0" borderId="20" xfId="0"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4" fillId="6" borderId="2" xfId="0" applyFont="1" applyFill="1" applyBorder="1" applyAlignment="1">
      <alignment horizontal="left" vertical="center"/>
    </xf>
    <xf numFmtId="0" fontId="4" fillId="6" borderId="1" xfId="0" applyFont="1" applyFill="1" applyBorder="1" applyAlignment="1">
      <alignment horizontal="left" vertical="center"/>
    </xf>
    <xf numFmtId="0" fontId="0" fillId="0" borderId="19"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6" borderId="1" xfId="0" applyFill="1" applyBorder="1" applyAlignment="1">
      <alignment horizontal="left" vertical="center"/>
    </xf>
    <xf numFmtId="0" fontId="0" fillId="11" borderId="0" xfId="0" applyFill="1"/>
    <xf numFmtId="0" fontId="0" fillId="11" borderId="0" xfId="0" applyFill="1" applyAlignment="1">
      <alignment horizontal="center" vertical="center"/>
    </xf>
    <xf numFmtId="0" fontId="0" fillId="0" borderId="7" xfId="0" applyBorder="1"/>
    <xf numFmtId="0" fontId="0" fillId="0" borderId="9"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8" xfId="0" applyBorder="1"/>
    <xf numFmtId="0" fontId="0" fillId="2" borderId="2" xfId="0" applyFill="1" applyBorder="1" applyAlignment="1">
      <alignment horizontal="center" vertical="center"/>
    </xf>
    <xf numFmtId="0" fontId="7" fillId="2" borderId="3" xfId="0" applyFont="1" applyFill="1" applyBorder="1"/>
    <xf numFmtId="0" fontId="0" fillId="2" borderId="3"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xf numFmtId="0" fontId="0" fillId="0" borderId="8" xfId="0" applyBorder="1" applyAlignment="1">
      <alignment horizontal="center" vertical="center"/>
    </xf>
    <xf numFmtId="0" fontId="0" fillId="12" borderId="0" xfId="0" applyFill="1" applyAlignment="1">
      <alignment wrapText="1"/>
    </xf>
    <xf numFmtId="0" fontId="0" fillId="12" borderId="0" xfId="0" applyFill="1"/>
    <xf numFmtId="0" fontId="10" fillId="13" borderId="25" xfId="0" applyFont="1" applyFill="1" applyBorder="1"/>
    <xf numFmtId="0" fontId="4" fillId="2" borderId="11" xfId="0" applyFont="1" applyFill="1" applyBorder="1" applyAlignment="1">
      <alignment vertical="center"/>
    </xf>
    <xf numFmtId="0" fontId="0" fillId="2" borderId="12" xfId="0" applyFill="1" applyBorder="1" applyAlignment="1">
      <alignment vertical="center"/>
    </xf>
    <xf numFmtId="0" fontId="0" fillId="2" borderId="12" xfId="0" applyFill="1" applyBorder="1"/>
    <xf numFmtId="0" fontId="0" fillId="0" borderId="17" xfId="0" applyBorder="1"/>
    <xf numFmtId="0" fontId="0" fillId="0" borderId="10" xfId="0" applyBorder="1"/>
    <xf numFmtId="0" fontId="0" fillId="7" borderId="1" xfId="0" applyFill="1" applyBorder="1"/>
    <xf numFmtId="0" fontId="7" fillId="7" borderId="0" xfId="0" applyFont="1" applyFill="1" applyAlignment="1">
      <alignment horizontal="left" indent="11"/>
    </xf>
    <xf numFmtId="0" fontId="0" fillId="7" borderId="0" xfId="0" applyFill="1" applyAlignment="1">
      <alignment horizontal="left" indent="11"/>
    </xf>
    <xf numFmtId="0" fontId="4" fillId="6" borderId="27" xfId="0" applyFont="1" applyFill="1" applyBorder="1" applyAlignment="1">
      <alignment horizontal="center" vertical="center" wrapText="1"/>
    </xf>
    <xf numFmtId="0" fontId="4" fillId="6" borderId="28"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0" fillId="0" borderId="0" xfId="0" applyNumberFormat="1"/>
  </cellXfs>
  <cellStyles count="1">
    <cellStyle name="Normal" xfId="0" builtinId="0"/>
  </cellStyles>
  <dxfs count="183">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19" formatCode="dd/mm/yyyy"/>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wrapText="1"/>
    </dxf>
    <dxf>
      <alignment wrapText="1"/>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indent="0"/>
    </dxf>
    <dxf>
      <alignment vertical="center" indent="0"/>
    </dxf>
    <dxf>
      <alignment vertical="center" indent="0"/>
    </dxf>
    <dxf>
      <alignment vertical="center" indent="0"/>
    </dxf>
    <dxf>
      <alignment vertical="center" indent="0"/>
    </dxf>
    <dxf>
      <alignment vertical="center" indent="0"/>
    </dxf>
    <dxf>
      <alignment wrapText="1" indent="0"/>
    </dxf>
    <dxf>
      <alignment wrapText="1" indent="0"/>
    </dxf>
    <dxf>
      <alignment wrapText="1" indent="0"/>
    </dxf>
    <dxf>
      <alignment wrapText="1"/>
    </dxf>
    <dxf>
      <alignment wrapText="1"/>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relativeIndent="1"/>
    </dxf>
    <dxf>
      <alignment wrapText="1"/>
    </dxf>
    <dxf>
      <alignment wrapText="1"/>
    </dxf>
    <dxf>
      <alignment vertical="center" indent="0"/>
    </dxf>
    <dxf>
      <alignment vertical="center" indent="0"/>
    </dxf>
    <dxf>
      <alignment vertical="center" indent="0"/>
    </dxf>
    <dxf>
      <alignment vertical="center" indent="0"/>
    </dxf>
    <dxf>
      <alignment vertical="center" indent="0"/>
    </dxf>
    <dxf>
      <alignment vertical="center" indent="0"/>
    </dxf>
    <dxf>
      <alignment wrapText="1" indent="0"/>
    </dxf>
    <dxf>
      <alignment wrapText="1" indent="0"/>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indent="0"/>
    </dxf>
    <dxf>
      <alignment vertical="center" indent="0"/>
    </dxf>
    <dxf>
      <alignment vertical="center" indent="0"/>
    </dxf>
    <dxf>
      <alignment vertical="center" indent="0"/>
    </dxf>
    <dxf>
      <alignment vertical="center" indent="0"/>
    </dxf>
    <dxf>
      <alignment vertical="center" indent="0"/>
    </dxf>
    <dxf>
      <alignment wrapText="1" indent="0"/>
    </dxf>
    <dxf>
      <alignment wrapText="1" indent="0"/>
    </dxf>
    <dxf>
      <alignment wrapText="1" indent="0"/>
    </dxf>
    <dxf>
      <alignment wrapText="1"/>
    </dxf>
    <dxf>
      <alignment wrapText="1"/>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indent="0"/>
    </dxf>
    <dxf>
      <alignment vertical="center" indent="0"/>
    </dxf>
    <dxf>
      <alignment vertical="center" indent="0"/>
    </dxf>
    <dxf>
      <alignment vertical="center" indent="0"/>
    </dxf>
    <dxf>
      <alignment vertical="center" indent="0"/>
    </dxf>
    <dxf>
      <alignment vertical="center"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indent="0"/>
    </dxf>
    <dxf>
      <alignment vertical="center" indent="0"/>
    </dxf>
    <dxf>
      <alignment vertical="center" indent="0"/>
    </dxf>
    <dxf>
      <alignment vertical="center" indent="0"/>
    </dxf>
    <dxf>
      <alignment vertical="center" indent="0"/>
    </dxf>
    <dxf>
      <alignment vertical="center"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CASUAL_RENTALS</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3073</c:v>
              </c:pt>
              <c:pt idx="1">
                <c:v>1848</c:v>
              </c:pt>
            </c:numLit>
          </c:val>
          <c:extLst>
            <c:ext xmlns:c16="http://schemas.microsoft.com/office/drawing/2014/chart" uri="{C3380CC4-5D6E-409C-BE32-E72D297353CC}">
              <c16:uniqueId val="{00000000-1EC7-4E28-A619-9B970244EAB2}"/>
            </c:ext>
          </c:extLst>
        </c:ser>
        <c:ser>
          <c:idx val="1"/>
          <c:order val="1"/>
          <c:tx>
            <c:v>Sum of REGISTERED_RENTALS</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35116</c:v>
              </c:pt>
              <c:pt idx="1">
                <c:v>18267</c:v>
              </c:pt>
            </c:numLit>
          </c:val>
          <c:extLst>
            <c:ext xmlns:c16="http://schemas.microsoft.com/office/drawing/2014/chart" uri="{C3380CC4-5D6E-409C-BE32-E72D297353CC}">
              <c16:uniqueId val="{00000002-1EC7-4E28-A619-9B970244EAB2}"/>
            </c:ext>
          </c:extLst>
        </c:ser>
        <c:ser>
          <c:idx val="2"/>
          <c:order val="2"/>
          <c:tx>
            <c:v>Sum of TOTAL_RENTALS</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3-1EC7-4E28-A619-9B970244EAB2}"/>
            </c:ext>
          </c:extLst>
        </c:ser>
        <c:dLbls>
          <c:dLblPos val="outEnd"/>
          <c:showLegendKey val="0"/>
          <c:showVal val="1"/>
          <c:showCatName val="0"/>
          <c:showSerName val="0"/>
          <c:showPercent val="0"/>
          <c:showBubbleSize val="0"/>
        </c:dLbls>
        <c:gapWidth val="444"/>
        <c:overlap val="-90"/>
        <c:axId val="2076325376"/>
        <c:axId val="492527312"/>
      </c:barChart>
      <c:catAx>
        <c:axId val="207632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2527312"/>
        <c:crosses val="autoZero"/>
        <c:auto val="1"/>
        <c:lblAlgn val="ctr"/>
        <c:lblOffset val="100"/>
        <c:noMultiLvlLbl val="0"/>
      </c:catAx>
      <c:valAx>
        <c:axId val="492527312"/>
        <c:scaling>
          <c:orientation val="minMax"/>
        </c:scaling>
        <c:delete val="1"/>
        <c:axPos val="l"/>
        <c:numFmt formatCode="General" sourceLinked="1"/>
        <c:majorTickMark val="none"/>
        <c:minorTickMark val="none"/>
        <c:tickLblPos val="nextTo"/>
        <c:crossAx val="20763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Average of CASUAL_RENTALS</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clear</c:v>
              </c:pt>
              <c:pt idx="1">
                <c:v>cloudy</c:v>
              </c:pt>
              <c:pt idx="2">
                <c:v>heavy rain</c:v>
              </c:pt>
              <c:pt idx="3">
                <c:v>light rain</c:v>
              </c:pt>
            </c:strLit>
          </c:cat>
          <c:val>
            <c:numLit>
              <c:formatCode>General</c:formatCode>
              <c:ptCount val="4"/>
              <c:pt idx="0">
                <c:v>5.2986798679867988</c:v>
              </c:pt>
              <c:pt idx="1">
                <c:v>4.9773462783171523</c:v>
              </c:pt>
              <c:pt idx="2">
                <c:v>1</c:v>
              </c:pt>
              <c:pt idx="3">
                <c:v>2.0357142857142856</c:v>
              </c:pt>
            </c:numLit>
          </c:val>
          <c:smooth val="0"/>
          <c:extLst>
            <c:ext xmlns:c16="http://schemas.microsoft.com/office/drawing/2014/chart" uri="{C3380CC4-5D6E-409C-BE32-E72D297353CC}">
              <c16:uniqueId val="{00000000-98EE-46E3-BA0B-1F16E4C4AB55}"/>
            </c:ext>
          </c:extLst>
        </c:ser>
        <c:ser>
          <c:idx val="1"/>
          <c:order val="1"/>
          <c:tx>
            <c:v>Average of REGISTERED_RENTALS</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clear</c:v>
              </c:pt>
              <c:pt idx="1">
                <c:v>cloudy</c:v>
              </c:pt>
              <c:pt idx="2">
                <c:v>heavy rain</c:v>
              </c:pt>
              <c:pt idx="3">
                <c:v>light rain</c:v>
              </c:pt>
            </c:strLit>
          </c:cat>
          <c:val>
            <c:numLit>
              <c:formatCode>General</c:formatCode>
              <c:ptCount val="4"/>
              <c:pt idx="0">
                <c:v>56.372937293729372</c:v>
              </c:pt>
              <c:pt idx="1">
                <c:v>53.618122977346282</c:v>
              </c:pt>
              <c:pt idx="2">
                <c:v>35</c:v>
              </c:pt>
              <c:pt idx="3">
                <c:v>31.166666666666668</c:v>
              </c:pt>
            </c:numLit>
          </c:val>
          <c:smooth val="0"/>
          <c:extLst>
            <c:ext xmlns:c16="http://schemas.microsoft.com/office/drawing/2014/chart" uri="{C3380CC4-5D6E-409C-BE32-E72D297353CC}">
              <c16:uniqueId val="{00000002-98EE-46E3-BA0B-1F16E4C4AB55}"/>
            </c:ext>
          </c:extLst>
        </c:ser>
        <c:ser>
          <c:idx val="2"/>
          <c:order val="2"/>
          <c:tx>
            <c:v>Average of TOTAL_RENTALS</c:v>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clear</c:v>
              </c:pt>
              <c:pt idx="1">
                <c:v>cloudy</c:v>
              </c:pt>
              <c:pt idx="2">
                <c:v>heavy rain</c:v>
              </c:pt>
              <c:pt idx="3">
                <c:v>light rain</c:v>
              </c:pt>
            </c:strLit>
          </c:cat>
          <c:val>
            <c:numLit>
              <c:formatCode>General</c:formatCode>
              <c:ptCount val="4"/>
              <c:pt idx="0">
                <c:v>61.671617161716171</c:v>
              </c:pt>
              <c:pt idx="1">
                <c:v>58.595469255663431</c:v>
              </c:pt>
              <c:pt idx="2">
                <c:v>36</c:v>
              </c:pt>
              <c:pt idx="3">
                <c:v>33.202380952380949</c:v>
              </c:pt>
            </c:numLit>
          </c:val>
          <c:smooth val="0"/>
          <c:extLst>
            <c:ext xmlns:c16="http://schemas.microsoft.com/office/drawing/2014/chart" uri="{C3380CC4-5D6E-409C-BE32-E72D297353CC}">
              <c16:uniqueId val="{00000004-98EE-46E3-BA0B-1F16E4C4AB55}"/>
            </c:ext>
          </c:extLst>
        </c:ser>
        <c:dLbls>
          <c:dLblPos val="ctr"/>
          <c:showLegendKey val="0"/>
          <c:showVal val="1"/>
          <c:showCatName val="0"/>
          <c:showSerName val="0"/>
          <c:showPercent val="0"/>
          <c:showBubbleSize val="0"/>
        </c:dLbls>
        <c:marker val="1"/>
        <c:smooth val="0"/>
        <c:axId val="496492736"/>
        <c:axId val="492631952"/>
      </c:lineChart>
      <c:catAx>
        <c:axId val="496492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2631952"/>
        <c:crosses val="autoZero"/>
        <c:auto val="1"/>
        <c:lblAlgn val="ctr"/>
        <c:lblOffset val="100"/>
        <c:noMultiLvlLbl val="0"/>
      </c:catAx>
      <c:valAx>
        <c:axId val="492631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964927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CASUAL_RENTALS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Lit>
          </c:val>
          <c:smooth val="0"/>
          <c:extLst>
            <c:ext xmlns:c16="http://schemas.microsoft.com/office/drawing/2014/chart" uri="{C3380CC4-5D6E-409C-BE32-E72D297353CC}">
              <c16:uniqueId val="{000000BB-FA45-45F9-80EB-094E50D36624}"/>
            </c:ext>
          </c:extLst>
        </c:ser>
        <c:ser>
          <c:idx val="1"/>
          <c:order val="1"/>
          <c:tx>
            <c:v>Sum of REGISTERED_RENTALS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Lit>
          </c:val>
          <c:smooth val="0"/>
          <c:extLst>
            <c:ext xmlns:c16="http://schemas.microsoft.com/office/drawing/2014/chart" uri="{C3380CC4-5D6E-409C-BE32-E72D297353CC}">
              <c16:uniqueId val="{000000BC-FA45-45F9-80EB-094E50D36624}"/>
            </c:ext>
          </c:extLst>
        </c:ser>
        <c:ser>
          <c:idx val="2"/>
          <c:order val="2"/>
          <c:tx>
            <c:v>Sum of TOTAL_RENTALS</c:v>
          </c:tx>
          <c:spPr>
            <a:ln w="28575"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smooth val="0"/>
          <c:extLst>
            <c:ext xmlns:c16="http://schemas.microsoft.com/office/drawing/2014/chart" uri="{C3380CC4-5D6E-409C-BE32-E72D297353CC}">
              <c16:uniqueId val="{000000BD-FA45-45F9-80EB-094E50D36624}"/>
            </c:ext>
          </c:extLst>
        </c:ser>
        <c:dLbls>
          <c:showLegendKey val="0"/>
          <c:showVal val="0"/>
          <c:showCatName val="0"/>
          <c:showSerName val="0"/>
          <c:showPercent val="0"/>
          <c:showBubbleSize val="0"/>
        </c:dLbls>
        <c:marker val="1"/>
        <c:smooth val="0"/>
        <c:axId val="1851747855"/>
        <c:axId val="1565297167"/>
      </c:lineChart>
      <c:catAx>
        <c:axId val="185174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97167"/>
        <c:crosses val="autoZero"/>
        <c:auto val="1"/>
        <c:lblAlgn val="ctr"/>
        <c:lblOffset val="100"/>
        <c:noMultiLvlLbl val="0"/>
      </c:catAx>
      <c:valAx>
        <c:axId val="156529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4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406610067596299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Average of REGISTERED_RENTALS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D1-4890-A559-90CD0EE00C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D1-4890-A559-90CD0EE00C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weekday</c:v>
              </c:pt>
              <c:pt idx="1">
                <c:v>weekend</c:v>
              </c:pt>
            </c:strLit>
          </c:cat>
          <c:val>
            <c:numLit>
              <c:formatCode>General</c:formatCode>
              <c:ptCount val="2"/>
              <c:pt idx="0">
                <c:v>56.510917030567683</c:v>
              </c:pt>
              <c:pt idx="1">
                <c:v>46.517571884984022</c:v>
              </c:pt>
            </c:numLit>
          </c:val>
          <c:extLst>
            <c:ext xmlns:c16="http://schemas.microsoft.com/office/drawing/2014/chart" uri="{C3380CC4-5D6E-409C-BE32-E72D297353CC}">
              <c16:uniqueId val="{00000000-76AC-45B7-AFE7-2DCBC3BA94EF}"/>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CD1-4890-A559-90CD0EE00C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CD1-4890-A559-90CD0EE00C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4.2358078602620086</c:v>
              </c:pt>
              <c:pt idx="1">
                <c:v>6.4249201277955272</c:v>
              </c:pt>
            </c:numLit>
          </c:val>
          <c:extLst>
            <c:ext xmlns:c16="http://schemas.microsoft.com/office/drawing/2014/chart" uri="{C3380CC4-5D6E-409C-BE32-E72D297353CC}">
              <c16:uniqueId val="{00000003-76AC-45B7-AFE7-2DCBC3BA94EF}"/>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CD1-4890-A559-90CD0EE00C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CD1-4890-A559-90CD0EE00C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60.746724890829697</c:v>
              </c:pt>
              <c:pt idx="1">
                <c:v>52.942492012779553</c:v>
              </c:pt>
            </c:numLit>
          </c:val>
          <c:extLst>
            <c:ext xmlns:c16="http://schemas.microsoft.com/office/drawing/2014/chart" uri="{C3380CC4-5D6E-409C-BE32-E72D297353CC}">
              <c16:uniqueId val="{00000004-76AC-45B7-AFE7-2DCBC3BA94EF}"/>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41380732933482E-2"/>
          <c:y val="2.4738868484479645E-2"/>
          <c:w val="0.57594370974765652"/>
          <c:h val="0.7233179839214201"/>
        </c:manualLayout>
      </c:layout>
      <c:barChart>
        <c:barDir val="col"/>
        <c:grouping val="clustered"/>
        <c:varyColors val="0"/>
        <c:ser>
          <c:idx val="0"/>
          <c:order val="0"/>
          <c:tx>
            <c:v>Max of CASUAL_RENTALS</c:v>
          </c:tx>
          <c:spPr>
            <a:solidFill>
              <a:schemeClr val="accent1"/>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21</c:v>
              </c:pt>
              <c:pt idx="1">
                <c:v>21</c:v>
              </c:pt>
              <c:pt idx="2">
                <c:v>12</c:v>
              </c:pt>
              <c:pt idx="3">
                <c:v>12</c:v>
              </c:pt>
              <c:pt idx="4">
                <c:v>21</c:v>
              </c:pt>
              <c:pt idx="5">
                <c:v>47</c:v>
              </c:pt>
              <c:pt idx="6">
                <c:v>62</c:v>
              </c:pt>
            </c:numLit>
          </c:val>
          <c:extLst>
            <c:ext xmlns:c16="http://schemas.microsoft.com/office/drawing/2014/chart" uri="{C3380CC4-5D6E-409C-BE32-E72D297353CC}">
              <c16:uniqueId val="{00000000-F1E6-488D-8AD6-DC5901D13236}"/>
            </c:ext>
          </c:extLst>
        </c:ser>
        <c:ser>
          <c:idx val="1"/>
          <c:order val="1"/>
          <c:tx>
            <c:v>Max of REGISTERED_RENTALS</c:v>
          </c:tx>
          <c:spPr>
            <a:solidFill>
              <a:schemeClr val="accent2"/>
            </a:solidFill>
            <a:ln>
              <a:noFill/>
            </a:ln>
            <a:effectLst/>
          </c:spPr>
          <c:invertIfNegative val="0"/>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223</c:v>
              </c:pt>
              <c:pt idx="1">
                <c:v>236</c:v>
              </c:pt>
              <c:pt idx="2">
                <c:v>198</c:v>
              </c:pt>
              <c:pt idx="3">
                <c:v>247</c:v>
              </c:pt>
              <c:pt idx="4">
                <c:v>217</c:v>
              </c:pt>
              <c:pt idx="5">
                <c:v>127</c:v>
              </c:pt>
              <c:pt idx="6">
                <c:v>135</c:v>
              </c:pt>
            </c:numLit>
          </c:val>
          <c:extLst>
            <c:ext xmlns:c16="http://schemas.microsoft.com/office/drawing/2014/chart" uri="{C3380CC4-5D6E-409C-BE32-E72D297353CC}">
              <c16:uniqueId val="{00000002-F1E6-488D-8AD6-DC5901D13236}"/>
            </c:ext>
          </c:extLst>
        </c:ser>
        <c:dLbls>
          <c:showLegendKey val="0"/>
          <c:showVal val="0"/>
          <c:showCatName val="0"/>
          <c:showSerName val="0"/>
          <c:showPercent val="0"/>
          <c:showBubbleSize val="0"/>
        </c:dLbls>
        <c:gapWidth val="219"/>
        <c:axId val="1561274735"/>
        <c:axId val="1114803727"/>
      </c:barChart>
      <c:lineChart>
        <c:grouping val="standard"/>
        <c:varyColors val="0"/>
        <c:ser>
          <c:idx val="2"/>
          <c:order val="2"/>
          <c:tx>
            <c:v>Max of TOTAL_RENTALS</c:v>
          </c:tx>
          <c:spPr>
            <a:ln w="28575" cap="rnd">
              <a:solidFill>
                <a:schemeClr val="accent3"/>
              </a:solidFill>
              <a:round/>
            </a:ln>
            <a:effectLst/>
          </c:spPr>
          <c:marker>
            <c:symbol val="none"/>
          </c:marker>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230</c:v>
              </c:pt>
              <c:pt idx="1">
                <c:v>243</c:v>
              </c:pt>
              <c:pt idx="2">
                <c:v>199</c:v>
              </c:pt>
              <c:pt idx="3">
                <c:v>249</c:v>
              </c:pt>
              <c:pt idx="4">
                <c:v>220</c:v>
              </c:pt>
              <c:pt idx="5">
                <c:v>174</c:v>
              </c:pt>
              <c:pt idx="6">
                <c:v>182</c:v>
              </c:pt>
            </c:numLit>
          </c:val>
          <c:smooth val="0"/>
          <c:extLst>
            <c:ext xmlns:c16="http://schemas.microsoft.com/office/drawing/2014/chart" uri="{C3380CC4-5D6E-409C-BE32-E72D297353CC}">
              <c16:uniqueId val="{00000003-F1E6-488D-8AD6-DC5901D13236}"/>
            </c:ext>
          </c:extLst>
        </c:ser>
        <c:dLbls>
          <c:showLegendKey val="0"/>
          <c:showVal val="0"/>
          <c:showCatName val="0"/>
          <c:showSerName val="0"/>
          <c:showPercent val="0"/>
          <c:showBubbleSize val="0"/>
        </c:dLbls>
        <c:marker val="1"/>
        <c:smooth val="0"/>
        <c:axId val="1561274735"/>
        <c:axId val="1114803727"/>
      </c:lineChart>
      <c:catAx>
        <c:axId val="15612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03727"/>
        <c:crosses val="autoZero"/>
        <c:auto val="1"/>
        <c:lblAlgn val="ctr"/>
        <c:lblOffset val="100"/>
        <c:noMultiLvlLbl val="0"/>
      </c:catAx>
      <c:valAx>
        <c:axId val="111480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7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no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v>Sum of CASUAL_RENTALS</c:v>
          </c:tx>
          <c:spPr>
            <a:ln w="25400" cap="rnd">
              <a:noFill/>
              <a:round/>
            </a:ln>
            <a:effectLst/>
          </c:spPr>
          <c:marker>
            <c:symbol val="circle"/>
            <c:size val="5"/>
            <c:spPr>
              <a:solidFill>
                <a:schemeClr val="accent1"/>
              </a:solidFill>
              <a:ln w="9525">
                <a:solidFill>
                  <a:schemeClr val="accent1"/>
                </a:solidFill>
              </a:ln>
              <a:effectLst/>
            </c:spPr>
          </c:marker>
          <c:xVal>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xVal>
          <c:yVal>
            <c:numLit>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Lit>
          </c:yVal>
          <c:smooth val="0"/>
          <c:extLst>
            <c:ext xmlns:c16="http://schemas.microsoft.com/office/drawing/2014/chart" uri="{C3380CC4-5D6E-409C-BE32-E72D297353CC}">
              <c16:uniqueId val="{00000002-228B-4867-BF28-5FCB5CB91A1D}"/>
            </c:ext>
          </c:extLst>
        </c:ser>
        <c:ser>
          <c:idx val="1"/>
          <c:order val="1"/>
          <c:tx>
            <c:v>Sum of REGISTERED_RENTALS</c:v>
          </c:tx>
          <c:spPr>
            <a:ln w="25400" cap="rnd">
              <a:noFill/>
              <a:round/>
            </a:ln>
            <a:effectLst/>
          </c:spPr>
          <c:marker>
            <c:symbol val="circle"/>
            <c:size val="5"/>
            <c:spPr>
              <a:solidFill>
                <a:schemeClr val="accent2"/>
              </a:solidFill>
              <a:ln w="9525">
                <a:solidFill>
                  <a:schemeClr val="accent2"/>
                </a:solidFill>
              </a:ln>
              <a:effectLst/>
            </c:spPr>
          </c:marker>
          <c:xVal>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xVal>
          <c:yVal>
            <c:numLit>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Lit>
          </c:yVal>
          <c:smooth val="0"/>
          <c:extLst>
            <c:ext xmlns:c16="http://schemas.microsoft.com/office/drawing/2014/chart" uri="{C3380CC4-5D6E-409C-BE32-E72D297353CC}">
              <c16:uniqueId val="{00000003-228B-4867-BF28-5FCB5CB91A1D}"/>
            </c:ext>
          </c:extLst>
        </c:ser>
        <c:ser>
          <c:idx val="2"/>
          <c:order val="2"/>
          <c:tx>
            <c:v>Sum of TOTAL_RENTALS</c:v>
          </c:tx>
          <c:spPr>
            <a:ln w="25400" cap="rnd">
              <a:noFill/>
              <a:round/>
            </a:ln>
            <a:effectLst/>
          </c:spPr>
          <c:marker>
            <c:symbol val="circle"/>
            <c:size val="5"/>
            <c:spPr>
              <a:solidFill>
                <a:schemeClr val="accent3"/>
              </a:solidFill>
              <a:ln w="9525">
                <a:solidFill>
                  <a:schemeClr val="accent3"/>
                </a:solidFill>
              </a:ln>
              <a:effectLst/>
            </c:spPr>
          </c:marker>
          <c:xVal>
            <c:strLit>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Lit>
          </c:xVal>
          <c:yVal>
            <c:numLit>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Lit>
          </c:yVal>
          <c:smooth val="0"/>
          <c:extLst>
            <c:ext xmlns:c16="http://schemas.microsoft.com/office/drawing/2014/chart" uri="{C3380CC4-5D6E-409C-BE32-E72D297353CC}">
              <c16:uniqueId val="{00000004-228B-4867-BF28-5FCB5CB91A1D}"/>
            </c:ext>
          </c:extLst>
        </c:ser>
        <c:dLbls>
          <c:showLegendKey val="0"/>
          <c:showVal val="0"/>
          <c:showCatName val="0"/>
          <c:showSerName val="0"/>
          <c:showPercent val="0"/>
          <c:showBubbleSize val="0"/>
        </c:dLbls>
        <c:axId val="1995831472"/>
        <c:axId val="462703376"/>
      </c:scatterChart>
      <c:valAx>
        <c:axId val="199583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703376"/>
        <c:crosses val="autoZero"/>
        <c:crossBetween val="midCat"/>
      </c:valAx>
      <c:valAx>
        <c:axId val="46270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31472"/>
        <c:crosses val="autoZero"/>
        <c:crossBetween val="midCat"/>
      </c:valAx>
      <c:spPr>
        <a:noFill/>
        <a:ln>
          <a:noFill/>
        </a:ln>
        <a:effectLst/>
      </c:spPr>
    </c:plotArea>
    <c:legend>
      <c:legendPos val="r"/>
      <c:layout>
        <c:manualLayout>
          <c:xMode val="edge"/>
          <c:yMode val="edge"/>
          <c:x val="0.66713903229815064"/>
          <c:y val="0.30606408573928257"/>
          <c:w val="0.31851376540629694"/>
          <c:h val="0.41101961213181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Max of CASUAL_RENTALS</c:v>
          </c:tx>
          <c:dPt>
            <c:idx val="0"/>
            <c:bubble3D val="0"/>
            <c:spPr>
              <a:solidFill>
                <a:schemeClr val="accent1"/>
              </a:solidFill>
              <a:ln>
                <a:noFill/>
              </a:ln>
              <a:effectLst/>
            </c:spPr>
            <c:extLst>
              <c:ext xmlns:c16="http://schemas.microsoft.com/office/drawing/2014/chart" uri="{C3380CC4-5D6E-409C-BE32-E72D297353CC}">
                <c16:uniqueId val="{00000001-421E-4638-B9C9-2CC6DA6C8EFD}"/>
              </c:ext>
            </c:extLst>
          </c:dPt>
          <c:dPt>
            <c:idx val="1"/>
            <c:bubble3D val="0"/>
            <c:spPr>
              <a:solidFill>
                <a:schemeClr val="accent2"/>
              </a:solidFill>
              <a:ln>
                <a:noFill/>
              </a:ln>
              <a:effectLst/>
            </c:spPr>
            <c:extLst>
              <c:ext xmlns:c16="http://schemas.microsoft.com/office/drawing/2014/chart" uri="{C3380CC4-5D6E-409C-BE32-E72D297353CC}">
                <c16:uniqueId val="{00000003-421E-4638-B9C9-2CC6DA6C8EFD}"/>
              </c:ext>
            </c:extLst>
          </c:dPt>
          <c:dPt>
            <c:idx val="2"/>
            <c:bubble3D val="0"/>
            <c:spPr>
              <a:solidFill>
                <a:schemeClr val="accent3"/>
              </a:solidFill>
              <a:ln>
                <a:noFill/>
              </a:ln>
              <a:effectLst/>
            </c:spPr>
            <c:extLst>
              <c:ext xmlns:c16="http://schemas.microsoft.com/office/drawing/2014/chart" uri="{C3380CC4-5D6E-409C-BE32-E72D297353CC}">
                <c16:uniqueId val="{00000005-421E-4638-B9C9-2CC6DA6C8EFD}"/>
              </c:ext>
            </c:extLst>
          </c:dPt>
          <c:dPt>
            <c:idx val="3"/>
            <c:bubble3D val="0"/>
            <c:spPr>
              <a:solidFill>
                <a:schemeClr val="accent4"/>
              </a:solidFill>
              <a:ln>
                <a:noFill/>
              </a:ln>
              <a:effectLst/>
            </c:spPr>
            <c:extLst>
              <c:ext xmlns:c16="http://schemas.microsoft.com/office/drawing/2014/chart" uri="{C3380CC4-5D6E-409C-BE32-E72D297353CC}">
                <c16:uniqueId val="{00000007-421E-4638-B9C9-2CC6DA6C8EFD}"/>
              </c:ext>
            </c:extLst>
          </c:dPt>
          <c:dPt>
            <c:idx val="4"/>
            <c:bubble3D val="0"/>
            <c:spPr>
              <a:solidFill>
                <a:schemeClr val="accent5"/>
              </a:solidFill>
              <a:ln>
                <a:noFill/>
              </a:ln>
              <a:effectLst/>
            </c:spPr>
            <c:extLst>
              <c:ext xmlns:c16="http://schemas.microsoft.com/office/drawing/2014/chart" uri="{C3380CC4-5D6E-409C-BE32-E72D297353CC}">
                <c16:uniqueId val="{00000009-421E-4638-B9C9-2CC6DA6C8EFD}"/>
              </c:ext>
            </c:extLst>
          </c:dPt>
          <c:dPt>
            <c:idx val="5"/>
            <c:bubble3D val="0"/>
            <c:spPr>
              <a:solidFill>
                <a:schemeClr val="accent6"/>
              </a:solidFill>
              <a:ln>
                <a:noFill/>
              </a:ln>
              <a:effectLst/>
            </c:spPr>
            <c:extLst>
              <c:ext xmlns:c16="http://schemas.microsoft.com/office/drawing/2014/chart" uri="{C3380CC4-5D6E-409C-BE32-E72D297353CC}">
                <c16:uniqueId val="{0000000B-421E-4638-B9C9-2CC6DA6C8EF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21E-4638-B9C9-2CC6DA6C8EF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421E-4638-B9C9-2CC6DA6C8EF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421E-4638-B9C9-2CC6DA6C8EF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421E-4638-B9C9-2CC6DA6C8EF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421E-4638-B9C9-2CC6DA6C8EF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421E-4638-B9C9-2CC6DA6C8EF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421E-4638-B9C9-2CC6DA6C8EF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421E-4638-B9C9-2CC6DA6C8EF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421E-4638-B9C9-2CC6DA6C8EF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421E-4638-B9C9-2CC6DA6C8EF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421E-4638-B9C9-2CC6DA6C8EF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421E-4638-B9C9-2CC6DA6C8EF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421E-4638-B9C9-2CC6DA6C8EF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421E-4638-B9C9-2CC6DA6C8EFD}"/>
              </c:ext>
            </c:extLst>
          </c:dPt>
          <c:cat>
            <c:strLit>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0"/>
              <c:pt idx="0">
                <c:v>48</c:v>
              </c:pt>
              <c:pt idx="1">
                <c:v>52</c:v>
              </c:pt>
              <c:pt idx="2">
                <c:v>42</c:v>
              </c:pt>
              <c:pt idx="3">
                <c:v>21</c:v>
              </c:pt>
              <c:pt idx="4">
                <c:v>21</c:v>
              </c:pt>
              <c:pt idx="5">
                <c:v>33</c:v>
              </c:pt>
              <c:pt idx="6">
                <c:v>22</c:v>
              </c:pt>
              <c:pt idx="7">
                <c:v>35</c:v>
              </c:pt>
              <c:pt idx="8">
                <c:v>35</c:v>
              </c:pt>
              <c:pt idx="9">
                <c:v>47</c:v>
              </c:pt>
              <c:pt idx="10">
                <c:v>30</c:v>
              </c:pt>
              <c:pt idx="11">
                <c:v>62</c:v>
              </c:pt>
              <c:pt idx="12">
                <c:v>12</c:v>
              </c:pt>
              <c:pt idx="13">
                <c:v>51</c:v>
              </c:pt>
              <c:pt idx="14">
                <c:v>26</c:v>
              </c:pt>
              <c:pt idx="15">
                <c:v>58</c:v>
              </c:pt>
              <c:pt idx="16">
                <c:v>12</c:v>
              </c:pt>
              <c:pt idx="17">
                <c:v>24</c:v>
              </c:pt>
              <c:pt idx="18">
                <c:v>7</c:v>
              </c:pt>
              <c:pt idx="19">
                <c:v>11</c:v>
              </c:pt>
            </c:numLit>
          </c:val>
          <c:extLst>
            <c:ext xmlns:c16="http://schemas.microsoft.com/office/drawing/2014/chart" uri="{C3380CC4-5D6E-409C-BE32-E72D297353CC}">
              <c16:uniqueId val="{00000000-E444-4735-8DBE-9FE1158D4933}"/>
            </c:ext>
          </c:extLst>
        </c:ser>
        <c:ser>
          <c:idx val="1"/>
          <c:order val="1"/>
          <c:tx>
            <c:v>Max of REGISTERED_RENTALS</c:v>
          </c:tx>
          <c:dPt>
            <c:idx val="0"/>
            <c:bubble3D val="0"/>
            <c:spPr>
              <a:solidFill>
                <a:schemeClr val="accent1"/>
              </a:solidFill>
              <a:ln>
                <a:noFill/>
              </a:ln>
              <a:effectLst/>
            </c:spPr>
            <c:extLst>
              <c:ext xmlns:c16="http://schemas.microsoft.com/office/drawing/2014/chart" uri="{C3380CC4-5D6E-409C-BE32-E72D297353CC}">
                <c16:uniqueId val="{00000029-421E-4638-B9C9-2CC6DA6C8EFD}"/>
              </c:ext>
            </c:extLst>
          </c:dPt>
          <c:dPt>
            <c:idx val="1"/>
            <c:bubble3D val="0"/>
            <c:spPr>
              <a:solidFill>
                <a:schemeClr val="accent2"/>
              </a:solidFill>
              <a:ln>
                <a:noFill/>
              </a:ln>
              <a:effectLst/>
            </c:spPr>
            <c:extLst>
              <c:ext xmlns:c16="http://schemas.microsoft.com/office/drawing/2014/chart" uri="{C3380CC4-5D6E-409C-BE32-E72D297353CC}">
                <c16:uniqueId val="{0000002B-421E-4638-B9C9-2CC6DA6C8EFD}"/>
              </c:ext>
            </c:extLst>
          </c:dPt>
          <c:dPt>
            <c:idx val="2"/>
            <c:bubble3D val="0"/>
            <c:spPr>
              <a:solidFill>
                <a:schemeClr val="accent3"/>
              </a:solidFill>
              <a:ln>
                <a:noFill/>
              </a:ln>
              <a:effectLst/>
            </c:spPr>
            <c:extLst>
              <c:ext xmlns:c16="http://schemas.microsoft.com/office/drawing/2014/chart" uri="{C3380CC4-5D6E-409C-BE32-E72D297353CC}">
                <c16:uniqueId val="{0000002D-421E-4638-B9C9-2CC6DA6C8EFD}"/>
              </c:ext>
            </c:extLst>
          </c:dPt>
          <c:dPt>
            <c:idx val="3"/>
            <c:bubble3D val="0"/>
            <c:spPr>
              <a:solidFill>
                <a:schemeClr val="accent4"/>
              </a:solidFill>
              <a:ln>
                <a:noFill/>
              </a:ln>
              <a:effectLst/>
            </c:spPr>
            <c:extLst>
              <c:ext xmlns:c16="http://schemas.microsoft.com/office/drawing/2014/chart" uri="{C3380CC4-5D6E-409C-BE32-E72D297353CC}">
                <c16:uniqueId val="{0000002F-421E-4638-B9C9-2CC6DA6C8EFD}"/>
              </c:ext>
            </c:extLst>
          </c:dPt>
          <c:dPt>
            <c:idx val="4"/>
            <c:bubble3D val="0"/>
            <c:spPr>
              <a:solidFill>
                <a:schemeClr val="accent5"/>
              </a:solidFill>
              <a:ln>
                <a:noFill/>
              </a:ln>
              <a:effectLst/>
            </c:spPr>
            <c:extLst>
              <c:ext xmlns:c16="http://schemas.microsoft.com/office/drawing/2014/chart" uri="{C3380CC4-5D6E-409C-BE32-E72D297353CC}">
                <c16:uniqueId val="{00000031-421E-4638-B9C9-2CC6DA6C8EFD}"/>
              </c:ext>
            </c:extLst>
          </c:dPt>
          <c:dPt>
            <c:idx val="5"/>
            <c:bubble3D val="0"/>
            <c:spPr>
              <a:solidFill>
                <a:schemeClr val="accent6"/>
              </a:solidFill>
              <a:ln>
                <a:noFill/>
              </a:ln>
              <a:effectLst/>
            </c:spPr>
            <c:extLst>
              <c:ext xmlns:c16="http://schemas.microsoft.com/office/drawing/2014/chart" uri="{C3380CC4-5D6E-409C-BE32-E72D297353CC}">
                <c16:uniqueId val="{00000033-421E-4638-B9C9-2CC6DA6C8EF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5-421E-4638-B9C9-2CC6DA6C8EF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7-421E-4638-B9C9-2CC6DA6C8EF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9-421E-4638-B9C9-2CC6DA6C8EF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3B-421E-4638-B9C9-2CC6DA6C8EF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3D-421E-4638-B9C9-2CC6DA6C8EF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3F-421E-4638-B9C9-2CC6DA6C8EF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41-421E-4638-B9C9-2CC6DA6C8EF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43-421E-4638-B9C9-2CC6DA6C8EF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45-421E-4638-B9C9-2CC6DA6C8EF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47-421E-4638-B9C9-2CC6DA6C8EF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49-421E-4638-B9C9-2CC6DA6C8EF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4B-421E-4638-B9C9-2CC6DA6C8EF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4D-421E-4638-B9C9-2CC6DA6C8EF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4F-421E-4638-B9C9-2CC6DA6C8EFD}"/>
              </c:ext>
            </c:extLst>
          </c:dPt>
          <c:cat>
            <c:strLit>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0"/>
              <c:pt idx="0">
                <c:v>223</c:v>
              </c:pt>
              <c:pt idx="1">
                <c:v>218</c:v>
              </c:pt>
              <c:pt idx="2">
                <c:v>207</c:v>
              </c:pt>
              <c:pt idx="3">
                <c:v>233</c:v>
              </c:pt>
              <c:pt idx="4">
                <c:v>212</c:v>
              </c:pt>
              <c:pt idx="5">
                <c:v>197</c:v>
              </c:pt>
              <c:pt idx="6">
                <c:v>202</c:v>
              </c:pt>
              <c:pt idx="7">
                <c:v>190</c:v>
              </c:pt>
              <c:pt idx="8">
                <c:v>247</c:v>
              </c:pt>
              <c:pt idx="9">
                <c:v>192</c:v>
              </c:pt>
              <c:pt idx="10">
                <c:v>210</c:v>
              </c:pt>
              <c:pt idx="11">
                <c:v>184</c:v>
              </c:pt>
              <c:pt idx="12">
                <c:v>151</c:v>
              </c:pt>
              <c:pt idx="13">
                <c:v>127</c:v>
              </c:pt>
              <c:pt idx="14">
                <c:v>86</c:v>
              </c:pt>
              <c:pt idx="15">
                <c:v>100</c:v>
              </c:pt>
              <c:pt idx="16">
                <c:v>236</c:v>
              </c:pt>
              <c:pt idx="17">
                <c:v>183</c:v>
              </c:pt>
              <c:pt idx="18">
                <c:v>175</c:v>
              </c:pt>
              <c:pt idx="19">
                <c:v>172</c:v>
              </c:pt>
            </c:numLit>
          </c:val>
          <c:extLst>
            <c:ext xmlns:c16="http://schemas.microsoft.com/office/drawing/2014/chart" uri="{C3380CC4-5D6E-409C-BE32-E72D297353CC}">
              <c16:uniqueId val="{00000002-E444-4735-8DBE-9FE1158D493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2758821813939925"/>
          <c:w val="0.71639129483814523"/>
          <c:h val="0.65853091280256637"/>
        </c:manualLayout>
      </c:layout>
      <c:lineChart>
        <c:grouping val="stacked"/>
        <c:varyColors val="0"/>
        <c:ser>
          <c:idx val="0"/>
          <c:order val="0"/>
          <c:tx>
            <c:v>0.02</c:v>
          </c:tx>
          <c:spPr>
            <a:ln w="28575" cap="rnd">
              <a:solidFill>
                <a:schemeClr val="accent1"/>
              </a:solidFill>
              <a:round/>
            </a:ln>
            <a:effectLst/>
          </c:spPr>
          <c:marker>
            <c:symbol val="none"/>
          </c:marker>
          <c:cat>
            <c:strLit>
              <c:ptCount val="2"/>
              <c:pt idx="0">
                <c:v>0</c:v>
              </c:pt>
              <c:pt idx="1">
                <c:v>1</c:v>
              </c:pt>
            </c:strLit>
          </c:cat>
          <c:val>
            <c:numLit>
              <c:formatCode>General</c:formatCode>
              <c:ptCount val="2"/>
              <c:pt idx="0">
                <c:v>168</c:v>
              </c:pt>
              <c:pt idx="1">
                <c:v>0</c:v>
              </c:pt>
            </c:numLit>
          </c:val>
          <c:smooth val="0"/>
          <c:extLst>
            <c:ext xmlns:c16="http://schemas.microsoft.com/office/drawing/2014/chart" uri="{C3380CC4-5D6E-409C-BE32-E72D297353CC}">
              <c16:uniqueId val="{0000002F-C142-41B8-BEAF-CAC55F001C48}"/>
            </c:ext>
          </c:extLst>
        </c:ser>
        <c:ser>
          <c:idx val="1"/>
          <c:order val="1"/>
          <c:tx>
            <c:v>0.04</c:v>
          </c:tx>
          <c:spPr>
            <a:ln w="28575" cap="rnd">
              <a:solidFill>
                <a:schemeClr val="accent2"/>
              </a:solidFill>
              <a:round/>
            </a:ln>
            <a:effectLst/>
          </c:spPr>
          <c:marker>
            <c:symbol val="none"/>
          </c:marker>
          <c:cat>
            <c:strLit>
              <c:ptCount val="2"/>
              <c:pt idx="0">
                <c:v>0</c:v>
              </c:pt>
              <c:pt idx="1">
                <c:v>1</c:v>
              </c:pt>
            </c:strLit>
          </c:cat>
          <c:val>
            <c:numLit>
              <c:formatCode>General</c:formatCode>
              <c:ptCount val="2"/>
              <c:pt idx="0">
                <c:v>387</c:v>
              </c:pt>
              <c:pt idx="1">
                <c:v>0</c:v>
              </c:pt>
            </c:numLit>
          </c:val>
          <c:smooth val="0"/>
          <c:extLst>
            <c:ext xmlns:c16="http://schemas.microsoft.com/office/drawing/2014/chart" uri="{C3380CC4-5D6E-409C-BE32-E72D297353CC}">
              <c16:uniqueId val="{00000030-C142-41B8-BEAF-CAC55F001C48}"/>
            </c:ext>
          </c:extLst>
        </c:ser>
        <c:ser>
          <c:idx val="2"/>
          <c:order val="2"/>
          <c:tx>
            <c:v>0.06</c:v>
          </c:tx>
          <c:spPr>
            <a:ln w="28575" cap="rnd">
              <a:solidFill>
                <a:schemeClr val="accent3"/>
              </a:solidFill>
              <a:round/>
            </a:ln>
            <a:effectLst/>
          </c:spPr>
          <c:marker>
            <c:symbol val="none"/>
          </c:marker>
          <c:cat>
            <c:strLit>
              <c:ptCount val="2"/>
              <c:pt idx="0">
                <c:v>0</c:v>
              </c:pt>
              <c:pt idx="1">
                <c:v>1</c:v>
              </c:pt>
            </c:strLit>
          </c:cat>
          <c:val>
            <c:numLit>
              <c:formatCode>General</c:formatCode>
              <c:ptCount val="2"/>
              <c:pt idx="0">
                <c:v>608</c:v>
              </c:pt>
              <c:pt idx="1">
                <c:v>0</c:v>
              </c:pt>
            </c:numLit>
          </c:val>
          <c:smooth val="0"/>
          <c:extLst>
            <c:ext xmlns:c16="http://schemas.microsoft.com/office/drawing/2014/chart" uri="{C3380CC4-5D6E-409C-BE32-E72D297353CC}">
              <c16:uniqueId val="{0000004A-C142-41B8-BEAF-CAC55F001C48}"/>
            </c:ext>
          </c:extLst>
        </c:ser>
        <c:ser>
          <c:idx val="3"/>
          <c:order val="3"/>
          <c:tx>
            <c:v>0.08</c:v>
          </c:tx>
          <c:spPr>
            <a:ln w="28575" cap="rnd">
              <a:solidFill>
                <a:schemeClr val="accent4"/>
              </a:solidFill>
              <a:round/>
            </a:ln>
            <a:effectLst/>
          </c:spPr>
          <c:marker>
            <c:symbol val="none"/>
          </c:marker>
          <c:cat>
            <c:strLit>
              <c:ptCount val="2"/>
              <c:pt idx="0">
                <c:v>0</c:v>
              </c:pt>
              <c:pt idx="1">
                <c:v>1</c:v>
              </c:pt>
            </c:strLit>
          </c:cat>
          <c:val>
            <c:numLit>
              <c:formatCode>General</c:formatCode>
              <c:ptCount val="2"/>
              <c:pt idx="0">
                <c:v>357</c:v>
              </c:pt>
              <c:pt idx="1">
                <c:v>0</c:v>
              </c:pt>
            </c:numLit>
          </c:val>
          <c:smooth val="0"/>
          <c:extLst>
            <c:ext xmlns:c16="http://schemas.microsoft.com/office/drawing/2014/chart" uri="{C3380CC4-5D6E-409C-BE32-E72D297353CC}">
              <c16:uniqueId val="{0000004B-C142-41B8-BEAF-CAC55F001C48}"/>
            </c:ext>
          </c:extLst>
        </c:ser>
        <c:ser>
          <c:idx val="4"/>
          <c:order val="4"/>
          <c:tx>
            <c:v>0.1</c:v>
          </c:tx>
          <c:spPr>
            <a:ln w="28575" cap="rnd">
              <a:solidFill>
                <a:schemeClr val="accent5"/>
              </a:solidFill>
              <a:round/>
            </a:ln>
            <a:effectLst/>
          </c:spPr>
          <c:marker>
            <c:symbol val="none"/>
          </c:marker>
          <c:cat>
            <c:strLit>
              <c:ptCount val="2"/>
              <c:pt idx="0">
                <c:v>0</c:v>
              </c:pt>
              <c:pt idx="1">
                <c:v>1</c:v>
              </c:pt>
            </c:strLit>
          </c:cat>
          <c:val>
            <c:numLit>
              <c:formatCode>General</c:formatCode>
              <c:ptCount val="2"/>
              <c:pt idx="0">
                <c:v>1259</c:v>
              </c:pt>
              <c:pt idx="1">
                <c:v>0</c:v>
              </c:pt>
            </c:numLit>
          </c:val>
          <c:smooth val="0"/>
          <c:extLst>
            <c:ext xmlns:c16="http://schemas.microsoft.com/office/drawing/2014/chart" uri="{C3380CC4-5D6E-409C-BE32-E72D297353CC}">
              <c16:uniqueId val="{0000004C-C142-41B8-BEAF-CAC55F001C48}"/>
            </c:ext>
          </c:extLst>
        </c:ser>
        <c:ser>
          <c:idx val="5"/>
          <c:order val="5"/>
          <c:tx>
            <c:v>0.12</c:v>
          </c:tx>
          <c:spPr>
            <a:ln w="28575" cap="rnd">
              <a:solidFill>
                <a:schemeClr val="accent6"/>
              </a:solidFill>
              <a:round/>
            </a:ln>
            <a:effectLst/>
          </c:spPr>
          <c:marker>
            <c:symbol val="none"/>
          </c:marker>
          <c:cat>
            <c:strLit>
              <c:ptCount val="2"/>
              <c:pt idx="0">
                <c:v>0</c:v>
              </c:pt>
              <c:pt idx="1">
                <c:v>1</c:v>
              </c:pt>
            </c:strLit>
          </c:cat>
          <c:val>
            <c:numLit>
              <c:formatCode>General</c:formatCode>
              <c:ptCount val="2"/>
              <c:pt idx="0">
                <c:v>2104</c:v>
              </c:pt>
              <c:pt idx="1">
                <c:v>0</c:v>
              </c:pt>
            </c:numLit>
          </c:val>
          <c:smooth val="0"/>
          <c:extLst>
            <c:ext xmlns:c16="http://schemas.microsoft.com/office/drawing/2014/chart" uri="{C3380CC4-5D6E-409C-BE32-E72D297353CC}">
              <c16:uniqueId val="{0000004D-C142-41B8-BEAF-CAC55F001C48}"/>
            </c:ext>
          </c:extLst>
        </c:ser>
        <c:ser>
          <c:idx val="6"/>
          <c:order val="6"/>
          <c:tx>
            <c:v>0.14</c:v>
          </c:tx>
          <c:spPr>
            <a:ln w="28575" cap="rnd">
              <a:solidFill>
                <a:schemeClr val="accent1">
                  <a:lumMod val="60000"/>
                </a:schemeClr>
              </a:solidFill>
              <a:round/>
            </a:ln>
            <a:effectLst/>
          </c:spPr>
          <c:marker>
            <c:symbol val="none"/>
          </c:marker>
          <c:cat>
            <c:strLit>
              <c:ptCount val="2"/>
              <c:pt idx="0">
                <c:v>0</c:v>
              </c:pt>
              <c:pt idx="1">
                <c:v>1</c:v>
              </c:pt>
            </c:strLit>
          </c:cat>
          <c:val>
            <c:numLit>
              <c:formatCode>General</c:formatCode>
              <c:ptCount val="2"/>
              <c:pt idx="0">
                <c:v>4322</c:v>
              </c:pt>
              <c:pt idx="1">
                <c:v>13</c:v>
              </c:pt>
            </c:numLit>
          </c:val>
          <c:smooth val="0"/>
          <c:extLst>
            <c:ext xmlns:c16="http://schemas.microsoft.com/office/drawing/2014/chart" uri="{C3380CC4-5D6E-409C-BE32-E72D297353CC}">
              <c16:uniqueId val="{0000004E-C142-41B8-BEAF-CAC55F001C48}"/>
            </c:ext>
          </c:extLst>
        </c:ser>
        <c:ser>
          <c:idx val="7"/>
          <c:order val="7"/>
          <c:tx>
            <c:v>0.16</c:v>
          </c:tx>
          <c:spPr>
            <a:ln w="28575" cap="rnd">
              <a:solidFill>
                <a:schemeClr val="accent2">
                  <a:lumMod val="60000"/>
                </a:schemeClr>
              </a:solidFill>
              <a:round/>
            </a:ln>
            <a:effectLst/>
          </c:spPr>
          <c:marker>
            <c:symbol val="none"/>
          </c:marker>
          <c:cat>
            <c:strLit>
              <c:ptCount val="2"/>
              <c:pt idx="0">
                <c:v>0</c:v>
              </c:pt>
              <c:pt idx="1">
                <c:v>1</c:v>
              </c:pt>
            </c:strLit>
          </c:cat>
          <c:val>
            <c:numLit>
              <c:formatCode>General</c:formatCode>
              <c:ptCount val="2"/>
              <c:pt idx="0">
                <c:v>6725</c:v>
              </c:pt>
              <c:pt idx="1">
                <c:v>278</c:v>
              </c:pt>
            </c:numLit>
          </c:val>
          <c:smooth val="0"/>
          <c:extLst>
            <c:ext xmlns:c16="http://schemas.microsoft.com/office/drawing/2014/chart" uri="{C3380CC4-5D6E-409C-BE32-E72D297353CC}">
              <c16:uniqueId val="{0000004F-C142-41B8-BEAF-CAC55F001C48}"/>
            </c:ext>
          </c:extLst>
        </c:ser>
        <c:ser>
          <c:idx val="8"/>
          <c:order val="8"/>
          <c:tx>
            <c:v>0.18</c:v>
          </c:tx>
          <c:spPr>
            <a:ln w="28575" cap="rnd">
              <a:solidFill>
                <a:schemeClr val="accent3">
                  <a:lumMod val="60000"/>
                </a:schemeClr>
              </a:solidFill>
              <a:round/>
            </a:ln>
            <a:effectLst/>
          </c:spPr>
          <c:marker>
            <c:symbol val="none"/>
          </c:marker>
          <c:cat>
            <c:strLit>
              <c:ptCount val="2"/>
              <c:pt idx="0">
                <c:v>0</c:v>
              </c:pt>
              <c:pt idx="1">
                <c:v>1</c:v>
              </c:pt>
            </c:strLit>
          </c:cat>
          <c:val>
            <c:numLit>
              <c:formatCode>General</c:formatCode>
              <c:ptCount val="2"/>
              <c:pt idx="0">
                <c:v>3615</c:v>
              </c:pt>
              <c:pt idx="1">
                <c:v>430</c:v>
              </c:pt>
            </c:numLit>
          </c:val>
          <c:smooth val="0"/>
          <c:extLst>
            <c:ext xmlns:c16="http://schemas.microsoft.com/office/drawing/2014/chart" uri="{C3380CC4-5D6E-409C-BE32-E72D297353CC}">
              <c16:uniqueId val="{00000050-C142-41B8-BEAF-CAC55F001C48}"/>
            </c:ext>
          </c:extLst>
        </c:ser>
        <c:ser>
          <c:idx val="9"/>
          <c:order val="9"/>
          <c:tx>
            <c:v>0.2</c:v>
          </c:tx>
          <c:spPr>
            <a:ln w="28575" cap="rnd">
              <a:solidFill>
                <a:schemeClr val="accent4">
                  <a:lumMod val="60000"/>
                </a:schemeClr>
              </a:solidFill>
              <a:round/>
            </a:ln>
            <a:effectLst/>
          </c:spPr>
          <c:marker>
            <c:symbol val="none"/>
          </c:marker>
          <c:cat>
            <c:strLit>
              <c:ptCount val="2"/>
              <c:pt idx="0">
                <c:v>0</c:v>
              </c:pt>
              <c:pt idx="1">
                <c:v>1</c:v>
              </c:pt>
            </c:strLit>
          </c:cat>
          <c:val>
            <c:numLit>
              <c:formatCode>General</c:formatCode>
              <c:ptCount val="2"/>
              <c:pt idx="0">
                <c:v>7647</c:v>
              </c:pt>
              <c:pt idx="1">
                <c:v>279</c:v>
              </c:pt>
            </c:numLit>
          </c:val>
          <c:smooth val="0"/>
          <c:extLst>
            <c:ext xmlns:c16="http://schemas.microsoft.com/office/drawing/2014/chart" uri="{C3380CC4-5D6E-409C-BE32-E72D297353CC}">
              <c16:uniqueId val="{00000051-C142-41B8-BEAF-CAC55F001C48}"/>
            </c:ext>
          </c:extLst>
        </c:ser>
        <c:ser>
          <c:idx val="10"/>
          <c:order val="10"/>
          <c:tx>
            <c:v>0.22</c:v>
          </c:tx>
          <c:spPr>
            <a:ln w="28575" cap="rnd">
              <a:solidFill>
                <a:schemeClr val="accent5">
                  <a:lumMod val="60000"/>
                </a:schemeClr>
              </a:solidFill>
              <a:round/>
            </a:ln>
            <a:effectLst/>
          </c:spPr>
          <c:marker>
            <c:symbol val="none"/>
          </c:marker>
          <c:cat>
            <c:strLit>
              <c:ptCount val="2"/>
              <c:pt idx="0">
                <c:v>0</c:v>
              </c:pt>
              <c:pt idx="1">
                <c:v>1</c:v>
              </c:pt>
            </c:strLit>
          </c:cat>
          <c:val>
            <c:numLit>
              <c:formatCode>General</c:formatCode>
              <c:ptCount val="2"/>
              <c:pt idx="0">
                <c:v>7212</c:v>
              </c:pt>
              <c:pt idx="1">
                <c:v>0</c:v>
              </c:pt>
            </c:numLit>
          </c:val>
          <c:smooth val="0"/>
          <c:extLst>
            <c:ext xmlns:c16="http://schemas.microsoft.com/office/drawing/2014/chart" uri="{C3380CC4-5D6E-409C-BE32-E72D297353CC}">
              <c16:uniqueId val="{00000052-C142-41B8-BEAF-CAC55F001C48}"/>
            </c:ext>
          </c:extLst>
        </c:ser>
        <c:ser>
          <c:idx val="11"/>
          <c:order val="11"/>
          <c:tx>
            <c:v>0.24</c:v>
          </c:tx>
          <c:spPr>
            <a:ln w="28575" cap="rnd">
              <a:solidFill>
                <a:schemeClr val="accent6">
                  <a:lumMod val="60000"/>
                </a:schemeClr>
              </a:solidFill>
              <a:round/>
            </a:ln>
            <a:effectLst/>
          </c:spPr>
          <c:marker>
            <c:symbol val="none"/>
          </c:marker>
          <c:cat>
            <c:strLit>
              <c:ptCount val="2"/>
              <c:pt idx="0">
                <c:v>0</c:v>
              </c:pt>
              <c:pt idx="1">
                <c:v>1</c:v>
              </c:pt>
            </c:strLit>
          </c:cat>
          <c:val>
            <c:numLit>
              <c:formatCode>General</c:formatCode>
              <c:ptCount val="2"/>
              <c:pt idx="0">
                <c:v>5965</c:v>
              </c:pt>
              <c:pt idx="1">
                <c:v>0</c:v>
              </c:pt>
            </c:numLit>
          </c:val>
          <c:smooth val="0"/>
          <c:extLst>
            <c:ext xmlns:c16="http://schemas.microsoft.com/office/drawing/2014/chart" uri="{C3380CC4-5D6E-409C-BE32-E72D297353CC}">
              <c16:uniqueId val="{00000053-C142-41B8-BEAF-CAC55F001C48}"/>
            </c:ext>
          </c:extLst>
        </c:ser>
        <c:ser>
          <c:idx val="12"/>
          <c:order val="12"/>
          <c:tx>
            <c:v>0.26</c:v>
          </c:tx>
          <c:spPr>
            <a:ln w="28575" cap="rnd">
              <a:solidFill>
                <a:schemeClr val="accent1">
                  <a:lumMod val="80000"/>
                  <a:lumOff val="20000"/>
                </a:schemeClr>
              </a:solidFill>
              <a:round/>
            </a:ln>
            <a:effectLst/>
          </c:spPr>
          <c:marker>
            <c:symbol val="none"/>
          </c:marker>
          <c:cat>
            <c:strLit>
              <c:ptCount val="2"/>
              <c:pt idx="0">
                <c:v>0</c:v>
              </c:pt>
              <c:pt idx="1">
                <c:v>1</c:v>
              </c:pt>
            </c:strLit>
          </c:cat>
          <c:val>
            <c:numLit>
              <c:formatCode>General</c:formatCode>
              <c:ptCount val="2"/>
              <c:pt idx="0">
                <c:v>3157</c:v>
              </c:pt>
              <c:pt idx="1">
                <c:v>0</c:v>
              </c:pt>
            </c:numLit>
          </c:val>
          <c:smooth val="0"/>
          <c:extLst>
            <c:ext xmlns:c16="http://schemas.microsoft.com/office/drawing/2014/chart" uri="{C3380CC4-5D6E-409C-BE32-E72D297353CC}">
              <c16:uniqueId val="{00000054-C142-41B8-BEAF-CAC55F001C48}"/>
            </c:ext>
          </c:extLst>
        </c:ser>
        <c:ser>
          <c:idx val="13"/>
          <c:order val="13"/>
          <c:tx>
            <c:v>0.28</c:v>
          </c:tx>
          <c:spPr>
            <a:ln w="28575" cap="rnd">
              <a:solidFill>
                <a:schemeClr val="accent2">
                  <a:lumMod val="80000"/>
                  <a:lumOff val="20000"/>
                </a:schemeClr>
              </a:solidFill>
              <a:round/>
            </a:ln>
            <a:effectLst/>
          </c:spPr>
          <c:marker>
            <c:symbol val="none"/>
          </c:marker>
          <c:cat>
            <c:strLit>
              <c:ptCount val="2"/>
              <c:pt idx="0">
                <c:v>0</c:v>
              </c:pt>
              <c:pt idx="1">
                <c:v>1</c:v>
              </c:pt>
            </c:strLit>
          </c:cat>
          <c:val>
            <c:numLit>
              <c:formatCode>General</c:formatCode>
              <c:ptCount val="2"/>
              <c:pt idx="0">
                <c:v>1958</c:v>
              </c:pt>
              <c:pt idx="1">
                <c:v>0</c:v>
              </c:pt>
            </c:numLit>
          </c:val>
          <c:smooth val="0"/>
          <c:extLst>
            <c:ext xmlns:c16="http://schemas.microsoft.com/office/drawing/2014/chart" uri="{C3380CC4-5D6E-409C-BE32-E72D297353CC}">
              <c16:uniqueId val="{00000055-C142-41B8-BEAF-CAC55F001C48}"/>
            </c:ext>
          </c:extLst>
        </c:ser>
        <c:ser>
          <c:idx val="14"/>
          <c:order val="14"/>
          <c:tx>
            <c:v>0.3</c:v>
          </c:tx>
          <c:spPr>
            <a:ln w="28575" cap="rnd">
              <a:solidFill>
                <a:schemeClr val="accent3">
                  <a:lumMod val="80000"/>
                  <a:lumOff val="20000"/>
                </a:schemeClr>
              </a:solidFill>
              <a:round/>
            </a:ln>
            <a:effectLst/>
          </c:spPr>
          <c:marker>
            <c:symbol val="none"/>
          </c:marker>
          <c:cat>
            <c:strLit>
              <c:ptCount val="2"/>
              <c:pt idx="0">
                <c:v>0</c:v>
              </c:pt>
              <c:pt idx="1">
                <c:v>1</c:v>
              </c:pt>
            </c:strLit>
          </c:cat>
          <c:val>
            <c:numLit>
              <c:formatCode>General</c:formatCode>
              <c:ptCount val="2"/>
              <c:pt idx="0">
                <c:v>3551</c:v>
              </c:pt>
              <c:pt idx="1">
                <c:v>0</c:v>
              </c:pt>
            </c:numLit>
          </c:val>
          <c:smooth val="0"/>
          <c:extLst>
            <c:ext xmlns:c16="http://schemas.microsoft.com/office/drawing/2014/chart" uri="{C3380CC4-5D6E-409C-BE32-E72D297353CC}">
              <c16:uniqueId val="{00000056-C142-41B8-BEAF-CAC55F001C48}"/>
            </c:ext>
          </c:extLst>
        </c:ser>
        <c:ser>
          <c:idx val="15"/>
          <c:order val="15"/>
          <c:tx>
            <c:v>0.32</c:v>
          </c:tx>
          <c:spPr>
            <a:ln w="28575" cap="rnd">
              <a:solidFill>
                <a:schemeClr val="accent4">
                  <a:lumMod val="80000"/>
                  <a:lumOff val="20000"/>
                </a:schemeClr>
              </a:solidFill>
              <a:round/>
            </a:ln>
            <a:effectLst/>
          </c:spPr>
          <c:marker>
            <c:symbol val="none"/>
          </c:marker>
          <c:cat>
            <c:strLit>
              <c:ptCount val="2"/>
              <c:pt idx="0">
                <c:v>0</c:v>
              </c:pt>
              <c:pt idx="1">
                <c:v>1</c:v>
              </c:pt>
            </c:strLit>
          </c:cat>
          <c:val>
            <c:numLit>
              <c:formatCode>General</c:formatCode>
              <c:ptCount val="2"/>
              <c:pt idx="0">
                <c:v>1966</c:v>
              </c:pt>
              <c:pt idx="1">
                <c:v>0</c:v>
              </c:pt>
            </c:numLit>
          </c:val>
          <c:smooth val="0"/>
          <c:extLst>
            <c:ext xmlns:c16="http://schemas.microsoft.com/office/drawing/2014/chart" uri="{C3380CC4-5D6E-409C-BE32-E72D297353CC}">
              <c16:uniqueId val="{00000057-C142-41B8-BEAF-CAC55F001C48}"/>
            </c:ext>
          </c:extLst>
        </c:ser>
        <c:ser>
          <c:idx val="16"/>
          <c:order val="16"/>
          <c:tx>
            <c:v>0.34</c:v>
          </c:tx>
          <c:spPr>
            <a:ln w="28575" cap="rnd">
              <a:solidFill>
                <a:schemeClr val="accent5">
                  <a:lumMod val="80000"/>
                  <a:lumOff val="20000"/>
                </a:schemeClr>
              </a:solidFill>
              <a:round/>
            </a:ln>
            <a:effectLst/>
          </c:spPr>
          <c:marker>
            <c:symbol val="none"/>
          </c:marker>
          <c:cat>
            <c:strLit>
              <c:ptCount val="2"/>
              <c:pt idx="0">
                <c:v>0</c:v>
              </c:pt>
              <c:pt idx="1">
                <c:v>1</c:v>
              </c:pt>
            </c:strLit>
          </c:cat>
          <c:val>
            <c:numLit>
              <c:formatCode>General</c:formatCode>
              <c:ptCount val="2"/>
              <c:pt idx="0">
                <c:v>2478</c:v>
              </c:pt>
              <c:pt idx="1">
                <c:v>0</c:v>
              </c:pt>
            </c:numLit>
          </c:val>
          <c:smooth val="0"/>
          <c:extLst>
            <c:ext xmlns:c16="http://schemas.microsoft.com/office/drawing/2014/chart" uri="{C3380CC4-5D6E-409C-BE32-E72D297353CC}">
              <c16:uniqueId val="{00000058-C142-41B8-BEAF-CAC55F001C48}"/>
            </c:ext>
          </c:extLst>
        </c:ser>
        <c:ser>
          <c:idx val="17"/>
          <c:order val="17"/>
          <c:tx>
            <c:v>0.36</c:v>
          </c:tx>
          <c:spPr>
            <a:ln w="28575" cap="rnd">
              <a:solidFill>
                <a:schemeClr val="accent6">
                  <a:lumMod val="80000"/>
                  <a:lumOff val="20000"/>
                </a:schemeClr>
              </a:solidFill>
              <a:round/>
            </a:ln>
            <a:effectLst/>
          </c:spPr>
          <c:marker>
            <c:symbol val="none"/>
          </c:marker>
          <c:cat>
            <c:strLit>
              <c:ptCount val="2"/>
              <c:pt idx="0">
                <c:v>0</c:v>
              </c:pt>
              <c:pt idx="1">
                <c:v>1</c:v>
              </c:pt>
            </c:strLit>
          </c:cat>
          <c:val>
            <c:numLit>
              <c:formatCode>General</c:formatCode>
              <c:ptCount val="2"/>
              <c:pt idx="0">
                <c:v>1341</c:v>
              </c:pt>
              <c:pt idx="1">
                <c:v>0</c:v>
              </c:pt>
            </c:numLit>
          </c:val>
          <c:smooth val="0"/>
          <c:extLst>
            <c:ext xmlns:c16="http://schemas.microsoft.com/office/drawing/2014/chart" uri="{C3380CC4-5D6E-409C-BE32-E72D297353CC}">
              <c16:uniqueId val="{00000059-C142-41B8-BEAF-CAC55F001C48}"/>
            </c:ext>
          </c:extLst>
        </c:ser>
        <c:ser>
          <c:idx val="18"/>
          <c:order val="18"/>
          <c:tx>
            <c:v>0.38</c:v>
          </c:tx>
          <c:spPr>
            <a:ln w="28575" cap="rnd">
              <a:solidFill>
                <a:schemeClr val="accent1">
                  <a:lumMod val="80000"/>
                </a:schemeClr>
              </a:solidFill>
              <a:round/>
            </a:ln>
            <a:effectLst/>
          </c:spPr>
          <c:marker>
            <c:symbol val="none"/>
          </c:marker>
          <c:cat>
            <c:strLit>
              <c:ptCount val="2"/>
              <c:pt idx="0">
                <c:v>0</c:v>
              </c:pt>
              <c:pt idx="1">
                <c:v>1</c:v>
              </c:pt>
            </c:strLit>
          </c:cat>
          <c:val>
            <c:numLit>
              <c:formatCode>General</c:formatCode>
              <c:ptCount val="2"/>
              <c:pt idx="0">
                <c:v>521</c:v>
              </c:pt>
              <c:pt idx="1">
                <c:v>0</c:v>
              </c:pt>
            </c:numLit>
          </c:val>
          <c:smooth val="0"/>
          <c:extLst>
            <c:ext xmlns:c16="http://schemas.microsoft.com/office/drawing/2014/chart" uri="{C3380CC4-5D6E-409C-BE32-E72D297353CC}">
              <c16:uniqueId val="{0000005A-C142-41B8-BEAF-CAC55F001C48}"/>
            </c:ext>
          </c:extLst>
        </c:ser>
        <c:ser>
          <c:idx val="19"/>
          <c:order val="19"/>
          <c:tx>
            <c:v>0.4</c:v>
          </c:tx>
          <c:spPr>
            <a:ln w="28575" cap="rnd">
              <a:solidFill>
                <a:schemeClr val="accent2">
                  <a:lumMod val="80000"/>
                </a:schemeClr>
              </a:solidFill>
              <a:round/>
            </a:ln>
            <a:effectLst/>
          </c:spPr>
          <c:marker>
            <c:symbol val="none"/>
          </c:marker>
          <c:cat>
            <c:strLit>
              <c:ptCount val="2"/>
              <c:pt idx="0">
                <c:v>0</c:v>
              </c:pt>
              <c:pt idx="1">
                <c:v>1</c:v>
              </c:pt>
            </c:strLit>
          </c:cat>
          <c:val>
            <c:numLit>
              <c:formatCode>General</c:formatCode>
              <c:ptCount val="2"/>
              <c:pt idx="0">
                <c:v>985</c:v>
              </c:pt>
              <c:pt idx="1">
                <c:v>0</c:v>
              </c:pt>
            </c:numLit>
          </c:val>
          <c:smooth val="0"/>
          <c:extLst>
            <c:ext xmlns:c16="http://schemas.microsoft.com/office/drawing/2014/chart" uri="{C3380CC4-5D6E-409C-BE32-E72D297353CC}">
              <c16:uniqueId val="{0000005B-C142-41B8-BEAF-CAC55F001C48}"/>
            </c:ext>
          </c:extLst>
        </c:ser>
        <c:ser>
          <c:idx val="20"/>
          <c:order val="20"/>
          <c:tx>
            <c:v>0.42</c:v>
          </c:tx>
          <c:spPr>
            <a:ln w="28575" cap="rnd">
              <a:solidFill>
                <a:schemeClr val="accent3">
                  <a:lumMod val="80000"/>
                </a:schemeClr>
              </a:solidFill>
              <a:round/>
            </a:ln>
            <a:effectLst/>
          </c:spPr>
          <c:marker>
            <c:symbol val="none"/>
          </c:marker>
          <c:cat>
            <c:strLit>
              <c:ptCount val="2"/>
              <c:pt idx="0">
                <c:v>0</c:v>
              </c:pt>
              <c:pt idx="1">
                <c:v>1</c:v>
              </c:pt>
            </c:strLit>
          </c:cat>
          <c:val>
            <c:numLit>
              <c:formatCode>General</c:formatCode>
              <c:ptCount val="2"/>
              <c:pt idx="0">
                <c:v>519</c:v>
              </c:pt>
              <c:pt idx="1">
                <c:v>0</c:v>
              </c:pt>
            </c:numLit>
          </c:val>
          <c:smooth val="0"/>
          <c:extLst>
            <c:ext xmlns:c16="http://schemas.microsoft.com/office/drawing/2014/chart" uri="{C3380CC4-5D6E-409C-BE32-E72D297353CC}">
              <c16:uniqueId val="{0000005C-C142-41B8-BEAF-CAC55F001C48}"/>
            </c:ext>
          </c:extLst>
        </c:ser>
        <c:ser>
          <c:idx val="21"/>
          <c:order val="21"/>
          <c:tx>
            <c:v>0.44</c:v>
          </c:tx>
          <c:spPr>
            <a:ln w="28575" cap="rnd">
              <a:solidFill>
                <a:schemeClr val="accent4">
                  <a:lumMod val="80000"/>
                </a:schemeClr>
              </a:solidFill>
              <a:round/>
            </a:ln>
            <a:effectLst/>
          </c:spPr>
          <c:marker>
            <c:symbol val="none"/>
          </c:marker>
          <c:cat>
            <c:strLit>
              <c:ptCount val="2"/>
              <c:pt idx="0">
                <c:v>0</c:v>
              </c:pt>
              <c:pt idx="1">
                <c:v>1</c:v>
              </c:pt>
            </c:strLit>
          </c:cat>
          <c:val>
            <c:numLit>
              <c:formatCode>General</c:formatCode>
              <c:ptCount val="2"/>
              <c:pt idx="0">
                <c:v>194</c:v>
              </c:pt>
              <c:pt idx="1">
                <c:v>0</c:v>
              </c:pt>
            </c:numLit>
          </c:val>
          <c:smooth val="0"/>
          <c:extLst>
            <c:ext xmlns:c16="http://schemas.microsoft.com/office/drawing/2014/chart" uri="{C3380CC4-5D6E-409C-BE32-E72D297353CC}">
              <c16:uniqueId val="{0000005D-C142-41B8-BEAF-CAC55F001C48}"/>
            </c:ext>
          </c:extLst>
        </c:ser>
        <c:ser>
          <c:idx val="22"/>
          <c:order val="22"/>
          <c:tx>
            <c:v>0.46</c:v>
          </c:tx>
          <c:spPr>
            <a:ln w="28575" cap="rnd">
              <a:solidFill>
                <a:schemeClr val="accent5">
                  <a:lumMod val="80000"/>
                </a:schemeClr>
              </a:solidFill>
              <a:round/>
            </a:ln>
            <a:effectLst/>
          </c:spPr>
          <c:marker>
            <c:symbol val="none"/>
          </c:marker>
          <c:cat>
            <c:strLit>
              <c:ptCount val="2"/>
              <c:pt idx="0">
                <c:v>0</c:v>
              </c:pt>
              <c:pt idx="1">
                <c:v>1</c:v>
              </c:pt>
            </c:strLit>
          </c:cat>
          <c:val>
            <c:numLit>
              <c:formatCode>General</c:formatCode>
              <c:ptCount val="2"/>
              <c:pt idx="0">
                <c:v>265</c:v>
              </c:pt>
              <c:pt idx="1">
                <c:v>0</c:v>
              </c:pt>
            </c:numLit>
          </c:val>
          <c:smooth val="0"/>
          <c:extLst>
            <c:ext xmlns:c16="http://schemas.microsoft.com/office/drawing/2014/chart" uri="{C3380CC4-5D6E-409C-BE32-E72D297353CC}">
              <c16:uniqueId val="{0000005E-C142-41B8-BEAF-CAC55F001C48}"/>
            </c:ext>
          </c:extLst>
        </c:ser>
        <c:dLbls>
          <c:showLegendKey val="0"/>
          <c:showVal val="0"/>
          <c:showCatName val="0"/>
          <c:showSerName val="0"/>
          <c:showPercent val="0"/>
          <c:showBubbleSize val="0"/>
        </c:dLbls>
        <c:smooth val="0"/>
        <c:axId val="643197151"/>
        <c:axId val="650931727"/>
      </c:lineChart>
      <c:catAx>
        <c:axId val="6431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31727"/>
        <c:crosses val="autoZero"/>
        <c:auto val="1"/>
        <c:lblAlgn val="ctr"/>
        <c:lblOffset val="100"/>
        <c:noMultiLvlLbl val="0"/>
      </c:catAx>
      <c:valAx>
        <c:axId val="65093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9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FINAL_SHEET!$N$1</c:f>
              <c:strCache>
                <c:ptCount val="1"/>
                <c:pt idx="0">
                  <c:v>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FINAL_SHEET!$N$2:$N$1001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val>
          <c:smooth val="0"/>
          <c:extLst>
            <c:ext xmlns:c16="http://schemas.microsoft.com/office/drawing/2014/chart" uri="{C3380CC4-5D6E-409C-BE32-E72D297353CC}">
              <c16:uniqueId val="{00000000-8B5A-4A99-87D6-F56795141747}"/>
            </c:ext>
          </c:extLst>
        </c:ser>
        <c:ser>
          <c:idx val="1"/>
          <c:order val="1"/>
          <c:tx>
            <c:strRef>
              <c:f>FINAL_SHEET!$P$1</c:f>
              <c:strCache>
                <c:ptCount val="1"/>
                <c:pt idx="0">
                  <c:v>HUMIDITY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FINAL_SHEET!$P$2:$P$1001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val>
          <c:smooth val="0"/>
          <c:extLst>
            <c:ext xmlns:c16="http://schemas.microsoft.com/office/drawing/2014/chart" uri="{C3380CC4-5D6E-409C-BE32-E72D297353CC}">
              <c16:uniqueId val="{00000001-8B5A-4A99-87D6-F56795141747}"/>
            </c:ext>
          </c:extLst>
        </c:ser>
        <c:dLbls>
          <c:showLegendKey val="0"/>
          <c:showVal val="0"/>
          <c:showCatName val="0"/>
          <c:showSerName val="0"/>
          <c:showPercent val="0"/>
          <c:showBubbleSize val="0"/>
        </c:dLbls>
        <c:marker val="1"/>
        <c:smooth val="0"/>
        <c:axId val="1911890655"/>
        <c:axId val="650898127"/>
      </c:lineChart>
      <c:catAx>
        <c:axId val="1911890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98127"/>
        <c:crosses val="autoZero"/>
        <c:auto val="1"/>
        <c:lblAlgn val="ctr"/>
        <c:lblOffset val="100"/>
        <c:noMultiLvlLbl val="0"/>
      </c:catAx>
      <c:valAx>
        <c:axId val="650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9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WINDSPEED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FINAL_SHEET!$Q$1</c:f>
              <c:strCache>
                <c:ptCount val="1"/>
                <c:pt idx="0">
                  <c:v>WINDSPEED</c:v>
                </c:pt>
              </c:strCache>
            </c:strRef>
          </c:tx>
          <c:spPr>
            <a:ln w="25400" cap="rnd">
              <a:noFill/>
              <a:round/>
            </a:ln>
            <a:effectLst/>
          </c:spPr>
          <c:marker>
            <c:symbol val="circle"/>
            <c:size val="5"/>
            <c:spPr>
              <a:solidFill>
                <a:schemeClr val="accent1"/>
              </a:solidFill>
              <a:ln w="9525">
                <a:solidFill>
                  <a:schemeClr val="accent1"/>
                </a:solidFill>
              </a:ln>
              <a:effectLst/>
            </c:spPr>
          </c:marker>
          <c:xVal>
            <c:numRef>
              <c:f>FINAL_SHEET!$N$2:$N$1001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FINAL_SHEET!$Q$2:$Q$1001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0-C534-4556-BEEF-7D48CCC28EE8}"/>
            </c:ext>
          </c:extLst>
        </c:ser>
        <c:dLbls>
          <c:showLegendKey val="0"/>
          <c:showVal val="0"/>
          <c:showCatName val="0"/>
          <c:showSerName val="0"/>
          <c:showPercent val="0"/>
          <c:showBubbleSize val="0"/>
        </c:dLbls>
        <c:axId val="274443344"/>
        <c:axId val="650867887"/>
      </c:scatterChart>
      <c:valAx>
        <c:axId val="27444334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67887"/>
        <c:crosses val="autoZero"/>
        <c:crossBetween val="midCat"/>
      </c:valAx>
      <c:valAx>
        <c:axId val="65086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443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FINAL_SHEET!$N$2:$N$1001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FINAL_SHEET!$T$2:$T$1001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2954-4260-8C28-199E9C88EED5}"/>
            </c:ext>
          </c:extLst>
        </c:ser>
        <c:ser>
          <c:idx val="1"/>
          <c:order val="1"/>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FINAL_SHEET!$N$2:$N$1001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FINAL_SHEET!$I$983</c:f>
              <c:numCache>
                <c:formatCode>General</c:formatCode>
                <c:ptCount val="1"/>
                <c:pt idx="0">
                  <c:v>0</c:v>
                </c:pt>
              </c:numCache>
            </c:numRef>
          </c:yVal>
          <c:smooth val="0"/>
          <c:extLst>
            <c:ext xmlns:c16="http://schemas.microsoft.com/office/drawing/2014/chart" uri="{C3380CC4-5D6E-409C-BE32-E72D297353CC}">
              <c16:uniqueId val="{00000001-2954-4260-8C28-199E9C88EED5}"/>
            </c:ext>
          </c:extLst>
        </c:ser>
        <c:dLbls>
          <c:showLegendKey val="0"/>
          <c:showVal val="0"/>
          <c:showCatName val="0"/>
          <c:showSerName val="0"/>
          <c:showPercent val="0"/>
          <c:showBubbleSize val="0"/>
        </c:dLbls>
        <c:axId val="2110314431"/>
        <c:axId val="1620978959"/>
      </c:scatterChart>
      <c:valAx>
        <c:axId val="21103144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0978959"/>
        <c:crosses val="autoZero"/>
        <c:crossBetween val="midCat"/>
      </c:valAx>
      <c:valAx>
        <c:axId val="16209789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0314431"/>
        <c:crosses val="autoZero"/>
        <c:crossBetween val="midCat"/>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ANOMALY</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'ANAMOLY SHEET'!$F$6</c:f>
              <c:strCache>
                <c:ptCount val="1"/>
                <c:pt idx="0">
                  <c:v>NORMAL VALUES</c:v>
                </c:pt>
              </c:strCache>
            </c:strRef>
          </c:tx>
          <c:spPr>
            <a:ln w="28575" cap="rnd">
              <a:noFill/>
              <a:round/>
            </a:ln>
            <a:effectLst/>
          </c:spPr>
          <c:marker>
            <c:symbol val="circle"/>
            <c:size val="5"/>
            <c:spPr>
              <a:solidFill>
                <a:schemeClr val="accent1"/>
              </a:solidFill>
              <a:ln w="9525">
                <a:solidFill>
                  <a:schemeClr val="accent1"/>
                </a:solidFill>
              </a:ln>
              <a:effectLst/>
            </c:spPr>
          </c:marker>
          <c:cat>
            <c:numRef>
              <c:f>'ANAMOLY SHEET'!$A$7:$A$1006</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'ANAMOLY SHEET'!$F$7:$F$1006</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#N/A</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#N/A</c:v>
                </c:pt>
                <c:pt idx="100">
                  <c:v>115</c:v>
                </c:pt>
                <c:pt idx="101">
                  <c:v>57</c:v>
                </c:pt>
                <c:pt idx="102">
                  <c:v>46</c:v>
                </c:pt>
                <c:pt idx="103">
                  <c:v>79</c:v>
                </c:pt>
                <c:pt idx="104">
                  <c:v>71</c:v>
                </c:pt>
                <c:pt idx="105">
                  <c:v>62</c:v>
                </c:pt>
                <c:pt idx="106">
                  <c:v>62</c:v>
                </c:pt>
                <c:pt idx="107">
                  <c:v>89</c:v>
                </c:pt>
                <c:pt idx="108">
                  <c:v>#N/A</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#N/A</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#N/A</c:v>
                </c:pt>
                <c:pt idx="146">
                  <c:v>134</c:v>
                </c:pt>
                <c:pt idx="147">
                  <c:v>63</c:v>
                </c:pt>
                <c:pt idx="148">
                  <c:v>67</c:v>
                </c:pt>
                <c:pt idx="149">
                  <c:v>59</c:v>
                </c:pt>
                <c:pt idx="150">
                  <c:v>73</c:v>
                </c:pt>
                <c:pt idx="151">
                  <c:v>50</c:v>
                </c:pt>
                <c:pt idx="152">
                  <c:v>72</c:v>
                </c:pt>
                <c:pt idx="153">
                  <c:v>87</c:v>
                </c:pt>
                <c:pt idx="154">
                  <c:v>#N/A</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#N/A</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#N/A</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#N/A</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#N/A</c:v>
                </c:pt>
                <c:pt idx="416">
                  <c:v>109</c:v>
                </c:pt>
                <c:pt idx="417">
                  <c:v>47</c:v>
                </c:pt>
                <c:pt idx="418">
                  <c:v>52</c:v>
                </c:pt>
                <c:pt idx="419">
                  <c:v>70</c:v>
                </c:pt>
                <c:pt idx="420">
                  <c:v>78</c:v>
                </c:pt>
                <c:pt idx="421">
                  <c:v>75</c:v>
                </c:pt>
                <c:pt idx="422">
                  <c:v>82</c:v>
                </c:pt>
                <c:pt idx="423">
                  <c:v>104</c:v>
                </c:pt>
                <c:pt idx="424">
                  <c:v>#N/A</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#N/A</c:v>
                </c:pt>
                <c:pt idx="440">
                  <c:v>143</c:v>
                </c:pt>
                <c:pt idx="441">
                  <c:v>57</c:v>
                </c:pt>
                <c:pt idx="442">
                  <c:v>68</c:v>
                </c:pt>
                <c:pt idx="443">
                  <c:v>84</c:v>
                </c:pt>
                <c:pt idx="444">
                  <c:v>98</c:v>
                </c:pt>
                <c:pt idx="445">
                  <c:v>81</c:v>
                </c:pt>
                <c:pt idx="446">
                  <c:v>70</c:v>
                </c:pt>
                <c:pt idx="447">
                  <c:v>91</c:v>
                </c:pt>
                <c:pt idx="448">
                  <c:v>#N/A</c:v>
                </c:pt>
                <c:pt idx="449">
                  <c:v>#N/A</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#N/A</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#N/A</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#N/A</c:v>
                </c:pt>
                <c:pt idx="556">
                  <c:v>144</c:v>
                </c:pt>
                <c:pt idx="557">
                  <c:v>55</c:v>
                </c:pt>
                <c:pt idx="558">
                  <c:v>61</c:v>
                </c:pt>
                <c:pt idx="559">
                  <c:v>106</c:v>
                </c:pt>
                <c:pt idx="560">
                  <c:v>93</c:v>
                </c:pt>
                <c:pt idx="561">
                  <c:v>68</c:v>
                </c:pt>
                <c:pt idx="562">
                  <c:v>84</c:v>
                </c:pt>
                <c:pt idx="563">
                  <c:v>116</c:v>
                </c:pt>
                <c:pt idx="564">
                  <c:v>#N/A</c:v>
                </c:pt>
                <c:pt idx="565">
                  <c:v>#N/A</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#N/A</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#N/A</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#N/A</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#N/A</c:v>
                </c:pt>
                <c:pt idx="766">
                  <c:v>127</c:v>
                </c:pt>
                <c:pt idx="767">
                  <c:v>51</c:v>
                </c:pt>
                <c:pt idx="768">
                  <c:v>64</c:v>
                </c:pt>
                <c:pt idx="769">
                  <c:v>86</c:v>
                </c:pt>
                <c:pt idx="770">
                  <c:v>82</c:v>
                </c:pt>
                <c:pt idx="771">
                  <c:v>91</c:v>
                </c:pt>
                <c:pt idx="772">
                  <c:v>90</c:v>
                </c:pt>
                <c:pt idx="773">
                  <c:v>99</c:v>
                </c:pt>
                <c:pt idx="774">
                  <c:v>#N/A</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#N/A</c:v>
                </c:pt>
                <c:pt idx="838">
                  <c:v>118</c:v>
                </c:pt>
                <c:pt idx="839">
                  <c:v>55</c:v>
                </c:pt>
                <c:pt idx="840">
                  <c:v>47</c:v>
                </c:pt>
                <c:pt idx="841">
                  <c:v>66</c:v>
                </c:pt>
                <c:pt idx="842">
                  <c:v>64</c:v>
                </c:pt>
                <c:pt idx="843">
                  <c:v>60</c:v>
                </c:pt>
                <c:pt idx="844">
                  <c:v>50</c:v>
                </c:pt>
                <c:pt idx="845">
                  <c:v>114</c:v>
                </c:pt>
                <c:pt idx="846">
                  <c:v>#N/A</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#N/A</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#N/A</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#N/A</c:v>
                </c:pt>
                <c:pt idx="930">
                  <c:v>140</c:v>
                </c:pt>
                <c:pt idx="931">
                  <c:v>44</c:v>
                </c:pt>
                <c:pt idx="932">
                  <c:v>64</c:v>
                </c:pt>
                <c:pt idx="933">
                  <c:v>71</c:v>
                </c:pt>
                <c:pt idx="934">
                  <c:v>110</c:v>
                </c:pt>
                <c:pt idx="935">
                  <c:v>84</c:v>
                </c:pt>
                <c:pt idx="936">
                  <c:v>74</c:v>
                </c:pt>
                <c:pt idx="937">
                  <c:v>125</c:v>
                </c:pt>
                <c:pt idx="938">
                  <c:v>#N/A</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smooth val="0"/>
          <c:extLst>
            <c:ext xmlns:c16="http://schemas.microsoft.com/office/drawing/2014/chart" uri="{C3380CC4-5D6E-409C-BE32-E72D297353CC}">
              <c16:uniqueId val="{00000000-A692-4F23-9143-1FE9833F96DA}"/>
            </c:ext>
          </c:extLst>
        </c:ser>
        <c:ser>
          <c:idx val="1"/>
          <c:order val="1"/>
          <c:tx>
            <c:strRef>
              <c:f>'ANAMOLY SHEET'!$G$6</c:f>
              <c:strCache>
                <c:ptCount val="1"/>
                <c:pt idx="0">
                  <c:v>ANAMOLY VALUES</c:v>
                </c:pt>
              </c:strCache>
            </c:strRef>
          </c:tx>
          <c:spPr>
            <a:ln w="28575" cap="rnd">
              <a:noFill/>
              <a:round/>
            </a:ln>
            <a:effectLst/>
          </c:spPr>
          <c:marker>
            <c:symbol val="circle"/>
            <c:size val="5"/>
            <c:spPr>
              <a:solidFill>
                <a:schemeClr val="accent2"/>
              </a:solidFill>
              <a:ln w="9525">
                <a:solidFill>
                  <a:schemeClr val="accent2"/>
                </a:solidFill>
              </a:ln>
              <a:effectLst/>
            </c:spPr>
          </c:marker>
          <c:cat>
            <c:numRef>
              <c:f>'ANAMOLY SHEET'!$A$7:$A$1006</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'ANAMOLY SHEET'!$G$7:$G$1006</c:f>
              <c:numCache>
                <c:formatCode>General</c:formatCode>
                <c:ptCount val="10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212</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195</c:v>
                </c:pt>
                <c:pt idx="100">
                  <c:v>#N/A</c:v>
                </c:pt>
                <c:pt idx="101">
                  <c:v>#N/A</c:v>
                </c:pt>
                <c:pt idx="102">
                  <c:v>#N/A</c:v>
                </c:pt>
                <c:pt idx="103">
                  <c:v>#N/A</c:v>
                </c:pt>
                <c:pt idx="104">
                  <c:v>#N/A</c:v>
                </c:pt>
                <c:pt idx="105">
                  <c:v>#N/A</c:v>
                </c:pt>
                <c:pt idx="106">
                  <c:v>#N/A</c:v>
                </c:pt>
                <c:pt idx="107">
                  <c:v>#N/A</c:v>
                </c:pt>
                <c:pt idx="108">
                  <c:v>190</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219</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210</c:v>
                </c:pt>
                <c:pt idx="146">
                  <c:v>#N/A</c:v>
                </c:pt>
                <c:pt idx="147">
                  <c:v>#N/A</c:v>
                </c:pt>
                <c:pt idx="148">
                  <c:v>#N/A</c:v>
                </c:pt>
                <c:pt idx="149">
                  <c:v>#N/A</c:v>
                </c:pt>
                <c:pt idx="150">
                  <c:v>#N/A</c:v>
                </c:pt>
                <c:pt idx="151">
                  <c:v>#N/A</c:v>
                </c:pt>
                <c:pt idx="152">
                  <c:v>#N/A</c:v>
                </c:pt>
                <c:pt idx="153">
                  <c:v>#N/A</c:v>
                </c:pt>
                <c:pt idx="154">
                  <c:v>187</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188</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217</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202</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197</c:v>
                </c:pt>
                <c:pt idx="416">
                  <c:v>#N/A</c:v>
                </c:pt>
                <c:pt idx="417">
                  <c:v>#N/A</c:v>
                </c:pt>
                <c:pt idx="418">
                  <c:v>#N/A</c:v>
                </c:pt>
                <c:pt idx="419">
                  <c:v>#N/A</c:v>
                </c:pt>
                <c:pt idx="420">
                  <c:v>#N/A</c:v>
                </c:pt>
                <c:pt idx="421">
                  <c:v>#N/A</c:v>
                </c:pt>
                <c:pt idx="422">
                  <c:v>#N/A</c:v>
                </c:pt>
                <c:pt idx="423">
                  <c:v>#N/A</c:v>
                </c:pt>
                <c:pt idx="424">
                  <c:v>197</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249</c:v>
                </c:pt>
                <c:pt idx="440">
                  <c:v>#N/A</c:v>
                </c:pt>
                <c:pt idx="441">
                  <c:v>#N/A</c:v>
                </c:pt>
                <c:pt idx="442">
                  <c:v>#N/A</c:v>
                </c:pt>
                <c:pt idx="443">
                  <c:v>#N/A</c:v>
                </c:pt>
                <c:pt idx="444">
                  <c:v>#N/A</c:v>
                </c:pt>
                <c:pt idx="445">
                  <c:v>#N/A</c:v>
                </c:pt>
                <c:pt idx="446">
                  <c:v>#N/A</c:v>
                </c:pt>
                <c:pt idx="447">
                  <c:v>#N/A</c:v>
                </c:pt>
                <c:pt idx="448">
                  <c:v>215</c:v>
                </c:pt>
                <c:pt idx="449">
                  <c:v>185</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217</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184</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238</c:v>
                </c:pt>
                <c:pt idx="556">
                  <c:v>#N/A</c:v>
                </c:pt>
                <c:pt idx="557">
                  <c:v>#N/A</c:v>
                </c:pt>
                <c:pt idx="558">
                  <c:v>#N/A</c:v>
                </c:pt>
                <c:pt idx="559">
                  <c:v>#N/A</c:v>
                </c:pt>
                <c:pt idx="560">
                  <c:v>#N/A</c:v>
                </c:pt>
                <c:pt idx="561">
                  <c:v>#N/A</c:v>
                </c:pt>
                <c:pt idx="562">
                  <c:v>#N/A</c:v>
                </c:pt>
                <c:pt idx="563">
                  <c:v>#N/A</c:v>
                </c:pt>
                <c:pt idx="564">
                  <c:v>222</c:v>
                </c:pt>
                <c:pt idx="565">
                  <c:v>225</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185</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190</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188</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220</c:v>
                </c:pt>
                <c:pt idx="766">
                  <c:v>#N/A</c:v>
                </c:pt>
                <c:pt idx="767">
                  <c:v>#N/A</c:v>
                </c:pt>
                <c:pt idx="768">
                  <c:v>#N/A</c:v>
                </c:pt>
                <c:pt idx="769">
                  <c:v>#N/A</c:v>
                </c:pt>
                <c:pt idx="770">
                  <c:v>#N/A</c:v>
                </c:pt>
                <c:pt idx="771">
                  <c:v>#N/A</c:v>
                </c:pt>
                <c:pt idx="772">
                  <c:v>#N/A</c:v>
                </c:pt>
                <c:pt idx="773">
                  <c:v>#N/A</c:v>
                </c:pt>
                <c:pt idx="774">
                  <c:v>205</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230</c:v>
                </c:pt>
                <c:pt idx="838">
                  <c:v>#N/A</c:v>
                </c:pt>
                <c:pt idx="839">
                  <c:v>#N/A</c:v>
                </c:pt>
                <c:pt idx="840">
                  <c:v>#N/A</c:v>
                </c:pt>
                <c:pt idx="841">
                  <c:v>#N/A</c:v>
                </c:pt>
                <c:pt idx="842">
                  <c:v>#N/A</c:v>
                </c:pt>
                <c:pt idx="843">
                  <c:v>#N/A</c:v>
                </c:pt>
                <c:pt idx="844">
                  <c:v>#N/A</c:v>
                </c:pt>
                <c:pt idx="845">
                  <c:v>#N/A</c:v>
                </c:pt>
                <c:pt idx="846">
                  <c:v>216</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243</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199</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216</c:v>
                </c:pt>
                <c:pt idx="930">
                  <c:v>#N/A</c:v>
                </c:pt>
                <c:pt idx="931">
                  <c:v>#N/A</c:v>
                </c:pt>
                <c:pt idx="932">
                  <c:v>#N/A</c:v>
                </c:pt>
                <c:pt idx="933">
                  <c:v>#N/A</c:v>
                </c:pt>
                <c:pt idx="934">
                  <c:v>#N/A</c:v>
                </c:pt>
                <c:pt idx="935">
                  <c:v>#N/A</c:v>
                </c:pt>
                <c:pt idx="936">
                  <c:v>#N/A</c:v>
                </c:pt>
                <c:pt idx="937">
                  <c:v>#N/A</c:v>
                </c:pt>
                <c:pt idx="938">
                  <c:v>211</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val>
          <c:smooth val="0"/>
          <c:extLst>
            <c:ext xmlns:c16="http://schemas.microsoft.com/office/drawing/2014/chart" uri="{C3380CC4-5D6E-409C-BE32-E72D297353CC}">
              <c16:uniqueId val="{00000001-A692-4F23-9143-1FE9833F96DA}"/>
            </c:ext>
          </c:extLst>
        </c:ser>
        <c:dLbls>
          <c:showLegendKey val="0"/>
          <c:showVal val="0"/>
          <c:showCatName val="0"/>
          <c:showSerName val="0"/>
          <c:showPercent val="0"/>
          <c:showBubbleSize val="0"/>
        </c:dLbls>
        <c:marker val="1"/>
        <c:smooth val="0"/>
        <c:axId val="65683024"/>
        <c:axId val="650880847"/>
      </c:lineChart>
      <c:dateAx>
        <c:axId val="6568302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80847"/>
        <c:crosses val="autoZero"/>
        <c:auto val="1"/>
        <c:lblOffset val="100"/>
        <c:baseTimeUnit val="days"/>
      </c:dateAx>
      <c:valAx>
        <c:axId val="6508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092116974848705E-2"/>
          <c:y val="1.8981035265141895E-2"/>
          <c:w val="0.92454164981262232"/>
          <c:h val="0.68743995797649915"/>
        </c:manualLayout>
      </c:layout>
      <c:lineChart>
        <c:grouping val="standard"/>
        <c:varyColors val="0"/>
        <c:ser>
          <c:idx val="0"/>
          <c:order val="0"/>
          <c:tx>
            <c:strRef>
              <c:f>FORECAST_SHEET!$B$1</c:f>
              <c:strCache>
                <c:ptCount val="1"/>
                <c:pt idx="0">
                  <c:v>TOTAL_RENTALS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FORECAST_SHEET!$B$2:$B$58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2CC1-4E8C-85C7-2292CC98357E}"/>
            </c:ext>
          </c:extLst>
        </c:ser>
        <c:ser>
          <c:idx val="1"/>
          <c:order val="1"/>
          <c:tx>
            <c:strRef>
              <c:f>FORECAST_SHEET!$C$1</c:f>
              <c:strCache>
                <c:ptCount val="1"/>
                <c:pt idx="0">
                  <c:v>Forecast(TOTAL_RENTALS)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2CC1-4E8C-85C7-2292CC98357E}"/>
            </c:ext>
          </c:extLst>
        </c:ser>
        <c:ser>
          <c:idx val="2"/>
          <c:order val="2"/>
          <c:tx>
            <c:strRef>
              <c:f>FORECAST_SHEET!$D$1</c:f>
              <c:strCache>
                <c:ptCount val="1"/>
                <c:pt idx="0">
                  <c:v>Lower Confidence Bound(TOTAL_RENTALS)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2CC1-4E8C-85C7-2292CC98357E}"/>
            </c:ext>
          </c:extLst>
        </c:ser>
        <c:ser>
          <c:idx val="3"/>
          <c:order val="3"/>
          <c:tx>
            <c:strRef>
              <c:f>FORECAST_SHEET!$E$1</c:f>
              <c:strCache>
                <c:ptCount val="1"/>
                <c:pt idx="0">
                  <c:v>Upper Confidence Bound(TOTAL_RENTALS)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2CC1-4E8C-85C7-2292CC98357E}"/>
            </c:ext>
          </c:extLst>
        </c:ser>
        <c:dLbls>
          <c:showLegendKey val="0"/>
          <c:showVal val="0"/>
          <c:showCatName val="0"/>
          <c:showSerName val="0"/>
          <c:showPercent val="0"/>
          <c:showBubbleSize val="0"/>
        </c:dLbls>
        <c:marker val="1"/>
        <c:smooth val="0"/>
        <c:axId val="1218121087"/>
        <c:axId val="288017552"/>
      </c:lineChart>
      <c:catAx>
        <c:axId val="121812108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17552"/>
        <c:crosses val="autoZero"/>
        <c:auto val="1"/>
        <c:lblAlgn val="ctr"/>
        <c:lblOffset val="100"/>
        <c:noMultiLvlLbl val="0"/>
      </c:catAx>
      <c:valAx>
        <c:axId val="28801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2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050" b="1">
                <a:solidFill>
                  <a:schemeClr val="tx1">
                    <a:lumMod val="65000"/>
                    <a:lumOff val="35000"/>
                  </a:schemeClr>
                </a:solidFill>
              </a:rPr>
              <a:t>month</a:t>
            </a:r>
            <a:r>
              <a:rPr lang="en-IN" sz="1050" b="1" baseline="0">
                <a:solidFill>
                  <a:schemeClr val="tx1">
                    <a:lumMod val="65000"/>
                    <a:lumOff val="35000"/>
                  </a:schemeClr>
                </a:solidFill>
              </a:rPr>
              <a:t> vs rental</a:t>
            </a:r>
            <a:endParaRPr lang="en-IN" sz="1050" b="1">
              <a:solidFill>
                <a:schemeClr val="tx1">
                  <a:lumMod val="65000"/>
                  <a:lumOff val="35000"/>
                </a:schemeClr>
              </a:solidFill>
            </a:endParaRPr>
          </a:p>
        </c:rich>
      </c:tx>
      <c:layout>
        <c:manualLayout>
          <c:xMode val="edge"/>
          <c:yMode val="edge"/>
          <c:x val="1.522684056713332E-2"/>
          <c:y val="4.1095890410958902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06352812057325E-2"/>
          <c:y val="0.23120537158882537"/>
          <c:w val="0.92903224003866902"/>
          <c:h val="0.66884538515254399"/>
        </c:manualLayout>
      </c:layout>
      <c:barChart>
        <c:barDir val="col"/>
        <c:grouping val="clustered"/>
        <c:varyColors val="0"/>
        <c:ser>
          <c:idx val="0"/>
          <c:order val="0"/>
          <c:tx>
            <c:v>Sum of CASUAL_RENTALS</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3073</c:v>
              </c:pt>
              <c:pt idx="1">
                <c:v>1848</c:v>
              </c:pt>
            </c:numLit>
          </c:val>
          <c:extLst>
            <c:ext xmlns:c16="http://schemas.microsoft.com/office/drawing/2014/chart" uri="{C3380CC4-5D6E-409C-BE32-E72D297353CC}">
              <c16:uniqueId val="{00000000-44AD-4F93-B05E-46206DA582FF}"/>
            </c:ext>
          </c:extLst>
        </c:ser>
        <c:ser>
          <c:idx val="1"/>
          <c:order val="1"/>
          <c:tx>
            <c:v>Sum of REGISTERED_RENTALS</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35116</c:v>
              </c:pt>
              <c:pt idx="1">
                <c:v>18267</c:v>
              </c:pt>
            </c:numLit>
          </c:val>
          <c:extLst>
            <c:ext xmlns:c16="http://schemas.microsoft.com/office/drawing/2014/chart" uri="{C3380CC4-5D6E-409C-BE32-E72D297353CC}">
              <c16:uniqueId val="{00000001-44AD-4F93-B05E-46206DA582FF}"/>
            </c:ext>
          </c:extLst>
        </c:ser>
        <c:ser>
          <c:idx val="2"/>
          <c:order val="2"/>
          <c:tx>
            <c:v>Sum of TOTAL_RENTALS</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JANUARY</c:v>
              </c:pt>
              <c:pt idx="1">
                <c:v>FEBRUARY</c:v>
              </c:pt>
            </c:strLit>
          </c:cat>
          <c:val>
            <c:numLit>
              <c:formatCode>General</c:formatCode>
              <c:ptCount val="2"/>
              <c:pt idx="0">
                <c:v>38189</c:v>
              </c:pt>
              <c:pt idx="1">
                <c:v>20115</c:v>
              </c:pt>
            </c:numLit>
          </c:val>
          <c:extLst>
            <c:ext xmlns:c16="http://schemas.microsoft.com/office/drawing/2014/chart" uri="{C3380CC4-5D6E-409C-BE32-E72D297353CC}">
              <c16:uniqueId val="{00000002-44AD-4F93-B05E-46206DA582FF}"/>
            </c:ext>
          </c:extLst>
        </c:ser>
        <c:dLbls>
          <c:dLblPos val="outEnd"/>
          <c:showLegendKey val="0"/>
          <c:showVal val="1"/>
          <c:showCatName val="0"/>
          <c:showSerName val="0"/>
          <c:showPercent val="0"/>
          <c:showBubbleSize val="0"/>
        </c:dLbls>
        <c:gapWidth val="444"/>
        <c:overlap val="-90"/>
        <c:axId val="2076325376"/>
        <c:axId val="492527312"/>
      </c:barChart>
      <c:catAx>
        <c:axId val="207632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2527312"/>
        <c:crosses val="autoZero"/>
        <c:auto val="1"/>
        <c:lblAlgn val="ctr"/>
        <c:lblOffset val="100"/>
        <c:noMultiLvlLbl val="0"/>
      </c:catAx>
      <c:valAx>
        <c:axId val="492527312"/>
        <c:scaling>
          <c:orientation val="minMax"/>
        </c:scaling>
        <c:delete val="1"/>
        <c:axPos val="l"/>
        <c:numFmt formatCode="General" sourceLinked="1"/>
        <c:majorTickMark val="none"/>
        <c:minorTickMark val="none"/>
        <c:tickLblPos val="nextTo"/>
        <c:crossAx val="207632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050" b="0"/>
              <a:t>WEATHER</a:t>
            </a:r>
            <a:r>
              <a:rPr lang="en-IN" sz="1050" b="0" baseline="0"/>
              <a:t> TYPE VS MAX RENTAL</a:t>
            </a:r>
            <a:endParaRPr lang="en-IN" sz="1050" b="0"/>
          </a:p>
        </c:rich>
      </c:tx>
      <c:layout>
        <c:manualLayout>
          <c:xMode val="edge"/>
          <c:yMode val="edge"/>
          <c:x val="2.3267716535433074E-2"/>
          <c:y val="0.16260525924825434"/>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2721805443611"/>
          <c:y val="0.34062130905511812"/>
          <c:w val="0.85397978795957596"/>
          <c:h val="0.33484830525216608"/>
        </c:manualLayout>
      </c:layout>
      <c:bar3DChart>
        <c:barDir val="col"/>
        <c:grouping val="stacked"/>
        <c:varyColors val="0"/>
        <c:ser>
          <c:idx val="0"/>
          <c:order val="0"/>
          <c:tx>
            <c:strRef>
              <c:f>PRACTICE!$B$1</c:f>
              <c:strCache>
                <c:ptCount val="1"/>
                <c:pt idx="0">
                  <c:v>Max of CASUAL_RENTALS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PRACTICE!$A$2:$A$6</c:f>
              <c:strCache>
                <c:ptCount val="4"/>
                <c:pt idx="0">
                  <c:v>clear</c:v>
                </c:pt>
                <c:pt idx="1">
                  <c:v>cloudy</c:v>
                </c:pt>
                <c:pt idx="2">
                  <c:v>heavy rain</c:v>
                </c:pt>
                <c:pt idx="3">
                  <c:v>light rain</c:v>
                </c:pt>
              </c:strCache>
            </c:strRef>
          </c:cat>
          <c:val>
            <c:numRef>
              <c:f>PRACTICE!$B$2:$B$6</c:f>
              <c:numCache>
                <c:formatCode>General</c:formatCode>
                <c:ptCount val="4"/>
                <c:pt idx="0">
                  <c:v>62</c:v>
                </c:pt>
                <c:pt idx="1">
                  <c:v>51</c:v>
                </c:pt>
                <c:pt idx="2">
                  <c:v>1</c:v>
                </c:pt>
                <c:pt idx="3">
                  <c:v>19</c:v>
                </c:pt>
              </c:numCache>
            </c:numRef>
          </c:val>
          <c:extLst>
            <c:ext xmlns:c16="http://schemas.microsoft.com/office/drawing/2014/chart" uri="{C3380CC4-5D6E-409C-BE32-E72D297353CC}">
              <c16:uniqueId val="{00000000-EB2E-40B4-A9FB-60F2327B5F39}"/>
            </c:ext>
          </c:extLst>
        </c:ser>
        <c:ser>
          <c:idx val="1"/>
          <c:order val="1"/>
          <c:tx>
            <c:strRef>
              <c:f>PRACTICE!$C$1</c:f>
              <c:strCache>
                <c:ptCount val="1"/>
                <c:pt idx="0">
                  <c:v>Max of REGISTERED_RENTALS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PRACTICE!$A$2:$A$6</c:f>
              <c:strCache>
                <c:ptCount val="4"/>
                <c:pt idx="0">
                  <c:v>clear</c:v>
                </c:pt>
                <c:pt idx="1">
                  <c:v>cloudy</c:v>
                </c:pt>
                <c:pt idx="2">
                  <c:v>heavy rain</c:v>
                </c:pt>
                <c:pt idx="3">
                  <c:v>light rain</c:v>
                </c:pt>
              </c:strCache>
            </c:strRef>
          </c:cat>
          <c:val>
            <c:numRef>
              <c:f>PRACTICE!$C$2:$C$6</c:f>
              <c:numCache>
                <c:formatCode>General</c:formatCode>
                <c:ptCount val="4"/>
                <c:pt idx="0">
                  <c:v>247</c:v>
                </c:pt>
                <c:pt idx="1">
                  <c:v>233</c:v>
                </c:pt>
                <c:pt idx="2">
                  <c:v>35</c:v>
                </c:pt>
                <c:pt idx="3">
                  <c:v>154</c:v>
                </c:pt>
              </c:numCache>
            </c:numRef>
          </c:val>
          <c:extLst>
            <c:ext xmlns:c16="http://schemas.microsoft.com/office/drawing/2014/chart" uri="{C3380CC4-5D6E-409C-BE32-E72D297353CC}">
              <c16:uniqueId val="{00000001-EB2E-40B4-A9FB-60F2327B5F39}"/>
            </c:ext>
          </c:extLst>
        </c:ser>
        <c:ser>
          <c:idx val="2"/>
          <c:order val="2"/>
          <c:tx>
            <c:strRef>
              <c:f>PRACTICE!$D$1</c:f>
              <c:strCache>
                <c:ptCount val="1"/>
                <c:pt idx="0">
                  <c:v>Max of TOTAL_RENTALS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f>PRACTICE!$A$2:$A$6</c:f>
              <c:strCache>
                <c:ptCount val="4"/>
                <c:pt idx="0">
                  <c:v>clear</c:v>
                </c:pt>
                <c:pt idx="1">
                  <c:v>cloudy</c:v>
                </c:pt>
                <c:pt idx="2">
                  <c:v>heavy rain</c:v>
                </c:pt>
                <c:pt idx="3">
                  <c:v>light rain</c:v>
                </c:pt>
              </c:strCache>
            </c:strRef>
          </c:cat>
          <c:val>
            <c:numRef>
              <c:f>PRACTICE!$D$2:$D$6</c:f>
              <c:numCache>
                <c:formatCode>General</c:formatCode>
                <c:ptCount val="4"/>
                <c:pt idx="0">
                  <c:v>249</c:v>
                </c:pt>
                <c:pt idx="1">
                  <c:v>238</c:v>
                </c:pt>
                <c:pt idx="2">
                  <c:v>36</c:v>
                </c:pt>
                <c:pt idx="3">
                  <c:v>155</c:v>
                </c:pt>
              </c:numCache>
            </c:numRef>
          </c:val>
          <c:extLst>
            <c:ext xmlns:c16="http://schemas.microsoft.com/office/drawing/2014/chart" uri="{C3380CC4-5D6E-409C-BE32-E72D297353CC}">
              <c16:uniqueId val="{00000002-EB2E-40B4-A9FB-60F2327B5F39}"/>
            </c:ext>
          </c:extLst>
        </c:ser>
        <c:dLbls>
          <c:showLegendKey val="0"/>
          <c:showVal val="0"/>
          <c:showCatName val="0"/>
          <c:showSerName val="0"/>
          <c:showPercent val="0"/>
          <c:showBubbleSize val="0"/>
        </c:dLbls>
        <c:gapWidth val="150"/>
        <c:shape val="box"/>
        <c:axId val="613012271"/>
        <c:axId val="1160662127"/>
        <c:axId val="0"/>
      </c:bar3DChart>
      <c:catAx>
        <c:axId val="61301227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0662127"/>
        <c:crosses val="autoZero"/>
        <c:auto val="1"/>
        <c:lblAlgn val="ctr"/>
        <c:lblOffset val="100"/>
        <c:noMultiLvlLbl val="0"/>
      </c:catAx>
      <c:valAx>
        <c:axId val="116066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301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HOUR</a:t>
            </a:r>
            <a:r>
              <a:rPr lang="en-IN" sz="1050" b="1" baseline="0"/>
              <a:t> VSAVERAGE RENTAL</a:t>
            </a:r>
            <a:endParaRPr lang="en-IN" sz="1050" b="1"/>
          </a:p>
        </c:rich>
      </c:tx>
      <c:layout>
        <c:manualLayout>
          <c:xMode val="edge"/>
          <c:yMode val="edge"/>
          <c:x val="2.6341145226669149E-2"/>
          <c:y val="0.134881613482525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6134277594"/>
          <c:y val="0.30922945158171017"/>
          <c:w val="0.84406653310348045"/>
          <c:h val="0.40264173228346456"/>
        </c:manualLayout>
      </c:layout>
      <c:lineChart>
        <c:grouping val="stacked"/>
        <c:varyColors val="0"/>
        <c:ser>
          <c:idx val="0"/>
          <c:order val="0"/>
          <c:tx>
            <c:strRef>
              <c:f>PRACTICE!$Y$26</c:f>
              <c:strCache>
                <c:ptCount val="1"/>
                <c:pt idx="0">
                  <c:v>Average of CASUAL_RENTALS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PRACTICE!$Y$27:$Y$51</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A3D4-4C60-877B-C091DF593B58}"/>
            </c:ext>
          </c:extLst>
        </c:ser>
        <c:ser>
          <c:idx val="1"/>
          <c:order val="1"/>
          <c:tx>
            <c:strRef>
              <c:f>PRACTICE!$Z$26</c:f>
              <c:strCache>
                <c:ptCount val="1"/>
                <c:pt idx="0">
                  <c:v>Average of REGISTERED_RENTALS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PRACTICE!$Z$27:$Z$51</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3D4-4C60-877B-C091DF593B58}"/>
            </c:ext>
          </c:extLst>
        </c:ser>
        <c:ser>
          <c:idx val="2"/>
          <c:order val="2"/>
          <c:tx>
            <c:strRef>
              <c:f>PRACTICE!$AA$26</c:f>
              <c:strCache>
                <c:ptCount val="1"/>
                <c:pt idx="0">
                  <c:v>Average of TOTAL_RENTALS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PRACTICE!$AA$27:$AA$51</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A3D4-4C60-877B-C091DF593B58}"/>
            </c:ext>
          </c:extLst>
        </c:ser>
        <c:dLbls>
          <c:showLegendKey val="0"/>
          <c:showVal val="0"/>
          <c:showCatName val="0"/>
          <c:showSerName val="0"/>
          <c:showPercent val="0"/>
          <c:showBubbleSize val="0"/>
        </c:dLbls>
        <c:marker val="1"/>
        <c:smooth val="0"/>
        <c:axId val="1761039824"/>
        <c:axId val="612037616"/>
      </c:lineChart>
      <c:catAx>
        <c:axId val="17610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37616"/>
        <c:crosses val="autoZero"/>
        <c:auto val="1"/>
        <c:lblAlgn val="ctr"/>
        <c:lblOffset val="100"/>
        <c:noMultiLvlLbl val="0"/>
      </c:catAx>
      <c:valAx>
        <c:axId val="61203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WEEKDAY VS RENTALS</a:t>
            </a:r>
          </a:p>
        </c:rich>
      </c:tx>
      <c:layout>
        <c:manualLayout>
          <c:xMode val="edge"/>
          <c:yMode val="edge"/>
          <c:x val="1.7423572706153245E-2"/>
          <c:y val="0.173470666518797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PRACTICE!$AC$16</c:f>
              <c:strCache>
                <c:ptCount val="1"/>
                <c:pt idx="0">
                  <c:v>Max of CASUAL_RENTALS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17-493E-AF85-768044F848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17-493E-AF85-768044F848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17-493E-AF85-768044F848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17-493E-AF85-768044F848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17-493E-AF85-768044F848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17-493E-AF85-768044F848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D17-493E-AF85-768044F8487F}"/>
              </c:ext>
            </c:extLst>
          </c:dPt>
          <c:cat>
            <c:strRef>
              <c:f>PRACTICE!$AB$17:$AB$24</c:f>
              <c:strCache>
                <c:ptCount val="7"/>
                <c:pt idx="0">
                  <c:v>monday</c:v>
                </c:pt>
                <c:pt idx="1">
                  <c:v>Tuesday</c:v>
                </c:pt>
                <c:pt idx="2">
                  <c:v>Wednesday</c:v>
                </c:pt>
                <c:pt idx="3">
                  <c:v>Thursday</c:v>
                </c:pt>
                <c:pt idx="4">
                  <c:v>Friday</c:v>
                </c:pt>
                <c:pt idx="5">
                  <c:v>Saturday</c:v>
                </c:pt>
                <c:pt idx="6">
                  <c:v>Sunday</c:v>
                </c:pt>
              </c:strCache>
            </c:strRef>
          </c:cat>
          <c:val>
            <c:numRef>
              <c:f>PRACTICE!$AC$17:$AC$24</c:f>
              <c:numCache>
                <c:formatCode>General</c:formatCode>
                <c:ptCount val="7"/>
                <c:pt idx="0">
                  <c:v>21</c:v>
                </c:pt>
                <c:pt idx="1">
                  <c:v>21</c:v>
                </c:pt>
                <c:pt idx="2">
                  <c:v>12</c:v>
                </c:pt>
                <c:pt idx="3">
                  <c:v>12</c:v>
                </c:pt>
                <c:pt idx="4">
                  <c:v>21</c:v>
                </c:pt>
                <c:pt idx="5">
                  <c:v>47</c:v>
                </c:pt>
                <c:pt idx="6">
                  <c:v>62</c:v>
                </c:pt>
              </c:numCache>
            </c:numRef>
          </c:val>
          <c:extLst>
            <c:ext xmlns:c16="http://schemas.microsoft.com/office/drawing/2014/chart" uri="{C3380CC4-5D6E-409C-BE32-E72D297353CC}">
              <c16:uniqueId val="{0000000E-ED17-493E-AF85-768044F8487F}"/>
            </c:ext>
          </c:extLst>
        </c:ser>
        <c:ser>
          <c:idx val="1"/>
          <c:order val="1"/>
          <c:tx>
            <c:strRef>
              <c:f>PRACTICE!$AD$16</c:f>
              <c:strCache>
                <c:ptCount val="1"/>
                <c:pt idx="0">
                  <c:v>Max of REGISTERED_RENTALS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ED17-493E-AF85-768044F848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ED17-493E-AF85-768044F848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ED17-493E-AF85-768044F848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ED17-493E-AF85-768044F848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ED17-493E-AF85-768044F848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ED17-493E-AF85-768044F848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ED17-493E-AF85-768044F8487F}"/>
              </c:ext>
            </c:extLst>
          </c:dPt>
          <c:cat>
            <c:strRef>
              <c:f>PRACTICE!$AB$17:$AB$24</c:f>
              <c:strCache>
                <c:ptCount val="7"/>
                <c:pt idx="0">
                  <c:v>monday</c:v>
                </c:pt>
                <c:pt idx="1">
                  <c:v>Tuesday</c:v>
                </c:pt>
                <c:pt idx="2">
                  <c:v>Wednesday</c:v>
                </c:pt>
                <c:pt idx="3">
                  <c:v>Thursday</c:v>
                </c:pt>
                <c:pt idx="4">
                  <c:v>Friday</c:v>
                </c:pt>
                <c:pt idx="5">
                  <c:v>Saturday</c:v>
                </c:pt>
                <c:pt idx="6">
                  <c:v>Sunday</c:v>
                </c:pt>
              </c:strCache>
            </c:strRef>
          </c:cat>
          <c:val>
            <c:numRef>
              <c:f>PRACTICE!$AD$17:$AD$24</c:f>
              <c:numCache>
                <c:formatCode>General</c:formatCode>
                <c:ptCount val="7"/>
                <c:pt idx="0">
                  <c:v>223</c:v>
                </c:pt>
                <c:pt idx="1">
                  <c:v>236</c:v>
                </c:pt>
                <c:pt idx="2">
                  <c:v>198</c:v>
                </c:pt>
                <c:pt idx="3">
                  <c:v>247</c:v>
                </c:pt>
                <c:pt idx="4">
                  <c:v>217</c:v>
                </c:pt>
                <c:pt idx="5">
                  <c:v>127</c:v>
                </c:pt>
                <c:pt idx="6">
                  <c:v>135</c:v>
                </c:pt>
              </c:numCache>
            </c:numRef>
          </c:val>
          <c:extLst>
            <c:ext xmlns:c16="http://schemas.microsoft.com/office/drawing/2014/chart" uri="{C3380CC4-5D6E-409C-BE32-E72D297353CC}">
              <c16:uniqueId val="{0000001D-ED17-493E-AF85-768044F848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DATE</a:t>
            </a:r>
            <a:r>
              <a:rPr lang="en-IN" sz="1050" b="1" baseline="0"/>
              <a:t> VS TOTAL RENTAL</a:t>
            </a:r>
            <a:endParaRPr lang="en-IN" sz="1050" b="1"/>
          </a:p>
        </c:rich>
      </c:tx>
      <c:layout>
        <c:manualLayout>
          <c:xMode val="edge"/>
          <c:yMode val="edge"/>
          <c:x val="0.23928456692913386"/>
          <c:y val="7.7575535616187519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PRACTICE!$AD$2:$AD$3</c:f>
              <c:strCache>
                <c:ptCount val="1"/>
                <c:pt idx="0">
                  <c:v>01-Jan</c:v>
                </c:pt>
              </c:strCache>
            </c:strRef>
          </c:tx>
          <c:spPr>
            <a:solidFill>
              <a:schemeClr val="accent1"/>
            </a:solidFill>
            <a:ln>
              <a:noFill/>
            </a:ln>
            <a:effectLst/>
          </c:spPr>
          <c:invertIfNegative val="0"/>
          <c:cat>
            <c:strRef>
              <c:f>PRACTICE!$AC$4</c:f>
              <c:strCache>
                <c:ptCount val="1"/>
                <c:pt idx="0">
                  <c:v>Total</c:v>
                </c:pt>
              </c:strCache>
            </c:strRef>
          </c:cat>
          <c:val>
            <c:numRef>
              <c:f>PRACTICE!$AD$4</c:f>
              <c:numCache>
                <c:formatCode>General</c:formatCode>
                <c:ptCount val="1"/>
                <c:pt idx="0">
                  <c:v>985</c:v>
                </c:pt>
              </c:numCache>
            </c:numRef>
          </c:val>
          <c:extLst>
            <c:ext xmlns:c16="http://schemas.microsoft.com/office/drawing/2014/chart" uri="{C3380CC4-5D6E-409C-BE32-E72D297353CC}">
              <c16:uniqueId val="{00000000-27D2-473E-BD05-7E0756EB1576}"/>
            </c:ext>
          </c:extLst>
        </c:ser>
        <c:ser>
          <c:idx val="1"/>
          <c:order val="1"/>
          <c:tx>
            <c:strRef>
              <c:f>PRACTICE!$AE$2:$AE$3</c:f>
              <c:strCache>
                <c:ptCount val="1"/>
                <c:pt idx="0">
                  <c:v>02-Jan</c:v>
                </c:pt>
              </c:strCache>
            </c:strRef>
          </c:tx>
          <c:spPr>
            <a:solidFill>
              <a:schemeClr val="accent2"/>
            </a:solidFill>
            <a:ln>
              <a:noFill/>
            </a:ln>
            <a:effectLst/>
          </c:spPr>
          <c:invertIfNegative val="0"/>
          <c:cat>
            <c:strRef>
              <c:f>PRACTICE!$AC$4</c:f>
              <c:strCache>
                <c:ptCount val="1"/>
                <c:pt idx="0">
                  <c:v>Total</c:v>
                </c:pt>
              </c:strCache>
            </c:strRef>
          </c:cat>
          <c:val>
            <c:numRef>
              <c:f>PRACTICE!$AE$4</c:f>
              <c:numCache>
                <c:formatCode>General</c:formatCode>
                <c:ptCount val="1"/>
                <c:pt idx="0">
                  <c:v>801</c:v>
                </c:pt>
              </c:numCache>
            </c:numRef>
          </c:val>
          <c:extLst>
            <c:ext xmlns:c16="http://schemas.microsoft.com/office/drawing/2014/chart" uri="{C3380CC4-5D6E-409C-BE32-E72D297353CC}">
              <c16:uniqueId val="{00000001-7550-46B3-93A3-E00608CC178F}"/>
            </c:ext>
          </c:extLst>
        </c:ser>
        <c:ser>
          <c:idx val="2"/>
          <c:order val="2"/>
          <c:tx>
            <c:strRef>
              <c:f>PRACTICE!$AF$2:$AF$3</c:f>
              <c:strCache>
                <c:ptCount val="1"/>
                <c:pt idx="0">
                  <c:v>03-Jan</c:v>
                </c:pt>
              </c:strCache>
            </c:strRef>
          </c:tx>
          <c:spPr>
            <a:solidFill>
              <a:schemeClr val="accent3"/>
            </a:solidFill>
            <a:ln>
              <a:noFill/>
            </a:ln>
            <a:effectLst/>
          </c:spPr>
          <c:invertIfNegative val="0"/>
          <c:cat>
            <c:strRef>
              <c:f>PRACTICE!$AC$4</c:f>
              <c:strCache>
                <c:ptCount val="1"/>
                <c:pt idx="0">
                  <c:v>Total</c:v>
                </c:pt>
              </c:strCache>
            </c:strRef>
          </c:cat>
          <c:val>
            <c:numRef>
              <c:f>PRACTICE!$AF$4</c:f>
              <c:numCache>
                <c:formatCode>General</c:formatCode>
                <c:ptCount val="1"/>
                <c:pt idx="0">
                  <c:v>1349</c:v>
                </c:pt>
              </c:numCache>
            </c:numRef>
          </c:val>
          <c:extLst>
            <c:ext xmlns:c16="http://schemas.microsoft.com/office/drawing/2014/chart" uri="{C3380CC4-5D6E-409C-BE32-E72D297353CC}">
              <c16:uniqueId val="{00000002-7550-46B3-93A3-E00608CC178F}"/>
            </c:ext>
          </c:extLst>
        </c:ser>
        <c:ser>
          <c:idx val="3"/>
          <c:order val="3"/>
          <c:tx>
            <c:strRef>
              <c:f>PRACTICE!$AG$2:$AG$3</c:f>
              <c:strCache>
                <c:ptCount val="1"/>
                <c:pt idx="0">
                  <c:v>04-Jan</c:v>
                </c:pt>
              </c:strCache>
            </c:strRef>
          </c:tx>
          <c:spPr>
            <a:solidFill>
              <a:schemeClr val="accent4"/>
            </a:solidFill>
            <a:ln>
              <a:noFill/>
            </a:ln>
            <a:effectLst/>
          </c:spPr>
          <c:invertIfNegative val="0"/>
          <c:cat>
            <c:strRef>
              <c:f>PRACTICE!$AC$4</c:f>
              <c:strCache>
                <c:ptCount val="1"/>
                <c:pt idx="0">
                  <c:v>Total</c:v>
                </c:pt>
              </c:strCache>
            </c:strRef>
          </c:cat>
          <c:val>
            <c:numRef>
              <c:f>PRACTICE!$AG$4</c:f>
              <c:numCache>
                <c:formatCode>General</c:formatCode>
                <c:ptCount val="1"/>
                <c:pt idx="0">
                  <c:v>1562</c:v>
                </c:pt>
              </c:numCache>
            </c:numRef>
          </c:val>
          <c:extLst>
            <c:ext xmlns:c16="http://schemas.microsoft.com/office/drawing/2014/chart" uri="{C3380CC4-5D6E-409C-BE32-E72D297353CC}">
              <c16:uniqueId val="{00000003-7550-46B3-93A3-E00608CC178F}"/>
            </c:ext>
          </c:extLst>
        </c:ser>
        <c:ser>
          <c:idx val="4"/>
          <c:order val="4"/>
          <c:tx>
            <c:strRef>
              <c:f>PRACTICE!$AH$2:$AH$3</c:f>
              <c:strCache>
                <c:ptCount val="1"/>
                <c:pt idx="0">
                  <c:v>05-Jan</c:v>
                </c:pt>
              </c:strCache>
            </c:strRef>
          </c:tx>
          <c:spPr>
            <a:solidFill>
              <a:schemeClr val="accent5"/>
            </a:solidFill>
            <a:ln>
              <a:noFill/>
            </a:ln>
            <a:effectLst/>
          </c:spPr>
          <c:invertIfNegative val="0"/>
          <c:cat>
            <c:strRef>
              <c:f>PRACTICE!$AC$4</c:f>
              <c:strCache>
                <c:ptCount val="1"/>
                <c:pt idx="0">
                  <c:v>Total</c:v>
                </c:pt>
              </c:strCache>
            </c:strRef>
          </c:cat>
          <c:val>
            <c:numRef>
              <c:f>PRACTICE!$AH$4</c:f>
              <c:numCache>
                <c:formatCode>General</c:formatCode>
                <c:ptCount val="1"/>
                <c:pt idx="0">
                  <c:v>1600</c:v>
                </c:pt>
              </c:numCache>
            </c:numRef>
          </c:val>
          <c:extLst>
            <c:ext xmlns:c16="http://schemas.microsoft.com/office/drawing/2014/chart" uri="{C3380CC4-5D6E-409C-BE32-E72D297353CC}">
              <c16:uniqueId val="{00000004-7550-46B3-93A3-E00608CC178F}"/>
            </c:ext>
          </c:extLst>
        </c:ser>
        <c:ser>
          <c:idx val="5"/>
          <c:order val="5"/>
          <c:tx>
            <c:strRef>
              <c:f>PRACTICE!$AI$2:$AI$3</c:f>
              <c:strCache>
                <c:ptCount val="1"/>
                <c:pt idx="0">
                  <c:v>06-Jan</c:v>
                </c:pt>
              </c:strCache>
            </c:strRef>
          </c:tx>
          <c:spPr>
            <a:solidFill>
              <a:schemeClr val="accent6"/>
            </a:solidFill>
            <a:ln>
              <a:noFill/>
            </a:ln>
            <a:effectLst/>
          </c:spPr>
          <c:invertIfNegative val="0"/>
          <c:cat>
            <c:strRef>
              <c:f>PRACTICE!$AC$4</c:f>
              <c:strCache>
                <c:ptCount val="1"/>
                <c:pt idx="0">
                  <c:v>Total</c:v>
                </c:pt>
              </c:strCache>
            </c:strRef>
          </c:cat>
          <c:val>
            <c:numRef>
              <c:f>PRACTICE!$AI$4</c:f>
              <c:numCache>
                <c:formatCode>General</c:formatCode>
                <c:ptCount val="1"/>
                <c:pt idx="0">
                  <c:v>1606</c:v>
                </c:pt>
              </c:numCache>
            </c:numRef>
          </c:val>
          <c:extLst>
            <c:ext xmlns:c16="http://schemas.microsoft.com/office/drawing/2014/chart" uri="{C3380CC4-5D6E-409C-BE32-E72D297353CC}">
              <c16:uniqueId val="{00000005-7550-46B3-93A3-E00608CC178F}"/>
            </c:ext>
          </c:extLst>
        </c:ser>
        <c:ser>
          <c:idx val="6"/>
          <c:order val="6"/>
          <c:tx>
            <c:strRef>
              <c:f>PRACTICE!$AJ$2:$AJ$3</c:f>
              <c:strCache>
                <c:ptCount val="1"/>
                <c:pt idx="0">
                  <c:v>07-Jan</c:v>
                </c:pt>
              </c:strCache>
            </c:strRef>
          </c:tx>
          <c:spPr>
            <a:solidFill>
              <a:schemeClr val="accent1">
                <a:lumMod val="60000"/>
              </a:schemeClr>
            </a:solidFill>
            <a:ln>
              <a:noFill/>
            </a:ln>
            <a:effectLst/>
          </c:spPr>
          <c:invertIfNegative val="0"/>
          <c:cat>
            <c:strRef>
              <c:f>PRACTICE!$AC$4</c:f>
              <c:strCache>
                <c:ptCount val="1"/>
                <c:pt idx="0">
                  <c:v>Total</c:v>
                </c:pt>
              </c:strCache>
            </c:strRef>
          </c:cat>
          <c:val>
            <c:numRef>
              <c:f>PRACTICE!$AJ$4</c:f>
              <c:numCache>
                <c:formatCode>General</c:formatCode>
                <c:ptCount val="1"/>
                <c:pt idx="0">
                  <c:v>1510</c:v>
                </c:pt>
              </c:numCache>
            </c:numRef>
          </c:val>
          <c:extLst>
            <c:ext xmlns:c16="http://schemas.microsoft.com/office/drawing/2014/chart" uri="{C3380CC4-5D6E-409C-BE32-E72D297353CC}">
              <c16:uniqueId val="{00000006-7550-46B3-93A3-E00608CC178F}"/>
            </c:ext>
          </c:extLst>
        </c:ser>
        <c:ser>
          <c:idx val="7"/>
          <c:order val="7"/>
          <c:tx>
            <c:strRef>
              <c:f>PRACTICE!$AK$2:$AK$3</c:f>
              <c:strCache>
                <c:ptCount val="1"/>
                <c:pt idx="0">
                  <c:v>08-Jan</c:v>
                </c:pt>
              </c:strCache>
            </c:strRef>
          </c:tx>
          <c:spPr>
            <a:solidFill>
              <a:schemeClr val="accent2">
                <a:lumMod val="60000"/>
              </a:schemeClr>
            </a:solidFill>
            <a:ln>
              <a:noFill/>
            </a:ln>
            <a:effectLst/>
          </c:spPr>
          <c:invertIfNegative val="0"/>
          <c:cat>
            <c:strRef>
              <c:f>PRACTICE!$AC$4</c:f>
              <c:strCache>
                <c:ptCount val="1"/>
                <c:pt idx="0">
                  <c:v>Total</c:v>
                </c:pt>
              </c:strCache>
            </c:strRef>
          </c:cat>
          <c:val>
            <c:numRef>
              <c:f>PRACTICE!$AK$4</c:f>
              <c:numCache>
                <c:formatCode>General</c:formatCode>
                <c:ptCount val="1"/>
                <c:pt idx="0">
                  <c:v>959</c:v>
                </c:pt>
              </c:numCache>
            </c:numRef>
          </c:val>
          <c:extLst>
            <c:ext xmlns:c16="http://schemas.microsoft.com/office/drawing/2014/chart" uri="{C3380CC4-5D6E-409C-BE32-E72D297353CC}">
              <c16:uniqueId val="{00000007-7550-46B3-93A3-E00608CC178F}"/>
            </c:ext>
          </c:extLst>
        </c:ser>
        <c:ser>
          <c:idx val="8"/>
          <c:order val="8"/>
          <c:tx>
            <c:strRef>
              <c:f>PRACTICE!$AL$2:$AL$3</c:f>
              <c:strCache>
                <c:ptCount val="1"/>
                <c:pt idx="0">
                  <c:v>09-Jan</c:v>
                </c:pt>
              </c:strCache>
            </c:strRef>
          </c:tx>
          <c:spPr>
            <a:solidFill>
              <a:schemeClr val="accent3">
                <a:lumMod val="60000"/>
              </a:schemeClr>
            </a:solidFill>
            <a:ln>
              <a:noFill/>
            </a:ln>
            <a:effectLst/>
          </c:spPr>
          <c:invertIfNegative val="0"/>
          <c:cat>
            <c:strRef>
              <c:f>PRACTICE!$AC$4</c:f>
              <c:strCache>
                <c:ptCount val="1"/>
                <c:pt idx="0">
                  <c:v>Total</c:v>
                </c:pt>
              </c:strCache>
            </c:strRef>
          </c:cat>
          <c:val>
            <c:numRef>
              <c:f>PRACTICE!$AL$4</c:f>
              <c:numCache>
                <c:formatCode>General</c:formatCode>
                <c:ptCount val="1"/>
                <c:pt idx="0">
                  <c:v>822</c:v>
                </c:pt>
              </c:numCache>
            </c:numRef>
          </c:val>
          <c:extLst>
            <c:ext xmlns:c16="http://schemas.microsoft.com/office/drawing/2014/chart" uri="{C3380CC4-5D6E-409C-BE32-E72D297353CC}">
              <c16:uniqueId val="{00000008-7550-46B3-93A3-E00608CC178F}"/>
            </c:ext>
          </c:extLst>
        </c:ser>
        <c:ser>
          <c:idx val="9"/>
          <c:order val="9"/>
          <c:tx>
            <c:strRef>
              <c:f>PRACTICE!$AM$2:$AM$3</c:f>
              <c:strCache>
                <c:ptCount val="1"/>
                <c:pt idx="0">
                  <c:v>10-Jan</c:v>
                </c:pt>
              </c:strCache>
            </c:strRef>
          </c:tx>
          <c:spPr>
            <a:solidFill>
              <a:schemeClr val="accent4">
                <a:lumMod val="60000"/>
              </a:schemeClr>
            </a:solidFill>
            <a:ln>
              <a:noFill/>
            </a:ln>
            <a:effectLst/>
          </c:spPr>
          <c:invertIfNegative val="0"/>
          <c:cat>
            <c:strRef>
              <c:f>PRACTICE!$AC$4</c:f>
              <c:strCache>
                <c:ptCount val="1"/>
                <c:pt idx="0">
                  <c:v>Total</c:v>
                </c:pt>
              </c:strCache>
            </c:strRef>
          </c:cat>
          <c:val>
            <c:numRef>
              <c:f>PRACTICE!$AM$4</c:f>
              <c:numCache>
                <c:formatCode>General</c:formatCode>
                <c:ptCount val="1"/>
                <c:pt idx="0">
                  <c:v>1321</c:v>
                </c:pt>
              </c:numCache>
            </c:numRef>
          </c:val>
          <c:extLst>
            <c:ext xmlns:c16="http://schemas.microsoft.com/office/drawing/2014/chart" uri="{C3380CC4-5D6E-409C-BE32-E72D297353CC}">
              <c16:uniqueId val="{00000009-7550-46B3-93A3-E00608CC178F}"/>
            </c:ext>
          </c:extLst>
        </c:ser>
        <c:ser>
          <c:idx val="10"/>
          <c:order val="10"/>
          <c:tx>
            <c:strRef>
              <c:f>PRACTICE!$AN$2:$AN$3</c:f>
              <c:strCache>
                <c:ptCount val="1"/>
                <c:pt idx="0">
                  <c:v>11-Jan</c:v>
                </c:pt>
              </c:strCache>
            </c:strRef>
          </c:tx>
          <c:spPr>
            <a:solidFill>
              <a:schemeClr val="accent5">
                <a:lumMod val="60000"/>
              </a:schemeClr>
            </a:solidFill>
            <a:ln>
              <a:noFill/>
            </a:ln>
            <a:effectLst/>
          </c:spPr>
          <c:invertIfNegative val="0"/>
          <c:cat>
            <c:strRef>
              <c:f>PRACTICE!$AC$4</c:f>
              <c:strCache>
                <c:ptCount val="1"/>
                <c:pt idx="0">
                  <c:v>Total</c:v>
                </c:pt>
              </c:strCache>
            </c:strRef>
          </c:cat>
          <c:val>
            <c:numRef>
              <c:f>PRACTICE!$AN$4</c:f>
              <c:numCache>
                <c:formatCode>General</c:formatCode>
                <c:ptCount val="1"/>
                <c:pt idx="0">
                  <c:v>1263</c:v>
                </c:pt>
              </c:numCache>
            </c:numRef>
          </c:val>
          <c:extLst>
            <c:ext xmlns:c16="http://schemas.microsoft.com/office/drawing/2014/chart" uri="{C3380CC4-5D6E-409C-BE32-E72D297353CC}">
              <c16:uniqueId val="{0000000A-7550-46B3-93A3-E00608CC178F}"/>
            </c:ext>
          </c:extLst>
        </c:ser>
        <c:ser>
          <c:idx val="11"/>
          <c:order val="11"/>
          <c:tx>
            <c:strRef>
              <c:f>PRACTICE!$AO$2:$AO$3</c:f>
              <c:strCache>
                <c:ptCount val="1"/>
                <c:pt idx="0">
                  <c:v>12-Jan</c:v>
                </c:pt>
              </c:strCache>
            </c:strRef>
          </c:tx>
          <c:spPr>
            <a:solidFill>
              <a:schemeClr val="accent6">
                <a:lumMod val="60000"/>
              </a:schemeClr>
            </a:solidFill>
            <a:ln>
              <a:noFill/>
            </a:ln>
            <a:effectLst/>
          </c:spPr>
          <c:invertIfNegative val="0"/>
          <c:cat>
            <c:strRef>
              <c:f>PRACTICE!$AC$4</c:f>
              <c:strCache>
                <c:ptCount val="1"/>
                <c:pt idx="0">
                  <c:v>Total</c:v>
                </c:pt>
              </c:strCache>
            </c:strRef>
          </c:cat>
          <c:val>
            <c:numRef>
              <c:f>PRACTICE!$AO$4</c:f>
              <c:numCache>
                <c:formatCode>General</c:formatCode>
                <c:ptCount val="1"/>
                <c:pt idx="0">
                  <c:v>1162</c:v>
                </c:pt>
              </c:numCache>
            </c:numRef>
          </c:val>
          <c:extLst>
            <c:ext xmlns:c16="http://schemas.microsoft.com/office/drawing/2014/chart" uri="{C3380CC4-5D6E-409C-BE32-E72D297353CC}">
              <c16:uniqueId val="{0000000B-7550-46B3-93A3-E00608CC178F}"/>
            </c:ext>
          </c:extLst>
        </c:ser>
        <c:ser>
          <c:idx val="12"/>
          <c:order val="12"/>
          <c:tx>
            <c:strRef>
              <c:f>PRACTICE!$AP$2:$AP$3</c:f>
              <c:strCache>
                <c:ptCount val="1"/>
                <c:pt idx="0">
                  <c:v>13-Jan</c:v>
                </c:pt>
              </c:strCache>
            </c:strRef>
          </c:tx>
          <c:spPr>
            <a:solidFill>
              <a:schemeClr val="accent1">
                <a:lumMod val="80000"/>
                <a:lumOff val="20000"/>
              </a:schemeClr>
            </a:solidFill>
            <a:ln>
              <a:noFill/>
            </a:ln>
            <a:effectLst/>
          </c:spPr>
          <c:invertIfNegative val="0"/>
          <c:cat>
            <c:strRef>
              <c:f>PRACTICE!$AC$4</c:f>
              <c:strCache>
                <c:ptCount val="1"/>
                <c:pt idx="0">
                  <c:v>Total</c:v>
                </c:pt>
              </c:strCache>
            </c:strRef>
          </c:cat>
          <c:val>
            <c:numRef>
              <c:f>PRACTICE!$AP$4</c:f>
              <c:numCache>
                <c:formatCode>General</c:formatCode>
                <c:ptCount val="1"/>
                <c:pt idx="0">
                  <c:v>1406</c:v>
                </c:pt>
              </c:numCache>
            </c:numRef>
          </c:val>
          <c:extLst>
            <c:ext xmlns:c16="http://schemas.microsoft.com/office/drawing/2014/chart" uri="{C3380CC4-5D6E-409C-BE32-E72D297353CC}">
              <c16:uniqueId val="{0000000C-7550-46B3-93A3-E00608CC178F}"/>
            </c:ext>
          </c:extLst>
        </c:ser>
        <c:ser>
          <c:idx val="13"/>
          <c:order val="13"/>
          <c:tx>
            <c:strRef>
              <c:f>PRACTICE!$AQ$2:$AQ$3</c:f>
              <c:strCache>
                <c:ptCount val="1"/>
                <c:pt idx="0">
                  <c:v>14-Jan</c:v>
                </c:pt>
              </c:strCache>
            </c:strRef>
          </c:tx>
          <c:spPr>
            <a:solidFill>
              <a:schemeClr val="accent2">
                <a:lumMod val="80000"/>
                <a:lumOff val="20000"/>
              </a:schemeClr>
            </a:solidFill>
            <a:ln>
              <a:noFill/>
            </a:ln>
            <a:effectLst/>
          </c:spPr>
          <c:invertIfNegative val="0"/>
          <c:cat>
            <c:strRef>
              <c:f>PRACTICE!$AC$4</c:f>
              <c:strCache>
                <c:ptCount val="1"/>
                <c:pt idx="0">
                  <c:v>Total</c:v>
                </c:pt>
              </c:strCache>
            </c:strRef>
          </c:cat>
          <c:val>
            <c:numRef>
              <c:f>PRACTICE!$AQ$4</c:f>
              <c:numCache>
                <c:formatCode>General</c:formatCode>
                <c:ptCount val="1"/>
                <c:pt idx="0">
                  <c:v>1421</c:v>
                </c:pt>
              </c:numCache>
            </c:numRef>
          </c:val>
          <c:extLst>
            <c:ext xmlns:c16="http://schemas.microsoft.com/office/drawing/2014/chart" uri="{C3380CC4-5D6E-409C-BE32-E72D297353CC}">
              <c16:uniqueId val="{0000000D-7550-46B3-93A3-E00608CC178F}"/>
            </c:ext>
          </c:extLst>
        </c:ser>
        <c:ser>
          <c:idx val="14"/>
          <c:order val="14"/>
          <c:tx>
            <c:strRef>
              <c:f>PRACTICE!$AR$2:$AR$3</c:f>
              <c:strCache>
                <c:ptCount val="1"/>
                <c:pt idx="0">
                  <c:v>15-Jan</c:v>
                </c:pt>
              </c:strCache>
            </c:strRef>
          </c:tx>
          <c:spPr>
            <a:solidFill>
              <a:schemeClr val="accent3">
                <a:lumMod val="80000"/>
                <a:lumOff val="20000"/>
              </a:schemeClr>
            </a:solidFill>
            <a:ln>
              <a:noFill/>
            </a:ln>
            <a:effectLst/>
          </c:spPr>
          <c:invertIfNegative val="0"/>
          <c:cat>
            <c:strRef>
              <c:f>PRACTICE!$AC$4</c:f>
              <c:strCache>
                <c:ptCount val="1"/>
                <c:pt idx="0">
                  <c:v>Total</c:v>
                </c:pt>
              </c:strCache>
            </c:strRef>
          </c:cat>
          <c:val>
            <c:numRef>
              <c:f>PRACTICE!$AR$4</c:f>
              <c:numCache>
                <c:formatCode>General</c:formatCode>
                <c:ptCount val="1"/>
                <c:pt idx="0">
                  <c:v>1248</c:v>
                </c:pt>
              </c:numCache>
            </c:numRef>
          </c:val>
          <c:extLst>
            <c:ext xmlns:c16="http://schemas.microsoft.com/office/drawing/2014/chart" uri="{C3380CC4-5D6E-409C-BE32-E72D297353CC}">
              <c16:uniqueId val="{0000000E-7550-46B3-93A3-E00608CC178F}"/>
            </c:ext>
          </c:extLst>
        </c:ser>
        <c:ser>
          <c:idx val="15"/>
          <c:order val="15"/>
          <c:tx>
            <c:strRef>
              <c:f>PRACTICE!$AS$2:$AS$3</c:f>
              <c:strCache>
                <c:ptCount val="1"/>
                <c:pt idx="0">
                  <c:v>16-Jan</c:v>
                </c:pt>
              </c:strCache>
            </c:strRef>
          </c:tx>
          <c:spPr>
            <a:solidFill>
              <a:schemeClr val="accent4">
                <a:lumMod val="80000"/>
                <a:lumOff val="20000"/>
              </a:schemeClr>
            </a:solidFill>
            <a:ln>
              <a:noFill/>
            </a:ln>
            <a:effectLst/>
          </c:spPr>
          <c:invertIfNegative val="0"/>
          <c:cat>
            <c:strRef>
              <c:f>PRACTICE!$AC$4</c:f>
              <c:strCache>
                <c:ptCount val="1"/>
                <c:pt idx="0">
                  <c:v>Total</c:v>
                </c:pt>
              </c:strCache>
            </c:strRef>
          </c:cat>
          <c:val>
            <c:numRef>
              <c:f>PRACTICE!$AS$4</c:f>
              <c:numCache>
                <c:formatCode>General</c:formatCode>
                <c:ptCount val="1"/>
                <c:pt idx="0">
                  <c:v>1204</c:v>
                </c:pt>
              </c:numCache>
            </c:numRef>
          </c:val>
          <c:extLst>
            <c:ext xmlns:c16="http://schemas.microsoft.com/office/drawing/2014/chart" uri="{C3380CC4-5D6E-409C-BE32-E72D297353CC}">
              <c16:uniqueId val="{0000000F-7550-46B3-93A3-E00608CC178F}"/>
            </c:ext>
          </c:extLst>
        </c:ser>
        <c:ser>
          <c:idx val="16"/>
          <c:order val="16"/>
          <c:tx>
            <c:strRef>
              <c:f>PRACTICE!$AT$2:$AT$3</c:f>
              <c:strCache>
                <c:ptCount val="1"/>
                <c:pt idx="0">
                  <c:v>17-Jan</c:v>
                </c:pt>
              </c:strCache>
            </c:strRef>
          </c:tx>
          <c:spPr>
            <a:solidFill>
              <a:schemeClr val="accent5">
                <a:lumMod val="80000"/>
                <a:lumOff val="20000"/>
              </a:schemeClr>
            </a:solidFill>
            <a:ln>
              <a:noFill/>
            </a:ln>
            <a:effectLst/>
          </c:spPr>
          <c:invertIfNegative val="0"/>
          <c:cat>
            <c:strRef>
              <c:f>PRACTICE!$AC$4</c:f>
              <c:strCache>
                <c:ptCount val="1"/>
                <c:pt idx="0">
                  <c:v>Total</c:v>
                </c:pt>
              </c:strCache>
            </c:strRef>
          </c:cat>
          <c:val>
            <c:numRef>
              <c:f>PRACTICE!$AT$4</c:f>
              <c:numCache>
                <c:formatCode>General</c:formatCode>
                <c:ptCount val="1"/>
                <c:pt idx="0">
                  <c:v>1000</c:v>
                </c:pt>
              </c:numCache>
            </c:numRef>
          </c:val>
          <c:extLst>
            <c:ext xmlns:c16="http://schemas.microsoft.com/office/drawing/2014/chart" uri="{C3380CC4-5D6E-409C-BE32-E72D297353CC}">
              <c16:uniqueId val="{00000010-7550-46B3-93A3-E00608CC178F}"/>
            </c:ext>
          </c:extLst>
        </c:ser>
        <c:ser>
          <c:idx val="17"/>
          <c:order val="17"/>
          <c:tx>
            <c:strRef>
              <c:f>PRACTICE!$AU$2:$AU$3</c:f>
              <c:strCache>
                <c:ptCount val="1"/>
                <c:pt idx="0">
                  <c:v>18-Jan</c:v>
                </c:pt>
              </c:strCache>
            </c:strRef>
          </c:tx>
          <c:spPr>
            <a:solidFill>
              <a:schemeClr val="accent6">
                <a:lumMod val="80000"/>
                <a:lumOff val="20000"/>
              </a:schemeClr>
            </a:solidFill>
            <a:ln>
              <a:noFill/>
            </a:ln>
            <a:effectLst/>
          </c:spPr>
          <c:invertIfNegative val="0"/>
          <c:cat>
            <c:strRef>
              <c:f>PRACTICE!$AC$4</c:f>
              <c:strCache>
                <c:ptCount val="1"/>
                <c:pt idx="0">
                  <c:v>Total</c:v>
                </c:pt>
              </c:strCache>
            </c:strRef>
          </c:cat>
          <c:val>
            <c:numRef>
              <c:f>PRACTICE!$AU$4</c:f>
              <c:numCache>
                <c:formatCode>General</c:formatCode>
                <c:ptCount val="1"/>
                <c:pt idx="0">
                  <c:v>683</c:v>
                </c:pt>
              </c:numCache>
            </c:numRef>
          </c:val>
          <c:extLst>
            <c:ext xmlns:c16="http://schemas.microsoft.com/office/drawing/2014/chart" uri="{C3380CC4-5D6E-409C-BE32-E72D297353CC}">
              <c16:uniqueId val="{00000011-7550-46B3-93A3-E00608CC178F}"/>
            </c:ext>
          </c:extLst>
        </c:ser>
        <c:ser>
          <c:idx val="18"/>
          <c:order val="18"/>
          <c:tx>
            <c:strRef>
              <c:f>PRACTICE!$AV$2:$AV$3</c:f>
              <c:strCache>
                <c:ptCount val="1"/>
                <c:pt idx="0">
                  <c:v>19-Jan</c:v>
                </c:pt>
              </c:strCache>
            </c:strRef>
          </c:tx>
          <c:spPr>
            <a:solidFill>
              <a:schemeClr val="accent1">
                <a:lumMod val="80000"/>
              </a:schemeClr>
            </a:solidFill>
            <a:ln>
              <a:noFill/>
            </a:ln>
            <a:effectLst/>
          </c:spPr>
          <c:invertIfNegative val="0"/>
          <c:cat>
            <c:strRef>
              <c:f>PRACTICE!$AC$4</c:f>
              <c:strCache>
                <c:ptCount val="1"/>
                <c:pt idx="0">
                  <c:v>Total</c:v>
                </c:pt>
              </c:strCache>
            </c:strRef>
          </c:cat>
          <c:val>
            <c:numRef>
              <c:f>PRACTICE!$AV$4</c:f>
              <c:numCache>
                <c:formatCode>General</c:formatCode>
                <c:ptCount val="1"/>
                <c:pt idx="0">
                  <c:v>1650</c:v>
                </c:pt>
              </c:numCache>
            </c:numRef>
          </c:val>
          <c:extLst>
            <c:ext xmlns:c16="http://schemas.microsoft.com/office/drawing/2014/chart" uri="{C3380CC4-5D6E-409C-BE32-E72D297353CC}">
              <c16:uniqueId val="{00000012-7550-46B3-93A3-E00608CC178F}"/>
            </c:ext>
          </c:extLst>
        </c:ser>
        <c:ser>
          <c:idx val="19"/>
          <c:order val="19"/>
          <c:tx>
            <c:strRef>
              <c:f>PRACTICE!$AW$2:$AW$3</c:f>
              <c:strCache>
                <c:ptCount val="1"/>
                <c:pt idx="0">
                  <c:v>20-Jan</c:v>
                </c:pt>
              </c:strCache>
            </c:strRef>
          </c:tx>
          <c:spPr>
            <a:solidFill>
              <a:schemeClr val="accent2">
                <a:lumMod val="80000"/>
              </a:schemeClr>
            </a:solidFill>
            <a:ln>
              <a:noFill/>
            </a:ln>
            <a:effectLst/>
          </c:spPr>
          <c:invertIfNegative val="0"/>
          <c:cat>
            <c:strRef>
              <c:f>PRACTICE!$AC$4</c:f>
              <c:strCache>
                <c:ptCount val="1"/>
                <c:pt idx="0">
                  <c:v>Total</c:v>
                </c:pt>
              </c:strCache>
            </c:strRef>
          </c:cat>
          <c:val>
            <c:numRef>
              <c:f>PRACTICE!$AW$4</c:f>
              <c:numCache>
                <c:formatCode>General</c:formatCode>
                <c:ptCount val="1"/>
                <c:pt idx="0">
                  <c:v>1927</c:v>
                </c:pt>
              </c:numCache>
            </c:numRef>
          </c:val>
          <c:extLst>
            <c:ext xmlns:c16="http://schemas.microsoft.com/office/drawing/2014/chart" uri="{C3380CC4-5D6E-409C-BE32-E72D297353CC}">
              <c16:uniqueId val="{00000013-7550-46B3-93A3-E00608CC178F}"/>
            </c:ext>
          </c:extLst>
        </c:ser>
        <c:ser>
          <c:idx val="20"/>
          <c:order val="20"/>
          <c:tx>
            <c:strRef>
              <c:f>PRACTICE!$AX$2:$AX$3</c:f>
              <c:strCache>
                <c:ptCount val="1"/>
                <c:pt idx="0">
                  <c:v>21-Jan</c:v>
                </c:pt>
              </c:strCache>
            </c:strRef>
          </c:tx>
          <c:spPr>
            <a:solidFill>
              <a:schemeClr val="accent3">
                <a:lumMod val="80000"/>
              </a:schemeClr>
            </a:solidFill>
            <a:ln>
              <a:noFill/>
            </a:ln>
            <a:effectLst/>
          </c:spPr>
          <c:invertIfNegative val="0"/>
          <c:cat>
            <c:strRef>
              <c:f>PRACTICE!$AC$4</c:f>
              <c:strCache>
                <c:ptCount val="1"/>
                <c:pt idx="0">
                  <c:v>Total</c:v>
                </c:pt>
              </c:strCache>
            </c:strRef>
          </c:cat>
          <c:val>
            <c:numRef>
              <c:f>PRACTICE!$AX$4</c:f>
              <c:numCache>
                <c:formatCode>General</c:formatCode>
                <c:ptCount val="1"/>
                <c:pt idx="0">
                  <c:v>1543</c:v>
                </c:pt>
              </c:numCache>
            </c:numRef>
          </c:val>
          <c:extLst>
            <c:ext xmlns:c16="http://schemas.microsoft.com/office/drawing/2014/chart" uri="{C3380CC4-5D6E-409C-BE32-E72D297353CC}">
              <c16:uniqueId val="{00000014-7550-46B3-93A3-E00608CC178F}"/>
            </c:ext>
          </c:extLst>
        </c:ser>
        <c:ser>
          <c:idx val="21"/>
          <c:order val="21"/>
          <c:tx>
            <c:strRef>
              <c:f>PRACTICE!$AY$2:$AY$3</c:f>
              <c:strCache>
                <c:ptCount val="1"/>
                <c:pt idx="0">
                  <c:v>22-Jan</c:v>
                </c:pt>
              </c:strCache>
            </c:strRef>
          </c:tx>
          <c:spPr>
            <a:solidFill>
              <a:schemeClr val="accent4">
                <a:lumMod val="80000"/>
              </a:schemeClr>
            </a:solidFill>
            <a:ln>
              <a:noFill/>
            </a:ln>
            <a:effectLst/>
          </c:spPr>
          <c:invertIfNegative val="0"/>
          <c:cat>
            <c:strRef>
              <c:f>PRACTICE!$AC$4</c:f>
              <c:strCache>
                <c:ptCount val="1"/>
                <c:pt idx="0">
                  <c:v>Total</c:v>
                </c:pt>
              </c:strCache>
            </c:strRef>
          </c:cat>
          <c:val>
            <c:numRef>
              <c:f>PRACTICE!$AY$4</c:f>
              <c:numCache>
                <c:formatCode>General</c:formatCode>
                <c:ptCount val="1"/>
                <c:pt idx="0">
                  <c:v>981</c:v>
                </c:pt>
              </c:numCache>
            </c:numRef>
          </c:val>
          <c:extLst>
            <c:ext xmlns:c16="http://schemas.microsoft.com/office/drawing/2014/chart" uri="{C3380CC4-5D6E-409C-BE32-E72D297353CC}">
              <c16:uniqueId val="{00000015-7550-46B3-93A3-E00608CC178F}"/>
            </c:ext>
          </c:extLst>
        </c:ser>
        <c:ser>
          <c:idx val="22"/>
          <c:order val="22"/>
          <c:tx>
            <c:strRef>
              <c:f>PRACTICE!$AZ$2:$AZ$3</c:f>
              <c:strCache>
                <c:ptCount val="1"/>
                <c:pt idx="0">
                  <c:v>23-Jan</c:v>
                </c:pt>
              </c:strCache>
            </c:strRef>
          </c:tx>
          <c:spPr>
            <a:solidFill>
              <a:schemeClr val="accent5">
                <a:lumMod val="80000"/>
              </a:schemeClr>
            </a:solidFill>
            <a:ln>
              <a:noFill/>
            </a:ln>
            <a:effectLst/>
          </c:spPr>
          <c:invertIfNegative val="0"/>
          <c:cat>
            <c:strRef>
              <c:f>PRACTICE!$AC$4</c:f>
              <c:strCache>
                <c:ptCount val="1"/>
                <c:pt idx="0">
                  <c:v>Total</c:v>
                </c:pt>
              </c:strCache>
            </c:strRef>
          </c:cat>
          <c:val>
            <c:numRef>
              <c:f>PRACTICE!$AZ$4</c:f>
              <c:numCache>
                <c:formatCode>General</c:formatCode>
                <c:ptCount val="1"/>
                <c:pt idx="0">
                  <c:v>986</c:v>
                </c:pt>
              </c:numCache>
            </c:numRef>
          </c:val>
          <c:extLst>
            <c:ext xmlns:c16="http://schemas.microsoft.com/office/drawing/2014/chart" uri="{C3380CC4-5D6E-409C-BE32-E72D297353CC}">
              <c16:uniqueId val="{00000016-7550-46B3-93A3-E00608CC178F}"/>
            </c:ext>
          </c:extLst>
        </c:ser>
        <c:ser>
          <c:idx val="23"/>
          <c:order val="23"/>
          <c:tx>
            <c:strRef>
              <c:f>PRACTICE!$BA$2:$BA$3</c:f>
              <c:strCache>
                <c:ptCount val="1"/>
                <c:pt idx="0">
                  <c:v>24-Jan</c:v>
                </c:pt>
              </c:strCache>
            </c:strRef>
          </c:tx>
          <c:spPr>
            <a:solidFill>
              <a:schemeClr val="accent6">
                <a:lumMod val="80000"/>
              </a:schemeClr>
            </a:solidFill>
            <a:ln>
              <a:noFill/>
            </a:ln>
            <a:effectLst/>
          </c:spPr>
          <c:invertIfNegative val="0"/>
          <c:cat>
            <c:strRef>
              <c:f>PRACTICE!$AC$4</c:f>
              <c:strCache>
                <c:ptCount val="1"/>
                <c:pt idx="0">
                  <c:v>Total</c:v>
                </c:pt>
              </c:strCache>
            </c:strRef>
          </c:cat>
          <c:val>
            <c:numRef>
              <c:f>PRACTICE!$BA$4</c:f>
              <c:numCache>
                <c:formatCode>General</c:formatCode>
                <c:ptCount val="1"/>
                <c:pt idx="0">
                  <c:v>1416</c:v>
                </c:pt>
              </c:numCache>
            </c:numRef>
          </c:val>
          <c:extLst>
            <c:ext xmlns:c16="http://schemas.microsoft.com/office/drawing/2014/chart" uri="{C3380CC4-5D6E-409C-BE32-E72D297353CC}">
              <c16:uniqueId val="{00000017-7550-46B3-93A3-E00608CC178F}"/>
            </c:ext>
          </c:extLst>
        </c:ser>
        <c:ser>
          <c:idx val="24"/>
          <c:order val="24"/>
          <c:tx>
            <c:strRef>
              <c:f>PRACTICE!$BB$2:$BB$3</c:f>
              <c:strCache>
                <c:ptCount val="1"/>
                <c:pt idx="0">
                  <c:v>25-Jan</c:v>
                </c:pt>
              </c:strCache>
            </c:strRef>
          </c:tx>
          <c:spPr>
            <a:solidFill>
              <a:schemeClr val="accent1">
                <a:lumMod val="60000"/>
                <a:lumOff val="40000"/>
              </a:schemeClr>
            </a:solidFill>
            <a:ln>
              <a:noFill/>
            </a:ln>
            <a:effectLst/>
          </c:spPr>
          <c:invertIfNegative val="0"/>
          <c:cat>
            <c:strRef>
              <c:f>PRACTICE!$AC$4</c:f>
              <c:strCache>
                <c:ptCount val="1"/>
                <c:pt idx="0">
                  <c:v>Total</c:v>
                </c:pt>
              </c:strCache>
            </c:strRef>
          </c:cat>
          <c:val>
            <c:numRef>
              <c:f>PRACTICE!$BB$4</c:f>
              <c:numCache>
                <c:formatCode>General</c:formatCode>
                <c:ptCount val="1"/>
                <c:pt idx="0">
                  <c:v>1985</c:v>
                </c:pt>
              </c:numCache>
            </c:numRef>
          </c:val>
          <c:extLst>
            <c:ext xmlns:c16="http://schemas.microsoft.com/office/drawing/2014/chart" uri="{C3380CC4-5D6E-409C-BE32-E72D297353CC}">
              <c16:uniqueId val="{00000018-7550-46B3-93A3-E00608CC178F}"/>
            </c:ext>
          </c:extLst>
        </c:ser>
        <c:ser>
          <c:idx val="25"/>
          <c:order val="25"/>
          <c:tx>
            <c:strRef>
              <c:f>PRACTICE!$BC$2:$BC$3</c:f>
              <c:strCache>
                <c:ptCount val="1"/>
                <c:pt idx="0">
                  <c:v>26-Jan</c:v>
                </c:pt>
              </c:strCache>
            </c:strRef>
          </c:tx>
          <c:spPr>
            <a:solidFill>
              <a:schemeClr val="accent2">
                <a:lumMod val="60000"/>
                <a:lumOff val="40000"/>
              </a:schemeClr>
            </a:solidFill>
            <a:ln>
              <a:noFill/>
            </a:ln>
            <a:effectLst/>
          </c:spPr>
          <c:invertIfNegative val="0"/>
          <c:cat>
            <c:strRef>
              <c:f>PRACTICE!$AC$4</c:f>
              <c:strCache>
                <c:ptCount val="1"/>
                <c:pt idx="0">
                  <c:v>Total</c:v>
                </c:pt>
              </c:strCache>
            </c:strRef>
          </c:cat>
          <c:val>
            <c:numRef>
              <c:f>PRACTICE!$BC$4</c:f>
              <c:numCache>
                <c:formatCode>General</c:formatCode>
                <c:ptCount val="1"/>
                <c:pt idx="0">
                  <c:v>506</c:v>
                </c:pt>
              </c:numCache>
            </c:numRef>
          </c:val>
          <c:extLst>
            <c:ext xmlns:c16="http://schemas.microsoft.com/office/drawing/2014/chart" uri="{C3380CC4-5D6E-409C-BE32-E72D297353CC}">
              <c16:uniqueId val="{00000019-7550-46B3-93A3-E00608CC178F}"/>
            </c:ext>
          </c:extLst>
        </c:ser>
        <c:ser>
          <c:idx val="26"/>
          <c:order val="26"/>
          <c:tx>
            <c:strRef>
              <c:f>PRACTICE!$BD$2:$BD$3</c:f>
              <c:strCache>
                <c:ptCount val="1"/>
                <c:pt idx="0">
                  <c:v>27-Jan</c:v>
                </c:pt>
              </c:strCache>
            </c:strRef>
          </c:tx>
          <c:spPr>
            <a:solidFill>
              <a:schemeClr val="accent3">
                <a:lumMod val="60000"/>
                <a:lumOff val="40000"/>
              </a:schemeClr>
            </a:solidFill>
            <a:ln>
              <a:noFill/>
            </a:ln>
            <a:effectLst/>
          </c:spPr>
          <c:invertIfNegative val="0"/>
          <c:cat>
            <c:strRef>
              <c:f>PRACTICE!$AC$4</c:f>
              <c:strCache>
                <c:ptCount val="1"/>
                <c:pt idx="0">
                  <c:v>Total</c:v>
                </c:pt>
              </c:strCache>
            </c:strRef>
          </c:cat>
          <c:val>
            <c:numRef>
              <c:f>PRACTICE!$BD$4</c:f>
              <c:numCache>
                <c:formatCode>General</c:formatCode>
                <c:ptCount val="1"/>
                <c:pt idx="0">
                  <c:v>431</c:v>
                </c:pt>
              </c:numCache>
            </c:numRef>
          </c:val>
          <c:extLst>
            <c:ext xmlns:c16="http://schemas.microsoft.com/office/drawing/2014/chart" uri="{C3380CC4-5D6E-409C-BE32-E72D297353CC}">
              <c16:uniqueId val="{0000001A-7550-46B3-93A3-E00608CC178F}"/>
            </c:ext>
          </c:extLst>
        </c:ser>
        <c:ser>
          <c:idx val="27"/>
          <c:order val="27"/>
          <c:tx>
            <c:strRef>
              <c:f>PRACTICE!$BE$2:$BE$3</c:f>
              <c:strCache>
                <c:ptCount val="1"/>
                <c:pt idx="0">
                  <c:v>28-Jan</c:v>
                </c:pt>
              </c:strCache>
            </c:strRef>
          </c:tx>
          <c:spPr>
            <a:solidFill>
              <a:schemeClr val="accent4">
                <a:lumMod val="60000"/>
                <a:lumOff val="40000"/>
              </a:schemeClr>
            </a:solidFill>
            <a:ln>
              <a:noFill/>
            </a:ln>
            <a:effectLst/>
          </c:spPr>
          <c:invertIfNegative val="0"/>
          <c:cat>
            <c:strRef>
              <c:f>PRACTICE!$AC$4</c:f>
              <c:strCache>
                <c:ptCount val="1"/>
                <c:pt idx="0">
                  <c:v>Total</c:v>
                </c:pt>
              </c:strCache>
            </c:strRef>
          </c:cat>
          <c:val>
            <c:numRef>
              <c:f>PRACTICE!$BE$4</c:f>
              <c:numCache>
                <c:formatCode>General</c:formatCode>
                <c:ptCount val="1"/>
                <c:pt idx="0">
                  <c:v>1167</c:v>
                </c:pt>
              </c:numCache>
            </c:numRef>
          </c:val>
          <c:extLst>
            <c:ext xmlns:c16="http://schemas.microsoft.com/office/drawing/2014/chart" uri="{C3380CC4-5D6E-409C-BE32-E72D297353CC}">
              <c16:uniqueId val="{0000001B-7550-46B3-93A3-E00608CC178F}"/>
            </c:ext>
          </c:extLst>
        </c:ser>
        <c:ser>
          <c:idx val="28"/>
          <c:order val="28"/>
          <c:tx>
            <c:strRef>
              <c:f>PRACTICE!$BF$2:$BF$3</c:f>
              <c:strCache>
                <c:ptCount val="1"/>
                <c:pt idx="0">
                  <c:v>29-Jan</c:v>
                </c:pt>
              </c:strCache>
            </c:strRef>
          </c:tx>
          <c:spPr>
            <a:solidFill>
              <a:schemeClr val="accent5">
                <a:lumMod val="60000"/>
                <a:lumOff val="40000"/>
              </a:schemeClr>
            </a:solidFill>
            <a:ln>
              <a:noFill/>
            </a:ln>
            <a:effectLst/>
          </c:spPr>
          <c:invertIfNegative val="0"/>
          <c:cat>
            <c:strRef>
              <c:f>PRACTICE!$AC$4</c:f>
              <c:strCache>
                <c:ptCount val="1"/>
                <c:pt idx="0">
                  <c:v>Total</c:v>
                </c:pt>
              </c:strCache>
            </c:strRef>
          </c:cat>
          <c:val>
            <c:numRef>
              <c:f>PRACTICE!$BF$4</c:f>
              <c:numCache>
                <c:formatCode>General</c:formatCode>
                <c:ptCount val="1"/>
                <c:pt idx="0">
                  <c:v>1098</c:v>
                </c:pt>
              </c:numCache>
            </c:numRef>
          </c:val>
          <c:extLst>
            <c:ext xmlns:c16="http://schemas.microsoft.com/office/drawing/2014/chart" uri="{C3380CC4-5D6E-409C-BE32-E72D297353CC}">
              <c16:uniqueId val="{0000001C-7550-46B3-93A3-E00608CC178F}"/>
            </c:ext>
          </c:extLst>
        </c:ser>
        <c:ser>
          <c:idx val="29"/>
          <c:order val="29"/>
          <c:tx>
            <c:strRef>
              <c:f>PRACTICE!$BG$2:$BG$3</c:f>
              <c:strCache>
                <c:ptCount val="1"/>
                <c:pt idx="0">
                  <c:v>30-Jan</c:v>
                </c:pt>
              </c:strCache>
            </c:strRef>
          </c:tx>
          <c:spPr>
            <a:solidFill>
              <a:schemeClr val="accent6">
                <a:lumMod val="60000"/>
                <a:lumOff val="40000"/>
              </a:schemeClr>
            </a:solidFill>
            <a:ln>
              <a:noFill/>
            </a:ln>
            <a:effectLst/>
          </c:spPr>
          <c:invertIfNegative val="0"/>
          <c:cat>
            <c:strRef>
              <c:f>PRACTICE!$AC$4</c:f>
              <c:strCache>
                <c:ptCount val="1"/>
                <c:pt idx="0">
                  <c:v>Total</c:v>
                </c:pt>
              </c:strCache>
            </c:strRef>
          </c:cat>
          <c:val>
            <c:numRef>
              <c:f>PRACTICE!$BG$4</c:f>
              <c:numCache>
                <c:formatCode>General</c:formatCode>
                <c:ptCount val="1"/>
                <c:pt idx="0">
                  <c:v>1096</c:v>
                </c:pt>
              </c:numCache>
            </c:numRef>
          </c:val>
          <c:extLst>
            <c:ext xmlns:c16="http://schemas.microsoft.com/office/drawing/2014/chart" uri="{C3380CC4-5D6E-409C-BE32-E72D297353CC}">
              <c16:uniqueId val="{0000001D-7550-46B3-93A3-E00608CC178F}"/>
            </c:ext>
          </c:extLst>
        </c:ser>
        <c:ser>
          <c:idx val="30"/>
          <c:order val="30"/>
          <c:tx>
            <c:strRef>
              <c:f>PRACTICE!$BH$2:$BH$3</c:f>
              <c:strCache>
                <c:ptCount val="1"/>
                <c:pt idx="0">
                  <c:v>31-Jan</c:v>
                </c:pt>
              </c:strCache>
            </c:strRef>
          </c:tx>
          <c:spPr>
            <a:solidFill>
              <a:schemeClr val="accent1">
                <a:lumMod val="50000"/>
              </a:schemeClr>
            </a:solidFill>
            <a:ln>
              <a:noFill/>
            </a:ln>
            <a:effectLst/>
          </c:spPr>
          <c:invertIfNegative val="0"/>
          <c:cat>
            <c:strRef>
              <c:f>PRACTICE!$AC$4</c:f>
              <c:strCache>
                <c:ptCount val="1"/>
                <c:pt idx="0">
                  <c:v>Total</c:v>
                </c:pt>
              </c:strCache>
            </c:strRef>
          </c:cat>
          <c:val>
            <c:numRef>
              <c:f>PRACTICE!$BH$4</c:f>
              <c:numCache>
                <c:formatCode>General</c:formatCode>
                <c:ptCount val="1"/>
                <c:pt idx="0">
                  <c:v>1501</c:v>
                </c:pt>
              </c:numCache>
            </c:numRef>
          </c:val>
          <c:extLst>
            <c:ext xmlns:c16="http://schemas.microsoft.com/office/drawing/2014/chart" uri="{C3380CC4-5D6E-409C-BE32-E72D297353CC}">
              <c16:uniqueId val="{0000001E-7550-46B3-93A3-E00608CC178F}"/>
            </c:ext>
          </c:extLst>
        </c:ser>
        <c:ser>
          <c:idx val="31"/>
          <c:order val="31"/>
          <c:tx>
            <c:strRef>
              <c:f>PRACTICE!$BI$2:$BI$3</c:f>
              <c:strCache>
                <c:ptCount val="1"/>
                <c:pt idx="0">
                  <c:v>01-Feb</c:v>
                </c:pt>
              </c:strCache>
            </c:strRef>
          </c:tx>
          <c:spPr>
            <a:solidFill>
              <a:schemeClr val="accent2">
                <a:lumMod val="50000"/>
              </a:schemeClr>
            </a:solidFill>
            <a:ln>
              <a:noFill/>
            </a:ln>
            <a:effectLst/>
          </c:spPr>
          <c:invertIfNegative val="0"/>
          <c:cat>
            <c:strRef>
              <c:f>PRACTICE!$AC$4</c:f>
              <c:strCache>
                <c:ptCount val="1"/>
                <c:pt idx="0">
                  <c:v>Total</c:v>
                </c:pt>
              </c:strCache>
            </c:strRef>
          </c:cat>
          <c:val>
            <c:numRef>
              <c:f>PRACTICE!$BI$4</c:f>
              <c:numCache>
                <c:formatCode>General</c:formatCode>
                <c:ptCount val="1"/>
                <c:pt idx="0">
                  <c:v>1360</c:v>
                </c:pt>
              </c:numCache>
            </c:numRef>
          </c:val>
          <c:extLst>
            <c:ext xmlns:c16="http://schemas.microsoft.com/office/drawing/2014/chart" uri="{C3380CC4-5D6E-409C-BE32-E72D297353CC}">
              <c16:uniqueId val="{0000001F-7550-46B3-93A3-E00608CC178F}"/>
            </c:ext>
          </c:extLst>
        </c:ser>
        <c:ser>
          <c:idx val="32"/>
          <c:order val="32"/>
          <c:tx>
            <c:strRef>
              <c:f>PRACTICE!$BJ$2:$BJ$3</c:f>
              <c:strCache>
                <c:ptCount val="1"/>
                <c:pt idx="0">
                  <c:v>02-Feb</c:v>
                </c:pt>
              </c:strCache>
            </c:strRef>
          </c:tx>
          <c:spPr>
            <a:solidFill>
              <a:schemeClr val="accent3">
                <a:lumMod val="50000"/>
              </a:schemeClr>
            </a:solidFill>
            <a:ln>
              <a:noFill/>
            </a:ln>
            <a:effectLst/>
          </c:spPr>
          <c:invertIfNegative val="0"/>
          <c:cat>
            <c:strRef>
              <c:f>PRACTICE!$AC$4</c:f>
              <c:strCache>
                <c:ptCount val="1"/>
                <c:pt idx="0">
                  <c:v>Total</c:v>
                </c:pt>
              </c:strCache>
            </c:strRef>
          </c:cat>
          <c:val>
            <c:numRef>
              <c:f>PRACTICE!$BJ$4</c:f>
              <c:numCache>
                <c:formatCode>General</c:formatCode>
                <c:ptCount val="1"/>
                <c:pt idx="0">
                  <c:v>1526</c:v>
                </c:pt>
              </c:numCache>
            </c:numRef>
          </c:val>
          <c:extLst>
            <c:ext xmlns:c16="http://schemas.microsoft.com/office/drawing/2014/chart" uri="{C3380CC4-5D6E-409C-BE32-E72D297353CC}">
              <c16:uniqueId val="{00000020-7550-46B3-93A3-E00608CC178F}"/>
            </c:ext>
          </c:extLst>
        </c:ser>
        <c:ser>
          <c:idx val="33"/>
          <c:order val="33"/>
          <c:tx>
            <c:strRef>
              <c:f>PRACTICE!$BK$2:$BK$3</c:f>
              <c:strCache>
                <c:ptCount val="1"/>
                <c:pt idx="0">
                  <c:v>03-Feb</c:v>
                </c:pt>
              </c:strCache>
            </c:strRef>
          </c:tx>
          <c:spPr>
            <a:solidFill>
              <a:schemeClr val="accent4">
                <a:lumMod val="50000"/>
              </a:schemeClr>
            </a:solidFill>
            <a:ln>
              <a:noFill/>
            </a:ln>
            <a:effectLst/>
          </c:spPr>
          <c:invertIfNegative val="0"/>
          <c:cat>
            <c:strRef>
              <c:f>PRACTICE!$AC$4</c:f>
              <c:strCache>
                <c:ptCount val="1"/>
                <c:pt idx="0">
                  <c:v>Total</c:v>
                </c:pt>
              </c:strCache>
            </c:strRef>
          </c:cat>
          <c:val>
            <c:numRef>
              <c:f>PRACTICE!$BK$4</c:f>
              <c:numCache>
                <c:formatCode>General</c:formatCode>
                <c:ptCount val="1"/>
                <c:pt idx="0">
                  <c:v>1550</c:v>
                </c:pt>
              </c:numCache>
            </c:numRef>
          </c:val>
          <c:extLst>
            <c:ext xmlns:c16="http://schemas.microsoft.com/office/drawing/2014/chart" uri="{C3380CC4-5D6E-409C-BE32-E72D297353CC}">
              <c16:uniqueId val="{00000021-7550-46B3-93A3-E00608CC178F}"/>
            </c:ext>
          </c:extLst>
        </c:ser>
        <c:ser>
          <c:idx val="34"/>
          <c:order val="34"/>
          <c:tx>
            <c:strRef>
              <c:f>PRACTICE!$BL$2:$BL$3</c:f>
              <c:strCache>
                <c:ptCount val="1"/>
                <c:pt idx="0">
                  <c:v>04-Feb</c:v>
                </c:pt>
              </c:strCache>
            </c:strRef>
          </c:tx>
          <c:spPr>
            <a:solidFill>
              <a:schemeClr val="accent5">
                <a:lumMod val="50000"/>
              </a:schemeClr>
            </a:solidFill>
            <a:ln>
              <a:noFill/>
            </a:ln>
            <a:effectLst/>
          </c:spPr>
          <c:invertIfNegative val="0"/>
          <c:cat>
            <c:strRef>
              <c:f>PRACTICE!$AC$4</c:f>
              <c:strCache>
                <c:ptCount val="1"/>
                <c:pt idx="0">
                  <c:v>Total</c:v>
                </c:pt>
              </c:strCache>
            </c:strRef>
          </c:cat>
          <c:val>
            <c:numRef>
              <c:f>PRACTICE!$BL$4</c:f>
              <c:numCache>
                <c:formatCode>General</c:formatCode>
                <c:ptCount val="1"/>
                <c:pt idx="0">
                  <c:v>1708</c:v>
                </c:pt>
              </c:numCache>
            </c:numRef>
          </c:val>
          <c:extLst>
            <c:ext xmlns:c16="http://schemas.microsoft.com/office/drawing/2014/chart" uri="{C3380CC4-5D6E-409C-BE32-E72D297353CC}">
              <c16:uniqueId val="{00000022-7550-46B3-93A3-E00608CC178F}"/>
            </c:ext>
          </c:extLst>
        </c:ser>
        <c:ser>
          <c:idx val="35"/>
          <c:order val="35"/>
          <c:tx>
            <c:strRef>
              <c:f>PRACTICE!$BM$2:$BM$3</c:f>
              <c:strCache>
                <c:ptCount val="1"/>
                <c:pt idx="0">
                  <c:v>05-Feb</c:v>
                </c:pt>
              </c:strCache>
            </c:strRef>
          </c:tx>
          <c:spPr>
            <a:solidFill>
              <a:schemeClr val="accent6">
                <a:lumMod val="50000"/>
              </a:schemeClr>
            </a:solidFill>
            <a:ln>
              <a:noFill/>
            </a:ln>
            <a:effectLst/>
          </c:spPr>
          <c:invertIfNegative val="0"/>
          <c:cat>
            <c:strRef>
              <c:f>PRACTICE!$AC$4</c:f>
              <c:strCache>
                <c:ptCount val="1"/>
                <c:pt idx="0">
                  <c:v>Total</c:v>
                </c:pt>
              </c:strCache>
            </c:strRef>
          </c:cat>
          <c:val>
            <c:numRef>
              <c:f>PRACTICE!$BM$4</c:f>
              <c:numCache>
                <c:formatCode>General</c:formatCode>
                <c:ptCount val="1"/>
                <c:pt idx="0">
                  <c:v>1005</c:v>
                </c:pt>
              </c:numCache>
            </c:numRef>
          </c:val>
          <c:extLst>
            <c:ext xmlns:c16="http://schemas.microsoft.com/office/drawing/2014/chart" uri="{C3380CC4-5D6E-409C-BE32-E72D297353CC}">
              <c16:uniqueId val="{00000023-7550-46B3-93A3-E00608CC178F}"/>
            </c:ext>
          </c:extLst>
        </c:ser>
        <c:ser>
          <c:idx val="36"/>
          <c:order val="36"/>
          <c:tx>
            <c:strRef>
              <c:f>PRACTICE!$BN$2:$BN$3</c:f>
              <c:strCache>
                <c:ptCount val="1"/>
                <c:pt idx="0">
                  <c:v>06-Feb</c:v>
                </c:pt>
              </c:strCache>
            </c:strRef>
          </c:tx>
          <c:spPr>
            <a:solidFill>
              <a:schemeClr val="accent1">
                <a:lumMod val="70000"/>
                <a:lumOff val="30000"/>
              </a:schemeClr>
            </a:solidFill>
            <a:ln>
              <a:noFill/>
            </a:ln>
            <a:effectLst/>
          </c:spPr>
          <c:invertIfNegative val="0"/>
          <c:cat>
            <c:strRef>
              <c:f>PRACTICE!$AC$4</c:f>
              <c:strCache>
                <c:ptCount val="1"/>
                <c:pt idx="0">
                  <c:v>Total</c:v>
                </c:pt>
              </c:strCache>
            </c:strRef>
          </c:cat>
          <c:val>
            <c:numRef>
              <c:f>PRACTICE!$BN$4</c:f>
              <c:numCache>
                <c:formatCode>General</c:formatCode>
                <c:ptCount val="1"/>
                <c:pt idx="0">
                  <c:v>1623</c:v>
                </c:pt>
              </c:numCache>
            </c:numRef>
          </c:val>
          <c:extLst>
            <c:ext xmlns:c16="http://schemas.microsoft.com/office/drawing/2014/chart" uri="{C3380CC4-5D6E-409C-BE32-E72D297353CC}">
              <c16:uniqueId val="{00000024-7550-46B3-93A3-E00608CC178F}"/>
            </c:ext>
          </c:extLst>
        </c:ser>
        <c:ser>
          <c:idx val="37"/>
          <c:order val="37"/>
          <c:tx>
            <c:strRef>
              <c:f>PRACTICE!$BO$2:$BO$3</c:f>
              <c:strCache>
                <c:ptCount val="1"/>
                <c:pt idx="0">
                  <c:v>07-Feb</c:v>
                </c:pt>
              </c:strCache>
            </c:strRef>
          </c:tx>
          <c:spPr>
            <a:solidFill>
              <a:schemeClr val="accent2">
                <a:lumMod val="70000"/>
                <a:lumOff val="30000"/>
              </a:schemeClr>
            </a:solidFill>
            <a:ln>
              <a:noFill/>
            </a:ln>
            <a:effectLst/>
          </c:spPr>
          <c:invertIfNegative val="0"/>
          <c:cat>
            <c:strRef>
              <c:f>PRACTICE!$AC$4</c:f>
              <c:strCache>
                <c:ptCount val="1"/>
                <c:pt idx="0">
                  <c:v>Total</c:v>
                </c:pt>
              </c:strCache>
            </c:strRef>
          </c:cat>
          <c:val>
            <c:numRef>
              <c:f>PRACTICE!$BO$4</c:f>
              <c:numCache>
                <c:formatCode>General</c:formatCode>
                <c:ptCount val="1"/>
                <c:pt idx="0">
                  <c:v>1712</c:v>
                </c:pt>
              </c:numCache>
            </c:numRef>
          </c:val>
          <c:extLst>
            <c:ext xmlns:c16="http://schemas.microsoft.com/office/drawing/2014/chart" uri="{C3380CC4-5D6E-409C-BE32-E72D297353CC}">
              <c16:uniqueId val="{00000025-7550-46B3-93A3-E00608CC178F}"/>
            </c:ext>
          </c:extLst>
        </c:ser>
        <c:ser>
          <c:idx val="38"/>
          <c:order val="38"/>
          <c:tx>
            <c:strRef>
              <c:f>PRACTICE!$BP$2:$BP$3</c:f>
              <c:strCache>
                <c:ptCount val="1"/>
                <c:pt idx="0">
                  <c:v>08-Feb</c:v>
                </c:pt>
              </c:strCache>
            </c:strRef>
          </c:tx>
          <c:spPr>
            <a:solidFill>
              <a:schemeClr val="accent3">
                <a:lumMod val="70000"/>
                <a:lumOff val="30000"/>
              </a:schemeClr>
            </a:solidFill>
            <a:ln>
              <a:noFill/>
            </a:ln>
            <a:effectLst/>
          </c:spPr>
          <c:invertIfNegative val="0"/>
          <c:cat>
            <c:strRef>
              <c:f>PRACTICE!$AC$4</c:f>
              <c:strCache>
                <c:ptCount val="1"/>
                <c:pt idx="0">
                  <c:v>Total</c:v>
                </c:pt>
              </c:strCache>
            </c:strRef>
          </c:cat>
          <c:val>
            <c:numRef>
              <c:f>PRACTICE!$BP$4</c:f>
              <c:numCache>
                <c:formatCode>General</c:formatCode>
                <c:ptCount val="1"/>
                <c:pt idx="0">
                  <c:v>1530</c:v>
                </c:pt>
              </c:numCache>
            </c:numRef>
          </c:val>
          <c:extLst>
            <c:ext xmlns:c16="http://schemas.microsoft.com/office/drawing/2014/chart" uri="{C3380CC4-5D6E-409C-BE32-E72D297353CC}">
              <c16:uniqueId val="{00000026-7550-46B3-93A3-E00608CC178F}"/>
            </c:ext>
          </c:extLst>
        </c:ser>
        <c:ser>
          <c:idx val="39"/>
          <c:order val="39"/>
          <c:tx>
            <c:strRef>
              <c:f>PRACTICE!$BQ$2:$BQ$3</c:f>
              <c:strCache>
                <c:ptCount val="1"/>
                <c:pt idx="0">
                  <c:v>09-Feb</c:v>
                </c:pt>
              </c:strCache>
            </c:strRef>
          </c:tx>
          <c:spPr>
            <a:solidFill>
              <a:schemeClr val="accent4">
                <a:lumMod val="70000"/>
                <a:lumOff val="30000"/>
              </a:schemeClr>
            </a:solidFill>
            <a:ln>
              <a:noFill/>
            </a:ln>
            <a:effectLst/>
          </c:spPr>
          <c:invertIfNegative val="0"/>
          <c:cat>
            <c:strRef>
              <c:f>PRACTICE!$AC$4</c:f>
              <c:strCache>
                <c:ptCount val="1"/>
                <c:pt idx="0">
                  <c:v>Total</c:v>
                </c:pt>
              </c:strCache>
            </c:strRef>
          </c:cat>
          <c:val>
            <c:numRef>
              <c:f>PRACTICE!$BQ$4</c:f>
              <c:numCache>
                <c:formatCode>General</c:formatCode>
                <c:ptCount val="1"/>
                <c:pt idx="0">
                  <c:v>1605</c:v>
                </c:pt>
              </c:numCache>
            </c:numRef>
          </c:val>
          <c:extLst>
            <c:ext xmlns:c16="http://schemas.microsoft.com/office/drawing/2014/chart" uri="{C3380CC4-5D6E-409C-BE32-E72D297353CC}">
              <c16:uniqueId val="{00000027-7550-46B3-93A3-E00608CC178F}"/>
            </c:ext>
          </c:extLst>
        </c:ser>
        <c:ser>
          <c:idx val="40"/>
          <c:order val="40"/>
          <c:tx>
            <c:strRef>
              <c:f>PRACTICE!$BR$2:$BR$3</c:f>
              <c:strCache>
                <c:ptCount val="1"/>
                <c:pt idx="0">
                  <c:v>10-Feb</c:v>
                </c:pt>
              </c:strCache>
            </c:strRef>
          </c:tx>
          <c:spPr>
            <a:solidFill>
              <a:schemeClr val="accent5">
                <a:lumMod val="70000"/>
                <a:lumOff val="30000"/>
              </a:schemeClr>
            </a:solidFill>
            <a:ln>
              <a:noFill/>
            </a:ln>
            <a:effectLst/>
          </c:spPr>
          <c:invertIfNegative val="0"/>
          <c:cat>
            <c:strRef>
              <c:f>PRACTICE!$AC$4</c:f>
              <c:strCache>
                <c:ptCount val="1"/>
                <c:pt idx="0">
                  <c:v>Total</c:v>
                </c:pt>
              </c:strCache>
            </c:strRef>
          </c:cat>
          <c:val>
            <c:numRef>
              <c:f>PRACTICE!$BR$4</c:f>
              <c:numCache>
                <c:formatCode>General</c:formatCode>
                <c:ptCount val="1"/>
                <c:pt idx="0">
                  <c:v>1538</c:v>
                </c:pt>
              </c:numCache>
            </c:numRef>
          </c:val>
          <c:extLst>
            <c:ext xmlns:c16="http://schemas.microsoft.com/office/drawing/2014/chart" uri="{C3380CC4-5D6E-409C-BE32-E72D297353CC}">
              <c16:uniqueId val="{00000028-7550-46B3-93A3-E00608CC178F}"/>
            </c:ext>
          </c:extLst>
        </c:ser>
        <c:ser>
          <c:idx val="41"/>
          <c:order val="41"/>
          <c:tx>
            <c:strRef>
              <c:f>PRACTICE!$BS$2:$BS$3</c:f>
              <c:strCache>
                <c:ptCount val="1"/>
                <c:pt idx="0">
                  <c:v>11-Feb</c:v>
                </c:pt>
              </c:strCache>
            </c:strRef>
          </c:tx>
          <c:spPr>
            <a:solidFill>
              <a:schemeClr val="accent6">
                <a:lumMod val="70000"/>
                <a:lumOff val="30000"/>
              </a:schemeClr>
            </a:solidFill>
            <a:ln>
              <a:noFill/>
            </a:ln>
            <a:effectLst/>
          </c:spPr>
          <c:invertIfNegative val="0"/>
          <c:cat>
            <c:strRef>
              <c:f>PRACTICE!$AC$4</c:f>
              <c:strCache>
                <c:ptCount val="1"/>
                <c:pt idx="0">
                  <c:v>Total</c:v>
                </c:pt>
              </c:strCache>
            </c:strRef>
          </c:cat>
          <c:val>
            <c:numRef>
              <c:f>PRACTICE!$BS$4</c:f>
              <c:numCache>
                <c:formatCode>General</c:formatCode>
                <c:ptCount val="1"/>
                <c:pt idx="0">
                  <c:v>1746</c:v>
                </c:pt>
              </c:numCache>
            </c:numRef>
          </c:val>
          <c:extLst>
            <c:ext xmlns:c16="http://schemas.microsoft.com/office/drawing/2014/chart" uri="{C3380CC4-5D6E-409C-BE32-E72D297353CC}">
              <c16:uniqueId val="{00000029-7550-46B3-93A3-E00608CC178F}"/>
            </c:ext>
          </c:extLst>
        </c:ser>
        <c:ser>
          <c:idx val="42"/>
          <c:order val="42"/>
          <c:tx>
            <c:strRef>
              <c:f>PRACTICE!$BT$2:$BT$3</c:f>
              <c:strCache>
                <c:ptCount val="1"/>
                <c:pt idx="0">
                  <c:v>12-Feb</c:v>
                </c:pt>
              </c:strCache>
            </c:strRef>
          </c:tx>
          <c:spPr>
            <a:solidFill>
              <a:schemeClr val="accent1">
                <a:lumMod val="70000"/>
              </a:schemeClr>
            </a:solidFill>
            <a:ln>
              <a:noFill/>
            </a:ln>
            <a:effectLst/>
          </c:spPr>
          <c:invertIfNegative val="0"/>
          <c:cat>
            <c:strRef>
              <c:f>PRACTICE!$AC$4</c:f>
              <c:strCache>
                <c:ptCount val="1"/>
                <c:pt idx="0">
                  <c:v>Total</c:v>
                </c:pt>
              </c:strCache>
            </c:strRef>
          </c:cat>
          <c:val>
            <c:numRef>
              <c:f>PRACTICE!$BT$4</c:f>
              <c:numCache>
                <c:formatCode>General</c:formatCode>
                <c:ptCount val="1"/>
                <c:pt idx="0">
                  <c:v>1472</c:v>
                </c:pt>
              </c:numCache>
            </c:numRef>
          </c:val>
          <c:extLst>
            <c:ext xmlns:c16="http://schemas.microsoft.com/office/drawing/2014/chart" uri="{C3380CC4-5D6E-409C-BE32-E72D297353CC}">
              <c16:uniqueId val="{0000002A-7550-46B3-93A3-E00608CC178F}"/>
            </c:ext>
          </c:extLst>
        </c:ser>
        <c:ser>
          <c:idx val="43"/>
          <c:order val="43"/>
          <c:tx>
            <c:strRef>
              <c:f>PRACTICE!$BU$2:$BU$3</c:f>
              <c:strCache>
                <c:ptCount val="1"/>
                <c:pt idx="0">
                  <c:v>13-Feb</c:v>
                </c:pt>
              </c:strCache>
            </c:strRef>
          </c:tx>
          <c:spPr>
            <a:solidFill>
              <a:schemeClr val="accent2">
                <a:lumMod val="70000"/>
              </a:schemeClr>
            </a:solidFill>
            <a:ln>
              <a:noFill/>
            </a:ln>
            <a:effectLst/>
          </c:spPr>
          <c:invertIfNegative val="0"/>
          <c:cat>
            <c:strRef>
              <c:f>PRACTICE!$AC$4</c:f>
              <c:strCache>
                <c:ptCount val="1"/>
                <c:pt idx="0">
                  <c:v>Total</c:v>
                </c:pt>
              </c:strCache>
            </c:strRef>
          </c:cat>
          <c:val>
            <c:numRef>
              <c:f>PRACTICE!$BU$4</c:f>
              <c:numCache>
                <c:formatCode>General</c:formatCode>
                <c:ptCount val="1"/>
                <c:pt idx="0">
                  <c:v>1589</c:v>
                </c:pt>
              </c:numCache>
            </c:numRef>
          </c:val>
          <c:extLst>
            <c:ext xmlns:c16="http://schemas.microsoft.com/office/drawing/2014/chart" uri="{C3380CC4-5D6E-409C-BE32-E72D297353CC}">
              <c16:uniqueId val="{0000002B-7550-46B3-93A3-E00608CC178F}"/>
            </c:ext>
          </c:extLst>
        </c:ser>
        <c:ser>
          <c:idx val="44"/>
          <c:order val="44"/>
          <c:tx>
            <c:strRef>
              <c:f>PRACTICE!$BV$2:$BV$3</c:f>
              <c:strCache>
                <c:ptCount val="1"/>
                <c:pt idx="0">
                  <c:v>14-Feb</c:v>
                </c:pt>
              </c:strCache>
            </c:strRef>
          </c:tx>
          <c:spPr>
            <a:solidFill>
              <a:schemeClr val="accent3">
                <a:lumMod val="70000"/>
              </a:schemeClr>
            </a:solidFill>
            <a:ln>
              <a:noFill/>
            </a:ln>
            <a:effectLst/>
          </c:spPr>
          <c:invertIfNegative val="0"/>
          <c:cat>
            <c:strRef>
              <c:f>PRACTICE!$AC$4</c:f>
              <c:strCache>
                <c:ptCount val="1"/>
                <c:pt idx="0">
                  <c:v>Total</c:v>
                </c:pt>
              </c:strCache>
            </c:strRef>
          </c:cat>
          <c:val>
            <c:numRef>
              <c:f>PRACTICE!$BV$4</c:f>
              <c:numCache>
                <c:formatCode>General</c:formatCode>
                <c:ptCount val="1"/>
                <c:pt idx="0">
                  <c:v>151</c:v>
                </c:pt>
              </c:numCache>
            </c:numRef>
          </c:val>
          <c:extLst>
            <c:ext xmlns:c16="http://schemas.microsoft.com/office/drawing/2014/chart" uri="{C3380CC4-5D6E-409C-BE32-E72D297353CC}">
              <c16:uniqueId val="{0000002C-7550-46B3-93A3-E00608CC178F}"/>
            </c:ext>
          </c:extLst>
        </c:ser>
        <c:dLbls>
          <c:showLegendKey val="0"/>
          <c:showVal val="0"/>
          <c:showCatName val="0"/>
          <c:showSerName val="0"/>
          <c:showPercent val="0"/>
          <c:showBubbleSize val="0"/>
        </c:dLbls>
        <c:gapWidth val="219"/>
        <c:overlap val="-27"/>
        <c:axId val="33080607"/>
        <c:axId val="612089936"/>
      </c:barChart>
      <c:catAx>
        <c:axId val="3308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89936"/>
        <c:crosses val="autoZero"/>
        <c:auto val="1"/>
        <c:lblAlgn val="ctr"/>
        <c:lblOffset val="100"/>
        <c:noMultiLvlLbl val="0"/>
      </c:catAx>
      <c:valAx>
        <c:axId val="6120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FORECAST</a:t>
            </a:r>
            <a:r>
              <a:rPr lang="en-IN" sz="1200" b="1" baseline="0"/>
              <a:t> CHART</a:t>
            </a:r>
          </a:p>
          <a:p>
            <a:pPr>
              <a:defRPr/>
            </a:pPr>
            <a:endParaRPr lang="en-IN"/>
          </a:p>
        </c:rich>
      </c:tx>
      <c:layout>
        <c:manualLayout>
          <c:xMode val="edge"/>
          <c:yMode val="edge"/>
          <c:x val="0.40509455599260363"/>
          <c:y val="2.5925925925925925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552099252319076E-2"/>
          <c:y val="4.822988309918505E-2"/>
          <c:w val="0.92454164981262232"/>
          <c:h val="0.57424130557389563"/>
        </c:manualLayout>
      </c:layout>
      <c:lineChart>
        <c:grouping val="standard"/>
        <c:varyColors val="0"/>
        <c:ser>
          <c:idx val="0"/>
          <c:order val="0"/>
          <c:tx>
            <c:strRef>
              <c:f>FORECAST_SHEET!$B$1</c:f>
              <c:strCache>
                <c:ptCount val="1"/>
                <c:pt idx="0">
                  <c:v>TOTAL_RENTALS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FORECAST_SHEET!$B$2:$B$58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FC5-4CCC-86B1-0AF5CD3CDD14}"/>
            </c:ext>
          </c:extLst>
        </c:ser>
        <c:ser>
          <c:idx val="1"/>
          <c:order val="1"/>
          <c:tx>
            <c:strRef>
              <c:f>FORECAST_SHEET!$C$1</c:f>
              <c:strCache>
                <c:ptCount val="1"/>
                <c:pt idx="0">
                  <c:v>Forecast(TOTAL_RENTALS)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6FC5-4CCC-86B1-0AF5CD3CDD14}"/>
            </c:ext>
          </c:extLst>
        </c:ser>
        <c:ser>
          <c:idx val="2"/>
          <c:order val="2"/>
          <c:tx>
            <c:strRef>
              <c:f>FORECAST_SHEET!$D$1</c:f>
              <c:strCache>
                <c:ptCount val="1"/>
                <c:pt idx="0">
                  <c:v>Lower Confidence Bound(TOTAL_RENTALS)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6FC5-4CCC-86B1-0AF5CD3CDD14}"/>
            </c:ext>
          </c:extLst>
        </c:ser>
        <c:ser>
          <c:idx val="3"/>
          <c:order val="3"/>
          <c:tx>
            <c:strRef>
              <c:f>FORECAST_SHEET!$E$1</c:f>
              <c:strCache>
                <c:ptCount val="1"/>
                <c:pt idx="0">
                  <c:v>Upper Confidence Bound(TOTAL_RENTALS)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FORECAST_SHEET!$E$2:$E$58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6FC5-4CCC-86B1-0AF5CD3CDD14}"/>
            </c:ext>
          </c:extLst>
        </c:ser>
        <c:dLbls>
          <c:showLegendKey val="0"/>
          <c:showVal val="0"/>
          <c:showCatName val="0"/>
          <c:showSerName val="0"/>
          <c:showPercent val="0"/>
          <c:showBubbleSize val="0"/>
        </c:dLbls>
        <c:marker val="1"/>
        <c:smooth val="0"/>
        <c:axId val="1218121087"/>
        <c:axId val="288017552"/>
      </c:lineChart>
      <c:catAx>
        <c:axId val="121812108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17552"/>
        <c:crosses val="autoZero"/>
        <c:auto val="1"/>
        <c:lblAlgn val="ctr"/>
        <c:lblOffset val="100"/>
        <c:noMultiLvlLbl val="0"/>
      </c:catAx>
      <c:valAx>
        <c:axId val="28801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2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ANOMALY</a:t>
            </a:r>
            <a:r>
              <a:rPr lang="en-IN" baseline="0"/>
              <a:t> CHART</a:t>
            </a:r>
            <a:endParaRPr lang="en-IN"/>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'ANAMOLY SHEET'!$F$6</c:f>
              <c:strCache>
                <c:ptCount val="1"/>
                <c:pt idx="0">
                  <c:v>NORMAL VALUES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'ANAMOLY SHEET'!$A$7:$A$1006</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'ANAMOLY SHEET'!$F$7:$F$1006</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#N/A</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#N/A</c:v>
                </c:pt>
                <c:pt idx="100">
                  <c:v>115</c:v>
                </c:pt>
                <c:pt idx="101">
                  <c:v>57</c:v>
                </c:pt>
                <c:pt idx="102">
                  <c:v>46</c:v>
                </c:pt>
                <c:pt idx="103">
                  <c:v>79</c:v>
                </c:pt>
                <c:pt idx="104">
                  <c:v>71</c:v>
                </c:pt>
                <c:pt idx="105">
                  <c:v>62</c:v>
                </c:pt>
                <c:pt idx="106">
                  <c:v>62</c:v>
                </c:pt>
                <c:pt idx="107">
                  <c:v>89</c:v>
                </c:pt>
                <c:pt idx="108">
                  <c:v>#N/A</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#N/A</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#N/A</c:v>
                </c:pt>
                <c:pt idx="146">
                  <c:v>134</c:v>
                </c:pt>
                <c:pt idx="147">
                  <c:v>63</c:v>
                </c:pt>
                <c:pt idx="148">
                  <c:v>67</c:v>
                </c:pt>
                <c:pt idx="149">
                  <c:v>59</c:v>
                </c:pt>
                <c:pt idx="150">
                  <c:v>73</c:v>
                </c:pt>
                <c:pt idx="151">
                  <c:v>50</c:v>
                </c:pt>
                <c:pt idx="152">
                  <c:v>72</c:v>
                </c:pt>
                <c:pt idx="153">
                  <c:v>87</c:v>
                </c:pt>
                <c:pt idx="154">
                  <c:v>#N/A</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#N/A</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#N/A</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#N/A</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#N/A</c:v>
                </c:pt>
                <c:pt idx="416">
                  <c:v>109</c:v>
                </c:pt>
                <c:pt idx="417">
                  <c:v>47</c:v>
                </c:pt>
                <c:pt idx="418">
                  <c:v>52</c:v>
                </c:pt>
                <c:pt idx="419">
                  <c:v>70</c:v>
                </c:pt>
                <c:pt idx="420">
                  <c:v>78</c:v>
                </c:pt>
                <c:pt idx="421">
                  <c:v>75</c:v>
                </c:pt>
                <c:pt idx="422">
                  <c:v>82</c:v>
                </c:pt>
                <c:pt idx="423">
                  <c:v>104</c:v>
                </c:pt>
                <c:pt idx="424">
                  <c:v>#N/A</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#N/A</c:v>
                </c:pt>
                <c:pt idx="440">
                  <c:v>143</c:v>
                </c:pt>
                <c:pt idx="441">
                  <c:v>57</c:v>
                </c:pt>
                <c:pt idx="442">
                  <c:v>68</c:v>
                </c:pt>
                <c:pt idx="443">
                  <c:v>84</c:v>
                </c:pt>
                <c:pt idx="444">
                  <c:v>98</c:v>
                </c:pt>
                <c:pt idx="445">
                  <c:v>81</c:v>
                </c:pt>
                <c:pt idx="446">
                  <c:v>70</c:v>
                </c:pt>
                <c:pt idx="447">
                  <c:v>91</c:v>
                </c:pt>
                <c:pt idx="448">
                  <c:v>#N/A</c:v>
                </c:pt>
                <c:pt idx="449">
                  <c:v>#N/A</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#N/A</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#N/A</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#N/A</c:v>
                </c:pt>
                <c:pt idx="556">
                  <c:v>144</c:v>
                </c:pt>
                <c:pt idx="557">
                  <c:v>55</c:v>
                </c:pt>
                <c:pt idx="558">
                  <c:v>61</c:v>
                </c:pt>
                <c:pt idx="559">
                  <c:v>106</c:v>
                </c:pt>
                <c:pt idx="560">
                  <c:v>93</c:v>
                </c:pt>
                <c:pt idx="561">
                  <c:v>68</c:v>
                </c:pt>
                <c:pt idx="562">
                  <c:v>84</c:v>
                </c:pt>
                <c:pt idx="563">
                  <c:v>116</c:v>
                </c:pt>
                <c:pt idx="564">
                  <c:v>#N/A</c:v>
                </c:pt>
                <c:pt idx="565">
                  <c:v>#N/A</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#N/A</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#N/A</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#N/A</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#N/A</c:v>
                </c:pt>
                <c:pt idx="766">
                  <c:v>127</c:v>
                </c:pt>
                <c:pt idx="767">
                  <c:v>51</c:v>
                </c:pt>
                <c:pt idx="768">
                  <c:v>64</c:v>
                </c:pt>
                <c:pt idx="769">
                  <c:v>86</c:v>
                </c:pt>
                <c:pt idx="770">
                  <c:v>82</c:v>
                </c:pt>
                <c:pt idx="771">
                  <c:v>91</c:v>
                </c:pt>
                <c:pt idx="772">
                  <c:v>90</c:v>
                </c:pt>
                <c:pt idx="773">
                  <c:v>99</c:v>
                </c:pt>
                <c:pt idx="774">
                  <c:v>#N/A</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#N/A</c:v>
                </c:pt>
                <c:pt idx="838">
                  <c:v>118</c:v>
                </c:pt>
                <c:pt idx="839">
                  <c:v>55</c:v>
                </c:pt>
                <c:pt idx="840">
                  <c:v>47</c:v>
                </c:pt>
                <c:pt idx="841">
                  <c:v>66</c:v>
                </c:pt>
                <c:pt idx="842">
                  <c:v>64</c:v>
                </c:pt>
                <c:pt idx="843">
                  <c:v>60</c:v>
                </c:pt>
                <c:pt idx="844">
                  <c:v>50</c:v>
                </c:pt>
                <c:pt idx="845">
                  <c:v>114</c:v>
                </c:pt>
                <c:pt idx="846">
                  <c:v>#N/A</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#N/A</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#N/A</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#N/A</c:v>
                </c:pt>
                <c:pt idx="930">
                  <c:v>140</c:v>
                </c:pt>
                <c:pt idx="931">
                  <c:v>44</c:v>
                </c:pt>
                <c:pt idx="932">
                  <c:v>64</c:v>
                </c:pt>
                <c:pt idx="933">
                  <c:v>71</c:v>
                </c:pt>
                <c:pt idx="934">
                  <c:v>110</c:v>
                </c:pt>
                <c:pt idx="935">
                  <c:v>84</c:v>
                </c:pt>
                <c:pt idx="936">
                  <c:v>74</c:v>
                </c:pt>
                <c:pt idx="937">
                  <c:v>125</c:v>
                </c:pt>
                <c:pt idx="938">
                  <c:v>#N/A</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val>
          <c:smooth val="0"/>
          <c:extLst>
            <c:ext xmlns:c16="http://schemas.microsoft.com/office/drawing/2014/chart" uri="{C3380CC4-5D6E-409C-BE32-E72D297353CC}">
              <c16:uniqueId val="{00000000-A9D1-40C2-A177-5E420C2CBBAA}"/>
            </c:ext>
          </c:extLst>
        </c:ser>
        <c:ser>
          <c:idx val="1"/>
          <c:order val="1"/>
          <c:tx>
            <c:strRef>
              <c:f>'ANAMOLY SHEET'!$G$6</c:f>
              <c:strCache>
                <c:ptCount val="1"/>
                <c:pt idx="0">
                  <c:v>ANAMOLY VALUES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'ANAMOLY SHEET'!$A$7:$A$1006</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'ANAMOLY SHEET'!$G$7:$G$1006</c:f>
              <c:numCache>
                <c:formatCode>General</c:formatCode>
                <c:ptCount val="100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212</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195</c:v>
                </c:pt>
                <c:pt idx="100">
                  <c:v>#N/A</c:v>
                </c:pt>
                <c:pt idx="101">
                  <c:v>#N/A</c:v>
                </c:pt>
                <c:pt idx="102">
                  <c:v>#N/A</c:v>
                </c:pt>
                <c:pt idx="103">
                  <c:v>#N/A</c:v>
                </c:pt>
                <c:pt idx="104">
                  <c:v>#N/A</c:v>
                </c:pt>
                <c:pt idx="105">
                  <c:v>#N/A</c:v>
                </c:pt>
                <c:pt idx="106">
                  <c:v>#N/A</c:v>
                </c:pt>
                <c:pt idx="107">
                  <c:v>#N/A</c:v>
                </c:pt>
                <c:pt idx="108">
                  <c:v>190</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219</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210</c:v>
                </c:pt>
                <c:pt idx="146">
                  <c:v>#N/A</c:v>
                </c:pt>
                <c:pt idx="147">
                  <c:v>#N/A</c:v>
                </c:pt>
                <c:pt idx="148">
                  <c:v>#N/A</c:v>
                </c:pt>
                <c:pt idx="149">
                  <c:v>#N/A</c:v>
                </c:pt>
                <c:pt idx="150">
                  <c:v>#N/A</c:v>
                </c:pt>
                <c:pt idx="151">
                  <c:v>#N/A</c:v>
                </c:pt>
                <c:pt idx="152">
                  <c:v>#N/A</c:v>
                </c:pt>
                <c:pt idx="153">
                  <c:v>#N/A</c:v>
                </c:pt>
                <c:pt idx="154">
                  <c:v>187</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188</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217</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202</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197</c:v>
                </c:pt>
                <c:pt idx="416">
                  <c:v>#N/A</c:v>
                </c:pt>
                <c:pt idx="417">
                  <c:v>#N/A</c:v>
                </c:pt>
                <c:pt idx="418">
                  <c:v>#N/A</c:v>
                </c:pt>
                <c:pt idx="419">
                  <c:v>#N/A</c:v>
                </c:pt>
                <c:pt idx="420">
                  <c:v>#N/A</c:v>
                </c:pt>
                <c:pt idx="421">
                  <c:v>#N/A</c:v>
                </c:pt>
                <c:pt idx="422">
                  <c:v>#N/A</c:v>
                </c:pt>
                <c:pt idx="423">
                  <c:v>#N/A</c:v>
                </c:pt>
                <c:pt idx="424">
                  <c:v>197</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249</c:v>
                </c:pt>
                <c:pt idx="440">
                  <c:v>#N/A</c:v>
                </c:pt>
                <c:pt idx="441">
                  <c:v>#N/A</c:v>
                </c:pt>
                <c:pt idx="442">
                  <c:v>#N/A</c:v>
                </c:pt>
                <c:pt idx="443">
                  <c:v>#N/A</c:v>
                </c:pt>
                <c:pt idx="444">
                  <c:v>#N/A</c:v>
                </c:pt>
                <c:pt idx="445">
                  <c:v>#N/A</c:v>
                </c:pt>
                <c:pt idx="446">
                  <c:v>#N/A</c:v>
                </c:pt>
                <c:pt idx="447">
                  <c:v>#N/A</c:v>
                </c:pt>
                <c:pt idx="448">
                  <c:v>215</c:v>
                </c:pt>
                <c:pt idx="449">
                  <c:v>185</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217</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184</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238</c:v>
                </c:pt>
                <c:pt idx="556">
                  <c:v>#N/A</c:v>
                </c:pt>
                <c:pt idx="557">
                  <c:v>#N/A</c:v>
                </c:pt>
                <c:pt idx="558">
                  <c:v>#N/A</c:v>
                </c:pt>
                <c:pt idx="559">
                  <c:v>#N/A</c:v>
                </c:pt>
                <c:pt idx="560">
                  <c:v>#N/A</c:v>
                </c:pt>
                <c:pt idx="561">
                  <c:v>#N/A</c:v>
                </c:pt>
                <c:pt idx="562">
                  <c:v>#N/A</c:v>
                </c:pt>
                <c:pt idx="563">
                  <c:v>#N/A</c:v>
                </c:pt>
                <c:pt idx="564">
                  <c:v>222</c:v>
                </c:pt>
                <c:pt idx="565">
                  <c:v>225</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185</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190</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188</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220</c:v>
                </c:pt>
                <c:pt idx="766">
                  <c:v>#N/A</c:v>
                </c:pt>
                <c:pt idx="767">
                  <c:v>#N/A</c:v>
                </c:pt>
                <c:pt idx="768">
                  <c:v>#N/A</c:v>
                </c:pt>
                <c:pt idx="769">
                  <c:v>#N/A</c:v>
                </c:pt>
                <c:pt idx="770">
                  <c:v>#N/A</c:v>
                </c:pt>
                <c:pt idx="771">
                  <c:v>#N/A</c:v>
                </c:pt>
                <c:pt idx="772">
                  <c:v>#N/A</c:v>
                </c:pt>
                <c:pt idx="773">
                  <c:v>#N/A</c:v>
                </c:pt>
                <c:pt idx="774">
                  <c:v>205</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230</c:v>
                </c:pt>
                <c:pt idx="838">
                  <c:v>#N/A</c:v>
                </c:pt>
                <c:pt idx="839">
                  <c:v>#N/A</c:v>
                </c:pt>
                <c:pt idx="840">
                  <c:v>#N/A</c:v>
                </c:pt>
                <c:pt idx="841">
                  <c:v>#N/A</c:v>
                </c:pt>
                <c:pt idx="842">
                  <c:v>#N/A</c:v>
                </c:pt>
                <c:pt idx="843">
                  <c:v>#N/A</c:v>
                </c:pt>
                <c:pt idx="844">
                  <c:v>#N/A</c:v>
                </c:pt>
                <c:pt idx="845">
                  <c:v>#N/A</c:v>
                </c:pt>
                <c:pt idx="846">
                  <c:v>216</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243</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199</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216</c:v>
                </c:pt>
                <c:pt idx="930">
                  <c:v>#N/A</c:v>
                </c:pt>
                <c:pt idx="931">
                  <c:v>#N/A</c:v>
                </c:pt>
                <c:pt idx="932">
                  <c:v>#N/A</c:v>
                </c:pt>
                <c:pt idx="933">
                  <c:v>#N/A</c:v>
                </c:pt>
                <c:pt idx="934">
                  <c:v>#N/A</c:v>
                </c:pt>
                <c:pt idx="935">
                  <c:v>#N/A</c:v>
                </c:pt>
                <c:pt idx="936">
                  <c:v>#N/A</c:v>
                </c:pt>
                <c:pt idx="937">
                  <c:v>#N/A</c:v>
                </c:pt>
                <c:pt idx="938">
                  <c:v>211</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val>
          <c:smooth val="0"/>
          <c:extLst>
            <c:ext xmlns:c16="http://schemas.microsoft.com/office/drawing/2014/chart" uri="{C3380CC4-5D6E-409C-BE32-E72D297353CC}">
              <c16:uniqueId val="{00000001-A9D1-40C2-A177-5E420C2CBBAA}"/>
            </c:ext>
          </c:extLst>
        </c:ser>
        <c:dLbls>
          <c:showLegendKey val="0"/>
          <c:showVal val="0"/>
          <c:showCatName val="0"/>
          <c:showSerName val="0"/>
          <c:showPercent val="0"/>
          <c:showBubbleSize val="0"/>
        </c:dLbls>
        <c:marker val="1"/>
        <c:smooth val="0"/>
        <c:axId val="65683024"/>
        <c:axId val="650880847"/>
      </c:lineChart>
      <c:dateAx>
        <c:axId val="6568302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80847"/>
        <c:crosses val="autoZero"/>
        <c:auto val="1"/>
        <c:lblOffset val="100"/>
        <c:baseTimeUnit val="days"/>
      </c:dateAx>
      <c:valAx>
        <c:axId val="6508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TEMP</a:t>
            </a:r>
            <a:r>
              <a:rPr lang="en-IN" sz="1050" b="1" baseline="0"/>
              <a:t> VS HUMIDITY</a:t>
            </a:r>
            <a:endParaRPr lang="en-IN" sz="1050" b="1"/>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FINAL_SHEET!$N$1</c:f>
              <c:strCache>
                <c:ptCount val="1"/>
                <c:pt idx="0">
                  <c:v>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FINAL_SHEET!$N$2:$N$1001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val>
          <c:smooth val="0"/>
          <c:extLst>
            <c:ext xmlns:c16="http://schemas.microsoft.com/office/drawing/2014/chart" uri="{C3380CC4-5D6E-409C-BE32-E72D297353CC}">
              <c16:uniqueId val="{00000000-3CFC-4B24-87AD-28E8B622CE43}"/>
            </c:ext>
          </c:extLst>
        </c:ser>
        <c:ser>
          <c:idx val="1"/>
          <c:order val="1"/>
          <c:tx>
            <c:strRef>
              <c:f>FINAL_SHEET!$P$1</c:f>
              <c:strCache>
                <c:ptCount val="1"/>
                <c:pt idx="0">
                  <c:v>HUMIDITY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FINAL_SHEET!$P$2:$P$1001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val>
          <c:smooth val="0"/>
          <c:extLst>
            <c:ext xmlns:c16="http://schemas.microsoft.com/office/drawing/2014/chart" uri="{C3380CC4-5D6E-409C-BE32-E72D297353CC}">
              <c16:uniqueId val="{00000001-3CFC-4B24-87AD-28E8B622CE43}"/>
            </c:ext>
          </c:extLst>
        </c:ser>
        <c:dLbls>
          <c:showLegendKey val="0"/>
          <c:showVal val="0"/>
          <c:showCatName val="0"/>
          <c:showSerName val="0"/>
          <c:showPercent val="0"/>
          <c:showBubbleSize val="0"/>
        </c:dLbls>
        <c:marker val="1"/>
        <c:smooth val="0"/>
        <c:axId val="1911890655"/>
        <c:axId val="650898127"/>
      </c:lineChart>
      <c:catAx>
        <c:axId val="1911890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98127"/>
        <c:crosses val="autoZero"/>
        <c:auto val="1"/>
        <c:lblAlgn val="ctr"/>
        <c:lblOffset val="100"/>
        <c:noMultiLvlLbl val="0"/>
      </c:catAx>
      <c:valAx>
        <c:axId val="650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89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PRACTICE!$B$1</c:f>
              <c:strCache>
                <c:ptCount val="1"/>
                <c:pt idx="0">
                  <c:v>Max of CASUAL_RENTALS</c:v>
                </c:pt>
              </c:strCache>
            </c:strRef>
          </c:tx>
          <c:spPr>
            <a:solidFill>
              <a:schemeClr val="accent1"/>
            </a:solidFill>
            <a:ln>
              <a:noFill/>
            </a:ln>
            <a:effectLst/>
            <a:sp3d/>
          </c:spPr>
          <c:invertIfNegative val="0"/>
          <c:cat>
            <c:strRef>
              <c:f>PRACTICE!$A$2:$A$6</c:f>
              <c:strCache>
                <c:ptCount val="4"/>
                <c:pt idx="0">
                  <c:v>clear</c:v>
                </c:pt>
                <c:pt idx="1">
                  <c:v>cloudy</c:v>
                </c:pt>
                <c:pt idx="2">
                  <c:v>heavy rain</c:v>
                </c:pt>
                <c:pt idx="3">
                  <c:v>light rain</c:v>
                </c:pt>
              </c:strCache>
            </c:strRef>
          </c:cat>
          <c:val>
            <c:numRef>
              <c:f>PRACTICE!$B$2:$B$6</c:f>
              <c:numCache>
                <c:formatCode>General</c:formatCode>
                <c:ptCount val="4"/>
                <c:pt idx="0">
                  <c:v>62</c:v>
                </c:pt>
                <c:pt idx="1">
                  <c:v>51</c:v>
                </c:pt>
                <c:pt idx="2">
                  <c:v>1</c:v>
                </c:pt>
                <c:pt idx="3">
                  <c:v>19</c:v>
                </c:pt>
              </c:numCache>
            </c:numRef>
          </c:val>
          <c:extLst>
            <c:ext xmlns:c16="http://schemas.microsoft.com/office/drawing/2014/chart" uri="{C3380CC4-5D6E-409C-BE32-E72D297353CC}">
              <c16:uniqueId val="{00000000-EDAA-4C9D-A25A-94FA439FD9B2}"/>
            </c:ext>
          </c:extLst>
        </c:ser>
        <c:ser>
          <c:idx val="1"/>
          <c:order val="1"/>
          <c:tx>
            <c:strRef>
              <c:f>PRACTICE!$C$1</c:f>
              <c:strCache>
                <c:ptCount val="1"/>
                <c:pt idx="0">
                  <c:v>Max of REGISTERED_RENTALS</c:v>
                </c:pt>
              </c:strCache>
            </c:strRef>
          </c:tx>
          <c:spPr>
            <a:solidFill>
              <a:schemeClr val="accent2"/>
            </a:solidFill>
            <a:ln>
              <a:noFill/>
            </a:ln>
            <a:effectLst/>
            <a:sp3d/>
          </c:spPr>
          <c:invertIfNegative val="0"/>
          <c:cat>
            <c:strRef>
              <c:f>PRACTICE!$A$2:$A$6</c:f>
              <c:strCache>
                <c:ptCount val="4"/>
                <c:pt idx="0">
                  <c:v>clear</c:v>
                </c:pt>
                <c:pt idx="1">
                  <c:v>cloudy</c:v>
                </c:pt>
                <c:pt idx="2">
                  <c:v>heavy rain</c:v>
                </c:pt>
                <c:pt idx="3">
                  <c:v>light rain</c:v>
                </c:pt>
              </c:strCache>
            </c:strRef>
          </c:cat>
          <c:val>
            <c:numRef>
              <c:f>PRACTICE!$C$2:$C$6</c:f>
              <c:numCache>
                <c:formatCode>General</c:formatCode>
                <c:ptCount val="4"/>
                <c:pt idx="0">
                  <c:v>247</c:v>
                </c:pt>
                <c:pt idx="1">
                  <c:v>233</c:v>
                </c:pt>
                <c:pt idx="2">
                  <c:v>35</c:v>
                </c:pt>
                <c:pt idx="3">
                  <c:v>154</c:v>
                </c:pt>
              </c:numCache>
            </c:numRef>
          </c:val>
          <c:extLst>
            <c:ext xmlns:c16="http://schemas.microsoft.com/office/drawing/2014/chart" uri="{C3380CC4-5D6E-409C-BE32-E72D297353CC}">
              <c16:uniqueId val="{00000001-EDAA-4C9D-A25A-94FA439FD9B2}"/>
            </c:ext>
          </c:extLst>
        </c:ser>
        <c:ser>
          <c:idx val="2"/>
          <c:order val="2"/>
          <c:tx>
            <c:strRef>
              <c:f>PRACTICE!$D$1</c:f>
              <c:strCache>
                <c:ptCount val="1"/>
                <c:pt idx="0">
                  <c:v>Max of TOTAL_RENTALS</c:v>
                </c:pt>
              </c:strCache>
            </c:strRef>
          </c:tx>
          <c:spPr>
            <a:solidFill>
              <a:schemeClr val="accent3"/>
            </a:solidFill>
            <a:ln>
              <a:noFill/>
            </a:ln>
            <a:effectLst/>
            <a:sp3d/>
          </c:spPr>
          <c:invertIfNegative val="0"/>
          <c:cat>
            <c:strRef>
              <c:f>PRACTICE!$A$2:$A$6</c:f>
              <c:strCache>
                <c:ptCount val="4"/>
                <c:pt idx="0">
                  <c:v>clear</c:v>
                </c:pt>
                <c:pt idx="1">
                  <c:v>cloudy</c:v>
                </c:pt>
                <c:pt idx="2">
                  <c:v>heavy rain</c:v>
                </c:pt>
                <c:pt idx="3">
                  <c:v>light rain</c:v>
                </c:pt>
              </c:strCache>
            </c:strRef>
          </c:cat>
          <c:val>
            <c:numRef>
              <c:f>PRACTICE!$D$2:$D$6</c:f>
              <c:numCache>
                <c:formatCode>General</c:formatCode>
                <c:ptCount val="4"/>
                <c:pt idx="0">
                  <c:v>249</c:v>
                </c:pt>
                <c:pt idx="1">
                  <c:v>238</c:v>
                </c:pt>
                <c:pt idx="2">
                  <c:v>36</c:v>
                </c:pt>
                <c:pt idx="3">
                  <c:v>155</c:v>
                </c:pt>
              </c:numCache>
            </c:numRef>
          </c:val>
          <c:extLst>
            <c:ext xmlns:c16="http://schemas.microsoft.com/office/drawing/2014/chart" uri="{C3380CC4-5D6E-409C-BE32-E72D297353CC}">
              <c16:uniqueId val="{00000003-EDAA-4C9D-A25A-94FA439FD9B2}"/>
            </c:ext>
          </c:extLst>
        </c:ser>
        <c:dLbls>
          <c:showLegendKey val="0"/>
          <c:showVal val="0"/>
          <c:showCatName val="0"/>
          <c:showSerName val="0"/>
          <c:showPercent val="0"/>
          <c:showBubbleSize val="0"/>
        </c:dLbls>
        <c:gapWidth val="150"/>
        <c:shape val="box"/>
        <c:axId val="613012271"/>
        <c:axId val="1160662127"/>
        <c:axId val="0"/>
      </c:bar3DChart>
      <c:catAx>
        <c:axId val="61301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62127"/>
        <c:crosses val="autoZero"/>
        <c:auto val="1"/>
        <c:lblAlgn val="ctr"/>
        <c:lblOffset val="100"/>
        <c:noMultiLvlLbl val="0"/>
      </c:catAx>
      <c:valAx>
        <c:axId val="116066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01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marker>
          <c:symbol val="none"/>
        </c:marker>
        <c:dLbl>
          <c:idx val="0"/>
          <c:delete val="1"/>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marker>
          <c:symbol val="none"/>
        </c:marker>
        <c:dLbl>
          <c:idx val="0"/>
          <c:delete val="1"/>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marker>
          <c:symbol val="none"/>
        </c:marker>
        <c:dLbl>
          <c:idx val="0"/>
          <c:delete val="1"/>
          <c:extLst>
            <c:ext xmlns:c15="http://schemas.microsoft.com/office/drawing/2012/chart" uri="{CE6537A1-D6FC-4f65-9D91-7224C49458BB}"/>
          </c:extLst>
        </c:dLbl>
      </c:pivotFmt>
      <c:pivotFmt>
        <c:idx val="101"/>
        <c:spPr>
          <a:solidFill>
            <a:schemeClr val="accent1"/>
          </a:solidFill>
          <a:ln w="19050">
            <a:solidFill>
              <a:schemeClr val="lt1"/>
            </a:solidFill>
          </a:ln>
          <a:effectLst/>
        </c:spPr>
      </c:pivotFmt>
      <c:pivotFmt>
        <c:idx val="102"/>
        <c:marker>
          <c:symbol val="none"/>
        </c:marker>
        <c:dLbl>
          <c:idx val="0"/>
          <c:delete val="1"/>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marker>
          <c:symbol val="none"/>
        </c:marker>
        <c:dLbl>
          <c:idx val="0"/>
          <c:delete val="1"/>
          <c:extLst>
            <c:ext xmlns:c15="http://schemas.microsoft.com/office/drawing/2012/chart" uri="{CE6537A1-D6FC-4f65-9D91-7224C49458BB}"/>
          </c:extLst>
        </c:dLbl>
      </c:pivotFmt>
      <c:pivotFmt>
        <c:idx val="105"/>
        <c:marker>
          <c:symbol val="none"/>
        </c:marker>
        <c:dLbl>
          <c:idx val="0"/>
          <c:delete val="1"/>
          <c:extLst>
            <c:ext xmlns:c15="http://schemas.microsoft.com/office/drawing/2012/chart" uri="{CE6537A1-D6FC-4f65-9D91-7224C49458BB}"/>
          </c:extLst>
        </c:dLbl>
      </c:pivotFmt>
      <c:pivotFmt>
        <c:idx val="106"/>
        <c:marker>
          <c:symbol val="none"/>
        </c:marker>
        <c:dLbl>
          <c:idx val="0"/>
          <c:delete val="1"/>
          <c:extLst>
            <c:ext xmlns:c15="http://schemas.microsoft.com/office/drawing/2012/chart" uri="{CE6537A1-D6FC-4f65-9D91-7224C49458BB}"/>
          </c:extLst>
        </c:dLbl>
      </c:pivotFmt>
      <c:pivotFmt>
        <c:idx val="107"/>
        <c:marker>
          <c:symbol val="none"/>
        </c:marker>
        <c:dLbl>
          <c:idx val="0"/>
          <c:delete val="1"/>
          <c:extLst>
            <c:ext xmlns:c15="http://schemas.microsoft.com/office/drawing/2012/chart" uri="{CE6537A1-D6FC-4f65-9D91-7224C49458BB}"/>
          </c:extLst>
        </c:dLbl>
      </c:pivotFmt>
      <c:pivotFmt>
        <c:idx val="108"/>
        <c:marker>
          <c:symbol val="none"/>
        </c:marker>
        <c:dLbl>
          <c:idx val="0"/>
          <c:delete val="1"/>
          <c:extLst>
            <c:ext xmlns:c15="http://schemas.microsoft.com/office/drawing/2012/chart" uri="{CE6537A1-D6FC-4f65-9D91-7224C49458BB}"/>
          </c:extLst>
        </c:dLbl>
      </c:pivotFmt>
      <c:pivotFmt>
        <c:idx val="109"/>
        <c:marker>
          <c:symbol val="none"/>
        </c:marker>
        <c:dLbl>
          <c:idx val="0"/>
          <c:delete val="1"/>
          <c:extLst>
            <c:ext xmlns:c15="http://schemas.microsoft.com/office/drawing/2012/chart" uri="{CE6537A1-D6FC-4f65-9D91-7224C49458BB}"/>
          </c:extLst>
        </c:dLbl>
      </c:pivotFmt>
      <c:pivotFmt>
        <c:idx val="110"/>
        <c:marker>
          <c:symbol val="none"/>
        </c:marker>
        <c:dLbl>
          <c:idx val="0"/>
          <c:delete val="1"/>
          <c:extLst>
            <c:ext xmlns:c15="http://schemas.microsoft.com/office/drawing/2012/chart" uri="{CE6537A1-D6FC-4f65-9D91-7224C49458BB}"/>
          </c:extLst>
        </c:dLbl>
      </c:pivotFmt>
      <c:pivotFmt>
        <c:idx val="111"/>
        <c:marker>
          <c:symbol val="none"/>
        </c:marker>
        <c:dLbl>
          <c:idx val="0"/>
          <c:delete val="1"/>
          <c:extLst>
            <c:ext xmlns:c15="http://schemas.microsoft.com/office/drawing/2012/chart" uri="{CE6537A1-D6FC-4f65-9D91-7224C49458BB}"/>
          </c:extLst>
        </c:dLbl>
      </c:pivotFmt>
      <c:pivotFmt>
        <c:idx val="112"/>
        <c:marker>
          <c:symbol val="none"/>
        </c:marker>
        <c:dLbl>
          <c:idx val="0"/>
          <c:delete val="1"/>
          <c:extLst>
            <c:ext xmlns:c15="http://schemas.microsoft.com/office/drawing/2012/chart" uri="{CE6537A1-D6FC-4f65-9D91-7224C49458BB}"/>
          </c:extLst>
        </c:dLbl>
      </c:pivotFmt>
      <c:pivotFmt>
        <c:idx val="113"/>
        <c:marker>
          <c:symbol val="none"/>
        </c:marker>
        <c:dLbl>
          <c:idx val="0"/>
          <c:delete val="1"/>
          <c:extLst>
            <c:ext xmlns:c15="http://schemas.microsoft.com/office/drawing/2012/chart" uri="{CE6537A1-D6FC-4f65-9D91-7224C49458BB}"/>
          </c:extLst>
        </c:dLbl>
      </c:pivotFmt>
      <c:pivotFmt>
        <c:idx val="114"/>
        <c:marker>
          <c:symbol val="none"/>
        </c:marker>
        <c:dLbl>
          <c:idx val="0"/>
          <c:delete val="1"/>
          <c:extLst>
            <c:ext xmlns:c15="http://schemas.microsoft.com/office/drawing/2012/chart" uri="{CE6537A1-D6FC-4f65-9D91-7224C49458BB}"/>
          </c:extLst>
        </c:dLbl>
      </c:pivotFmt>
      <c:pivotFmt>
        <c:idx val="115"/>
        <c:marker>
          <c:symbol val="none"/>
        </c:marker>
        <c:dLbl>
          <c:idx val="0"/>
          <c:delete val="1"/>
          <c:extLst>
            <c:ext xmlns:c15="http://schemas.microsoft.com/office/drawing/2012/chart" uri="{CE6537A1-D6FC-4f65-9D91-7224C49458BB}"/>
          </c:extLst>
        </c:dLbl>
      </c:pivotFmt>
      <c:pivotFmt>
        <c:idx val="116"/>
        <c:marker>
          <c:symbol val="none"/>
        </c:marker>
        <c:dLbl>
          <c:idx val="0"/>
          <c:delete val="1"/>
          <c:extLst>
            <c:ext xmlns:c15="http://schemas.microsoft.com/office/drawing/2012/chart" uri="{CE6537A1-D6FC-4f65-9D91-7224C49458BB}"/>
          </c:extLst>
        </c:dLbl>
      </c:pivotFmt>
      <c:pivotFmt>
        <c:idx val="117"/>
        <c:marker>
          <c:symbol val="none"/>
        </c:marker>
        <c:dLbl>
          <c:idx val="0"/>
          <c:delete val="1"/>
          <c:extLst>
            <c:ext xmlns:c15="http://schemas.microsoft.com/office/drawing/2012/chart" uri="{CE6537A1-D6FC-4f65-9D91-7224C49458BB}"/>
          </c:extLst>
        </c:dLbl>
      </c:pivotFmt>
      <c:pivotFmt>
        <c:idx val="118"/>
        <c:marker>
          <c:symbol val="none"/>
        </c:marker>
        <c:dLbl>
          <c:idx val="0"/>
          <c:delete val="1"/>
          <c:extLst>
            <c:ext xmlns:c15="http://schemas.microsoft.com/office/drawing/2012/chart" uri="{CE6537A1-D6FC-4f65-9D91-7224C49458BB}"/>
          </c:extLst>
        </c:dLbl>
      </c:pivotFmt>
      <c:pivotFmt>
        <c:idx val="119"/>
        <c:marker>
          <c:symbol val="none"/>
        </c:marker>
        <c:dLbl>
          <c:idx val="0"/>
          <c:delete val="1"/>
          <c:extLst>
            <c:ext xmlns:c15="http://schemas.microsoft.com/office/drawing/2012/chart" uri="{CE6537A1-D6FC-4f65-9D91-7224C49458BB}"/>
          </c:extLst>
        </c:dLbl>
      </c:pivotFmt>
      <c:pivotFmt>
        <c:idx val="120"/>
        <c:marker>
          <c:symbol val="none"/>
        </c:marker>
        <c:dLbl>
          <c:idx val="0"/>
          <c:delete val="1"/>
          <c:extLst>
            <c:ext xmlns:c15="http://schemas.microsoft.com/office/drawing/2012/chart" uri="{CE6537A1-D6FC-4f65-9D91-7224C49458BB}"/>
          </c:extLst>
        </c:dLbl>
      </c:pivotFmt>
      <c:pivotFmt>
        <c:idx val="121"/>
        <c:marker>
          <c:symbol val="none"/>
        </c:marker>
        <c:dLbl>
          <c:idx val="0"/>
          <c:delete val="1"/>
          <c:extLst>
            <c:ext xmlns:c15="http://schemas.microsoft.com/office/drawing/2012/chart" uri="{CE6537A1-D6FC-4f65-9D91-7224C49458BB}"/>
          </c:extLst>
        </c:dLbl>
      </c:pivotFmt>
      <c:pivotFmt>
        <c:idx val="122"/>
        <c:marker>
          <c:symbol val="none"/>
        </c:marker>
        <c:dLbl>
          <c:idx val="0"/>
          <c:delete val="1"/>
          <c:extLst>
            <c:ext xmlns:c15="http://schemas.microsoft.com/office/drawing/2012/chart" uri="{CE6537A1-D6FC-4f65-9D91-7224C49458BB}"/>
          </c:extLst>
        </c:dLbl>
      </c:pivotFmt>
      <c:pivotFmt>
        <c:idx val="123"/>
        <c:marker>
          <c:symbol val="none"/>
        </c:marker>
        <c:dLbl>
          <c:idx val="0"/>
          <c:delete val="1"/>
          <c:extLst>
            <c:ext xmlns:c15="http://schemas.microsoft.com/office/drawing/2012/chart" uri="{CE6537A1-D6FC-4f65-9D91-7224C49458BB}"/>
          </c:extLst>
        </c:dLbl>
      </c:pivotFmt>
      <c:pivotFmt>
        <c:idx val="124"/>
        <c:marker>
          <c:symbol val="none"/>
        </c:marker>
        <c:dLbl>
          <c:idx val="0"/>
          <c:delete val="1"/>
          <c:extLst>
            <c:ext xmlns:c15="http://schemas.microsoft.com/office/drawing/2012/chart" uri="{CE6537A1-D6FC-4f65-9D91-7224C49458BB}"/>
          </c:extLst>
        </c:dLbl>
      </c:pivotFmt>
      <c:pivotFmt>
        <c:idx val="125"/>
        <c:marker>
          <c:symbol val="none"/>
        </c:marker>
        <c:dLbl>
          <c:idx val="0"/>
          <c:delete val="1"/>
          <c:extLst>
            <c:ext xmlns:c15="http://schemas.microsoft.com/office/drawing/2012/chart" uri="{CE6537A1-D6FC-4f65-9D91-7224C49458BB}"/>
          </c:extLst>
        </c:dLbl>
      </c:pivotFmt>
      <c:pivotFmt>
        <c:idx val="126"/>
        <c:marker>
          <c:symbol val="none"/>
        </c:marker>
        <c:dLbl>
          <c:idx val="0"/>
          <c:delete val="1"/>
          <c:extLst>
            <c:ext xmlns:c15="http://schemas.microsoft.com/office/drawing/2012/chart" uri="{CE6537A1-D6FC-4f65-9D91-7224C49458BB}"/>
          </c:extLst>
        </c:dLbl>
      </c:pivotFmt>
      <c:pivotFmt>
        <c:idx val="127"/>
        <c:marker>
          <c:symbol val="none"/>
        </c:marker>
        <c:dLbl>
          <c:idx val="0"/>
          <c:delete val="1"/>
          <c:extLst>
            <c:ext xmlns:c15="http://schemas.microsoft.com/office/drawing/2012/chart" uri="{CE6537A1-D6FC-4f65-9D91-7224C49458BB}"/>
          </c:extLst>
        </c:dLbl>
      </c:pivotFmt>
      <c:pivotFmt>
        <c:idx val="128"/>
        <c:marker>
          <c:symbol val="none"/>
        </c:marker>
        <c:dLbl>
          <c:idx val="0"/>
          <c:delete val="1"/>
          <c:extLst>
            <c:ext xmlns:c15="http://schemas.microsoft.com/office/drawing/2012/chart" uri="{CE6537A1-D6FC-4f65-9D91-7224C49458BB}"/>
          </c:extLst>
        </c:dLbl>
      </c:pivotFmt>
      <c:pivotFmt>
        <c:idx val="129"/>
        <c:marker>
          <c:symbol val="none"/>
        </c:marker>
        <c:dLbl>
          <c:idx val="0"/>
          <c:delete val="1"/>
          <c:extLst>
            <c:ext xmlns:c15="http://schemas.microsoft.com/office/drawing/2012/chart" uri="{CE6537A1-D6FC-4f65-9D91-7224C49458BB}"/>
          </c:extLst>
        </c:dLbl>
      </c:pivotFmt>
      <c:pivotFmt>
        <c:idx val="130"/>
        <c:marker>
          <c:symbol val="none"/>
        </c:marker>
        <c:dLbl>
          <c:idx val="0"/>
          <c:delete val="1"/>
          <c:extLst>
            <c:ext xmlns:c15="http://schemas.microsoft.com/office/drawing/2012/chart" uri="{CE6537A1-D6FC-4f65-9D91-7224C49458BB}"/>
          </c:extLst>
        </c:dLbl>
      </c:pivotFmt>
      <c:pivotFmt>
        <c:idx val="131"/>
        <c:marker>
          <c:symbol val="none"/>
        </c:marker>
        <c:dLbl>
          <c:idx val="0"/>
          <c:delete val="1"/>
          <c:extLst>
            <c:ext xmlns:c15="http://schemas.microsoft.com/office/drawing/2012/chart" uri="{CE6537A1-D6FC-4f65-9D91-7224C49458BB}"/>
          </c:extLst>
        </c:dLbl>
      </c:pivotFmt>
      <c:pivotFmt>
        <c:idx val="132"/>
        <c:marker>
          <c:symbol val="none"/>
        </c:marker>
        <c:dLbl>
          <c:idx val="0"/>
          <c:delete val="1"/>
          <c:extLst>
            <c:ext xmlns:c15="http://schemas.microsoft.com/office/drawing/2012/chart" uri="{CE6537A1-D6FC-4f65-9D91-7224C49458BB}"/>
          </c:extLst>
        </c:dLbl>
      </c:pivotFmt>
      <c:pivotFmt>
        <c:idx val="133"/>
        <c:marker>
          <c:symbol val="none"/>
        </c:marker>
        <c:dLbl>
          <c:idx val="0"/>
          <c:delete val="1"/>
          <c:extLst>
            <c:ext xmlns:c15="http://schemas.microsoft.com/office/drawing/2012/chart" uri="{CE6537A1-D6FC-4f65-9D91-7224C49458BB}"/>
          </c:extLst>
        </c:dLbl>
      </c:pivotFmt>
      <c:pivotFmt>
        <c:idx val="134"/>
        <c:marker>
          <c:symbol val="none"/>
        </c:marker>
        <c:dLbl>
          <c:idx val="0"/>
          <c:delete val="1"/>
          <c:extLst>
            <c:ext xmlns:c15="http://schemas.microsoft.com/office/drawing/2012/chart" uri="{CE6537A1-D6FC-4f65-9D91-7224C49458BB}"/>
          </c:extLst>
        </c:dLbl>
      </c:pivotFmt>
      <c:pivotFmt>
        <c:idx val="135"/>
        <c:marker>
          <c:symbol val="none"/>
        </c:marker>
        <c:dLbl>
          <c:idx val="0"/>
          <c:delete val="1"/>
          <c:extLst>
            <c:ext xmlns:c15="http://schemas.microsoft.com/office/drawing/2012/chart" uri="{CE6537A1-D6FC-4f65-9D91-7224C49458BB}"/>
          </c:extLst>
        </c:dLbl>
      </c:pivotFmt>
      <c:pivotFmt>
        <c:idx val="136"/>
        <c:marker>
          <c:symbol val="none"/>
        </c:marker>
        <c:dLbl>
          <c:idx val="0"/>
          <c:delete val="1"/>
          <c:extLst>
            <c:ext xmlns:c15="http://schemas.microsoft.com/office/drawing/2012/chart" uri="{CE6537A1-D6FC-4f65-9D91-7224C49458BB}"/>
          </c:extLst>
        </c:dLbl>
      </c:pivotFmt>
      <c:pivotFmt>
        <c:idx val="137"/>
        <c:marker>
          <c:symbol val="none"/>
        </c:marker>
        <c:dLbl>
          <c:idx val="0"/>
          <c:delete val="1"/>
          <c:extLst>
            <c:ext xmlns:c15="http://schemas.microsoft.com/office/drawing/2012/chart" uri="{CE6537A1-D6FC-4f65-9D91-7224C49458BB}"/>
          </c:extLst>
        </c:dLbl>
      </c:pivotFmt>
      <c:pivotFmt>
        <c:idx val="138"/>
        <c:marker>
          <c:symbol val="none"/>
        </c:marker>
        <c:dLbl>
          <c:idx val="0"/>
          <c:delete val="1"/>
          <c:extLst>
            <c:ext xmlns:c15="http://schemas.microsoft.com/office/drawing/2012/chart" uri="{CE6537A1-D6FC-4f65-9D91-7224C49458BB}"/>
          </c:extLst>
        </c:dLbl>
      </c:pivotFmt>
      <c:pivotFmt>
        <c:idx val="139"/>
        <c:marker>
          <c:symbol val="none"/>
        </c:marker>
        <c:dLbl>
          <c:idx val="0"/>
          <c:delete val="1"/>
          <c:extLst>
            <c:ext xmlns:c15="http://schemas.microsoft.com/office/drawing/2012/chart" uri="{CE6537A1-D6FC-4f65-9D91-7224C49458BB}"/>
          </c:extLst>
        </c:dLbl>
      </c:pivotFmt>
      <c:pivotFmt>
        <c:idx val="140"/>
        <c:marker>
          <c:symbol val="none"/>
        </c:marker>
        <c:dLbl>
          <c:idx val="0"/>
          <c:delete val="1"/>
          <c:extLst>
            <c:ext xmlns:c15="http://schemas.microsoft.com/office/drawing/2012/chart" uri="{CE6537A1-D6FC-4f65-9D91-7224C49458BB}"/>
          </c:extLst>
        </c:dLbl>
      </c:pivotFmt>
      <c:pivotFmt>
        <c:idx val="141"/>
        <c:marker>
          <c:symbol val="none"/>
        </c:marker>
        <c:dLbl>
          <c:idx val="0"/>
          <c:delete val="1"/>
          <c:extLst>
            <c:ext xmlns:c15="http://schemas.microsoft.com/office/drawing/2012/chart" uri="{CE6537A1-D6FC-4f65-9D91-7224C49458BB}"/>
          </c:extLst>
        </c:dLbl>
      </c:pivotFmt>
      <c:pivotFmt>
        <c:idx val="142"/>
        <c:marker>
          <c:symbol val="none"/>
        </c:marker>
        <c:dLbl>
          <c:idx val="0"/>
          <c:delete val="1"/>
          <c:extLst>
            <c:ext xmlns:c15="http://schemas.microsoft.com/office/drawing/2012/chart" uri="{CE6537A1-D6FC-4f65-9D91-7224C49458BB}"/>
          </c:extLst>
        </c:dLbl>
      </c:pivotFmt>
      <c:pivotFmt>
        <c:idx val="143"/>
        <c:marker>
          <c:symbol val="none"/>
        </c:marker>
        <c:dLbl>
          <c:idx val="0"/>
          <c:delete val="1"/>
          <c:extLst>
            <c:ext xmlns:c15="http://schemas.microsoft.com/office/drawing/2012/chart" uri="{CE6537A1-D6FC-4f65-9D91-7224C49458BB}"/>
          </c:extLst>
        </c:dLbl>
      </c:pivotFmt>
      <c:pivotFmt>
        <c:idx val="144"/>
        <c:marker>
          <c:symbol val="none"/>
        </c:marker>
        <c:dLbl>
          <c:idx val="0"/>
          <c:delete val="1"/>
          <c:extLst>
            <c:ext xmlns:c15="http://schemas.microsoft.com/office/drawing/2012/chart" uri="{CE6537A1-D6FC-4f65-9D91-7224C49458BB}"/>
          </c:extLst>
        </c:dLbl>
      </c:pivotFmt>
    </c:pivotFmts>
    <c:plotArea>
      <c:layout/>
      <c:pieChart>
        <c:varyColors val="1"/>
        <c:ser>
          <c:idx val="0"/>
          <c:order val="0"/>
          <c:tx>
            <c:v>01-Jan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F-C479-4766-B450-E2204FD6CDDF}"/>
              </c:ext>
            </c:extLst>
          </c:dPt>
          <c:dPt>
            <c:idx val="1"/>
            <c:bubble3D val="0"/>
            <c:extLst>
              <c:ext xmlns:c16="http://schemas.microsoft.com/office/drawing/2014/chart" uri="{C3380CC4-5D6E-409C-BE32-E72D297353CC}">
                <c16:uniqueId val="{00000031-C479-4766-B450-E2204FD6CDDF}"/>
              </c:ext>
            </c:extLst>
          </c:dPt>
          <c:dPt>
            <c:idx val="2"/>
            <c:bubble3D val="0"/>
            <c:extLst>
              <c:ext xmlns:c16="http://schemas.microsoft.com/office/drawing/2014/chart" uri="{C3380CC4-5D6E-409C-BE32-E72D297353CC}">
                <c16:uniqueId val="{00000033-C479-4766-B450-E2204FD6CDDF}"/>
              </c:ext>
            </c:extLst>
          </c:dPt>
          <c:dPt>
            <c:idx val="3"/>
            <c:bubble3D val="0"/>
            <c:extLst>
              <c:ext xmlns:c16="http://schemas.microsoft.com/office/drawing/2014/chart" uri="{C3380CC4-5D6E-409C-BE32-E72D297353CC}">
                <c16:uniqueId val="{00000035-C479-4766-B450-E2204FD6CDDF}"/>
              </c:ext>
            </c:extLst>
          </c:dPt>
          <c:dPt>
            <c:idx val="4"/>
            <c:bubble3D val="0"/>
            <c:extLst>
              <c:ext xmlns:c16="http://schemas.microsoft.com/office/drawing/2014/chart" uri="{C3380CC4-5D6E-409C-BE32-E72D297353CC}">
                <c16:uniqueId val="{00000037-C479-4766-B450-E2204FD6CDDF}"/>
              </c:ext>
            </c:extLst>
          </c:dPt>
          <c:dPt>
            <c:idx val="5"/>
            <c:bubble3D val="0"/>
            <c:extLst>
              <c:ext xmlns:c16="http://schemas.microsoft.com/office/drawing/2014/chart" uri="{C3380CC4-5D6E-409C-BE32-E72D297353CC}">
                <c16:uniqueId val="{00000039-C479-4766-B450-E2204FD6CDDF}"/>
              </c:ext>
            </c:extLst>
          </c:dPt>
          <c:dPt>
            <c:idx val="6"/>
            <c:bubble3D val="0"/>
            <c:extLst>
              <c:ext xmlns:c16="http://schemas.microsoft.com/office/drawing/2014/chart" uri="{C3380CC4-5D6E-409C-BE32-E72D297353CC}">
                <c16:uniqueId val="{0000003B-C479-4766-B450-E2204FD6CDDF}"/>
              </c:ext>
            </c:extLst>
          </c:dPt>
          <c:cat>
            <c:strLit>
              <c:ptCount val="1"/>
              <c:pt idx="0">
                <c:v>Total</c:v>
              </c:pt>
            </c:strLit>
          </c:cat>
          <c:val>
            <c:numLit>
              <c:formatCode>General</c:formatCode>
              <c:ptCount val="1"/>
              <c:pt idx="0">
                <c:v>985</c:v>
              </c:pt>
            </c:numLit>
          </c:val>
          <c:extLst>
            <c:ext xmlns:c16="http://schemas.microsoft.com/office/drawing/2014/chart" uri="{C3380CC4-5D6E-409C-BE32-E72D297353CC}">
              <c16:uniqueId val="{0000003C-C479-4766-B450-E2204FD6CDDF}"/>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F-C479-4766-B450-E2204FD6CDDF}"/>
              </c:ext>
            </c:extLst>
          </c:dPt>
          <c:dPt>
            <c:idx val="1"/>
            <c:bubble3D val="0"/>
            <c:extLst>
              <c:ext xmlns:c16="http://schemas.microsoft.com/office/drawing/2014/chart" uri="{C3380CC4-5D6E-409C-BE32-E72D297353CC}">
                <c16:uniqueId val="{00000041-C479-4766-B450-E2204FD6CDDF}"/>
              </c:ext>
            </c:extLst>
          </c:dPt>
          <c:dPt>
            <c:idx val="2"/>
            <c:bubble3D val="0"/>
            <c:extLst>
              <c:ext xmlns:c16="http://schemas.microsoft.com/office/drawing/2014/chart" uri="{C3380CC4-5D6E-409C-BE32-E72D297353CC}">
                <c16:uniqueId val="{00000043-C479-4766-B450-E2204FD6CDDF}"/>
              </c:ext>
            </c:extLst>
          </c:dPt>
          <c:dPt>
            <c:idx val="3"/>
            <c:bubble3D val="0"/>
            <c:extLst>
              <c:ext xmlns:c16="http://schemas.microsoft.com/office/drawing/2014/chart" uri="{C3380CC4-5D6E-409C-BE32-E72D297353CC}">
                <c16:uniqueId val="{00000045-C479-4766-B450-E2204FD6CDDF}"/>
              </c:ext>
            </c:extLst>
          </c:dPt>
          <c:dPt>
            <c:idx val="4"/>
            <c:bubble3D val="0"/>
            <c:extLst>
              <c:ext xmlns:c16="http://schemas.microsoft.com/office/drawing/2014/chart" uri="{C3380CC4-5D6E-409C-BE32-E72D297353CC}">
                <c16:uniqueId val="{00000047-C479-4766-B450-E2204FD6CDDF}"/>
              </c:ext>
            </c:extLst>
          </c:dPt>
          <c:dPt>
            <c:idx val="5"/>
            <c:bubble3D val="0"/>
            <c:extLst>
              <c:ext xmlns:c16="http://schemas.microsoft.com/office/drawing/2014/chart" uri="{C3380CC4-5D6E-409C-BE32-E72D297353CC}">
                <c16:uniqueId val="{00000049-C479-4766-B450-E2204FD6CDDF}"/>
              </c:ext>
            </c:extLst>
          </c:dPt>
          <c:dPt>
            <c:idx val="6"/>
            <c:bubble3D val="0"/>
            <c:extLst>
              <c:ext xmlns:c16="http://schemas.microsoft.com/office/drawing/2014/chart" uri="{C3380CC4-5D6E-409C-BE32-E72D297353CC}">
                <c16:uniqueId val="{0000004B-C479-4766-B450-E2204FD6CDDF}"/>
              </c:ext>
            </c:extLst>
          </c:dPt>
          <c:cat>
            <c:strLit>
              <c:ptCount val="1"/>
              <c:pt idx="0">
                <c:v>Total</c:v>
              </c:pt>
            </c:strLit>
          </c:cat>
          <c:val>
            <c:numLit>
              <c:formatCode>General</c:formatCode>
              <c:ptCount val="1"/>
              <c:pt idx="0">
                <c:v>801</c:v>
              </c:pt>
            </c:numLit>
          </c:val>
          <c:extLst>
            <c:ext xmlns:c16="http://schemas.microsoft.com/office/drawing/2014/chart" uri="{C3380CC4-5D6E-409C-BE32-E72D297353CC}">
              <c16:uniqueId val="{0000004C-C479-4766-B450-E2204FD6CDDF}"/>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C479-4766-B450-E2204FD6CDDF}"/>
              </c:ext>
            </c:extLst>
          </c:dPt>
          <c:dPt>
            <c:idx val="1"/>
            <c:bubble3D val="0"/>
            <c:extLst>
              <c:ext xmlns:c16="http://schemas.microsoft.com/office/drawing/2014/chart" uri="{C3380CC4-5D6E-409C-BE32-E72D297353CC}">
                <c16:uniqueId val="{00000051-C479-4766-B450-E2204FD6CDDF}"/>
              </c:ext>
            </c:extLst>
          </c:dPt>
          <c:dPt>
            <c:idx val="2"/>
            <c:bubble3D val="0"/>
            <c:extLst>
              <c:ext xmlns:c16="http://schemas.microsoft.com/office/drawing/2014/chart" uri="{C3380CC4-5D6E-409C-BE32-E72D297353CC}">
                <c16:uniqueId val="{00000053-C479-4766-B450-E2204FD6CDDF}"/>
              </c:ext>
            </c:extLst>
          </c:dPt>
          <c:dPt>
            <c:idx val="3"/>
            <c:bubble3D val="0"/>
            <c:extLst>
              <c:ext xmlns:c16="http://schemas.microsoft.com/office/drawing/2014/chart" uri="{C3380CC4-5D6E-409C-BE32-E72D297353CC}">
                <c16:uniqueId val="{00000055-C479-4766-B450-E2204FD6CDDF}"/>
              </c:ext>
            </c:extLst>
          </c:dPt>
          <c:dPt>
            <c:idx val="4"/>
            <c:bubble3D val="0"/>
            <c:extLst>
              <c:ext xmlns:c16="http://schemas.microsoft.com/office/drawing/2014/chart" uri="{C3380CC4-5D6E-409C-BE32-E72D297353CC}">
                <c16:uniqueId val="{00000057-C479-4766-B450-E2204FD6CDDF}"/>
              </c:ext>
            </c:extLst>
          </c:dPt>
          <c:dPt>
            <c:idx val="5"/>
            <c:bubble3D val="0"/>
            <c:extLst>
              <c:ext xmlns:c16="http://schemas.microsoft.com/office/drawing/2014/chart" uri="{C3380CC4-5D6E-409C-BE32-E72D297353CC}">
                <c16:uniqueId val="{00000059-C479-4766-B450-E2204FD6CDDF}"/>
              </c:ext>
            </c:extLst>
          </c:dPt>
          <c:dPt>
            <c:idx val="6"/>
            <c:bubble3D val="0"/>
            <c:extLst>
              <c:ext xmlns:c16="http://schemas.microsoft.com/office/drawing/2014/chart" uri="{C3380CC4-5D6E-409C-BE32-E72D297353CC}">
                <c16:uniqueId val="{0000005B-C479-4766-B450-E2204FD6CDDF}"/>
              </c:ext>
            </c:extLst>
          </c:dPt>
          <c:cat>
            <c:strLit>
              <c:ptCount val="1"/>
              <c:pt idx="0">
                <c:v>Total</c:v>
              </c:pt>
            </c:strLit>
          </c:cat>
          <c:val>
            <c:numLit>
              <c:formatCode>General</c:formatCode>
              <c:ptCount val="1"/>
              <c:pt idx="0">
                <c:v>1349</c:v>
              </c:pt>
            </c:numLit>
          </c:val>
          <c:extLst>
            <c:ext xmlns:c16="http://schemas.microsoft.com/office/drawing/2014/chart" uri="{C3380CC4-5D6E-409C-BE32-E72D297353CC}">
              <c16:uniqueId val="{0000005C-C479-4766-B450-E2204FD6CDDF}"/>
            </c:ext>
          </c:extLst>
        </c:ser>
        <c:ser>
          <c:idx val="3"/>
          <c:order val="3"/>
          <c:tx>
            <c:v>Series4</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F-C479-4766-B450-E2204FD6CDDF}"/>
              </c:ext>
            </c:extLst>
          </c:dPt>
          <c:dPt>
            <c:idx val="1"/>
            <c:bubble3D val="0"/>
            <c:extLst>
              <c:ext xmlns:c16="http://schemas.microsoft.com/office/drawing/2014/chart" uri="{C3380CC4-5D6E-409C-BE32-E72D297353CC}">
                <c16:uniqueId val="{00000061-C479-4766-B450-E2204FD6CDDF}"/>
              </c:ext>
            </c:extLst>
          </c:dPt>
          <c:dPt>
            <c:idx val="2"/>
            <c:bubble3D val="0"/>
            <c:extLst>
              <c:ext xmlns:c16="http://schemas.microsoft.com/office/drawing/2014/chart" uri="{C3380CC4-5D6E-409C-BE32-E72D297353CC}">
                <c16:uniqueId val="{00000063-C479-4766-B450-E2204FD6CDDF}"/>
              </c:ext>
            </c:extLst>
          </c:dPt>
          <c:dPt>
            <c:idx val="3"/>
            <c:bubble3D val="0"/>
            <c:extLst>
              <c:ext xmlns:c16="http://schemas.microsoft.com/office/drawing/2014/chart" uri="{C3380CC4-5D6E-409C-BE32-E72D297353CC}">
                <c16:uniqueId val="{00000065-C479-4766-B450-E2204FD6CDDF}"/>
              </c:ext>
            </c:extLst>
          </c:dPt>
          <c:dPt>
            <c:idx val="4"/>
            <c:bubble3D val="0"/>
            <c:extLst>
              <c:ext xmlns:c16="http://schemas.microsoft.com/office/drawing/2014/chart" uri="{C3380CC4-5D6E-409C-BE32-E72D297353CC}">
                <c16:uniqueId val="{00000067-C479-4766-B450-E2204FD6CDDF}"/>
              </c:ext>
            </c:extLst>
          </c:dPt>
          <c:dPt>
            <c:idx val="5"/>
            <c:bubble3D val="0"/>
            <c:extLst>
              <c:ext xmlns:c16="http://schemas.microsoft.com/office/drawing/2014/chart" uri="{C3380CC4-5D6E-409C-BE32-E72D297353CC}">
                <c16:uniqueId val="{00000069-C479-4766-B450-E2204FD6CDDF}"/>
              </c:ext>
            </c:extLst>
          </c:dPt>
          <c:dPt>
            <c:idx val="6"/>
            <c:bubble3D val="0"/>
            <c:extLst>
              <c:ext xmlns:c16="http://schemas.microsoft.com/office/drawing/2014/chart" uri="{C3380CC4-5D6E-409C-BE32-E72D297353CC}">
                <c16:uniqueId val="{0000006B-C479-4766-B450-E2204FD6CDDF}"/>
              </c:ext>
            </c:extLst>
          </c:dPt>
          <c:cat>
            <c:strLit>
              <c:ptCount val="1"/>
              <c:pt idx="0">
                <c:v>Total</c:v>
              </c:pt>
            </c:strLit>
          </c:cat>
          <c:val>
            <c:numLit>
              <c:formatCode>General</c:formatCode>
              <c:ptCount val="1"/>
              <c:pt idx="0">
                <c:v>1562</c:v>
              </c:pt>
            </c:numLit>
          </c:val>
          <c:extLst>
            <c:ext xmlns:c16="http://schemas.microsoft.com/office/drawing/2014/chart" uri="{C3380CC4-5D6E-409C-BE32-E72D297353CC}">
              <c16:uniqueId val="{0000006C-C479-4766-B450-E2204FD6CDDF}"/>
            </c:ext>
          </c:extLst>
        </c:ser>
        <c:ser>
          <c:idx val="4"/>
          <c:order val="4"/>
          <c:tx>
            <c:v>Series5</c:v>
          </c:tx>
          <c:cat>
            <c:strLit>
              <c:ptCount val="1"/>
              <c:pt idx="0">
                <c:v>Total</c:v>
              </c:pt>
            </c:strLit>
          </c:cat>
          <c:val>
            <c:numLit>
              <c:formatCode>General</c:formatCode>
              <c:ptCount val="1"/>
              <c:pt idx="0">
                <c:v>1600</c:v>
              </c:pt>
            </c:numLit>
          </c:val>
          <c:extLst>
            <c:ext xmlns:c16="http://schemas.microsoft.com/office/drawing/2014/chart" uri="{C3380CC4-5D6E-409C-BE32-E72D297353CC}">
              <c16:uniqueId val="{0000006D-C479-4766-B450-E2204FD6CDDF}"/>
            </c:ext>
          </c:extLst>
        </c:ser>
        <c:ser>
          <c:idx val="5"/>
          <c:order val="5"/>
          <c:tx>
            <c:v>Series6</c:v>
          </c:tx>
          <c:cat>
            <c:strLit>
              <c:ptCount val="1"/>
              <c:pt idx="0">
                <c:v>Total</c:v>
              </c:pt>
            </c:strLit>
          </c:cat>
          <c:val>
            <c:numLit>
              <c:formatCode>General</c:formatCode>
              <c:ptCount val="1"/>
              <c:pt idx="0">
                <c:v>1606</c:v>
              </c:pt>
            </c:numLit>
          </c:val>
          <c:extLst>
            <c:ext xmlns:c16="http://schemas.microsoft.com/office/drawing/2014/chart" uri="{C3380CC4-5D6E-409C-BE32-E72D297353CC}">
              <c16:uniqueId val="{0000006E-C479-4766-B450-E2204FD6CDDF}"/>
            </c:ext>
          </c:extLst>
        </c:ser>
        <c:ser>
          <c:idx val="6"/>
          <c:order val="6"/>
          <c:tx>
            <c:v>Series7</c:v>
          </c:tx>
          <c:cat>
            <c:strLit>
              <c:ptCount val="1"/>
              <c:pt idx="0">
                <c:v>Total</c:v>
              </c:pt>
            </c:strLit>
          </c:cat>
          <c:val>
            <c:numLit>
              <c:formatCode>General</c:formatCode>
              <c:ptCount val="1"/>
              <c:pt idx="0">
                <c:v>1510</c:v>
              </c:pt>
            </c:numLit>
          </c:val>
          <c:extLst>
            <c:ext xmlns:c16="http://schemas.microsoft.com/office/drawing/2014/chart" uri="{C3380CC4-5D6E-409C-BE32-E72D297353CC}">
              <c16:uniqueId val="{0000006F-C479-4766-B450-E2204FD6CDDF}"/>
            </c:ext>
          </c:extLst>
        </c:ser>
        <c:ser>
          <c:idx val="7"/>
          <c:order val="7"/>
          <c:tx>
            <c:v>Series8</c:v>
          </c:tx>
          <c:cat>
            <c:strLit>
              <c:ptCount val="1"/>
              <c:pt idx="0">
                <c:v>Total</c:v>
              </c:pt>
            </c:strLit>
          </c:cat>
          <c:val>
            <c:numLit>
              <c:formatCode>General</c:formatCode>
              <c:ptCount val="1"/>
              <c:pt idx="0">
                <c:v>959</c:v>
              </c:pt>
            </c:numLit>
          </c:val>
          <c:extLst>
            <c:ext xmlns:c16="http://schemas.microsoft.com/office/drawing/2014/chart" uri="{C3380CC4-5D6E-409C-BE32-E72D297353CC}">
              <c16:uniqueId val="{00000070-C479-4766-B450-E2204FD6CDDF}"/>
            </c:ext>
          </c:extLst>
        </c:ser>
        <c:ser>
          <c:idx val="8"/>
          <c:order val="8"/>
          <c:tx>
            <c:v>Series9</c:v>
          </c:tx>
          <c:cat>
            <c:strLit>
              <c:ptCount val="1"/>
              <c:pt idx="0">
                <c:v>Total</c:v>
              </c:pt>
            </c:strLit>
          </c:cat>
          <c:val>
            <c:numLit>
              <c:formatCode>General</c:formatCode>
              <c:ptCount val="1"/>
              <c:pt idx="0">
                <c:v>822</c:v>
              </c:pt>
            </c:numLit>
          </c:val>
          <c:extLst>
            <c:ext xmlns:c16="http://schemas.microsoft.com/office/drawing/2014/chart" uri="{C3380CC4-5D6E-409C-BE32-E72D297353CC}">
              <c16:uniqueId val="{00000071-C479-4766-B450-E2204FD6CDDF}"/>
            </c:ext>
          </c:extLst>
        </c:ser>
        <c:ser>
          <c:idx val="9"/>
          <c:order val="9"/>
          <c:tx>
            <c:v>Series10</c:v>
          </c:tx>
          <c:cat>
            <c:strLit>
              <c:ptCount val="1"/>
              <c:pt idx="0">
                <c:v>Total</c:v>
              </c:pt>
            </c:strLit>
          </c:cat>
          <c:val>
            <c:numLit>
              <c:formatCode>General</c:formatCode>
              <c:ptCount val="1"/>
              <c:pt idx="0">
                <c:v>1321</c:v>
              </c:pt>
            </c:numLit>
          </c:val>
          <c:extLst>
            <c:ext xmlns:c16="http://schemas.microsoft.com/office/drawing/2014/chart" uri="{C3380CC4-5D6E-409C-BE32-E72D297353CC}">
              <c16:uniqueId val="{00000072-C479-4766-B450-E2204FD6CDDF}"/>
            </c:ext>
          </c:extLst>
        </c:ser>
        <c:ser>
          <c:idx val="10"/>
          <c:order val="10"/>
          <c:tx>
            <c:v>Series11</c:v>
          </c:tx>
          <c:cat>
            <c:strLit>
              <c:ptCount val="1"/>
              <c:pt idx="0">
                <c:v>Total</c:v>
              </c:pt>
            </c:strLit>
          </c:cat>
          <c:val>
            <c:numLit>
              <c:formatCode>General</c:formatCode>
              <c:ptCount val="1"/>
              <c:pt idx="0">
                <c:v>1263</c:v>
              </c:pt>
            </c:numLit>
          </c:val>
          <c:extLst>
            <c:ext xmlns:c16="http://schemas.microsoft.com/office/drawing/2014/chart" uri="{C3380CC4-5D6E-409C-BE32-E72D297353CC}">
              <c16:uniqueId val="{00000073-C479-4766-B450-E2204FD6CDDF}"/>
            </c:ext>
          </c:extLst>
        </c:ser>
        <c:ser>
          <c:idx val="11"/>
          <c:order val="11"/>
          <c:tx>
            <c:v>Series12</c:v>
          </c:tx>
          <c:cat>
            <c:strLit>
              <c:ptCount val="1"/>
              <c:pt idx="0">
                <c:v>Total</c:v>
              </c:pt>
            </c:strLit>
          </c:cat>
          <c:val>
            <c:numLit>
              <c:formatCode>General</c:formatCode>
              <c:ptCount val="1"/>
              <c:pt idx="0">
                <c:v>1162</c:v>
              </c:pt>
            </c:numLit>
          </c:val>
          <c:extLst>
            <c:ext xmlns:c16="http://schemas.microsoft.com/office/drawing/2014/chart" uri="{C3380CC4-5D6E-409C-BE32-E72D297353CC}">
              <c16:uniqueId val="{00000074-C479-4766-B450-E2204FD6CDDF}"/>
            </c:ext>
          </c:extLst>
        </c:ser>
        <c:ser>
          <c:idx val="12"/>
          <c:order val="12"/>
          <c:tx>
            <c:v>Series13</c:v>
          </c:tx>
          <c:cat>
            <c:strLit>
              <c:ptCount val="1"/>
              <c:pt idx="0">
                <c:v>Total</c:v>
              </c:pt>
            </c:strLit>
          </c:cat>
          <c:val>
            <c:numLit>
              <c:formatCode>General</c:formatCode>
              <c:ptCount val="1"/>
              <c:pt idx="0">
                <c:v>1406</c:v>
              </c:pt>
            </c:numLit>
          </c:val>
          <c:extLst>
            <c:ext xmlns:c16="http://schemas.microsoft.com/office/drawing/2014/chart" uri="{C3380CC4-5D6E-409C-BE32-E72D297353CC}">
              <c16:uniqueId val="{00000075-C479-4766-B450-E2204FD6CDDF}"/>
            </c:ext>
          </c:extLst>
        </c:ser>
        <c:ser>
          <c:idx val="13"/>
          <c:order val="13"/>
          <c:tx>
            <c:v>Series14</c:v>
          </c:tx>
          <c:cat>
            <c:strLit>
              <c:ptCount val="1"/>
              <c:pt idx="0">
                <c:v>Total</c:v>
              </c:pt>
            </c:strLit>
          </c:cat>
          <c:val>
            <c:numLit>
              <c:formatCode>General</c:formatCode>
              <c:ptCount val="1"/>
              <c:pt idx="0">
                <c:v>1421</c:v>
              </c:pt>
            </c:numLit>
          </c:val>
          <c:extLst>
            <c:ext xmlns:c16="http://schemas.microsoft.com/office/drawing/2014/chart" uri="{C3380CC4-5D6E-409C-BE32-E72D297353CC}">
              <c16:uniqueId val="{00000076-C479-4766-B450-E2204FD6CDDF}"/>
            </c:ext>
          </c:extLst>
        </c:ser>
        <c:ser>
          <c:idx val="14"/>
          <c:order val="14"/>
          <c:tx>
            <c:v>Series15</c:v>
          </c:tx>
          <c:cat>
            <c:strLit>
              <c:ptCount val="1"/>
              <c:pt idx="0">
                <c:v>Total</c:v>
              </c:pt>
            </c:strLit>
          </c:cat>
          <c:val>
            <c:numLit>
              <c:formatCode>General</c:formatCode>
              <c:ptCount val="1"/>
              <c:pt idx="0">
                <c:v>1248</c:v>
              </c:pt>
            </c:numLit>
          </c:val>
          <c:extLst>
            <c:ext xmlns:c16="http://schemas.microsoft.com/office/drawing/2014/chart" uri="{C3380CC4-5D6E-409C-BE32-E72D297353CC}">
              <c16:uniqueId val="{00000077-C479-4766-B450-E2204FD6CDDF}"/>
            </c:ext>
          </c:extLst>
        </c:ser>
        <c:ser>
          <c:idx val="15"/>
          <c:order val="15"/>
          <c:tx>
            <c:v>Series16</c:v>
          </c:tx>
          <c:cat>
            <c:strLit>
              <c:ptCount val="1"/>
              <c:pt idx="0">
                <c:v>Total</c:v>
              </c:pt>
            </c:strLit>
          </c:cat>
          <c:val>
            <c:numLit>
              <c:formatCode>General</c:formatCode>
              <c:ptCount val="1"/>
              <c:pt idx="0">
                <c:v>1204</c:v>
              </c:pt>
            </c:numLit>
          </c:val>
          <c:extLst>
            <c:ext xmlns:c16="http://schemas.microsoft.com/office/drawing/2014/chart" uri="{C3380CC4-5D6E-409C-BE32-E72D297353CC}">
              <c16:uniqueId val="{00000078-C479-4766-B450-E2204FD6CDDF}"/>
            </c:ext>
          </c:extLst>
        </c:ser>
        <c:ser>
          <c:idx val="16"/>
          <c:order val="16"/>
          <c:tx>
            <c:v>Series17</c:v>
          </c:tx>
          <c:cat>
            <c:strLit>
              <c:ptCount val="1"/>
              <c:pt idx="0">
                <c:v>Total</c:v>
              </c:pt>
            </c:strLit>
          </c:cat>
          <c:val>
            <c:numLit>
              <c:formatCode>General</c:formatCode>
              <c:ptCount val="1"/>
              <c:pt idx="0">
                <c:v>1000</c:v>
              </c:pt>
            </c:numLit>
          </c:val>
          <c:extLst>
            <c:ext xmlns:c16="http://schemas.microsoft.com/office/drawing/2014/chart" uri="{C3380CC4-5D6E-409C-BE32-E72D297353CC}">
              <c16:uniqueId val="{00000079-C479-4766-B450-E2204FD6CDDF}"/>
            </c:ext>
          </c:extLst>
        </c:ser>
        <c:ser>
          <c:idx val="17"/>
          <c:order val="17"/>
          <c:tx>
            <c:v>Series18</c:v>
          </c:tx>
          <c:cat>
            <c:strLit>
              <c:ptCount val="1"/>
              <c:pt idx="0">
                <c:v>Total</c:v>
              </c:pt>
            </c:strLit>
          </c:cat>
          <c:val>
            <c:numLit>
              <c:formatCode>General</c:formatCode>
              <c:ptCount val="1"/>
              <c:pt idx="0">
                <c:v>683</c:v>
              </c:pt>
            </c:numLit>
          </c:val>
          <c:extLst>
            <c:ext xmlns:c16="http://schemas.microsoft.com/office/drawing/2014/chart" uri="{C3380CC4-5D6E-409C-BE32-E72D297353CC}">
              <c16:uniqueId val="{0000007A-C479-4766-B450-E2204FD6CDDF}"/>
            </c:ext>
          </c:extLst>
        </c:ser>
        <c:ser>
          <c:idx val="18"/>
          <c:order val="18"/>
          <c:tx>
            <c:v>Series19</c:v>
          </c:tx>
          <c:cat>
            <c:strLit>
              <c:ptCount val="1"/>
              <c:pt idx="0">
                <c:v>Total</c:v>
              </c:pt>
            </c:strLit>
          </c:cat>
          <c:val>
            <c:numLit>
              <c:formatCode>General</c:formatCode>
              <c:ptCount val="1"/>
              <c:pt idx="0">
                <c:v>1650</c:v>
              </c:pt>
            </c:numLit>
          </c:val>
          <c:extLst>
            <c:ext xmlns:c16="http://schemas.microsoft.com/office/drawing/2014/chart" uri="{C3380CC4-5D6E-409C-BE32-E72D297353CC}">
              <c16:uniqueId val="{0000007B-C479-4766-B450-E2204FD6CDDF}"/>
            </c:ext>
          </c:extLst>
        </c:ser>
        <c:ser>
          <c:idx val="19"/>
          <c:order val="19"/>
          <c:tx>
            <c:v>Series20</c:v>
          </c:tx>
          <c:cat>
            <c:strLit>
              <c:ptCount val="1"/>
              <c:pt idx="0">
                <c:v>Total</c:v>
              </c:pt>
            </c:strLit>
          </c:cat>
          <c:val>
            <c:numLit>
              <c:formatCode>General</c:formatCode>
              <c:ptCount val="1"/>
              <c:pt idx="0">
                <c:v>1927</c:v>
              </c:pt>
            </c:numLit>
          </c:val>
          <c:extLst>
            <c:ext xmlns:c16="http://schemas.microsoft.com/office/drawing/2014/chart" uri="{C3380CC4-5D6E-409C-BE32-E72D297353CC}">
              <c16:uniqueId val="{0000007C-C479-4766-B450-E2204FD6CDDF}"/>
            </c:ext>
          </c:extLst>
        </c:ser>
        <c:ser>
          <c:idx val="20"/>
          <c:order val="20"/>
          <c:tx>
            <c:v>Series21</c:v>
          </c:tx>
          <c:cat>
            <c:strLit>
              <c:ptCount val="1"/>
              <c:pt idx="0">
                <c:v>Total</c:v>
              </c:pt>
            </c:strLit>
          </c:cat>
          <c:val>
            <c:numLit>
              <c:formatCode>General</c:formatCode>
              <c:ptCount val="1"/>
              <c:pt idx="0">
                <c:v>1543</c:v>
              </c:pt>
            </c:numLit>
          </c:val>
          <c:extLst>
            <c:ext xmlns:c16="http://schemas.microsoft.com/office/drawing/2014/chart" uri="{C3380CC4-5D6E-409C-BE32-E72D297353CC}">
              <c16:uniqueId val="{0000007D-C479-4766-B450-E2204FD6CDDF}"/>
            </c:ext>
          </c:extLst>
        </c:ser>
        <c:ser>
          <c:idx val="21"/>
          <c:order val="21"/>
          <c:tx>
            <c:v>Series22</c:v>
          </c:tx>
          <c:cat>
            <c:strLit>
              <c:ptCount val="1"/>
              <c:pt idx="0">
                <c:v>Total</c:v>
              </c:pt>
            </c:strLit>
          </c:cat>
          <c:val>
            <c:numLit>
              <c:formatCode>General</c:formatCode>
              <c:ptCount val="1"/>
              <c:pt idx="0">
                <c:v>981</c:v>
              </c:pt>
            </c:numLit>
          </c:val>
          <c:extLst>
            <c:ext xmlns:c16="http://schemas.microsoft.com/office/drawing/2014/chart" uri="{C3380CC4-5D6E-409C-BE32-E72D297353CC}">
              <c16:uniqueId val="{0000007E-C479-4766-B450-E2204FD6CDDF}"/>
            </c:ext>
          </c:extLst>
        </c:ser>
        <c:ser>
          <c:idx val="22"/>
          <c:order val="22"/>
          <c:tx>
            <c:v>Series23</c:v>
          </c:tx>
          <c:cat>
            <c:strLit>
              <c:ptCount val="1"/>
              <c:pt idx="0">
                <c:v>Total</c:v>
              </c:pt>
            </c:strLit>
          </c:cat>
          <c:val>
            <c:numLit>
              <c:formatCode>General</c:formatCode>
              <c:ptCount val="1"/>
              <c:pt idx="0">
                <c:v>986</c:v>
              </c:pt>
            </c:numLit>
          </c:val>
          <c:extLst>
            <c:ext xmlns:c16="http://schemas.microsoft.com/office/drawing/2014/chart" uri="{C3380CC4-5D6E-409C-BE32-E72D297353CC}">
              <c16:uniqueId val="{0000007F-C479-4766-B450-E2204FD6CDDF}"/>
            </c:ext>
          </c:extLst>
        </c:ser>
        <c:ser>
          <c:idx val="23"/>
          <c:order val="23"/>
          <c:tx>
            <c:v>Series24</c:v>
          </c:tx>
          <c:cat>
            <c:strLit>
              <c:ptCount val="1"/>
              <c:pt idx="0">
                <c:v>Total</c:v>
              </c:pt>
            </c:strLit>
          </c:cat>
          <c:val>
            <c:numLit>
              <c:formatCode>General</c:formatCode>
              <c:ptCount val="1"/>
              <c:pt idx="0">
                <c:v>1416</c:v>
              </c:pt>
            </c:numLit>
          </c:val>
          <c:extLst>
            <c:ext xmlns:c16="http://schemas.microsoft.com/office/drawing/2014/chart" uri="{C3380CC4-5D6E-409C-BE32-E72D297353CC}">
              <c16:uniqueId val="{00000080-C479-4766-B450-E2204FD6CDDF}"/>
            </c:ext>
          </c:extLst>
        </c:ser>
        <c:ser>
          <c:idx val="24"/>
          <c:order val="24"/>
          <c:tx>
            <c:v>Series25</c:v>
          </c:tx>
          <c:cat>
            <c:strLit>
              <c:ptCount val="1"/>
              <c:pt idx="0">
                <c:v>Total</c:v>
              </c:pt>
            </c:strLit>
          </c:cat>
          <c:val>
            <c:numLit>
              <c:formatCode>General</c:formatCode>
              <c:ptCount val="1"/>
              <c:pt idx="0">
                <c:v>1985</c:v>
              </c:pt>
            </c:numLit>
          </c:val>
          <c:extLst>
            <c:ext xmlns:c16="http://schemas.microsoft.com/office/drawing/2014/chart" uri="{C3380CC4-5D6E-409C-BE32-E72D297353CC}">
              <c16:uniqueId val="{00000081-C479-4766-B450-E2204FD6CDDF}"/>
            </c:ext>
          </c:extLst>
        </c:ser>
        <c:ser>
          <c:idx val="25"/>
          <c:order val="25"/>
          <c:tx>
            <c:v>Series26</c:v>
          </c:tx>
          <c:cat>
            <c:strLit>
              <c:ptCount val="1"/>
              <c:pt idx="0">
                <c:v>Total</c:v>
              </c:pt>
            </c:strLit>
          </c:cat>
          <c:val>
            <c:numLit>
              <c:formatCode>General</c:formatCode>
              <c:ptCount val="1"/>
              <c:pt idx="0">
                <c:v>506</c:v>
              </c:pt>
            </c:numLit>
          </c:val>
          <c:extLst>
            <c:ext xmlns:c16="http://schemas.microsoft.com/office/drawing/2014/chart" uri="{C3380CC4-5D6E-409C-BE32-E72D297353CC}">
              <c16:uniqueId val="{00000082-C479-4766-B450-E2204FD6CDDF}"/>
            </c:ext>
          </c:extLst>
        </c:ser>
        <c:ser>
          <c:idx val="26"/>
          <c:order val="26"/>
          <c:tx>
            <c:v>Series27</c:v>
          </c:tx>
          <c:cat>
            <c:strLit>
              <c:ptCount val="1"/>
              <c:pt idx="0">
                <c:v>Total</c:v>
              </c:pt>
            </c:strLit>
          </c:cat>
          <c:val>
            <c:numLit>
              <c:formatCode>General</c:formatCode>
              <c:ptCount val="1"/>
              <c:pt idx="0">
                <c:v>431</c:v>
              </c:pt>
            </c:numLit>
          </c:val>
          <c:extLst>
            <c:ext xmlns:c16="http://schemas.microsoft.com/office/drawing/2014/chart" uri="{C3380CC4-5D6E-409C-BE32-E72D297353CC}">
              <c16:uniqueId val="{00000083-C479-4766-B450-E2204FD6CDDF}"/>
            </c:ext>
          </c:extLst>
        </c:ser>
        <c:ser>
          <c:idx val="27"/>
          <c:order val="27"/>
          <c:tx>
            <c:v>Series28</c:v>
          </c:tx>
          <c:cat>
            <c:strLit>
              <c:ptCount val="1"/>
              <c:pt idx="0">
                <c:v>Total</c:v>
              </c:pt>
            </c:strLit>
          </c:cat>
          <c:val>
            <c:numLit>
              <c:formatCode>General</c:formatCode>
              <c:ptCount val="1"/>
              <c:pt idx="0">
                <c:v>1167</c:v>
              </c:pt>
            </c:numLit>
          </c:val>
          <c:extLst>
            <c:ext xmlns:c16="http://schemas.microsoft.com/office/drawing/2014/chart" uri="{C3380CC4-5D6E-409C-BE32-E72D297353CC}">
              <c16:uniqueId val="{00000084-C479-4766-B450-E2204FD6CDDF}"/>
            </c:ext>
          </c:extLst>
        </c:ser>
        <c:ser>
          <c:idx val="28"/>
          <c:order val="28"/>
          <c:tx>
            <c:v>Series29</c:v>
          </c:tx>
          <c:cat>
            <c:strLit>
              <c:ptCount val="1"/>
              <c:pt idx="0">
                <c:v>Total</c:v>
              </c:pt>
            </c:strLit>
          </c:cat>
          <c:val>
            <c:numLit>
              <c:formatCode>General</c:formatCode>
              <c:ptCount val="1"/>
              <c:pt idx="0">
                <c:v>1098</c:v>
              </c:pt>
            </c:numLit>
          </c:val>
          <c:extLst>
            <c:ext xmlns:c16="http://schemas.microsoft.com/office/drawing/2014/chart" uri="{C3380CC4-5D6E-409C-BE32-E72D297353CC}">
              <c16:uniqueId val="{00000085-C479-4766-B450-E2204FD6CDDF}"/>
            </c:ext>
          </c:extLst>
        </c:ser>
        <c:ser>
          <c:idx val="29"/>
          <c:order val="29"/>
          <c:tx>
            <c:v>Series30</c:v>
          </c:tx>
          <c:cat>
            <c:strLit>
              <c:ptCount val="1"/>
              <c:pt idx="0">
                <c:v>Total</c:v>
              </c:pt>
            </c:strLit>
          </c:cat>
          <c:val>
            <c:numLit>
              <c:formatCode>General</c:formatCode>
              <c:ptCount val="1"/>
              <c:pt idx="0">
                <c:v>1096</c:v>
              </c:pt>
            </c:numLit>
          </c:val>
          <c:extLst>
            <c:ext xmlns:c16="http://schemas.microsoft.com/office/drawing/2014/chart" uri="{C3380CC4-5D6E-409C-BE32-E72D297353CC}">
              <c16:uniqueId val="{00000086-C479-4766-B450-E2204FD6CDDF}"/>
            </c:ext>
          </c:extLst>
        </c:ser>
        <c:ser>
          <c:idx val="30"/>
          <c:order val="30"/>
          <c:tx>
            <c:v>Series31</c:v>
          </c:tx>
          <c:cat>
            <c:strLit>
              <c:ptCount val="1"/>
              <c:pt idx="0">
                <c:v>Total</c:v>
              </c:pt>
            </c:strLit>
          </c:cat>
          <c:val>
            <c:numLit>
              <c:formatCode>General</c:formatCode>
              <c:ptCount val="1"/>
              <c:pt idx="0">
                <c:v>1501</c:v>
              </c:pt>
            </c:numLit>
          </c:val>
          <c:extLst>
            <c:ext xmlns:c16="http://schemas.microsoft.com/office/drawing/2014/chart" uri="{C3380CC4-5D6E-409C-BE32-E72D297353CC}">
              <c16:uniqueId val="{00000087-C479-4766-B450-E2204FD6CDDF}"/>
            </c:ext>
          </c:extLst>
        </c:ser>
        <c:ser>
          <c:idx val="31"/>
          <c:order val="31"/>
          <c:tx>
            <c:v>Series32</c:v>
          </c:tx>
          <c:cat>
            <c:strLit>
              <c:ptCount val="1"/>
              <c:pt idx="0">
                <c:v>Total</c:v>
              </c:pt>
            </c:strLit>
          </c:cat>
          <c:val>
            <c:numLit>
              <c:formatCode>General</c:formatCode>
              <c:ptCount val="1"/>
              <c:pt idx="0">
                <c:v>1360</c:v>
              </c:pt>
            </c:numLit>
          </c:val>
          <c:extLst>
            <c:ext xmlns:c16="http://schemas.microsoft.com/office/drawing/2014/chart" uri="{C3380CC4-5D6E-409C-BE32-E72D297353CC}">
              <c16:uniqueId val="{00000088-C479-4766-B450-E2204FD6CDDF}"/>
            </c:ext>
          </c:extLst>
        </c:ser>
        <c:ser>
          <c:idx val="32"/>
          <c:order val="32"/>
          <c:tx>
            <c:v>Series33</c:v>
          </c:tx>
          <c:cat>
            <c:strLit>
              <c:ptCount val="1"/>
              <c:pt idx="0">
                <c:v>Total</c:v>
              </c:pt>
            </c:strLit>
          </c:cat>
          <c:val>
            <c:numLit>
              <c:formatCode>General</c:formatCode>
              <c:ptCount val="1"/>
              <c:pt idx="0">
                <c:v>1526</c:v>
              </c:pt>
            </c:numLit>
          </c:val>
          <c:extLst>
            <c:ext xmlns:c16="http://schemas.microsoft.com/office/drawing/2014/chart" uri="{C3380CC4-5D6E-409C-BE32-E72D297353CC}">
              <c16:uniqueId val="{00000089-C479-4766-B450-E2204FD6CDDF}"/>
            </c:ext>
          </c:extLst>
        </c:ser>
        <c:ser>
          <c:idx val="33"/>
          <c:order val="33"/>
          <c:tx>
            <c:v>Series34</c:v>
          </c:tx>
          <c:cat>
            <c:strLit>
              <c:ptCount val="1"/>
              <c:pt idx="0">
                <c:v>Total</c:v>
              </c:pt>
            </c:strLit>
          </c:cat>
          <c:val>
            <c:numLit>
              <c:formatCode>General</c:formatCode>
              <c:ptCount val="1"/>
              <c:pt idx="0">
                <c:v>1550</c:v>
              </c:pt>
            </c:numLit>
          </c:val>
          <c:extLst>
            <c:ext xmlns:c16="http://schemas.microsoft.com/office/drawing/2014/chart" uri="{C3380CC4-5D6E-409C-BE32-E72D297353CC}">
              <c16:uniqueId val="{0000008A-C479-4766-B450-E2204FD6CDDF}"/>
            </c:ext>
          </c:extLst>
        </c:ser>
        <c:ser>
          <c:idx val="34"/>
          <c:order val="34"/>
          <c:tx>
            <c:v>Series35</c:v>
          </c:tx>
          <c:cat>
            <c:strLit>
              <c:ptCount val="1"/>
              <c:pt idx="0">
                <c:v>Total</c:v>
              </c:pt>
            </c:strLit>
          </c:cat>
          <c:val>
            <c:numLit>
              <c:formatCode>General</c:formatCode>
              <c:ptCount val="1"/>
              <c:pt idx="0">
                <c:v>1708</c:v>
              </c:pt>
            </c:numLit>
          </c:val>
          <c:extLst>
            <c:ext xmlns:c16="http://schemas.microsoft.com/office/drawing/2014/chart" uri="{C3380CC4-5D6E-409C-BE32-E72D297353CC}">
              <c16:uniqueId val="{0000008B-C479-4766-B450-E2204FD6CDDF}"/>
            </c:ext>
          </c:extLst>
        </c:ser>
        <c:ser>
          <c:idx val="35"/>
          <c:order val="35"/>
          <c:tx>
            <c:v>Series36</c:v>
          </c:tx>
          <c:cat>
            <c:strLit>
              <c:ptCount val="1"/>
              <c:pt idx="0">
                <c:v>Total</c:v>
              </c:pt>
            </c:strLit>
          </c:cat>
          <c:val>
            <c:numLit>
              <c:formatCode>General</c:formatCode>
              <c:ptCount val="1"/>
              <c:pt idx="0">
                <c:v>1005</c:v>
              </c:pt>
            </c:numLit>
          </c:val>
          <c:extLst>
            <c:ext xmlns:c16="http://schemas.microsoft.com/office/drawing/2014/chart" uri="{C3380CC4-5D6E-409C-BE32-E72D297353CC}">
              <c16:uniqueId val="{0000008C-C479-4766-B450-E2204FD6CDDF}"/>
            </c:ext>
          </c:extLst>
        </c:ser>
        <c:ser>
          <c:idx val="36"/>
          <c:order val="36"/>
          <c:tx>
            <c:v>Series37</c:v>
          </c:tx>
          <c:cat>
            <c:strLit>
              <c:ptCount val="1"/>
              <c:pt idx="0">
                <c:v>Total</c:v>
              </c:pt>
            </c:strLit>
          </c:cat>
          <c:val>
            <c:numLit>
              <c:formatCode>General</c:formatCode>
              <c:ptCount val="1"/>
              <c:pt idx="0">
                <c:v>1623</c:v>
              </c:pt>
            </c:numLit>
          </c:val>
          <c:extLst>
            <c:ext xmlns:c16="http://schemas.microsoft.com/office/drawing/2014/chart" uri="{C3380CC4-5D6E-409C-BE32-E72D297353CC}">
              <c16:uniqueId val="{0000008D-C479-4766-B450-E2204FD6CDDF}"/>
            </c:ext>
          </c:extLst>
        </c:ser>
        <c:ser>
          <c:idx val="37"/>
          <c:order val="37"/>
          <c:tx>
            <c:v>Series38</c:v>
          </c:tx>
          <c:cat>
            <c:strLit>
              <c:ptCount val="1"/>
              <c:pt idx="0">
                <c:v>Total</c:v>
              </c:pt>
            </c:strLit>
          </c:cat>
          <c:val>
            <c:numLit>
              <c:formatCode>General</c:formatCode>
              <c:ptCount val="1"/>
              <c:pt idx="0">
                <c:v>1712</c:v>
              </c:pt>
            </c:numLit>
          </c:val>
          <c:extLst>
            <c:ext xmlns:c16="http://schemas.microsoft.com/office/drawing/2014/chart" uri="{C3380CC4-5D6E-409C-BE32-E72D297353CC}">
              <c16:uniqueId val="{0000008E-C479-4766-B450-E2204FD6CDDF}"/>
            </c:ext>
          </c:extLst>
        </c:ser>
        <c:ser>
          <c:idx val="38"/>
          <c:order val="38"/>
          <c:tx>
            <c:v>Series39</c:v>
          </c:tx>
          <c:cat>
            <c:strLit>
              <c:ptCount val="1"/>
              <c:pt idx="0">
                <c:v>Total</c:v>
              </c:pt>
            </c:strLit>
          </c:cat>
          <c:val>
            <c:numLit>
              <c:formatCode>General</c:formatCode>
              <c:ptCount val="1"/>
              <c:pt idx="0">
                <c:v>1530</c:v>
              </c:pt>
            </c:numLit>
          </c:val>
          <c:extLst>
            <c:ext xmlns:c16="http://schemas.microsoft.com/office/drawing/2014/chart" uri="{C3380CC4-5D6E-409C-BE32-E72D297353CC}">
              <c16:uniqueId val="{0000008F-C479-4766-B450-E2204FD6CDDF}"/>
            </c:ext>
          </c:extLst>
        </c:ser>
        <c:ser>
          <c:idx val="39"/>
          <c:order val="39"/>
          <c:tx>
            <c:v>Series40</c:v>
          </c:tx>
          <c:cat>
            <c:strLit>
              <c:ptCount val="1"/>
              <c:pt idx="0">
                <c:v>Total</c:v>
              </c:pt>
            </c:strLit>
          </c:cat>
          <c:val>
            <c:numLit>
              <c:formatCode>General</c:formatCode>
              <c:ptCount val="1"/>
              <c:pt idx="0">
                <c:v>1605</c:v>
              </c:pt>
            </c:numLit>
          </c:val>
          <c:extLst>
            <c:ext xmlns:c16="http://schemas.microsoft.com/office/drawing/2014/chart" uri="{C3380CC4-5D6E-409C-BE32-E72D297353CC}">
              <c16:uniqueId val="{00000090-C479-4766-B450-E2204FD6CDDF}"/>
            </c:ext>
          </c:extLst>
        </c:ser>
        <c:ser>
          <c:idx val="40"/>
          <c:order val="40"/>
          <c:tx>
            <c:v>Series41</c:v>
          </c:tx>
          <c:cat>
            <c:strLit>
              <c:ptCount val="1"/>
              <c:pt idx="0">
                <c:v>Total</c:v>
              </c:pt>
            </c:strLit>
          </c:cat>
          <c:val>
            <c:numLit>
              <c:formatCode>General</c:formatCode>
              <c:ptCount val="1"/>
              <c:pt idx="0">
                <c:v>1538</c:v>
              </c:pt>
            </c:numLit>
          </c:val>
          <c:extLst>
            <c:ext xmlns:c16="http://schemas.microsoft.com/office/drawing/2014/chart" uri="{C3380CC4-5D6E-409C-BE32-E72D297353CC}">
              <c16:uniqueId val="{00000091-C479-4766-B450-E2204FD6CDDF}"/>
            </c:ext>
          </c:extLst>
        </c:ser>
        <c:ser>
          <c:idx val="41"/>
          <c:order val="41"/>
          <c:tx>
            <c:v>Series42</c:v>
          </c:tx>
          <c:cat>
            <c:strLit>
              <c:ptCount val="1"/>
              <c:pt idx="0">
                <c:v>Total</c:v>
              </c:pt>
            </c:strLit>
          </c:cat>
          <c:val>
            <c:numLit>
              <c:formatCode>General</c:formatCode>
              <c:ptCount val="1"/>
              <c:pt idx="0">
                <c:v>1746</c:v>
              </c:pt>
            </c:numLit>
          </c:val>
          <c:extLst>
            <c:ext xmlns:c16="http://schemas.microsoft.com/office/drawing/2014/chart" uri="{C3380CC4-5D6E-409C-BE32-E72D297353CC}">
              <c16:uniqueId val="{00000092-C479-4766-B450-E2204FD6CDDF}"/>
            </c:ext>
          </c:extLst>
        </c:ser>
        <c:ser>
          <c:idx val="42"/>
          <c:order val="42"/>
          <c:tx>
            <c:v>Series43</c:v>
          </c:tx>
          <c:cat>
            <c:strLit>
              <c:ptCount val="1"/>
              <c:pt idx="0">
                <c:v>Total</c:v>
              </c:pt>
            </c:strLit>
          </c:cat>
          <c:val>
            <c:numLit>
              <c:formatCode>General</c:formatCode>
              <c:ptCount val="1"/>
              <c:pt idx="0">
                <c:v>1472</c:v>
              </c:pt>
            </c:numLit>
          </c:val>
          <c:extLst>
            <c:ext xmlns:c16="http://schemas.microsoft.com/office/drawing/2014/chart" uri="{C3380CC4-5D6E-409C-BE32-E72D297353CC}">
              <c16:uniqueId val="{00000093-C479-4766-B450-E2204FD6CDDF}"/>
            </c:ext>
          </c:extLst>
        </c:ser>
        <c:ser>
          <c:idx val="43"/>
          <c:order val="43"/>
          <c:tx>
            <c:v>Series44</c:v>
          </c:tx>
          <c:cat>
            <c:strLit>
              <c:ptCount val="1"/>
              <c:pt idx="0">
                <c:v>Total</c:v>
              </c:pt>
            </c:strLit>
          </c:cat>
          <c:val>
            <c:numLit>
              <c:formatCode>General</c:formatCode>
              <c:ptCount val="1"/>
              <c:pt idx="0">
                <c:v>1589</c:v>
              </c:pt>
            </c:numLit>
          </c:val>
          <c:extLst>
            <c:ext xmlns:c16="http://schemas.microsoft.com/office/drawing/2014/chart" uri="{C3380CC4-5D6E-409C-BE32-E72D297353CC}">
              <c16:uniqueId val="{00000094-C479-4766-B450-E2204FD6CDDF}"/>
            </c:ext>
          </c:extLst>
        </c:ser>
        <c:ser>
          <c:idx val="44"/>
          <c:order val="44"/>
          <c:tx>
            <c:v>Series45</c:v>
          </c:tx>
          <c:cat>
            <c:strLit>
              <c:ptCount val="1"/>
              <c:pt idx="0">
                <c:v>Total</c:v>
              </c:pt>
            </c:strLit>
          </c:cat>
          <c:val>
            <c:numLit>
              <c:formatCode>General</c:formatCode>
              <c:ptCount val="1"/>
              <c:pt idx="0">
                <c:v>151</c:v>
              </c:pt>
            </c:numLit>
          </c:val>
          <c:extLst>
            <c:ext xmlns:c16="http://schemas.microsoft.com/office/drawing/2014/chart" uri="{C3380CC4-5D6E-409C-BE32-E72D297353CC}">
              <c16:uniqueId val="{00000095-C479-4766-B450-E2204FD6CDDF}"/>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13648293963253"/>
          <c:y val="0.16564596092155148"/>
          <c:w val="0.68378018372703409"/>
          <c:h val="0.75010279965004378"/>
        </c:manualLayout>
      </c:layout>
      <c:barChart>
        <c:barDir val="col"/>
        <c:grouping val="clustered"/>
        <c:varyColors val="0"/>
        <c:ser>
          <c:idx val="0"/>
          <c:order val="0"/>
          <c:tx>
            <c:v>01-Jan</c:v>
          </c:tx>
          <c:spPr>
            <a:solidFill>
              <a:schemeClr val="accent1"/>
            </a:solidFill>
            <a:ln>
              <a:noFill/>
            </a:ln>
            <a:effectLst/>
          </c:spPr>
          <c:invertIfNegative val="0"/>
          <c:cat>
            <c:strLit>
              <c:ptCount val="1"/>
              <c:pt idx="0">
                <c:v>Total</c:v>
              </c:pt>
            </c:strLit>
          </c:cat>
          <c:val>
            <c:numLit>
              <c:formatCode>General</c:formatCode>
              <c:ptCount val="1"/>
              <c:pt idx="0">
                <c:v>985</c:v>
              </c:pt>
            </c:numLit>
          </c:val>
          <c:extLst>
            <c:ext xmlns:c16="http://schemas.microsoft.com/office/drawing/2014/chart" uri="{C3380CC4-5D6E-409C-BE32-E72D297353CC}">
              <c16:uniqueId val="{00000000-BC29-4456-8F15-F462848FB5D6}"/>
            </c:ext>
          </c:extLst>
        </c:ser>
        <c:ser>
          <c:idx val="1"/>
          <c:order val="1"/>
          <c:tx>
            <c:v>02-Jan</c:v>
          </c:tx>
          <c:spPr>
            <a:solidFill>
              <a:schemeClr val="accent2"/>
            </a:solidFill>
            <a:ln>
              <a:noFill/>
            </a:ln>
            <a:effectLst/>
          </c:spPr>
          <c:invertIfNegative val="0"/>
          <c:cat>
            <c:strLit>
              <c:ptCount val="1"/>
              <c:pt idx="0">
                <c:v>Total</c:v>
              </c:pt>
            </c:strLit>
          </c:cat>
          <c:val>
            <c:numLit>
              <c:formatCode>General</c:formatCode>
              <c:ptCount val="1"/>
              <c:pt idx="0">
                <c:v>801</c:v>
              </c:pt>
            </c:numLit>
          </c:val>
          <c:extLst>
            <c:ext xmlns:c16="http://schemas.microsoft.com/office/drawing/2014/chart" uri="{C3380CC4-5D6E-409C-BE32-E72D297353CC}">
              <c16:uniqueId val="{00000001-BC29-4456-8F15-F462848FB5D6}"/>
            </c:ext>
          </c:extLst>
        </c:ser>
        <c:ser>
          <c:idx val="2"/>
          <c:order val="2"/>
          <c:tx>
            <c:v>03-Jan</c:v>
          </c:tx>
          <c:spPr>
            <a:solidFill>
              <a:schemeClr val="accent3"/>
            </a:solidFill>
            <a:ln>
              <a:noFill/>
            </a:ln>
            <a:effectLst/>
          </c:spPr>
          <c:invertIfNegative val="0"/>
          <c:cat>
            <c:strLit>
              <c:ptCount val="1"/>
              <c:pt idx="0">
                <c:v>Total</c:v>
              </c:pt>
            </c:strLit>
          </c:cat>
          <c:val>
            <c:numLit>
              <c:formatCode>General</c:formatCode>
              <c:ptCount val="1"/>
              <c:pt idx="0">
                <c:v>1349</c:v>
              </c:pt>
            </c:numLit>
          </c:val>
          <c:extLst>
            <c:ext xmlns:c16="http://schemas.microsoft.com/office/drawing/2014/chart" uri="{C3380CC4-5D6E-409C-BE32-E72D297353CC}">
              <c16:uniqueId val="{00000002-BC29-4456-8F15-F462848FB5D6}"/>
            </c:ext>
          </c:extLst>
        </c:ser>
        <c:ser>
          <c:idx val="3"/>
          <c:order val="3"/>
          <c:tx>
            <c:v>04-Jan</c:v>
          </c:tx>
          <c:spPr>
            <a:solidFill>
              <a:schemeClr val="accent4"/>
            </a:solidFill>
            <a:ln>
              <a:noFill/>
            </a:ln>
            <a:effectLst/>
          </c:spPr>
          <c:invertIfNegative val="0"/>
          <c:cat>
            <c:strLit>
              <c:ptCount val="1"/>
              <c:pt idx="0">
                <c:v>Total</c:v>
              </c:pt>
            </c:strLit>
          </c:cat>
          <c:val>
            <c:numLit>
              <c:formatCode>General</c:formatCode>
              <c:ptCount val="1"/>
              <c:pt idx="0">
                <c:v>1562</c:v>
              </c:pt>
            </c:numLit>
          </c:val>
          <c:extLst>
            <c:ext xmlns:c16="http://schemas.microsoft.com/office/drawing/2014/chart" uri="{C3380CC4-5D6E-409C-BE32-E72D297353CC}">
              <c16:uniqueId val="{00000003-BC29-4456-8F15-F462848FB5D6}"/>
            </c:ext>
          </c:extLst>
        </c:ser>
        <c:ser>
          <c:idx val="4"/>
          <c:order val="4"/>
          <c:tx>
            <c:v>05-Jan</c:v>
          </c:tx>
          <c:spPr>
            <a:solidFill>
              <a:schemeClr val="accent5"/>
            </a:solidFill>
            <a:ln>
              <a:noFill/>
            </a:ln>
            <a:effectLst/>
          </c:spPr>
          <c:invertIfNegative val="0"/>
          <c:cat>
            <c:strLit>
              <c:ptCount val="1"/>
              <c:pt idx="0">
                <c:v>Total</c:v>
              </c:pt>
            </c:strLit>
          </c:cat>
          <c:val>
            <c:numLit>
              <c:formatCode>General</c:formatCode>
              <c:ptCount val="1"/>
              <c:pt idx="0">
                <c:v>1600</c:v>
              </c:pt>
            </c:numLit>
          </c:val>
          <c:extLst>
            <c:ext xmlns:c16="http://schemas.microsoft.com/office/drawing/2014/chart" uri="{C3380CC4-5D6E-409C-BE32-E72D297353CC}">
              <c16:uniqueId val="{00000004-BC29-4456-8F15-F462848FB5D6}"/>
            </c:ext>
          </c:extLst>
        </c:ser>
        <c:ser>
          <c:idx val="5"/>
          <c:order val="5"/>
          <c:tx>
            <c:v>06-Jan</c:v>
          </c:tx>
          <c:spPr>
            <a:solidFill>
              <a:schemeClr val="accent6"/>
            </a:solidFill>
            <a:ln>
              <a:noFill/>
            </a:ln>
            <a:effectLst/>
          </c:spPr>
          <c:invertIfNegative val="0"/>
          <c:cat>
            <c:strLit>
              <c:ptCount val="1"/>
              <c:pt idx="0">
                <c:v>Total</c:v>
              </c:pt>
            </c:strLit>
          </c:cat>
          <c:val>
            <c:numLit>
              <c:formatCode>General</c:formatCode>
              <c:ptCount val="1"/>
              <c:pt idx="0">
                <c:v>1606</c:v>
              </c:pt>
            </c:numLit>
          </c:val>
          <c:extLst>
            <c:ext xmlns:c16="http://schemas.microsoft.com/office/drawing/2014/chart" uri="{C3380CC4-5D6E-409C-BE32-E72D297353CC}">
              <c16:uniqueId val="{00000005-BC29-4456-8F15-F462848FB5D6}"/>
            </c:ext>
          </c:extLst>
        </c:ser>
        <c:ser>
          <c:idx val="6"/>
          <c:order val="6"/>
          <c:tx>
            <c:v>07-Jan</c:v>
          </c:tx>
          <c:spPr>
            <a:solidFill>
              <a:schemeClr val="accent1">
                <a:lumMod val="60000"/>
              </a:schemeClr>
            </a:solidFill>
            <a:ln>
              <a:noFill/>
            </a:ln>
            <a:effectLst/>
          </c:spPr>
          <c:invertIfNegative val="0"/>
          <c:cat>
            <c:strLit>
              <c:ptCount val="1"/>
              <c:pt idx="0">
                <c:v>Total</c:v>
              </c:pt>
            </c:strLit>
          </c:cat>
          <c:val>
            <c:numLit>
              <c:formatCode>General</c:formatCode>
              <c:ptCount val="1"/>
              <c:pt idx="0">
                <c:v>1510</c:v>
              </c:pt>
            </c:numLit>
          </c:val>
          <c:extLst>
            <c:ext xmlns:c16="http://schemas.microsoft.com/office/drawing/2014/chart" uri="{C3380CC4-5D6E-409C-BE32-E72D297353CC}">
              <c16:uniqueId val="{00000006-BC29-4456-8F15-F462848FB5D6}"/>
            </c:ext>
          </c:extLst>
        </c:ser>
        <c:ser>
          <c:idx val="7"/>
          <c:order val="7"/>
          <c:tx>
            <c:v>08-Jan</c:v>
          </c:tx>
          <c:spPr>
            <a:solidFill>
              <a:schemeClr val="accent2">
                <a:lumMod val="60000"/>
              </a:schemeClr>
            </a:solidFill>
            <a:ln>
              <a:noFill/>
            </a:ln>
            <a:effectLst/>
          </c:spPr>
          <c:invertIfNegative val="0"/>
          <c:cat>
            <c:strLit>
              <c:ptCount val="1"/>
              <c:pt idx="0">
                <c:v>Total</c:v>
              </c:pt>
            </c:strLit>
          </c:cat>
          <c:val>
            <c:numLit>
              <c:formatCode>General</c:formatCode>
              <c:ptCount val="1"/>
              <c:pt idx="0">
                <c:v>959</c:v>
              </c:pt>
            </c:numLit>
          </c:val>
          <c:extLst>
            <c:ext xmlns:c16="http://schemas.microsoft.com/office/drawing/2014/chart" uri="{C3380CC4-5D6E-409C-BE32-E72D297353CC}">
              <c16:uniqueId val="{00000007-BC29-4456-8F15-F462848FB5D6}"/>
            </c:ext>
          </c:extLst>
        </c:ser>
        <c:ser>
          <c:idx val="8"/>
          <c:order val="8"/>
          <c:tx>
            <c:v>09-Jan</c:v>
          </c:tx>
          <c:spPr>
            <a:solidFill>
              <a:schemeClr val="accent3">
                <a:lumMod val="60000"/>
              </a:schemeClr>
            </a:solidFill>
            <a:ln>
              <a:noFill/>
            </a:ln>
            <a:effectLst/>
          </c:spPr>
          <c:invertIfNegative val="0"/>
          <c:cat>
            <c:strLit>
              <c:ptCount val="1"/>
              <c:pt idx="0">
                <c:v>Total</c:v>
              </c:pt>
            </c:strLit>
          </c:cat>
          <c:val>
            <c:numLit>
              <c:formatCode>General</c:formatCode>
              <c:ptCount val="1"/>
              <c:pt idx="0">
                <c:v>822</c:v>
              </c:pt>
            </c:numLit>
          </c:val>
          <c:extLst>
            <c:ext xmlns:c16="http://schemas.microsoft.com/office/drawing/2014/chart" uri="{C3380CC4-5D6E-409C-BE32-E72D297353CC}">
              <c16:uniqueId val="{00000008-BC29-4456-8F15-F462848FB5D6}"/>
            </c:ext>
          </c:extLst>
        </c:ser>
        <c:ser>
          <c:idx val="9"/>
          <c:order val="9"/>
          <c:tx>
            <c:v>10-Jan</c:v>
          </c:tx>
          <c:spPr>
            <a:solidFill>
              <a:schemeClr val="accent4">
                <a:lumMod val="60000"/>
              </a:schemeClr>
            </a:solidFill>
            <a:ln>
              <a:noFill/>
            </a:ln>
            <a:effectLst/>
          </c:spPr>
          <c:invertIfNegative val="0"/>
          <c:cat>
            <c:strLit>
              <c:ptCount val="1"/>
              <c:pt idx="0">
                <c:v>Total</c:v>
              </c:pt>
            </c:strLit>
          </c:cat>
          <c:val>
            <c:numLit>
              <c:formatCode>General</c:formatCode>
              <c:ptCount val="1"/>
              <c:pt idx="0">
                <c:v>1321</c:v>
              </c:pt>
            </c:numLit>
          </c:val>
          <c:extLst>
            <c:ext xmlns:c16="http://schemas.microsoft.com/office/drawing/2014/chart" uri="{C3380CC4-5D6E-409C-BE32-E72D297353CC}">
              <c16:uniqueId val="{00000009-BC29-4456-8F15-F462848FB5D6}"/>
            </c:ext>
          </c:extLst>
        </c:ser>
        <c:ser>
          <c:idx val="10"/>
          <c:order val="10"/>
          <c:tx>
            <c:v>11-Jan</c:v>
          </c:tx>
          <c:spPr>
            <a:solidFill>
              <a:schemeClr val="accent5">
                <a:lumMod val="60000"/>
              </a:schemeClr>
            </a:solidFill>
            <a:ln>
              <a:noFill/>
            </a:ln>
            <a:effectLst/>
          </c:spPr>
          <c:invertIfNegative val="0"/>
          <c:cat>
            <c:strLit>
              <c:ptCount val="1"/>
              <c:pt idx="0">
                <c:v>Total</c:v>
              </c:pt>
            </c:strLit>
          </c:cat>
          <c:val>
            <c:numLit>
              <c:formatCode>General</c:formatCode>
              <c:ptCount val="1"/>
              <c:pt idx="0">
                <c:v>1263</c:v>
              </c:pt>
            </c:numLit>
          </c:val>
          <c:extLst>
            <c:ext xmlns:c16="http://schemas.microsoft.com/office/drawing/2014/chart" uri="{C3380CC4-5D6E-409C-BE32-E72D297353CC}">
              <c16:uniqueId val="{0000000A-BC29-4456-8F15-F462848FB5D6}"/>
            </c:ext>
          </c:extLst>
        </c:ser>
        <c:ser>
          <c:idx val="11"/>
          <c:order val="11"/>
          <c:tx>
            <c:v>12-Jan</c:v>
          </c:tx>
          <c:spPr>
            <a:solidFill>
              <a:schemeClr val="accent6">
                <a:lumMod val="60000"/>
              </a:schemeClr>
            </a:solidFill>
            <a:ln>
              <a:noFill/>
            </a:ln>
            <a:effectLst/>
          </c:spPr>
          <c:invertIfNegative val="0"/>
          <c:cat>
            <c:strLit>
              <c:ptCount val="1"/>
              <c:pt idx="0">
                <c:v>Total</c:v>
              </c:pt>
            </c:strLit>
          </c:cat>
          <c:val>
            <c:numLit>
              <c:formatCode>General</c:formatCode>
              <c:ptCount val="1"/>
              <c:pt idx="0">
                <c:v>1162</c:v>
              </c:pt>
            </c:numLit>
          </c:val>
          <c:extLst>
            <c:ext xmlns:c16="http://schemas.microsoft.com/office/drawing/2014/chart" uri="{C3380CC4-5D6E-409C-BE32-E72D297353CC}">
              <c16:uniqueId val="{0000000B-BC29-4456-8F15-F462848FB5D6}"/>
            </c:ext>
          </c:extLst>
        </c:ser>
        <c:ser>
          <c:idx val="12"/>
          <c:order val="12"/>
          <c:tx>
            <c:v>13-Jan</c:v>
          </c:tx>
          <c:spPr>
            <a:solidFill>
              <a:schemeClr val="accent1">
                <a:lumMod val="80000"/>
                <a:lumOff val="20000"/>
              </a:schemeClr>
            </a:solidFill>
            <a:ln>
              <a:noFill/>
            </a:ln>
            <a:effectLst/>
          </c:spPr>
          <c:invertIfNegative val="0"/>
          <c:cat>
            <c:strLit>
              <c:ptCount val="1"/>
              <c:pt idx="0">
                <c:v>Total</c:v>
              </c:pt>
            </c:strLit>
          </c:cat>
          <c:val>
            <c:numLit>
              <c:formatCode>General</c:formatCode>
              <c:ptCount val="1"/>
              <c:pt idx="0">
                <c:v>1406</c:v>
              </c:pt>
            </c:numLit>
          </c:val>
          <c:extLst>
            <c:ext xmlns:c16="http://schemas.microsoft.com/office/drawing/2014/chart" uri="{C3380CC4-5D6E-409C-BE32-E72D297353CC}">
              <c16:uniqueId val="{0000000C-BC29-4456-8F15-F462848FB5D6}"/>
            </c:ext>
          </c:extLst>
        </c:ser>
        <c:ser>
          <c:idx val="13"/>
          <c:order val="13"/>
          <c:tx>
            <c:v>14-Jan</c:v>
          </c:tx>
          <c:spPr>
            <a:solidFill>
              <a:schemeClr val="accent2">
                <a:lumMod val="80000"/>
                <a:lumOff val="20000"/>
              </a:schemeClr>
            </a:solidFill>
            <a:ln>
              <a:noFill/>
            </a:ln>
            <a:effectLst/>
          </c:spPr>
          <c:invertIfNegative val="0"/>
          <c:cat>
            <c:strLit>
              <c:ptCount val="1"/>
              <c:pt idx="0">
                <c:v>Total</c:v>
              </c:pt>
            </c:strLit>
          </c:cat>
          <c:val>
            <c:numLit>
              <c:formatCode>General</c:formatCode>
              <c:ptCount val="1"/>
              <c:pt idx="0">
                <c:v>1421</c:v>
              </c:pt>
            </c:numLit>
          </c:val>
          <c:extLst>
            <c:ext xmlns:c16="http://schemas.microsoft.com/office/drawing/2014/chart" uri="{C3380CC4-5D6E-409C-BE32-E72D297353CC}">
              <c16:uniqueId val="{0000000D-BC29-4456-8F15-F462848FB5D6}"/>
            </c:ext>
          </c:extLst>
        </c:ser>
        <c:ser>
          <c:idx val="14"/>
          <c:order val="14"/>
          <c:tx>
            <c:v>15-Jan</c:v>
          </c:tx>
          <c:spPr>
            <a:solidFill>
              <a:schemeClr val="accent3">
                <a:lumMod val="80000"/>
                <a:lumOff val="20000"/>
              </a:schemeClr>
            </a:solidFill>
            <a:ln>
              <a:noFill/>
            </a:ln>
            <a:effectLst/>
          </c:spPr>
          <c:invertIfNegative val="0"/>
          <c:cat>
            <c:strLit>
              <c:ptCount val="1"/>
              <c:pt idx="0">
                <c:v>Total</c:v>
              </c:pt>
            </c:strLit>
          </c:cat>
          <c:val>
            <c:numLit>
              <c:formatCode>General</c:formatCode>
              <c:ptCount val="1"/>
              <c:pt idx="0">
                <c:v>1248</c:v>
              </c:pt>
            </c:numLit>
          </c:val>
          <c:extLst>
            <c:ext xmlns:c16="http://schemas.microsoft.com/office/drawing/2014/chart" uri="{C3380CC4-5D6E-409C-BE32-E72D297353CC}">
              <c16:uniqueId val="{0000000E-BC29-4456-8F15-F462848FB5D6}"/>
            </c:ext>
          </c:extLst>
        </c:ser>
        <c:ser>
          <c:idx val="15"/>
          <c:order val="15"/>
          <c:tx>
            <c:v>16-Jan</c:v>
          </c:tx>
          <c:spPr>
            <a:solidFill>
              <a:schemeClr val="accent4">
                <a:lumMod val="80000"/>
                <a:lumOff val="20000"/>
              </a:schemeClr>
            </a:solidFill>
            <a:ln>
              <a:noFill/>
            </a:ln>
            <a:effectLst/>
          </c:spPr>
          <c:invertIfNegative val="0"/>
          <c:cat>
            <c:strLit>
              <c:ptCount val="1"/>
              <c:pt idx="0">
                <c:v>Total</c:v>
              </c:pt>
            </c:strLit>
          </c:cat>
          <c:val>
            <c:numLit>
              <c:formatCode>General</c:formatCode>
              <c:ptCount val="1"/>
              <c:pt idx="0">
                <c:v>1204</c:v>
              </c:pt>
            </c:numLit>
          </c:val>
          <c:extLst>
            <c:ext xmlns:c16="http://schemas.microsoft.com/office/drawing/2014/chart" uri="{C3380CC4-5D6E-409C-BE32-E72D297353CC}">
              <c16:uniqueId val="{0000000F-BC29-4456-8F15-F462848FB5D6}"/>
            </c:ext>
          </c:extLst>
        </c:ser>
        <c:ser>
          <c:idx val="16"/>
          <c:order val="16"/>
          <c:tx>
            <c:v>17-Jan</c:v>
          </c:tx>
          <c:spPr>
            <a:solidFill>
              <a:schemeClr val="accent5">
                <a:lumMod val="80000"/>
                <a:lumOff val="20000"/>
              </a:schemeClr>
            </a:solidFill>
            <a:ln>
              <a:noFill/>
            </a:ln>
            <a:effectLst/>
          </c:spPr>
          <c:invertIfNegative val="0"/>
          <c:cat>
            <c:strLit>
              <c:ptCount val="1"/>
              <c:pt idx="0">
                <c:v>Total</c:v>
              </c:pt>
            </c:strLit>
          </c:cat>
          <c:val>
            <c:numLit>
              <c:formatCode>General</c:formatCode>
              <c:ptCount val="1"/>
              <c:pt idx="0">
                <c:v>1000</c:v>
              </c:pt>
            </c:numLit>
          </c:val>
          <c:extLst>
            <c:ext xmlns:c16="http://schemas.microsoft.com/office/drawing/2014/chart" uri="{C3380CC4-5D6E-409C-BE32-E72D297353CC}">
              <c16:uniqueId val="{00000010-BC29-4456-8F15-F462848FB5D6}"/>
            </c:ext>
          </c:extLst>
        </c:ser>
        <c:ser>
          <c:idx val="17"/>
          <c:order val="17"/>
          <c:tx>
            <c:v>18-Jan</c:v>
          </c:tx>
          <c:spPr>
            <a:solidFill>
              <a:schemeClr val="accent6">
                <a:lumMod val="80000"/>
                <a:lumOff val="20000"/>
              </a:schemeClr>
            </a:solidFill>
            <a:ln>
              <a:noFill/>
            </a:ln>
            <a:effectLst/>
          </c:spPr>
          <c:invertIfNegative val="0"/>
          <c:cat>
            <c:strLit>
              <c:ptCount val="1"/>
              <c:pt idx="0">
                <c:v>Total</c:v>
              </c:pt>
            </c:strLit>
          </c:cat>
          <c:val>
            <c:numLit>
              <c:formatCode>General</c:formatCode>
              <c:ptCount val="1"/>
              <c:pt idx="0">
                <c:v>683</c:v>
              </c:pt>
            </c:numLit>
          </c:val>
          <c:extLst>
            <c:ext xmlns:c16="http://schemas.microsoft.com/office/drawing/2014/chart" uri="{C3380CC4-5D6E-409C-BE32-E72D297353CC}">
              <c16:uniqueId val="{00000011-BC29-4456-8F15-F462848FB5D6}"/>
            </c:ext>
          </c:extLst>
        </c:ser>
        <c:ser>
          <c:idx val="18"/>
          <c:order val="18"/>
          <c:tx>
            <c:v>19-Jan</c:v>
          </c:tx>
          <c:spPr>
            <a:solidFill>
              <a:schemeClr val="accent1">
                <a:lumMod val="80000"/>
              </a:schemeClr>
            </a:solidFill>
            <a:ln>
              <a:noFill/>
            </a:ln>
            <a:effectLst/>
          </c:spPr>
          <c:invertIfNegative val="0"/>
          <c:cat>
            <c:strLit>
              <c:ptCount val="1"/>
              <c:pt idx="0">
                <c:v>Total</c:v>
              </c:pt>
            </c:strLit>
          </c:cat>
          <c:val>
            <c:numLit>
              <c:formatCode>General</c:formatCode>
              <c:ptCount val="1"/>
              <c:pt idx="0">
                <c:v>1650</c:v>
              </c:pt>
            </c:numLit>
          </c:val>
          <c:extLst>
            <c:ext xmlns:c16="http://schemas.microsoft.com/office/drawing/2014/chart" uri="{C3380CC4-5D6E-409C-BE32-E72D297353CC}">
              <c16:uniqueId val="{00000012-BC29-4456-8F15-F462848FB5D6}"/>
            </c:ext>
          </c:extLst>
        </c:ser>
        <c:ser>
          <c:idx val="19"/>
          <c:order val="19"/>
          <c:tx>
            <c:v>20-Jan</c:v>
          </c:tx>
          <c:spPr>
            <a:solidFill>
              <a:schemeClr val="accent2">
                <a:lumMod val="80000"/>
              </a:schemeClr>
            </a:solidFill>
            <a:ln>
              <a:noFill/>
            </a:ln>
            <a:effectLst/>
          </c:spPr>
          <c:invertIfNegative val="0"/>
          <c:cat>
            <c:strLit>
              <c:ptCount val="1"/>
              <c:pt idx="0">
                <c:v>Total</c:v>
              </c:pt>
            </c:strLit>
          </c:cat>
          <c:val>
            <c:numLit>
              <c:formatCode>General</c:formatCode>
              <c:ptCount val="1"/>
              <c:pt idx="0">
                <c:v>1927</c:v>
              </c:pt>
            </c:numLit>
          </c:val>
          <c:extLst>
            <c:ext xmlns:c16="http://schemas.microsoft.com/office/drawing/2014/chart" uri="{C3380CC4-5D6E-409C-BE32-E72D297353CC}">
              <c16:uniqueId val="{00000013-BC29-4456-8F15-F462848FB5D6}"/>
            </c:ext>
          </c:extLst>
        </c:ser>
        <c:ser>
          <c:idx val="20"/>
          <c:order val="20"/>
          <c:tx>
            <c:v>21-Jan</c:v>
          </c:tx>
          <c:spPr>
            <a:solidFill>
              <a:schemeClr val="accent3">
                <a:lumMod val="80000"/>
              </a:schemeClr>
            </a:solidFill>
            <a:ln>
              <a:noFill/>
            </a:ln>
            <a:effectLst/>
          </c:spPr>
          <c:invertIfNegative val="0"/>
          <c:cat>
            <c:strLit>
              <c:ptCount val="1"/>
              <c:pt idx="0">
                <c:v>Total</c:v>
              </c:pt>
            </c:strLit>
          </c:cat>
          <c:val>
            <c:numLit>
              <c:formatCode>General</c:formatCode>
              <c:ptCount val="1"/>
              <c:pt idx="0">
                <c:v>1543</c:v>
              </c:pt>
            </c:numLit>
          </c:val>
          <c:extLst>
            <c:ext xmlns:c16="http://schemas.microsoft.com/office/drawing/2014/chart" uri="{C3380CC4-5D6E-409C-BE32-E72D297353CC}">
              <c16:uniqueId val="{00000014-BC29-4456-8F15-F462848FB5D6}"/>
            </c:ext>
          </c:extLst>
        </c:ser>
        <c:ser>
          <c:idx val="21"/>
          <c:order val="21"/>
          <c:tx>
            <c:v>22-Jan</c:v>
          </c:tx>
          <c:spPr>
            <a:solidFill>
              <a:schemeClr val="accent4">
                <a:lumMod val="80000"/>
              </a:schemeClr>
            </a:solidFill>
            <a:ln>
              <a:noFill/>
            </a:ln>
            <a:effectLst/>
          </c:spPr>
          <c:invertIfNegative val="0"/>
          <c:cat>
            <c:strLit>
              <c:ptCount val="1"/>
              <c:pt idx="0">
                <c:v>Total</c:v>
              </c:pt>
            </c:strLit>
          </c:cat>
          <c:val>
            <c:numLit>
              <c:formatCode>General</c:formatCode>
              <c:ptCount val="1"/>
              <c:pt idx="0">
                <c:v>981</c:v>
              </c:pt>
            </c:numLit>
          </c:val>
          <c:extLst>
            <c:ext xmlns:c16="http://schemas.microsoft.com/office/drawing/2014/chart" uri="{C3380CC4-5D6E-409C-BE32-E72D297353CC}">
              <c16:uniqueId val="{00000015-BC29-4456-8F15-F462848FB5D6}"/>
            </c:ext>
          </c:extLst>
        </c:ser>
        <c:ser>
          <c:idx val="22"/>
          <c:order val="22"/>
          <c:tx>
            <c:v>23-Jan</c:v>
          </c:tx>
          <c:spPr>
            <a:solidFill>
              <a:schemeClr val="accent5">
                <a:lumMod val="80000"/>
              </a:schemeClr>
            </a:solidFill>
            <a:ln>
              <a:noFill/>
            </a:ln>
            <a:effectLst/>
          </c:spPr>
          <c:invertIfNegative val="0"/>
          <c:cat>
            <c:strLit>
              <c:ptCount val="1"/>
              <c:pt idx="0">
                <c:v>Total</c:v>
              </c:pt>
            </c:strLit>
          </c:cat>
          <c:val>
            <c:numLit>
              <c:formatCode>General</c:formatCode>
              <c:ptCount val="1"/>
              <c:pt idx="0">
                <c:v>986</c:v>
              </c:pt>
            </c:numLit>
          </c:val>
          <c:extLst>
            <c:ext xmlns:c16="http://schemas.microsoft.com/office/drawing/2014/chart" uri="{C3380CC4-5D6E-409C-BE32-E72D297353CC}">
              <c16:uniqueId val="{00000016-BC29-4456-8F15-F462848FB5D6}"/>
            </c:ext>
          </c:extLst>
        </c:ser>
        <c:ser>
          <c:idx val="23"/>
          <c:order val="23"/>
          <c:tx>
            <c:v>24-Jan</c:v>
          </c:tx>
          <c:spPr>
            <a:solidFill>
              <a:schemeClr val="accent6">
                <a:lumMod val="80000"/>
              </a:schemeClr>
            </a:solidFill>
            <a:ln>
              <a:noFill/>
            </a:ln>
            <a:effectLst/>
          </c:spPr>
          <c:invertIfNegative val="0"/>
          <c:cat>
            <c:strLit>
              <c:ptCount val="1"/>
              <c:pt idx="0">
                <c:v>Total</c:v>
              </c:pt>
            </c:strLit>
          </c:cat>
          <c:val>
            <c:numLit>
              <c:formatCode>General</c:formatCode>
              <c:ptCount val="1"/>
              <c:pt idx="0">
                <c:v>1416</c:v>
              </c:pt>
            </c:numLit>
          </c:val>
          <c:extLst>
            <c:ext xmlns:c16="http://schemas.microsoft.com/office/drawing/2014/chart" uri="{C3380CC4-5D6E-409C-BE32-E72D297353CC}">
              <c16:uniqueId val="{00000017-BC29-4456-8F15-F462848FB5D6}"/>
            </c:ext>
          </c:extLst>
        </c:ser>
        <c:ser>
          <c:idx val="24"/>
          <c:order val="24"/>
          <c:tx>
            <c:v>25-Jan</c:v>
          </c:tx>
          <c:spPr>
            <a:solidFill>
              <a:schemeClr val="accent1">
                <a:lumMod val="60000"/>
                <a:lumOff val="40000"/>
              </a:schemeClr>
            </a:solidFill>
            <a:ln>
              <a:noFill/>
            </a:ln>
            <a:effectLst/>
          </c:spPr>
          <c:invertIfNegative val="0"/>
          <c:cat>
            <c:strLit>
              <c:ptCount val="1"/>
              <c:pt idx="0">
                <c:v>Total</c:v>
              </c:pt>
            </c:strLit>
          </c:cat>
          <c:val>
            <c:numLit>
              <c:formatCode>General</c:formatCode>
              <c:ptCount val="1"/>
              <c:pt idx="0">
                <c:v>1985</c:v>
              </c:pt>
            </c:numLit>
          </c:val>
          <c:extLst>
            <c:ext xmlns:c16="http://schemas.microsoft.com/office/drawing/2014/chart" uri="{C3380CC4-5D6E-409C-BE32-E72D297353CC}">
              <c16:uniqueId val="{00000018-BC29-4456-8F15-F462848FB5D6}"/>
            </c:ext>
          </c:extLst>
        </c:ser>
        <c:ser>
          <c:idx val="25"/>
          <c:order val="25"/>
          <c:tx>
            <c:v>26-Jan</c:v>
          </c:tx>
          <c:spPr>
            <a:solidFill>
              <a:schemeClr val="accent2">
                <a:lumMod val="60000"/>
                <a:lumOff val="40000"/>
              </a:schemeClr>
            </a:solidFill>
            <a:ln>
              <a:noFill/>
            </a:ln>
            <a:effectLst/>
          </c:spPr>
          <c:invertIfNegative val="0"/>
          <c:cat>
            <c:strLit>
              <c:ptCount val="1"/>
              <c:pt idx="0">
                <c:v>Total</c:v>
              </c:pt>
            </c:strLit>
          </c:cat>
          <c:val>
            <c:numLit>
              <c:formatCode>General</c:formatCode>
              <c:ptCount val="1"/>
              <c:pt idx="0">
                <c:v>506</c:v>
              </c:pt>
            </c:numLit>
          </c:val>
          <c:extLst>
            <c:ext xmlns:c16="http://schemas.microsoft.com/office/drawing/2014/chart" uri="{C3380CC4-5D6E-409C-BE32-E72D297353CC}">
              <c16:uniqueId val="{00000019-BC29-4456-8F15-F462848FB5D6}"/>
            </c:ext>
          </c:extLst>
        </c:ser>
        <c:ser>
          <c:idx val="26"/>
          <c:order val="26"/>
          <c:tx>
            <c:v>27-Jan</c:v>
          </c:tx>
          <c:spPr>
            <a:solidFill>
              <a:schemeClr val="accent3">
                <a:lumMod val="60000"/>
                <a:lumOff val="40000"/>
              </a:schemeClr>
            </a:solidFill>
            <a:ln>
              <a:noFill/>
            </a:ln>
            <a:effectLst/>
          </c:spPr>
          <c:invertIfNegative val="0"/>
          <c:cat>
            <c:strLit>
              <c:ptCount val="1"/>
              <c:pt idx="0">
                <c:v>Total</c:v>
              </c:pt>
            </c:strLit>
          </c:cat>
          <c:val>
            <c:numLit>
              <c:formatCode>General</c:formatCode>
              <c:ptCount val="1"/>
              <c:pt idx="0">
                <c:v>431</c:v>
              </c:pt>
            </c:numLit>
          </c:val>
          <c:extLst>
            <c:ext xmlns:c16="http://schemas.microsoft.com/office/drawing/2014/chart" uri="{C3380CC4-5D6E-409C-BE32-E72D297353CC}">
              <c16:uniqueId val="{0000001A-BC29-4456-8F15-F462848FB5D6}"/>
            </c:ext>
          </c:extLst>
        </c:ser>
        <c:ser>
          <c:idx val="27"/>
          <c:order val="27"/>
          <c:tx>
            <c:v>28-Jan</c:v>
          </c:tx>
          <c:spPr>
            <a:solidFill>
              <a:schemeClr val="accent4">
                <a:lumMod val="60000"/>
                <a:lumOff val="40000"/>
              </a:schemeClr>
            </a:solidFill>
            <a:ln>
              <a:noFill/>
            </a:ln>
            <a:effectLst/>
          </c:spPr>
          <c:invertIfNegative val="0"/>
          <c:cat>
            <c:strLit>
              <c:ptCount val="1"/>
              <c:pt idx="0">
                <c:v>Total</c:v>
              </c:pt>
            </c:strLit>
          </c:cat>
          <c:val>
            <c:numLit>
              <c:formatCode>General</c:formatCode>
              <c:ptCount val="1"/>
              <c:pt idx="0">
                <c:v>1167</c:v>
              </c:pt>
            </c:numLit>
          </c:val>
          <c:extLst>
            <c:ext xmlns:c16="http://schemas.microsoft.com/office/drawing/2014/chart" uri="{C3380CC4-5D6E-409C-BE32-E72D297353CC}">
              <c16:uniqueId val="{0000001B-BC29-4456-8F15-F462848FB5D6}"/>
            </c:ext>
          </c:extLst>
        </c:ser>
        <c:ser>
          <c:idx val="28"/>
          <c:order val="28"/>
          <c:tx>
            <c:v>29-Jan</c:v>
          </c:tx>
          <c:spPr>
            <a:solidFill>
              <a:schemeClr val="accent5">
                <a:lumMod val="60000"/>
                <a:lumOff val="40000"/>
              </a:schemeClr>
            </a:solidFill>
            <a:ln>
              <a:noFill/>
            </a:ln>
            <a:effectLst/>
          </c:spPr>
          <c:invertIfNegative val="0"/>
          <c:cat>
            <c:strLit>
              <c:ptCount val="1"/>
              <c:pt idx="0">
                <c:v>Total</c:v>
              </c:pt>
            </c:strLit>
          </c:cat>
          <c:val>
            <c:numLit>
              <c:formatCode>General</c:formatCode>
              <c:ptCount val="1"/>
              <c:pt idx="0">
                <c:v>1098</c:v>
              </c:pt>
            </c:numLit>
          </c:val>
          <c:extLst>
            <c:ext xmlns:c16="http://schemas.microsoft.com/office/drawing/2014/chart" uri="{C3380CC4-5D6E-409C-BE32-E72D297353CC}">
              <c16:uniqueId val="{0000001C-BC29-4456-8F15-F462848FB5D6}"/>
            </c:ext>
          </c:extLst>
        </c:ser>
        <c:ser>
          <c:idx val="29"/>
          <c:order val="29"/>
          <c:tx>
            <c:v>30-Jan</c:v>
          </c:tx>
          <c:spPr>
            <a:solidFill>
              <a:schemeClr val="accent6">
                <a:lumMod val="60000"/>
                <a:lumOff val="40000"/>
              </a:schemeClr>
            </a:solidFill>
            <a:ln>
              <a:noFill/>
            </a:ln>
            <a:effectLst/>
          </c:spPr>
          <c:invertIfNegative val="0"/>
          <c:cat>
            <c:strLit>
              <c:ptCount val="1"/>
              <c:pt idx="0">
                <c:v>Total</c:v>
              </c:pt>
            </c:strLit>
          </c:cat>
          <c:val>
            <c:numLit>
              <c:formatCode>General</c:formatCode>
              <c:ptCount val="1"/>
              <c:pt idx="0">
                <c:v>1096</c:v>
              </c:pt>
            </c:numLit>
          </c:val>
          <c:extLst>
            <c:ext xmlns:c16="http://schemas.microsoft.com/office/drawing/2014/chart" uri="{C3380CC4-5D6E-409C-BE32-E72D297353CC}">
              <c16:uniqueId val="{0000001D-BC29-4456-8F15-F462848FB5D6}"/>
            </c:ext>
          </c:extLst>
        </c:ser>
        <c:ser>
          <c:idx val="30"/>
          <c:order val="30"/>
          <c:tx>
            <c:v>31-Jan</c:v>
          </c:tx>
          <c:spPr>
            <a:solidFill>
              <a:schemeClr val="accent1">
                <a:lumMod val="50000"/>
              </a:schemeClr>
            </a:solidFill>
            <a:ln>
              <a:noFill/>
            </a:ln>
            <a:effectLst/>
          </c:spPr>
          <c:invertIfNegative val="0"/>
          <c:cat>
            <c:strLit>
              <c:ptCount val="1"/>
              <c:pt idx="0">
                <c:v>Total</c:v>
              </c:pt>
            </c:strLit>
          </c:cat>
          <c:val>
            <c:numLit>
              <c:formatCode>General</c:formatCode>
              <c:ptCount val="1"/>
              <c:pt idx="0">
                <c:v>1501</c:v>
              </c:pt>
            </c:numLit>
          </c:val>
          <c:extLst>
            <c:ext xmlns:c16="http://schemas.microsoft.com/office/drawing/2014/chart" uri="{C3380CC4-5D6E-409C-BE32-E72D297353CC}">
              <c16:uniqueId val="{0000001E-BC29-4456-8F15-F462848FB5D6}"/>
            </c:ext>
          </c:extLst>
        </c:ser>
        <c:ser>
          <c:idx val="31"/>
          <c:order val="31"/>
          <c:tx>
            <c:v>01-Feb</c:v>
          </c:tx>
          <c:spPr>
            <a:solidFill>
              <a:schemeClr val="accent2">
                <a:lumMod val="50000"/>
              </a:schemeClr>
            </a:solidFill>
            <a:ln>
              <a:noFill/>
            </a:ln>
            <a:effectLst/>
          </c:spPr>
          <c:invertIfNegative val="0"/>
          <c:cat>
            <c:strLit>
              <c:ptCount val="1"/>
              <c:pt idx="0">
                <c:v>Total</c:v>
              </c:pt>
            </c:strLit>
          </c:cat>
          <c:val>
            <c:numLit>
              <c:formatCode>General</c:formatCode>
              <c:ptCount val="1"/>
              <c:pt idx="0">
                <c:v>1360</c:v>
              </c:pt>
            </c:numLit>
          </c:val>
          <c:extLst>
            <c:ext xmlns:c16="http://schemas.microsoft.com/office/drawing/2014/chart" uri="{C3380CC4-5D6E-409C-BE32-E72D297353CC}">
              <c16:uniqueId val="{0000001F-BC29-4456-8F15-F462848FB5D6}"/>
            </c:ext>
          </c:extLst>
        </c:ser>
        <c:ser>
          <c:idx val="32"/>
          <c:order val="32"/>
          <c:tx>
            <c:v>02-Feb</c:v>
          </c:tx>
          <c:spPr>
            <a:solidFill>
              <a:schemeClr val="accent3">
                <a:lumMod val="50000"/>
              </a:schemeClr>
            </a:solidFill>
            <a:ln>
              <a:noFill/>
            </a:ln>
            <a:effectLst/>
          </c:spPr>
          <c:invertIfNegative val="0"/>
          <c:cat>
            <c:strLit>
              <c:ptCount val="1"/>
              <c:pt idx="0">
                <c:v>Total</c:v>
              </c:pt>
            </c:strLit>
          </c:cat>
          <c:val>
            <c:numLit>
              <c:formatCode>General</c:formatCode>
              <c:ptCount val="1"/>
              <c:pt idx="0">
                <c:v>1526</c:v>
              </c:pt>
            </c:numLit>
          </c:val>
          <c:extLst>
            <c:ext xmlns:c16="http://schemas.microsoft.com/office/drawing/2014/chart" uri="{C3380CC4-5D6E-409C-BE32-E72D297353CC}">
              <c16:uniqueId val="{00000020-BC29-4456-8F15-F462848FB5D6}"/>
            </c:ext>
          </c:extLst>
        </c:ser>
        <c:ser>
          <c:idx val="33"/>
          <c:order val="33"/>
          <c:tx>
            <c:v>03-Feb</c:v>
          </c:tx>
          <c:spPr>
            <a:solidFill>
              <a:schemeClr val="accent4">
                <a:lumMod val="50000"/>
              </a:schemeClr>
            </a:solidFill>
            <a:ln>
              <a:noFill/>
            </a:ln>
            <a:effectLst/>
          </c:spPr>
          <c:invertIfNegative val="0"/>
          <c:cat>
            <c:strLit>
              <c:ptCount val="1"/>
              <c:pt idx="0">
                <c:v>Total</c:v>
              </c:pt>
            </c:strLit>
          </c:cat>
          <c:val>
            <c:numLit>
              <c:formatCode>General</c:formatCode>
              <c:ptCount val="1"/>
              <c:pt idx="0">
                <c:v>1550</c:v>
              </c:pt>
            </c:numLit>
          </c:val>
          <c:extLst>
            <c:ext xmlns:c16="http://schemas.microsoft.com/office/drawing/2014/chart" uri="{C3380CC4-5D6E-409C-BE32-E72D297353CC}">
              <c16:uniqueId val="{00000021-BC29-4456-8F15-F462848FB5D6}"/>
            </c:ext>
          </c:extLst>
        </c:ser>
        <c:ser>
          <c:idx val="34"/>
          <c:order val="34"/>
          <c:tx>
            <c:v>04-Feb</c:v>
          </c:tx>
          <c:spPr>
            <a:solidFill>
              <a:schemeClr val="accent5">
                <a:lumMod val="50000"/>
              </a:schemeClr>
            </a:solidFill>
            <a:ln>
              <a:noFill/>
            </a:ln>
            <a:effectLst/>
          </c:spPr>
          <c:invertIfNegative val="0"/>
          <c:cat>
            <c:strLit>
              <c:ptCount val="1"/>
              <c:pt idx="0">
                <c:v>Total</c:v>
              </c:pt>
            </c:strLit>
          </c:cat>
          <c:val>
            <c:numLit>
              <c:formatCode>General</c:formatCode>
              <c:ptCount val="1"/>
              <c:pt idx="0">
                <c:v>1708</c:v>
              </c:pt>
            </c:numLit>
          </c:val>
          <c:extLst>
            <c:ext xmlns:c16="http://schemas.microsoft.com/office/drawing/2014/chart" uri="{C3380CC4-5D6E-409C-BE32-E72D297353CC}">
              <c16:uniqueId val="{00000022-BC29-4456-8F15-F462848FB5D6}"/>
            </c:ext>
          </c:extLst>
        </c:ser>
        <c:ser>
          <c:idx val="35"/>
          <c:order val="35"/>
          <c:tx>
            <c:v>05-Feb</c:v>
          </c:tx>
          <c:spPr>
            <a:solidFill>
              <a:schemeClr val="accent6">
                <a:lumMod val="50000"/>
              </a:schemeClr>
            </a:solidFill>
            <a:ln>
              <a:noFill/>
            </a:ln>
            <a:effectLst/>
          </c:spPr>
          <c:invertIfNegative val="0"/>
          <c:cat>
            <c:strLit>
              <c:ptCount val="1"/>
              <c:pt idx="0">
                <c:v>Total</c:v>
              </c:pt>
            </c:strLit>
          </c:cat>
          <c:val>
            <c:numLit>
              <c:formatCode>General</c:formatCode>
              <c:ptCount val="1"/>
              <c:pt idx="0">
                <c:v>1005</c:v>
              </c:pt>
            </c:numLit>
          </c:val>
          <c:extLst>
            <c:ext xmlns:c16="http://schemas.microsoft.com/office/drawing/2014/chart" uri="{C3380CC4-5D6E-409C-BE32-E72D297353CC}">
              <c16:uniqueId val="{00000023-BC29-4456-8F15-F462848FB5D6}"/>
            </c:ext>
          </c:extLst>
        </c:ser>
        <c:ser>
          <c:idx val="36"/>
          <c:order val="36"/>
          <c:tx>
            <c:v>06-Feb</c:v>
          </c:tx>
          <c:spPr>
            <a:solidFill>
              <a:schemeClr val="accent1">
                <a:lumMod val="70000"/>
                <a:lumOff val="30000"/>
              </a:schemeClr>
            </a:solidFill>
            <a:ln>
              <a:noFill/>
            </a:ln>
            <a:effectLst/>
          </c:spPr>
          <c:invertIfNegative val="0"/>
          <c:cat>
            <c:strLit>
              <c:ptCount val="1"/>
              <c:pt idx="0">
                <c:v>Total</c:v>
              </c:pt>
            </c:strLit>
          </c:cat>
          <c:val>
            <c:numLit>
              <c:formatCode>General</c:formatCode>
              <c:ptCount val="1"/>
              <c:pt idx="0">
                <c:v>1623</c:v>
              </c:pt>
            </c:numLit>
          </c:val>
          <c:extLst>
            <c:ext xmlns:c16="http://schemas.microsoft.com/office/drawing/2014/chart" uri="{C3380CC4-5D6E-409C-BE32-E72D297353CC}">
              <c16:uniqueId val="{00000024-BC29-4456-8F15-F462848FB5D6}"/>
            </c:ext>
          </c:extLst>
        </c:ser>
        <c:ser>
          <c:idx val="37"/>
          <c:order val="37"/>
          <c:tx>
            <c:v>07-Feb</c:v>
          </c:tx>
          <c:spPr>
            <a:solidFill>
              <a:schemeClr val="accent2">
                <a:lumMod val="70000"/>
                <a:lumOff val="30000"/>
              </a:schemeClr>
            </a:solidFill>
            <a:ln>
              <a:noFill/>
            </a:ln>
            <a:effectLst/>
          </c:spPr>
          <c:invertIfNegative val="0"/>
          <c:cat>
            <c:strLit>
              <c:ptCount val="1"/>
              <c:pt idx="0">
                <c:v>Total</c:v>
              </c:pt>
            </c:strLit>
          </c:cat>
          <c:val>
            <c:numLit>
              <c:formatCode>General</c:formatCode>
              <c:ptCount val="1"/>
              <c:pt idx="0">
                <c:v>1712</c:v>
              </c:pt>
            </c:numLit>
          </c:val>
          <c:extLst>
            <c:ext xmlns:c16="http://schemas.microsoft.com/office/drawing/2014/chart" uri="{C3380CC4-5D6E-409C-BE32-E72D297353CC}">
              <c16:uniqueId val="{00000025-BC29-4456-8F15-F462848FB5D6}"/>
            </c:ext>
          </c:extLst>
        </c:ser>
        <c:ser>
          <c:idx val="38"/>
          <c:order val="38"/>
          <c:tx>
            <c:v>08-Feb</c:v>
          </c:tx>
          <c:spPr>
            <a:solidFill>
              <a:schemeClr val="accent3">
                <a:lumMod val="70000"/>
                <a:lumOff val="30000"/>
              </a:schemeClr>
            </a:solidFill>
            <a:ln>
              <a:noFill/>
            </a:ln>
            <a:effectLst/>
          </c:spPr>
          <c:invertIfNegative val="0"/>
          <c:cat>
            <c:strLit>
              <c:ptCount val="1"/>
              <c:pt idx="0">
                <c:v>Total</c:v>
              </c:pt>
            </c:strLit>
          </c:cat>
          <c:val>
            <c:numLit>
              <c:formatCode>General</c:formatCode>
              <c:ptCount val="1"/>
              <c:pt idx="0">
                <c:v>1530</c:v>
              </c:pt>
            </c:numLit>
          </c:val>
          <c:extLst>
            <c:ext xmlns:c16="http://schemas.microsoft.com/office/drawing/2014/chart" uri="{C3380CC4-5D6E-409C-BE32-E72D297353CC}">
              <c16:uniqueId val="{00000026-BC29-4456-8F15-F462848FB5D6}"/>
            </c:ext>
          </c:extLst>
        </c:ser>
        <c:ser>
          <c:idx val="39"/>
          <c:order val="39"/>
          <c:tx>
            <c:v>09-Feb</c:v>
          </c:tx>
          <c:spPr>
            <a:solidFill>
              <a:schemeClr val="accent4">
                <a:lumMod val="70000"/>
                <a:lumOff val="30000"/>
              </a:schemeClr>
            </a:solidFill>
            <a:ln>
              <a:noFill/>
            </a:ln>
            <a:effectLst/>
          </c:spPr>
          <c:invertIfNegative val="0"/>
          <c:cat>
            <c:strLit>
              <c:ptCount val="1"/>
              <c:pt idx="0">
                <c:v>Total</c:v>
              </c:pt>
            </c:strLit>
          </c:cat>
          <c:val>
            <c:numLit>
              <c:formatCode>General</c:formatCode>
              <c:ptCount val="1"/>
              <c:pt idx="0">
                <c:v>1605</c:v>
              </c:pt>
            </c:numLit>
          </c:val>
          <c:extLst>
            <c:ext xmlns:c16="http://schemas.microsoft.com/office/drawing/2014/chart" uri="{C3380CC4-5D6E-409C-BE32-E72D297353CC}">
              <c16:uniqueId val="{00000027-BC29-4456-8F15-F462848FB5D6}"/>
            </c:ext>
          </c:extLst>
        </c:ser>
        <c:ser>
          <c:idx val="40"/>
          <c:order val="40"/>
          <c:tx>
            <c:v>10-Feb</c:v>
          </c:tx>
          <c:spPr>
            <a:solidFill>
              <a:schemeClr val="accent5">
                <a:lumMod val="70000"/>
                <a:lumOff val="30000"/>
              </a:schemeClr>
            </a:solidFill>
            <a:ln>
              <a:noFill/>
            </a:ln>
            <a:effectLst/>
          </c:spPr>
          <c:invertIfNegative val="0"/>
          <c:cat>
            <c:strLit>
              <c:ptCount val="1"/>
              <c:pt idx="0">
                <c:v>Total</c:v>
              </c:pt>
            </c:strLit>
          </c:cat>
          <c:val>
            <c:numLit>
              <c:formatCode>General</c:formatCode>
              <c:ptCount val="1"/>
              <c:pt idx="0">
                <c:v>1538</c:v>
              </c:pt>
            </c:numLit>
          </c:val>
          <c:extLst>
            <c:ext xmlns:c16="http://schemas.microsoft.com/office/drawing/2014/chart" uri="{C3380CC4-5D6E-409C-BE32-E72D297353CC}">
              <c16:uniqueId val="{00000028-BC29-4456-8F15-F462848FB5D6}"/>
            </c:ext>
          </c:extLst>
        </c:ser>
        <c:ser>
          <c:idx val="41"/>
          <c:order val="41"/>
          <c:tx>
            <c:v>11-Feb</c:v>
          </c:tx>
          <c:spPr>
            <a:solidFill>
              <a:schemeClr val="accent6">
                <a:lumMod val="70000"/>
                <a:lumOff val="30000"/>
              </a:schemeClr>
            </a:solidFill>
            <a:ln>
              <a:noFill/>
            </a:ln>
            <a:effectLst/>
          </c:spPr>
          <c:invertIfNegative val="0"/>
          <c:cat>
            <c:strLit>
              <c:ptCount val="1"/>
              <c:pt idx="0">
                <c:v>Total</c:v>
              </c:pt>
            </c:strLit>
          </c:cat>
          <c:val>
            <c:numLit>
              <c:formatCode>General</c:formatCode>
              <c:ptCount val="1"/>
              <c:pt idx="0">
                <c:v>1746</c:v>
              </c:pt>
            </c:numLit>
          </c:val>
          <c:extLst>
            <c:ext xmlns:c16="http://schemas.microsoft.com/office/drawing/2014/chart" uri="{C3380CC4-5D6E-409C-BE32-E72D297353CC}">
              <c16:uniqueId val="{00000029-BC29-4456-8F15-F462848FB5D6}"/>
            </c:ext>
          </c:extLst>
        </c:ser>
        <c:ser>
          <c:idx val="42"/>
          <c:order val="42"/>
          <c:tx>
            <c:v>12-Feb</c:v>
          </c:tx>
          <c:spPr>
            <a:solidFill>
              <a:schemeClr val="accent1">
                <a:lumMod val="70000"/>
              </a:schemeClr>
            </a:solidFill>
            <a:ln>
              <a:noFill/>
            </a:ln>
            <a:effectLst/>
          </c:spPr>
          <c:invertIfNegative val="0"/>
          <c:cat>
            <c:strLit>
              <c:ptCount val="1"/>
              <c:pt idx="0">
                <c:v>Total</c:v>
              </c:pt>
            </c:strLit>
          </c:cat>
          <c:val>
            <c:numLit>
              <c:formatCode>General</c:formatCode>
              <c:ptCount val="1"/>
              <c:pt idx="0">
                <c:v>1472</c:v>
              </c:pt>
            </c:numLit>
          </c:val>
          <c:extLst>
            <c:ext xmlns:c16="http://schemas.microsoft.com/office/drawing/2014/chart" uri="{C3380CC4-5D6E-409C-BE32-E72D297353CC}">
              <c16:uniqueId val="{0000002A-BC29-4456-8F15-F462848FB5D6}"/>
            </c:ext>
          </c:extLst>
        </c:ser>
        <c:ser>
          <c:idx val="43"/>
          <c:order val="43"/>
          <c:tx>
            <c:v>13-Feb</c:v>
          </c:tx>
          <c:spPr>
            <a:solidFill>
              <a:schemeClr val="accent2">
                <a:lumMod val="70000"/>
              </a:schemeClr>
            </a:solidFill>
            <a:ln>
              <a:noFill/>
            </a:ln>
            <a:effectLst/>
          </c:spPr>
          <c:invertIfNegative val="0"/>
          <c:cat>
            <c:strLit>
              <c:ptCount val="1"/>
              <c:pt idx="0">
                <c:v>Total</c:v>
              </c:pt>
            </c:strLit>
          </c:cat>
          <c:val>
            <c:numLit>
              <c:formatCode>General</c:formatCode>
              <c:ptCount val="1"/>
              <c:pt idx="0">
                <c:v>1589</c:v>
              </c:pt>
            </c:numLit>
          </c:val>
          <c:extLst>
            <c:ext xmlns:c16="http://schemas.microsoft.com/office/drawing/2014/chart" uri="{C3380CC4-5D6E-409C-BE32-E72D297353CC}">
              <c16:uniqueId val="{0000002B-BC29-4456-8F15-F462848FB5D6}"/>
            </c:ext>
          </c:extLst>
        </c:ser>
        <c:ser>
          <c:idx val="44"/>
          <c:order val="44"/>
          <c:tx>
            <c:v>14-Feb</c:v>
          </c:tx>
          <c:spPr>
            <a:solidFill>
              <a:schemeClr val="accent3">
                <a:lumMod val="70000"/>
              </a:schemeClr>
            </a:solidFill>
            <a:ln>
              <a:noFill/>
            </a:ln>
            <a:effectLst/>
          </c:spPr>
          <c:invertIfNegative val="0"/>
          <c:cat>
            <c:strLit>
              <c:ptCount val="1"/>
              <c:pt idx="0">
                <c:v>Total</c:v>
              </c:pt>
            </c:strLit>
          </c:cat>
          <c:val>
            <c:numLit>
              <c:formatCode>General</c:formatCode>
              <c:ptCount val="1"/>
              <c:pt idx="0">
                <c:v>151</c:v>
              </c:pt>
            </c:numLit>
          </c:val>
          <c:extLst>
            <c:ext xmlns:c16="http://schemas.microsoft.com/office/drawing/2014/chart" uri="{C3380CC4-5D6E-409C-BE32-E72D297353CC}">
              <c16:uniqueId val="{0000002C-BC29-4456-8F15-F462848FB5D6}"/>
            </c:ext>
          </c:extLst>
        </c:ser>
        <c:dLbls>
          <c:showLegendKey val="0"/>
          <c:showVal val="0"/>
          <c:showCatName val="0"/>
          <c:showSerName val="0"/>
          <c:showPercent val="0"/>
          <c:showBubbleSize val="0"/>
        </c:dLbls>
        <c:gapWidth val="219"/>
        <c:overlap val="-27"/>
        <c:axId val="1795738527"/>
        <c:axId val="1444227631"/>
      </c:barChart>
      <c:catAx>
        <c:axId val="179573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227631"/>
        <c:crosses val="autoZero"/>
        <c:auto val="1"/>
        <c:lblAlgn val="ctr"/>
        <c:lblOffset val="100"/>
        <c:noMultiLvlLbl val="0"/>
      </c:catAx>
      <c:valAx>
        <c:axId val="14442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s>
    <c:plotArea>
      <c:layout/>
      <c:pieChart>
        <c:varyColors val="1"/>
        <c:ser>
          <c:idx val="0"/>
          <c:order val="0"/>
          <c:tx>
            <c:v>Sum of CASUAL_RENTALS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B-40F3-9346-E046E6366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B-40F3-9346-E046E6366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EB-40F3-9346-E046E6366C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EB-40F3-9346-E046E6366C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EB-40F3-9346-E046E6366C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EB-40F3-9346-E046E6366C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EB-40F3-9346-E046E6366CF5}"/>
              </c:ext>
            </c:extLst>
          </c:dPt>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534</c:v>
              </c:pt>
              <c:pt idx="1">
                <c:v>457</c:v>
              </c:pt>
              <c:pt idx="2">
                <c:v>344</c:v>
              </c:pt>
              <c:pt idx="3">
                <c:v>332</c:v>
              </c:pt>
              <c:pt idx="4">
                <c:v>552</c:v>
              </c:pt>
              <c:pt idx="5">
                <c:v>1225</c:v>
              </c:pt>
              <c:pt idx="6">
                <c:v>1477</c:v>
              </c:pt>
            </c:numLit>
          </c:val>
          <c:extLst>
            <c:ext xmlns:c16="http://schemas.microsoft.com/office/drawing/2014/chart" uri="{C3380CC4-5D6E-409C-BE32-E72D297353CC}">
              <c16:uniqueId val="{0000000E-AFEB-40F3-9346-E046E6366CF5}"/>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FEB-40F3-9346-E046E6366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FEB-40F3-9346-E046E6366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AFEB-40F3-9346-E046E6366C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AFEB-40F3-9346-E046E6366C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AFEB-40F3-9346-E046E6366C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AFEB-40F3-9346-E046E6366C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AFEB-40F3-9346-E046E6366CF5}"/>
              </c:ext>
            </c:extLst>
          </c:dPt>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7916</c:v>
              </c:pt>
              <c:pt idx="1">
                <c:v>7926</c:v>
              </c:pt>
              <c:pt idx="2">
                <c:v>7705</c:v>
              </c:pt>
              <c:pt idx="3">
                <c:v>8126</c:v>
              </c:pt>
              <c:pt idx="4">
                <c:v>8543</c:v>
              </c:pt>
              <c:pt idx="5">
                <c:v>6523</c:v>
              </c:pt>
              <c:pt idx="6">
                <c:v>6644</c:v>
              </c:pt>
            </c:numLit>
          </c:val>
          <c:extLst>
            <c:ext xmlns:c16="http://schemas.microsoft.com/office/drawing/2014/chart" uri="{C3380CC4-5D6E-409C-BE32-E72D297353CC}">
              <c16:uniqueId val="{0000001D-AFEB-40F3-9346-E046E6366CF5}"/>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AFEB-40F3-9346-E046E6366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AFEB-40F3-9346-E046E6366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AFEB-40F3-9346-E046E6366C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AFEB-40F3-9346-E046E6366C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AFEB-40F3-9346-E046E6366C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9-AFEB-40F3-9346-E046E6366C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AFEB-40F3-9346-E046E6366CF5}"/>
              </c:ext>
            </c:extLst>
          </c:dPt>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28.039999999999988</c:v>
              </c:pt>
              <c:pt idx="1">
                <c:v>25.779999999999994</c:v>
              </c:pt>
              <c:pt idx="2">
                <c:v>28.559999999999967</c:v>
              </c:pt>
              <c:pt idx="3">
                <c:v>24.12</c:v>
              </c:pt>
              <c:pt idx="4">
                <c:v>26.179999999999986</c:v>
              </c:pt>
              <c:pt idx="5">
                <c:v>34.639999999999972</c:v>
              </c:pt>
              <c:pt idx="6">
                <c:v>38.580000000000013</c:v>
              </c:pt>
            </c:numLit>
          </c:val>
          <c:extLst>
            <c:ext xmlns:c16="http://schemas.microsoft.com/office/drawing/2014/chart" uri="{C3380CC4-5D6E-409C-BE32-E72D297353CC}">
              <c16:uniqueId val="{0000002C-AFEB-40F3-9346-E046E6366CF5}"/>
            </c:ext>
          </c:extLst>
        </c:ser>
        <c:ser>
          <c:idx val="3"/>
          <c:order val="3"/>
          <c:tx>
            <c:v>Series4</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E-AFEB-40F3-9346-E046E6366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0-AFEB-40F3-9346-E046E6366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2-AFEB-40F3-9346-E046E6366C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4-AFEB-40F3-9346-E046E6366C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6-AFEB-40F3-9346-E046E6366C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8-AFEB-40F3-9346-E046E6366C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A-AFEB-40F3-9346-E046E6366CF5}"/>
              </c:ext>
            </c:extLst>
          </c:dPt>
          <c:cat>
            <c:strLit>
              <c:ptCount val="7"/>
              <c:pt idx="0">
                <c:v>monday</c:v>
              </c:pt>
              <c:pt idx="1">
                <c:v>Tuesday</c:v>
              </c:pt>
              <c:pt idx="2">
                <c:v>Wednesday</c:v>
              </c:pt>
              <c:pt idx="3">
                <c:v>Thursday</c:v>
              </c:pt>
              <c:pt idx="4">
                <c:v>Friday</c:v>
              </c:pt>
              <c:pt idx="5">
                <c:v>Saturday</c:v>
              </c:pt>
              <c:pt idx="6">
                <c:v>Sunday</c:v>
              </c:pt>
            </c:strLit>
          </c:cat>
          <c:val>
            <c:numLit>
              <c:formatCode>General</c:formatCode>
              <c:ptCount val="7"/>
              <c:pt idx="0">
                <c:v>8450</c:v>
              </c:pt>
              <c:pt idx="1">
                <c:v>8383</c:v>
              </c:pt>
              <c:pt idx="2">
                <c:v>8049</c:v>
              </c:pt>
              <c:pt idx="3">
                <c:v>8458</c:v>
              </c:pt>
              <c:pt idx="4">
                <c:v>9095</c:v>
              </c:pt>
              <c:pt idx="5">
                <c:v>7748</c:v>
              </c:pt>
              <c:pt idx="6">
                <c:v>8121</c:v>
              </c:pt>
            </c:numLit>
          </c:val>
          <c:extLst>
            <c:ext xmlns:c16="http://schemas.microsoft.com/office/drawing/2014/chart" uri="{C3380CC4-5D6E-409C-BE32-E72D297353CC}">
              <c16:uniqueId val="{0000003B-AFEB-40F3-9346-E046E6366C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HOUR</a:t>
            </a:r>
            <a:r>
              <a:rPr lang="en-IN" sz="1050" b="1" baseline="0"/>
              <a:t> VSAVERAGE RENTAL</a:t>
            </a:r>
            <a:endParaRPr lang="en-IN" sz="1050" b="1"/>
          </a:p>
        </c:rich>
      </c:tx>
      <c:layout>
        <c:manualLayout>
          <c:xMode val="edge"/>
          <c:yMode val="edge"/>
          <c:x val="5.3954557455466005E-2"/>
          <c:y val="0.12084630004803776"/>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PRACTICE!$Y$26</c:f>
              <c:strCache>
                <c:ptCount val="1"/>
                <c:pt idx="0">
                  <c:v>Average of CASUAL_RENTALS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PRACTICE!$Y$27:$Y$51</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4919-4B9E-ABED-A7317D497602}"/>
            </c:ext>
          </c:extLst>
        </c:ser>
        <c:ser>
          <c:idx val="1"/>
          <c:order val="1"/>
          <c:tx>
            <c:strRef>
              <c:f>PRACTICE!$Z$26</c:f>
              <c:strCache>
                <c:ptCount val="1"/>
                <c:pt idx="0">
                  <c:v>Average of REGISTERED_RENTALS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PRACTICE!$Z$27:$Z$51</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2-4919-4B9E-ABED-A7317D497602}"/>
            </c:ext>
          </c:extLst>
        </c:ser>
        <c:ser>
          <c:idx val="2"/>
          <c:order val="2"/>
          <c:tx>
            <c:strRef>
              <c:f>PRACTICE!$AA$26</c:f>
              <c:strCache>
                <c:ptCount val="1"/>
                <c:pt idx="0">
                  <c:v>Average of TOTAL_RENTALS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PRACTICE!$X$27:$X$51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PRACTICE!$AA$27:$AA$51</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3-4919-4B9E-ABED-A7317D497602}"/>
            </c:ext>
          </c:extLst>
        </c:ser>
        <c:dLbls>
          <c:showLegendKey val="0"/>
          <c:showVal val="0"/>
          <c:showCatName val="0"/>
          <c:showSerName val="0"/>
          <c:showPercent val="0"/>
          <c:showBubbleSize val="0"/>
        </c:dLbls>
        <c:marker val="1"/>
        <c:smooth val="0"/>
        <c:axId val="1761039824"/>
        <c:axId val="612037616"/>
      </c:lineChart>
      <c:catAx>
        <c:axId val="17610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37616"/>
        <c:crosses val="autoZero"/>
        <c:auto val="1"/>
        <c:lblAlgn val="ctr"/>
        <c:lblOffset val="100"/>
        <c:noMultiLvlLbl val="0"/>
      </c:catAx>
      <c:valAx>
        <c:axId val="61203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WEEKDAY</a:t>
            </a:r>
            <a:r>
              <a:rPr lang="en-IN" sz="1050" b="1" baseline="0"/>
              <a:t> VS </a:t>
            </a:r>
            <a:r>
              <a:rPr lang="en-IN" sz="1050" b="1"/>
              <a:t>RENTALS</a:t>
            </a:r>
          </a:p>
        </c:rich>
      </c:tx>
      <c:layout>
        <c:manualLayout>
          <c:xMode val="edge"/>
          <c:yMode val="edge"/>
          <c:x val="2.2645345701650332E-2"/>
          <c:y val="0.1100904053659959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PRACTICE!$AC$16</c:f>
              <c:strCache>
                <c:ptCount val="1"/>
                <c:pt idx="0">
                  <c:v>Max of CASUAL_RENTALS</c:v>
                </c:pt>
              </c:strCache>
            </c:strRef>
          </c:tx>
          <c:dPt>
            <c:idx val="0"/>
            <c:bubble3D val="0"/>
            <c:spPr>
              <a:solidFill>
                <a:schemeClr val="accent1"/>
              </a:solidFill>
              <a:ln>
                <a:noFill/>
              </a:ln>
              <a:effectLst/>
            </c:spPr>
            <c:extLst>
              <c:ext xmlns:c16="http://schemas.microsoft.com/office/drawing/2014/chart" uri="{C3380CC4-5D6E-409C-BE32-E72D297353CC}">
                <c16:uniqueId val="{00000001-B768-42B1-869C-B889D712772F}"/>
              </c:ext>
            </c:extLst>
          </c:dPt>
          <c:dPt>
            <c:idx val="1"/>
            <c:bubble3D val="0"/>
            <c:spPr>
              <a:solidFill>
                <a:schemeClr val="accent2"/>
              </a:solidFill>
              <a:ln>
                <a:noFill/>
              </a:ln>
              <a:effectLst/>
            </c:spPr>
            <c:extLst>
              <c:ext xmlns:c16="http://schemas.microsoft.com/office/drawing/2014/chart" uri="{C3380CC4-5D6E-409C-BE32-E72D297353CC}">
                <c16:uniqueId val="{00000003-B768-42B1-869C-B889D712772F}"/>
              </c:ext>
            </c:extLst>
          </c:dPt>
          <c:dPt>
            <c:idx val="2"/>
            <c:bubble3D val="0"/>
            <c:spPr>
              <a:solidFill>
                <a:schemeClr val="accent3"/>
              </a:solidFill>
              <a:ln>
                <a:noFill/>
              </a:ln>
              <a:effectLst/>
            </c:spPr>
            <c:extLst>
              <c:ext xmlns:c16="http://schemas.microsoft.com/office/drawing/2014/chart" uri="{C3380CC4-5D6E-409C-BE32-E72D297353CC}">
                <c16:uniqueId val="{00000005-B768-42B1-869C-B889D712772F}"/>
              </c:ext>
            </c:extLst>
          </c:dPt>
          <c:dPt>
            <c:idx val="3"/>
            <c:bubble3D val="0"/>
            <c:spPr>
              <a:solidFill>
                <a:schemeClr val="accent4"/>
              </a:solidFill>
              <a:ln>
                <a:noFill/>
              </a:ln>
              <a:effectLst/>
            </c:spPr>
            <c:extLst>
              <c:ext xmlns:c16="http://schemas.microsoft.com/office/drawing/2014/chart" uri="{C3380CC4-5D6E-409C-BE32-E72D297353CC}">
                <c16:uniqueId val="{00000007-B768-42B1-869C-B889D712772F}"/>
              </c:ext>
            </c:extLst>
          </c:dPt>
          <c:dPt>
            <c:idx val="4"/>
            <c:bubble3D val="0"/>
            <c:spPr>
              <a:solidFill>
                <a:schemeClr val="accent5"/>
              </a:solidFill>
              <a:ln>
                <a:noFill/>
              </a:ln>
              <a:effectLst/>
            </c:spPr>
            <c:extLst>
              <c:ext xmlns:c16="http://schemas.microsoft.com/office/drawing/2014/chart" uri="{C3380CC4-5D6E-409C-BE32-E72D297353CC}">
                <c16:uniqueId val="{00000009-B768-42B1-869C-B889D712772F}"/>
              </c:ext>
            </c:extLst>
          </c:dPt>
          <c:dPt>
            <c:idx val="5"/>
            <c:bubble3D val="0"/>
            <c:spPr>
              <a:solidFill>
                <a:schemeClr val="accent6"/>
              </a:solidFill>
              <a:ln>
                <a:noFill/>
              </a:ln>
              <a:effectLst/>
            </c:spPr>
            <c:extLst>
              <c:ext xmlns:c16="http://schemas.microsoft.com/office/drawing/2014/chart" uri="{C3380CC4-5D6E-409C-BE32-E72D297353CC}">
                <c16:uniqueId val="{0000000B-B768-42B1-869C-B889D712772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768-42B1-869C-B889D712772F}"/>
              </c:ext>
            </c:extLst>
          </c:dPt>
          <c:cat>
            <c:strRef>
              <c:f>PRACTICE!$AB$17:$AB$24</c:f>
              <c:strCache>
                <c:ptCount val="7"/>
                <c:pt idx="0">
                  <c:v>monday</c:v>
                </c:pt>
                <c:pt idx="1">
                  <c:v>Tuesday</c:v>
                </c:pt>
                <c:pt idx="2">
                  <c:v>Wednesday</c:v>
                </c:pt>
                <c:pt idx="3">
                  <c:v>Thursday</c:v>
                </c:pt>
                <c:pt idx="4">
                  <c:v>Friday</c:v>
                </c:pt>
                <c:pt idx="5">
                  <c:v>Saturday</c:v>
                </c:pt>
                <c:pt idx="6">
                  <c:v>Sunday</c:v>
                </c:pt>
              </c:strCache>
            </c:strRef>
          </c:cat>
          <c:val>
            <c:numRef>
              <c:f>PRACTICE!$AC$17:$AC$24</c:f>
              <c:numCache>
                <c:formatCode>General</c:formatCode>
                <c:ptCount val="7"/>
                <c:pt idx="0">
                  <c:v>21</c:v>
                </c:pt>
                <c:pt idx="1">
                  <c:v>21</c:v>
                </c:pt>
                <c:pt idx="2">
                  <c:v>12</c:v>
                </c:pt>
                <c:pt idx="3">
                  <c:v>12</c:v>
                </c:pt>
                <c:pt idx="4">
                  <c:v>21</c:v>
                </c:pt>
                <c:pt idx="5">
                  <c:v>47</c:v>
                </c:pt>
                <c:pt idx="6">
                  <c:v>62</c:v>
                </c:pt>
              </c:numCache>
            </c:numRef>
          </c:val>
          <c:extLst>
            <c:ext xmlns:c16="http://schemas.microsoft.com/office/drawing/2014/chart" uri="{C3380CC4-5D6E-409C-BE32-E72D297353CC}">
              <c16:uniqueId val="{00000000-FF31-4F6D-8233-4D007EEE2F69}"/>
            </c:ext>
          </c:extLst>
        </c:ser>
        <c:ser>
          <c:idx val="1"/>
          <c:order val="1"/>
          <c:tx>
            <c:strRef>
              <c:f>PRACTICE!$AD$16</c:f>
              <c:strCache>
                <c:ptCount val="1"/>
                <c:pt idx="0">
                  <c:v>Max of REGISTERED_RENTALS</c:v>
                </c:pt>
              </c:strCache>
            </c:strRef>
          </c:tx>
          <c:dPt>
            <c:idx val="0"/>
            <c:bubble3D val="0"/>
            <c:spPr>
              <a:solidFill>
                <a:schemeClr val="accent1"/>
              </a:solidFill>
              <a:ln>
                <a:noFill/>
              </a:ln>
              <a:effectLst/>
            </c:spPr>
            <c:extLst>
              <c:ext xmlns:c16="http://schemas.microsoft.com/office/drawing/2014/chart" uri="{C3380CC4-5D6E-409C-BE32-E72D297353CC}">
                <c16:uniqueId val="{0000000F-B768-42B1-869C-B889D712772F}"/>
              </c:ext>
            </c:extLst>
          </c:dPt>
          <c:dPt>
            <c:idx val="1"/>
            <c:bubble3D val="0"/>
            <c:spPr>
              <a:solidFill>
                <a:schemeClr val="accent2"/>
              </a:solidFill>
              <a:ln>
                <a:noFill/>
              </a:ln>
              <a:effectLst/>
            </c:spPr>
            <c:extLst>
              <c:ext xmlns:c16="http://schemas.microsoft.com/office/drawing/2014/chart" uri="{C3380CC4-5D6E-409C-BE32-E72D297353CC}">
                <c16:uniqueId val="{00000011-B768-42B1-869C-B889D712772F}"/>
              </c:ext>
            </c:extLst>
          </c:dPt>
          <c:dPt>
            <c:idx val="2"/>
            <c:bubble3D val="0"/>
            <c:spPr>
              <a:solidFill>
                <a:schemeClr val="accent3"/>
              </a:solidFill>
              <a:ln>
                <a:noFill/>
              </a:ln>
              <a:effectLst/>
            </c:spPr>
            <c:extLst>
              <c:ext xmlns:c16="http://schemas.microsoft.com/office/drawing/2014/chart" uri="{C3380CC4-5D6E-409C-BE32-E72D297353CC}">
                <c16:uniqueId val="{00000013-B768-42B1-869C-B889D712772F}"/>
              </c:ext>
            </c:extLst>
          </c:dPt>
          <c:dPt>
            <c:idx val="3"/>
            <c:bubble3D val="0"/>
            <c:spPr>
              <a:solidFill>
                <a:schemeClr val="accent4"/>
              </a:solidFill>
              <a:ln>
                <a:noFill/>
              </a:ln>
              <a:effectLst/>
            </c:spPr>
            <c:extLst>
              <c:ext xmlns:c16="http://schemas.microsoft.com/office/drawing/2014/chart" uri="{C3380CC4-5D6E-409C-BE32-E72D297353CC}">
                <c16:uniqueId val="{00000015-B768-42B1-869C-B889D712772F}"/>
              </c:ext>
            </c:extLst>
          </c:dPt>
          <c:dPt>
            <c:idx val="4"/>
            <c:bubble3D val="0"/>
            <c:spPr>
              <a:solidFill>
                <a:schemeClr val="accent5"/>
              </a:solidFill>
              <a:ln>
                <a:noFill/>
              </a:ln>
              <a:effectLst/>
            </c:spPr>
            <c:extLst>
              <c:ext xmlns:c16="http://schemas.microsoft.com/office/drawing/2014/chart" uri="{C3380CC4-5D6E-409C-BE32-E72D297353CC}">
                <c16:uniqueId val="{00000017-B768-42B1-869C-B889D712772F}"/>
              </c:ext>
            </c:extLst>
          </c:dPt>
          <c:dPt>
            <c:idx val="5"/>
            <c:bubble3D val="0"/>
            <c:spPr>
              <a:solidFill>
                <a:schemeClr val="accent6"/>
              </a:solidFill>
              <a:ln>
                <a:noFill/>
              </a:ln>
              <a:effectLst/>
            </c:spPr>
            <c:extLst>
              <c:ext xmlns:c16="http://schemas.microsoft.com/office/drawing/2014/chart" uri="{C3380CC4-5D6E-409C-BE32-E72D297353CC}">
                <c16:uniqueId val="{00000019-B768-42B1-869C-B889D712772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B-B768-42B1-869C-B889D712772F}"/>
              </c:ext>
            </c:extLst>
          </c:dPt>
          <c:cat>
            <c:strRef>
              <c:f>PRACTICE!$AB$17:$AB$24</c:f>
              <c:strCache>
                <c:ptCount val="7"/>
                <c:pt idx="0">
                  <c:v>monday</c:v>
                </c:pt>
                <c:pt idx="1">
                  <c:v>Tuesday</c:v>
                </c:pt>
                <c:pt idx="2">
                  <c:v>Wednesday</c:v>
                </c:pt>
                <c:pt idx="3">
                  <c:v>Thursday</c:v>
                </c:pt>
                <c:pt idx="4">
                  <c:v>Friday</c:v>
                </c:pt>
                <c:pt idx="5">
                  <c:v>Saturday</c:v>
                </c:pt>
                <c:pt idx="6">
                  <c:v>Sunday</c:v>
                </c:pt>
              </c:strCache>
            </c:strRef>
          </c:cat>
          <c:val>
            <c:numRef>
              <c:f>PRACTICE!$AD$17:$AD$24</c:f>
              <c:numCache>
                <c:formatCode>General</c:formatCode>
                <c:ptCount val="7"/>
                <c:pt idx="0">
                  <c:v>223</c:v>
                </c:pt>
                <c:pt idx="1">
                  <c:v>236</c:v>
                </c:pt>
                <c:pt idx="2">
                  <c:v>198</c:v>
                </c:pt>
                <c:pt idx="3">
                  <c:v>247</c:v>
                </c:pt>
                <c:pt idx="4">
                  <c:v>217</c:v>
                </c:pt>
                <c:pt idx="5">
                  <c:v>127</c:v>
                </c:pt>
                <c:pt idx="6">
                  <c:v>135</c:v>
                </c:pt>
              </c:numCache>
            </c:numRef>
          </c:val>
          <c:extLst>
            <c:ext xmlns:c16="http://schemas.microsoft.com/office/drawing/2014/chart" uri="{C3380CC4-5D6E-409C-BE32-E72D297353CC}">
              <c16:uniqueId val="{00000002-FF31-4F6D-8233-4D007EEE2F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1.xlsx]PRACTICE!PivotTable7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DATE</a:t>
            </a:r>
            <a:r>
              <a:rPr lang="en-IN" sz="1050" b="1" baseline="0"/>
              <a:t> VS TOTAL RENTAL</a:t>
            </a:r>
            <a:endParaRPr lang="en-IN" sz="1050" b="1"/>
          </a:p>
        </c:rich>
      </c:tx>
      <c:layout>
        <c:manualLayout>
          <c:xMode val="edge"/>
          <c:yMode val="edge"/>
          <c:x val="1.2845581802274715E-3"/>
          <c:y val="0.10083114610673666"/>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PRACTICE!$AD$2:$AD$3</c:f>
              <c:strCache>
                <c:ptCount val="1"/>
                <c:pt idx="0">
                  <c:v>01-Jan</c:v>
                </c:pt>
              </c:strCache>
            </c:strRef>
          </c:tx>
          <c:spPr>
            <a:solidFill>
              <a:schemeClr val="accent1"/>
            </a:solidFill>
            <a:ln>
              <a:noFill/>
            </a:ln>
            <a:effectLst/>
          </c:spPr>
          <c:invertIfNegative val="0"/>
          <c:cat>
            <c:strRef>
              <c:f>PRACTICE!$AC$4</c:f>
              <c:strCache>
                <c:ptCount val="1"/>
                <c:pt idx="0">
                  <c:v>Total</c:v>
                </c:pt>
              </c:strCache>
            </c:strRef>
          </c:cat>
          <c:val>
            <c:numRef>
              <c:f>PRACTICE!$AD$4</c:f>
              <c:numCache>
                <c:formatCode>General</c:formatCode>
                <c:ptCount val="1"/>
                <c:pt idx="0">
                  <c:v>985</c:v>
                </c:pt>
              </c:numCache>
            </c:numRef>
          </c:val>
          <c:extLst>
            <c:ext xmlns:c16="http://schemas.microsoft.com/office/drawing/2014/chart" uri="{C3380CC4-5D6E-409C-BE32-E72D297353CC}">
              <c16:uniqueId val="{00000000-D676-4DC5-954C-1EF01397033F}"/>
            </c:ext>
          </c:extLst>
        </c:ser>
        <c:ser>
          <c:idx val="1"/>
          <c:order val="1"/>
          <c:tx>
            <c:strRef>
              <c:f>PRACTICE!$AE$2:$AE$3</c:f>
              <c:strCache>
                <c:ptCount val="1"/>
                <c:pt idx="0">
                  <c:v>02-Jan</c:v>
                </c:pt>
              </c:strCache>
            </c:strRef>
          </c:tx>
          <c:spPr>
            <a:solidFill>
              <a:schemeClr val="accent2"/>
            </a:solidFill>
            <a:ln>
              <a:noFill/>
            </a:ln>
            <a:effectLst/>
          </c:spPr>
          <c:invertIfNegative val="0"/>
          <c:cat>
            <c:strRef>
              <c:f>PRACTICE!$AC$4</c:f>
              <c:strCache>
                <c:ptCount val="1"/>
                <c:pt idx="0">
                  <c:v>Total</c:v>
                </c:pt>
              </c:strCache>
            </c:strRef>
          </c:cat>
          <c:val>
            <c:numRef>
              <c:f>PRACTICE!$AE$4</c:f>
              <c:numCache>
                <c:formatCode>General</c:formatCode>
                <c:ptCount val="1"/>
                <c:pt idx="0">
                  <c:v>801</c:v>
                </c:pt>
              </c:numCache>
            </c:numRef>
          </c:val>
          <c:extLst>
            <c:ext xmlns:c16="http://schemas.microsoft.com/office/drawing/2014/chart" uri="{C3380CC4-5D6E-409C-BE32-E72D297353CC}">
              <c16:uniqueId val="{00000000-4D0C-4308-B48F-78F01575D9E6}"/>
            </c:ext>
          </c:extLst>
        </c:ser>
        <c:ser>
          <c:idx val="2"/>
          <c:order val="2"/>
          <c:tx>
            <c:strRef>
              <c:f>PRACTICE!$AF$2:$AF$3</c:f>
              <c:strCache>
                <c:ptCount val="1"/>
                <c:pt idx="0">
                  <c:v>03-Jan</c:v>
                </c:pt>
              </c:strCache>
            </c:strRef>
          </c:tx>
          <c:spPr>
            <a:solidFill>
              <a:schemeClr val="accent3"/>
            </a:solidFill>
            <a:ln>
              <a:noFill/>
            </a:ln>
            <a:effectLst/>
          </c:spPr>
          <c:invertIfNegative val="0"/>
          <c:cat>
            <c:strRef>
              <c:f>PRACTICE!$AC$4</c:f>
              <c:strCache>
                <c:ptCount val="1"/>
                <c:pt idx="0">
                  <c:v>Total</c:v>
                </c:pt>
              </c:strCache>
            </c:strRef>
          </c:cat>
          <c:val>
            <c:numRef>
              <c:f>PRACTICE!$AF$4</c:f>
              <c:numCache>
                <c:formatCode>General</c:formatCode>
                <c:ptCount val="1"/>
                <c:pt idx="0">
                  <c:v>1349</c:v>
                </c:pt>
              </c:numCache>
            </c:numRef>
          </c:val>
          <c:extLst>
            <c:ext xmlns:c16="http://schemas.microsoft.com/office/drawing/2014/chart" uri="{C3380CC4-5D6E-409C-BE32-E72D297353CC}">
              <c16:uniqueId val="{00000001-4D0C-4308-B48F-78F01575D9E6}"/>
            </c:ext>
          </c:extLst>
        </c:ser>
        <c:ser>
          <c:idx val="3"/>
          <c:order val="3"/>
          <c:tx>
            <c:strRef>
              <c:f>PRACTICE!$AG$2:$AG$3</c:f>
              <c:strCache>
                <c:ptCount val="1"/>
                <c:pt idx="0">
                  <c:v>04-Jan</c:v>
                </c:pt>
              </c:strCache>
            </c:strRef>
          </c:tx>
          <c:spPr>
            <a:solidFill>
              <a:schemeClr val="accent4"/>
            </a:solidFill>
            <a:ln>
              <a:noFill/>
            </a:ln>
            <a:effectLst/>
          </c:spPr>
          <c:invertIfNegative val="0"/>
          <c:cat>
            <c:strRef>
              <c:f>PRACTICE!$AC$4</c:f>
              <c:strCache>
                <c:ptCount val="1"/>
                <c:pt idx="0">
                  <c:v>Total</c:v>
                </c:pt>
              </c:strCache>
            </c:strRef>
          </c:cat>
          <c:val>
            <c:numRef>
              <c:f>PRACTICE!$AG$4</c:f>
              <c:numCache>
                <c:formatCode>General</c:formatCode>
                <c:ptCount val="1"/>
                <c:pt idx="0">
                  <c:v>1562</c:v>
                </c:pt>
              </c:numCache>
            </c:numRef>
          </c:val>
          <c:extLst>
            <c:ext xmlns:c16="http://schemas.microsoft.com/office/drawing/2014/chart" uri="{C3380CC4-5D6E-409C-BE32-E72D297353CC}">
              <c16:uniqueId val="{00000002-4D0C-4308-B48F-78F01575D9E6}"/>
            </c:ext>
          </c:extLst>
        </c:ser>
        <c:ser>
          <c:idx val="4"/>
          <c:order val="4"/>
          <c:tx>
            <c:strRef>
              <c:f>PRACTICE!$AH$2:$AH$3</c:f>
              <c:strCache>
                <c:ptCount val="1"/>
                <c:pt idx="0">
                  <c:v>05-Jan</c:v>
                </c:pt>
              </c:strCache>
            </c:strRef>
          </c:tx>
          <c:spPr>
            <a:solidFill>
              <a:schemeClr val="accent5"/>
            </a:solidFill>
            <a:ln>
              <a:noFill/>
            </a:ln>
            <a:effectLst/>
          </c:spPr>
          <c:invertIfNegative val="0"/>
          <c:cat>
            <c:strRef>
              <c:f>PRACTICE!$AC$4</c:f>
              <c:strCache>
                <c:ptCount val="1"/>
                <c:pt idx="0">
                  <c:v>Total</c:v>
                </c:pt>
              </c:strCache>
            </c:strRef>
          </c:cat>
          <c:val>
            <c:numRef>
              <c:f>PRACTICE!$AH$4</c:f>
              <c:numCache>
                <c:formatCode>General</c:formatCode>
                <c:ptCount val="1"/>
                <c:pt idx="0">
                  <c:v>1600</c:v>
                </c:pt>
              </c:numCache>
            </c:numRef>
          </c:val>
          <c:extLst>
            <c:ext xmlns:c16="http://schemas.microsoft.com/office/drawing/2014/chart" uri="{C3380CC4-5D6E-409C-BE32-E72D297353CC}">
              <c16:uniqueId val="{00000003-4D0C-4308-B48F-78F01575D9E6}"/>
            </c:ext>
          </c:extLst>
        </c:ser>
        <c:ser>
          <c:idx val="5"/>
          <c:order val="5"/>
          <c:tx>
            <c:strRef>
              <c:f>PRACTICE!$AI$2:$AI$3</c:f>
              <c:strCache>
                <c:ptCount val="1"/>
                <c:pt idx="0">
                  <c:v>06-Jan</c:v>
                </c:pt>
              </c:strCache>
            </c:strRef>
          </c:tx>
          <c:spPr>
            <a:solidFill>
              <a:schemeClr val="accent6"/>
            </a:solidFill>
            <a:ln>
              <a:noFill/>
            </a:ln>
            <a:effectLst/>
          </c:spPr>
          <c:invertIfNegative val="0"/>
          <c:cat>
            <c:strRef>
              <c:f>PRACTICE!$AC$4</c:f>
              <c:strCache>
                <c:ptCount val="1"/>
                <c:pt idx="0">
                  <c:v>Total</c:v>
                </c:pt>
              </c:strCache>
            </c:strRef>
          </c:cat>
          <c:val>
            <c:numRef>
              <c:f>PRACTICE!$AI$4</c:f>
              <c:numCache>
                <c:formatCode>General</c:formatCode>
                <c:ptCount val="1"/>
                <c:pt idx="0">
                  <c:v>1606</c:v>
                </c:pt>
              </c:numCache>
            </c:numRef>
          </c:val>
          <c:extLst>
            <c:ext xmlns:c16="http://schemas.microsoft.com/office/drawing/2014/chart" uri="{C3380CC4-5D6E-409C-BE32-E72D297353CC}">
              <c16:uniqueId val="{00000004-4D0C-4308-B48F-78F01575D9E6}"/>
            </c:ext>
          </c:extLst>
        </c:ser>
        <c:ser>
          <c:idx val="6"/>
          <c:order val="6"/>
          <c:tx>
            <c:strRef>
              <c:f>PRACTICE!$AJ$2:$AJ$3</c:f>
              <c:strCache>
                <c:ptCount val="1"/>
                <c:pt idx="0">
                  <c:v>07-Jan</c:v>
                </c:pt>
              </c:strCache>
            </c:strRef>
          </c:tx>
          <c:spPr>
            <a:solidFill>
              <a:schemeClr val="accent1">
                <a:lumMod val="60000"/>
              </a:schemeClr>
            </a:solidFill>
            <a:ln>
              <a:noFill/>
            </a:ln>
            <a:effectLst/>
          </c:spPr>
          <c:invertIfNegative val="0"/>
          <c:cat>
            <c:strRef>
              <c:f>PRACTICE!$AC$4</c:f>
              <c:strCache>
                <c:ptCount val="1"/>
                <c:pt idx="0">
                  <c:v>Total</c:v>
                </c:pt>
              </c:strCache>
            </c:strRef>
          </c:cat>
          <c:val>
            <c:numRef>
              <c:f>PRACTICE!$AJ$4</c:f>
              <c:numCache>
                <c:formatCode>General</c:formatCode>
                <c:ptCount val="1"/>
                <c:pt idx="0">
                  <c:v>1510</c:v>
                </c:pt>
              </c:numCache>
            </c:numRef>
          </c:val>
          <c:extLst>
            <c:ext xmlns:c16="http://schemas.microsoft.com/office/drawing/2014/chart" uri="{C3380CC4-5D6E-409C-BE32-E72D297353CC}">
              <c16:uniqueId val="{00000005-4D0C-4308-B48F-78F01575D9E6}"/>
            </c:ext>
          </c:extLst>
        </c:ser>
        <c:ser>
          <c:idx val="7"/>
          <c:order val="7"/>
          <c:tx>
            <c:strRef>
              <c:f>PRACTICE!$AK$2:$AK$3</c:f>
              <c:strCache>
                <c:ptCount val="1"/>
                <c:pt idx="0">
                  <c:v>08-Jan</c:v>
                </c:pt>
              </c:strCache>
            </c:strRef>
          </c:tx>
          <c:spPr>
            <a:solidFill>
              <a:schemeClr val="accent2">
                <a:lumMod val="60000"/>
              </a:schemeClr>
            </a:solidFill>
            <a:ln>
              <a:noFill/>
            </a:ln>
            <a:effectLst/>
          </c:spPr>
          <c:invertIfNegative val="0"/>
          <c:cat>
            <c:strRef>
              <c:f>PRACTICE!$AC$4</c:f>
              <c:strCache>
                <c:ptCount val="1"/>
                <c:pt idx="0">
                  <c:v>Total</c:v>
                </c:pt>
              </c:strCache>
            </c:strRef>
          </c:cat>
          <c:val>
            <c:numRef>
              <c:f>PRACTICE!$AK$4</c:f>
              <c:numCache>
                <c:formatCode>General</c:formatCode>
                <c:ptCount val="1"/>
                <c:pt idx="0">
                  <c:v>959</c:v>
                </c:pt>
              </c:numCache>
            </c:numRef>
          </c:val>
          <c:extLst>
            <c:ext xmlns:c16="http://schemas.microsoft.com/office/drawing/2014/chart" uri="{C3380CC4-5D6E-409C-BE32-E72D297353CC}">
              <c16:uniqueId val="{00000006-4D0C-4308-B48F-78F01575D9E6}"/>
            </c:ext>
          </c:extLst>
        </c:ser>
        <c:ser>
          <c:idx val="8"/>
          <c:order val="8"/>
          <c:tx>
            <c:strRef>
              <c:f>PRACTICE!$AL$2:$AL$3</c:f>
              <c:strCache>
                <c:ptCount val="1"/>
                <c:pt idx="0">
                  <c:v>09-Jan</c:v>
                </c:pt>
              </c:strCache>
            </c:strRef>
          </c:tx>
          <c:spPr>
            <a:solidFill>
              <a:schemeClr val="accent3">
                <a:lumMod val="60000"/>
              </a:schemeClr>
            </a:solidFill>
            <a:ln>
              <a:noFill/>
            </a:ln>
            <a:effectLst/>
          </c:spPr>
          <c:invertIfNegative val="0"/>
          <c:cat>
            <c:strRef>
              <c:f>PRACTICE!$AC$4</c:f>
              <c:strCache>
                <c:ptCount val="1"/>
                <c:pt idx="0">
                  <c:v>Total</c:v>
                </c:pt>
              </c:strCache>
            </c:strRef>
          </c:cat>
          <c:val>
            <c:numRef>
              <c:f>PRACTICE!$AL$4</c:f>
              <c:numCache>
                <c:formatCode>General</c:formatCode>
                <c:ptCount val="1"/>
                <c:pt idx="0">
                  <c:v>822</c:v>
                </c:pt>
              </c:numCache>
            </c:numRef>
          </c:val>
          <c:extLst>
            <c:ext xmlns:c16="http://schemas.microsoft.com/office/drawing/2014/chart" uri="{C3380CC4-5D6E-409C-BE32-E72D297353CC}">
              <c16:uniqueId val="{00000007-4D0C-4308-B48F-78F01575D9E6}"/>
            </c:ext>
          </c:extLst>
        </c:ser>
        <c:ser>
          <c:idx val="9"/>
          <c:order val="9"/>
          <c:tx>
            <c:strRef>
              <c:f>PRACTICE!$AM$2:$AM$3</c:f>
              <c:strCache>
                <c:ptCount val="1"/>
                <c:pt idx="0">
                  <c:v>10-Jan</c:v>
                </c:pt>
              </c:strCache>
            </c:strRef>
          </c:tx>
          <c:spPr>
            <a:solidFill>
              <a:schemeClr val="accent4">
                <a:lumMod val="60000"/>
              </a:schemeClr>
            </a:solidFill>
            <a:ln>
              <a:noFill/>
            </a:ln>
            <a:effectLst/>
          </c:spPr>
          <c:invertIfNegative val="0"/>
          <c:cat>
            <c:strRef>
              <c:f>PRACTICE!$AC$4</c:f>
              <c:strCache>
                <c:ptCount val="1"/>
                <c:pt idx="0">
                  <c:v>Total</c:v>
                </c:pt>
              </c:strCache>
            </c:strRef>
          </c:cat>
          <c:val>
            <c:numRef>
              <c:f>PRACTICE!$AM$4</c:f>
              <c:numCache>
                <c:formatCode>General</c:formatCode>
                <c:ptCount val="1"/>
                <c:pt idx="0">
                  <c:v>1321</c:v>
                </c:pt>
              </c:numCache>
            </c:numRef>
          </c:val>
          <c:extLst>
            <c:ext xmlns:c16="http://schemas.microsoft.com/office/drawing/2014/chart" uri="{C3380CC4-5D6E-409C-BE32-E72D297353CC}">
              <c16:uniqueId val="{00000008-4D0C-4308-B48F-78F01575D9E6}"/>
            </c:ext>
          </c:extLst>
        </c:ser>
        <c:ser>
          <c:idx val="10"/>
          <c:order val="10"/>
          <c:tx>
            <c:strRef>
              <c:f>PRACTICE!$AN$2:$AN$3</c:f>
              <c:strCache>
                <c:ptCount val="1"/>
                <c:pt idx="0">
                  <c:v>11-Jan</c:v>
                </c:pt>
              </c:strCache>
            </c:strRef>
          </c:tx>
          <c:spPr>
            <a:solidFill>
              <a:schemeClr val="accent5">
                <a:lumMod val="60000"/>
              </a:schemeClr>
            </a:solidFill>
            <a:ln>
              <a:noFill/>
            </a:ln>
            <a:effectLst/>
          </c:spPr>
          <c:invertIfNegative val="0"/>
          <c:cat>
            <c:strRef>
              <c:f>PRACTICE!$AC$4</c:f>
              <c:strCache>
                <c:ptCount val="1"/>
                <c:pt idx="0">
                  <c:v>Total</c:v>
                </c:pt>
              </c:strCache>
            </c:strRef>
          </c:cat>
          <c:val>
            <c:numRef>
              <c:f>PRACTICE!$AN$4</c:f>
              <c:numCache>
                <c:formatCode>General</c:formatCode>
                <c:ptCount val="1"/>
                <c:pt idx="0">
                  <c:v>1263</c:v>
                </c:pt>
              </c:numCache>
            </c:numRef>
          </c:val>
          <c:extLst>
            <c:ext xmlns:c16="http://schemas.microsoft.com/office/drawing/2014/chart" uri="{C3380CC4-5D6E-409C-BE32-E72D297353CC}">
              <c16:uniqueId val="{00000009-4D0C-4308-B48F-78F01575D9E6}"/>
            </c:ext>
          </c:extLst>
        </c:ser>
        <c:ser>
          <c:idx val="11"/>
          <c:order val="11"/>
          <c:tx>
            <c:strRef>
              <c:f>PRACTICE!$AO$2:$AO$3</c:f>
              <c:strCache>
                <c:ptCount val="1"/>
                <c:pt idx="0">
                  <c:v>12-Jan</c:v>
                </c:pt>
              </c:strCache>
            </c:strRef>
          </c:tx>
          <c:spPr>
            <a:solidFill>
              <a:schemeClr val="accent6">
                <a:lumMod val="60000"/>
              </a:schemeClr>
            </a:solidFill>
            <a:ln>
              <a:noFill/>
            </a:ln>
            <a:effectLst/>
          </c:spPr>
          <c:invertIfNegative val="0"/>
          <c:cat>
            <c:strRef>
              <c:f>PRACTICE!$AC$4</c:f>
              <c:strCache>
                <c:ptCount val="1"/>
                <c:pt idx="0">
                  <c:v>Total</c:v>
                </c:pt>
              </c:strCache>
            </c:strRef>
          </c:cat>
          <c:val>
            <c:numRef>
              <c:f>PRACTICE!$AO$4</c:f>
              <c:numCache>
                <c:formatCode>General</c:formatCode>
                <c:ptCount val="1"/>
                <c:pt idx="0">
                  <c:v>1162</c:v>
                </c:pt>
              </c:numCache>
            </c:numRef>
          </c:val>
          <c:extLst>
            <c:ext xmlns:c16="http://schemas.microsoft.com/office/drawing/2014/chart" uri="{C3380CC4-5D6E-409C-BE32-E72D297353CC}">
              <c16:uniqueId val="{0000000A-4D0C-4308-B48F-78F01575D9E6}"/>
            </c:ext>
          </c:extLst>
        </c:ser>
        <c:ser>
          <c:idx val="12"/>
          <c:order val="12"/>
          <c:tx>
            <c:strRef>
              <c:f>PRACTICE!$AP$2:$AP$3</c:f>
              <c:strCache>
                <c:ptCount val="1"/>
                <c:pt idx="0">
                  <c:v>13-Jan</c:v>
                </c:pt>
              </c:strCache>
            </c:strRef>
          </c:tx>
          <c:spPr>
            <a:solidFill>
              <a:schemeClr val="accent1">
                <a:lumMod val="80000"/>
                <a:lumOff val="20000"/>
              </a:schemeClr>
            </a:solidFill>
            <a:ln>
              <a:noFill/>
            </a:ln>
            <a:effectLst/>
          </c:spPr>
          <c:invertIfNegative val="0"/>
          <c:cat>
            <c:strRef>
              <c:f>PRACTICE!$AC$4</c:f>
              <c:strCache>
                <c:ptCount val="1"/>
                <c:pt idx="0">
                  <c:v>Total</c:v>
                </c:pt>
              </c:strCache>
            </c:strRef>
          </c:cat>
          <c:val>
            <c:numRef>
              <c:f>PRACTICE!$AP$4</c:f>
              <c:numCache>
                <c:formatCode>General</c:formatCode>
                <c:ptCount val="1"/>
                <c:pt idx="0">
                  <c:v>1406</c:v>
                </c:pt>
              </c:numCache>
            </c:numRef>
          </c:val>
          <c:extLst>
            <c:ext xmlns:c16="http://schemas.microsoft.com/office/drawing/2014/chart" uri="{C3380CC4-5D6E-409C-BE32-E72D297353CC}">
              <c16:uniqueId val="{0000000B-4D0C-4308-B48F-78F01575D9E6}"/>
            </c:ext>
          </c:extLst>
        </c:ser>
        <c:ser>
          <c:idx val="13"/>
          <c:order val="13"/>
          <c:tx>
            <c:strRef>
              <c:f>PRACTICE!$AQ$2:$AQ$3</c:f>
              <c:strCache>
                <c:ptCount val="1"/>
                <c:pt idx="0">
                  <c:v>14-Jan</c:v>
                </c:pt>
              </c:strCache>
            </c:strRef>
          </c:tx>
          <c:spPr>
            <a:solidFill>
              <a:schemeClr val="accent2">
                <a:lumMod val="80000"/>
                <a:lumOff val="20000"/>
              </a:schemeClr>
            </a:solidFill>
            <a:ln>
              <a:noFill/>
            </a:ln>
            <a:effectLst/>
          </c:spPr>
          <c:invertIfNegative val="0"/>
          <c:cat>
            <c:strRef>
              <c:f>PRACTICE!$AC$4</c:f>
              <c:strCache>
                <c:ptCount val="1"/>
                <c:pt idx="0">
                  <c:v>Total</c:v>
                </c:pt>
              </c:strCache>
            </c:strRef>
          </c:cat>
          <c:val>
            <c:numRef>
              <c:f>PRACTICE!$AQ$4</c:f>
              <c:numCache>
                <c:formatCode>General</c:formatCode>
                <c:ptCount val="1"/>
                <c:pt idx="0">
                  <c:v>1421</c:v>
                </c:pt>
              </c:numCache>
            </c:numRef>
          </c:val>
          <c:extLst>
            <c:ext xmlns:c16="http://schemas.microsoft.com/office/drawing/2014/chart" uri="{C3380CC4-5D6E-409C-BE32-E72D297353CC}">
              <c16:uniqueId val="{0000000C-4D0C-4308-B48F-78F01575D9E6}"/>
            </c:ext>
          </c:extLst>
        </c:ser>
        <c:ser>
          <c:idx val="14"/>
          <c:order val="14"/>
          <c:tx>
            <c:strRef>
              <c:f>PRACTICE!$AR$2:$AR$3</c:f>
              <c:strCache>
                <c:ptCount val="1"/>
                <c:pt idx="0">
                  <c:v>15-Jan</c:v>
                </c:pt>
              </c:strCache>
            </c:strRef>
          </c:tx>
          <c:spPr>
            <a:solidFill>
              <a:schemeClr val="accent3">
                <a:lumMod val="80000"/>
                <a:lumOff val="20000"/>
              </a:schemeClr>
            </a:solidFill>
            <a:ln>
              <a:noFill/>
            </a:ln>
            <a:effectLst/>
          </c:spPr>
          <c:invertIfNegative val="0"/>
          <c:cat>
            <c:strRef>
              <c:f>PRACTICE!$AC$4</c:f>
              <c:strCache>
                <c:ptCount val="1"/>
                <c:pt idx="0">
                  <c:v>Total</c:v>
                </c:pt>
              </c:strCache>
            </c:strRef>
          </c:cat>
          <c:val>
            <c:numRef>
              <c:f>PRACTICE!$AR$4</c:f>
              <c:numCache>
                <c:formatCode>General</c:formatCode>
                <c:ptCount val="1"/>
                <c:pt idx="0">
                  <c:v>1248</c:v>
                </c:pt>
              </c:numCache>
            </c:numRef>
          </c:val>
          <c:extLst>
            <c:ext xmlns:c16="http://schemas.microsoft.com/office/drawing/2014/chart" uri="{C3380CC4-5D6E-409C-BE32-E72D297353CC}">
              <c16:uniqueId val="{0000000D-4D0C-4308-B48F-78F01575D9E6}"/>
            </c:ext>
          </c:extLst>
        </c:ser>
        <c:ser>
          <c:idx val="15"/>
          <c:order val="15"/>
          <c:tx>
            <c:strRef>
              <c:f>PRACTICE!$AS$2:$AS$3</c:f>
              <c:strCache>
                <c:ptCount val="1"/>
                <c:pt idx="0">
                  <c:v>16-Jan</c:v>
                </c:pt>
              </c:strCache>
            </c:strRef>
          </c:tx>
          <c:spPr>
            <a:solidFill>
              <a:schemeClr val="accent4">
                <a:lumMod val="80000"/>
                <a:lumOff val="20000"/>
              </a:schemeClr>
            </a:solidFill>
            <a:ln>
              <a:noFill/>
            </a:ln>
            <a:effectLst/>
          </c:spPr>
          <c:invertIfNegative val="0"/>
          <c:cat>
            <c:strRef>
              <c:f>PRACTICE!$AC$4</c:f>
              <c:strCache>
                <c:ptCount val="1"/>
                <c:pt idx="0">
                  <c:v>Total</c:v>
                </c:pt>
              </c:strCache>
            </c:strRef>
          </c:cat>
          <c:val>
            <c:numRef>
              <c:f>PRACTICE!$AS$4</c:f>
              <c:numCache>
                <c:formatCode>General</c:formatCode>
                <c:ptCount val="1"/>
                <c:pt idx="0">
                  <c:v>1204</c:v>
                </c:pt>
              </c:numCache>
            </c:numRef>
          </c:val>
          <c:extLst>
            <c:ext xmlns:c16="http://schemas.microsoft.com/office/drawing/2014/chart" uri="{C3380CC4-5D6E-409C-BE32-E72D297353CC}">
              <c16:uniqueId val="{0000000E-4D0C-4308-B48F-78F01575D9E6}"/>
            </c:ext>
          </c:extLst>
        </c:ser>
        <c:ser>
          <c:idx val="16"/>
          <c:order val="16"/>
          <c:tx>
            <c:strRef>
              <c:f>PRACTICE!$AT$2:$AT$3</c:f>
              <c:strCache>
                <c:ptCount val="1"/>
                <c:pt idx="0">
                  <c:v>17-Jan</c:v>
                </c:pt>
              </c:strCache>
            </c:strRef>
          </c:tx>
          <c:spPr>
            <a:solidFill>
              <a:schemeClr val="accent5">
                <a:lumMod val="80000"/>
                <a:lumOff val="20000"/>
              </a:schemeClr>
            </a:solidFill>
            <a:ln>
              <a:noFill/>
            </a:ln>
            <a:effectLst/>
          </c:spPr>
          <c:invertIfNegative val="0"/>
          <c:cat>
            <c:strRef>
              <c:f>PRACTICE!$AC$4</c:f>
              <c:strCache>
                <c:ptCount val="1"/>
                <c:pt idx="0">
                  <c:v>Total</c:v>
                </c:pt>
              </c:strCache>
            </c:strRef>
          </c:cat>
          <c:val>
            <c:numRef>
              <c:f>PRACTICE!$AT$4</c:f>
              <c:numCache>
                <c:formatCode>General</c:formatCode>
                <c:ptCount val="1"/>
                <c:pt idx="0">
                  <c:v>1000</c:v>
                </c:pt>
              </c:numCache>
            </c:numRef>
          </c:val>
          <c:extLst>
            <c:ext xmlns:c16="http://schemas.microsoft.com/office/drawing/2014/chart" uri="{C3380CC4-5D6E-409C-BE32-E72D297353CC}">
              <c16:uniqueId val="{0000000F-4D0C-4308-B48F-78F01575D9E6}"/>
            </c:ext>
          </c:extLst>
        </c:ser>
        <c:ser>
          <c:idx val="17"/>
          <c:order val="17"/>
          <c:tx>
            <c:strRef>
              <c:f>PRACTICE!$AU$2:$AU$3</c:f>
              <c:strCache>
                <c:ptCount val="1"/>
                <c:pt idx="0">
                  <c:v>18-Jan</c:v>
                </c:pt>
              </c:strCache>
            </c:strRef>
          </c:tx>
          <c:spPr>
            <a:solidFill>
              <a:schemeClr val="accent6">
                <a:lumMod val="80000"/>
                <a:lumOff val="20000"/>
              </a:schemeClr>
            </a:solidFill>
            <a:ln>
              <a:noFill/>
            </a:ln>
            <a:effectLst/>
          </c:spPr>
          <c:invertIfNegative val="0"/>
          <c:cat>
            <c:strRef>
              <c:f>PRACTICE!$AC$4</c:f>
              <c:strCache>
                <c:ptCount val="1"/>
                <c:pt idx="0">
                  <c:v>Total</c:v>
                </c:pt>
              </c:strCache>
            </c:strRef>
          </c:cat>
          <c:val>
            <c:numRef>
              <c:f>PRACTICE!$AU$4</c:f>
              <c:numCache>
                <c:formatCode>General</c:formatCode>
                <c:ptCount val="1"/>
                <c:pt idx="0">
                  <c:v>683</c:v>
                </c:pt>
              </c:numCache>
            </c:numRef>
          </c:val>
          <c:extLst>
            <c:ext xmlns:c16="http://schemas.microsoft.com/office/drawing/2014/chart" uri="{C3380CC4-5D6E-409C-BE32-E72D297353CC}">
              <c16:uniqueId val="{00000010-4D0C-4308-B48F-78F01575D9E6}"/>
            </c:ext>
          </c:extLst>
        </c:ser>
        <c:ser>
          <c:idx val="18"/>
          <c:order val="18"/>
          <c:tx>
            <c:strRef>
              <c:f>PRACTICE!$AV$2:$AV$3</c:f>
              <c:strCache>
                <c:ptCount val="1"/>
                <c:pt idx="0">
                  <c:v>19-Jan</c:v>
                </c:pt>
              </c:strCache>
            </c:strRef>
          </c:tx>
          <c:spPr>
            <a:solidFill>
              <a:schemeClr val="accent1">
                <a:lumMod val="80000"/>
              </a:schemeClr>
            </a:solidFill>
            <a:ln>
              <a:noFill/>
            </a:ln>
            <a:effectLst/>
          </c:spPr>
          <c:invertIfNegative val="0"/>
          <c:cat>
            <c:strRef>
              <c:f>PRACTICE!$AC$4</c:f>
              <c:strCache>
                <c:ptCount val="1"/>
                <c:pt idx="0">
                  <c:v>Total</c:v>
                </c:pt>
              </c:strCache>
            </c:strRef>
          </c:cat>
          <c:val>
            <c:numRef>
              <c:f>PRACTICE!$AV$4</c:f>
              <c:numCache>
                <c:formatCode>General</c:formatCode>
                <c:ptCount val="1"/>
                <c:pt idx="0">
                  <c:v>1650</c:v>
                </c:pt>
              </c:numCache>
            </c:numRef>
          </c:val>
          <c:extLst>
            <c:ext xmlns:c16="http://schemas.microsoft.com/office/drawing/2014/chart" uri="{C3380CC4-5D6E-409C-BE32-E72D297353CC}">
              <c16:uniqueId val="{00000011-4D0C-4308-B48F-78F01575D9E6}"/>
            </c:ext>
          </c:extLst>
        </c:ser>
        <c:ser>
          <c:idx val="19"/>
          <c:order val="19"/>
          <c:tx>
            <c:strRef>
              <c:f>PRACTICE!$AW$2:$AW$3</c:f>
              <c:strCache>
                <c:ptCount val="1"/>
                <c:pt idx="0">
                  <c:v>20-Jan</c:v>
                </c:pt>
              </c:strCache>
            </c:strRef>
          </c:tx>
          <c:spPr>
            <a:solidFill>
              <a:schemeClr val="accent2">
                <a:lumMod val="80000"/>
              </a:schemeClr>
            </a:solidFill>
            <a:ln>
              <a:noFill/>
            </a:ln>
            <a:effectLst/>
          </c:spPr>
          <c:invertIfNegative val="0"/>
          <c:cat>
            <c:strRef>
              <c:f>PRACTICE!$AC$4</c:f>
              <c:strCache>
                <c:ptCount val="1"/>
                <c:pt idx="0">
                  <c:v>Total</c:v>
                </c:pt>
              </c:strCache>
            </c:strRef>
          </c:cat>
          <c:val>
            <c:numRef>
              <c:f>PRACTICE!$AW$4</c:f>
              <c:numCache>
                <c:formatCode>General</c:formatCode>
                <c:ptCount val="1"/>
                <c:pt idx="0">
                  <c:v>1927</c:v>
                </c:pt>
              </c:numCache>
            </c:numRef>
          </c:val>
          <c:extLst>
            <c:ext xmlns:c16="http://schemas.microsoft.com/office/drawing/2014/chart" uri="{C3380CC4-5D6E-409C-BE32-E72D297353CC}">
              <c16:uniqueId val="{00000012-4D0C-4308-B48F-78F01575D9E6}"/>
            </c:ext>
          </c:extLst>
        </c:ser>
        <c:ser>
          <c:idx val="20"/>
          <c:order val="20"/>
          <c:tx>
            <c:strRef>
              <c:f>PRACTICE!$AX$2:$AX$3</c:f>
              <c:strCache>
                <c:ptCount val="1"/>
                <c:pt idx="0">
                  <c:v>21-Jan</c:v>
                </c:pt>
              </c:strCache>
            </c:strRef>
          </c:tx>
          <c:spPr>
            <a:solidFill>
              <a:schemeClr val="accent3">
                <a:lumMod val="80000"/>
              </a:schemeClr>
            </a:solidFill>
            <a:ln>
              <a:noFill/>
            </a:ln>
            <a:effectLst/>
          </c:spPr>
          <c:invertIfNegative val="0"/>
          <c:cat>
            <c:strRef>
              <c:f>PRACTICE!$AC$4</c:f>
              <c:strCache>
                <c:ptCount val="1"/>
                <c:pt idx="0">
                  <c:v>Total</c:v>
                </c:pt>
              </c:strCache>
            </c:strRef>
          </c:cat>
          <c:val>
            <c:numRef>
              <c:f>PRACTICE!$AX$4</c:f>
              <c:numCache>
                <c:formatCode>General</c:formatCode>
                <c:ptCount val="1"/>
                <c:pt idx="0">
                  <c:v>1543</c:v>
                </c:pt>
              </c:numCache>
            </c:numRef>
          </c:val>
          <c:extLst>
            <c:ext xmlns:c16="http://schemas.microsoft.com/office/drawing/2014/chart" uri="{C3380CC4-5D6E-409C-BE32-E72D297353CC}">
              <c16:uniqueId val="{00000013-4D0C-4308-B48F-78F01575D9E6}"/>
            </c:ext>
          </c:extLst>
        </c:ser>
        <c:ser>
          <c:idx val="21"/>
          <c:order val="21"/>
          <c:tx>
            <c:strRef>
              <c:f>PRACTICE!$AY$2:$AY$3</c:f>
              <c:strCache>
                <c:ptCount val="1"/>
                <c:pt idx="0">
                  <c:v>22-Jan</c:v>
                </c:pt>
              </c:strCache>
            </c:strRef>
          </c:tx>
          <c:spPr>
            <a:solidFill>
              <a:schemeClr val="accent4">
                <a:lumMod val="80000"/>
              </a:schemeClr>
            </a:solidFill>
            <a:ln>
              <a:noFill/>
            </a:ln>
            <a:effectLst/>
          </c:spPr>
          <c:invertIfNegative val="0"/>
          <c:cat>
            <c:strRef>
              <c:f>PRACTICE!$AC$4</c:f>
              <c:strCache>
                <c:ptCount val="1"/>
                <c:pt idx="0">
                  <c:v>Total</c:v>
                </c:pt>
              </c:strCache>
            </c:strRef>
          </c:cat>
          <c:val>
            <c:numRef>
              <c:f>PRACTICE!$AY$4</c:f>
              <c:numCache>
                <c:formatCode>General</c:formatCode>
                <c:ptCount val="1"/>
                <c:pt idx="0">
                  <c:v>981</c:v>
                </c:pt>
              </c:numCache>
            </c:numRef>
          </c:val>
          <c:extLst>
            <c:ext xmlns:c16="http://schemas.microsoft.com/office/drawing/2014/chart" uri="{C3380CC4-5D6E-409C-BE32-E72D297353CC}">
              <c16:uniqueId val="{00000014-4D0C-4308-B48F-78F01575D9E6}"/>
            </c:ext>
          </c:extLst>
        </c:ser>
        <c:ser>
          <c:idx val="22"/>
          <c:order val="22"/>
          <c:tx>
            <c:strRef>
              <c:f>PRACTICE!$AZ$2:$AZ$3</c:f>
              <c:strCache>
                <c:ptCount val="1"/>
                <c:pt idx="0">
                  <c:v>23-Jan</c:v>
                </c:pt>
              </c:strCache>
            </c:strRef>
          </c:tx>
          <c:spPr>
            <a:solidFill>
              <a:schemeClr val="accent5">
                <a:lumMod val="80000"/>
              </a:schemeClr>
            </a:solidFill>
            <a:ln>
              <a:noFill/>
            </a:ln>
            <a:effectLst/>
          </c:spPr>
          <c:invertIfNegative val="0"/>
          <c:cat>
            <c:strRef>
              <c:f>PRACTICE!$AC$4</c:f>
              <c:strCache>
                <c:ptCount val="1"/>
                <c:pt idx="0">
                  <c:v>Total</c:v>
                </c:pt>
              </c:strCache>
            </c:strRef>
          </c:cat>
          <c:val>
            <c:numRef>
              <c:f>PRACTICE!$AZ$4</c:f>
              <c:numCache>
                <c:formatCode>General</c:formatCode>
                <c:ptCount val="1"/>
                <c:pt idx="0">
                  <c:v>986</c:v>
                </c:pt>
              </c:numCache>
            </c:numRef>
          </c:val>
          <c:extLst>
            <c:ext xmlns:c16="http://schemas.microsoft.com/office/drawing/2014/chart" uri="{C3380CC4-5D6E-409C-BE32-E72D297353CC}">
              <c16:uniqueId val="{00000015-4D0C-4308-B48F-78F01575D9E6}"/>
            </c:ext>
          </c:extLst>
        </c:ser>
        <c:ser>
          <c:idx val="23"/>
          <c:order val="23"/>
          <c:tx>
            <c:strRef>
              <c:f>PRACTICE!$BA$2:$BA$3</c:f>
              <c:strCache>
                <c:ptCount val="1"/>
                <c:pt idx="0">
                  <c:v>24-Jan</c:v>
                </c:pt>
              </c:strCache>
            </c:strRef>
          </c:tx>
          <c:spPr>
            <a:solidFill>
              <a:schemeClr val="accent6">
                <a:lumMod val="80000"/>
              </a:schemeClr>
            </a:solidFill>
            <a:ln>
              <a:noFill/>
            </a:ln>
            <a:effectLst/>
          </c:spPr>
          <c:invertIfNegative val="0"/>
          <c:cat>
            <c:strRef>
              <c:f>PRACTICE!$AC$4</c:f>
              <c:strCache>
                <c:ptCount val="1"/>
                <c:pt idx="0">
                  <c:v>Total</c:v>
                </c:pt>
              </c:strCache>
            </c:strRef>
          </c:cat>
          <c:val>
            <c:numRef>
              <c:f>PRACTICE!$BA$4</c:f>
              <c:numCache>
                <c:formatCode>General</c:formatCode>
                <c:ptCount val="1"/>
                <c:pt idx="0">
                  <c:v>1416</c:v>
                </c:pt>
              </c:numCache>
            </c:numRef>
          </c:val>
          <c:extLst>
            <c:ext xmlns:c16="http://schemas.microsoft.com/office/drawing/2014/chart" uri="{C3380CC4-5D6E-409C-BE32-E72D297353CC}">
              <c16:uniqueId val="{00000016-4D0C-4308-B48F-78F01575D9E6}"/>
            </c:ext>
          </c:extLst>
        </c:ser>
        <c:ser>
          <c:idx val="24"/>
          <c:order val="24"/>
          <c:tx>
            <c:strRef>
              <c:f>PRACTICE!$BB$2:$BB$3</c:f>
              <c:strCache>
                <c:ptCount val="1"/>
                <c:pt idx="0">
                  <c:v>25-Jan</c:v>
                </c:pt>
              </c:strCache>
            </c:strRef>
          </c:tx>
          <c:spPr>
            <a:solidFill>
              <a:schemeClr val="accent1">
                <a:lumMod val="60000"/>
                <a:lumOff val="40000"/>
              </a:schemeClr>
            </a:solidFill>
            <a:ln>
              <a:noFill/>
            </a:ln>
            <a:effectLst/>
          </c:spPr>
          <c:invertIfNegative val="0"/>
          <c:cat>
            <c:strRef>
              <c:f>PRACTICE!$AC$4</c:f>
              <c:strCache>
                <c:ptCount val="1"/>
                <c:pt idx="0">
                  <c:v>Total</c:v>
                </c:pt>
              </c:strCache>
            </c:strRef>
          </c:cat>
          <c:val>
            <c:numRef>
              <c:f>PRACTICE!$BB$4</c:f>
              <c:numCache>
                <c:formatCode>General</c:formatCode>
                <c:ptCount val="1"/>
                <c:pt idx="0">
                  <c:v>1985</c:v>
                </c:pt>
              </c:numCache>
            </c:numRef>
          </c:val>
          <c:extLst>
            <c:ext xmlns:c16="http://schemas.microsoft.com/office/drawing/2014/chart" uri="{C3380CC4-5D6E-409C-BE32-E72D297353CC}">
              <c16:uniqueId val="{00000017-4D0C-4308-B48F-78F01575D9E6}"/>
            </c:ext>
          </c:extLst>
        </c:ser>
        <c:ser>
          <c:idx val="25"/>
          <c:order val="25"/>
          <c:tx>
            <c:strRef>
              <c:f>PRACTICE!$BC$2:$BC$3</c:f>
              <c:strCache>
                <c:ptCount val="1"/>
                <c:pt idx="0">
                  <c:v>26-Jan</c:v>
                </c:pt>
              </c:strCache>
            </c:strRef>
          </c:tx>
          <c:spPr>
            <a:solidFill>
              <a:schemeClr val="accent2">
                <a:lumMod val="60000"/>
                <a:lumOff val="40000"/>
              </a:schemeClr>
            </a:solidFill>
            <a:ln>
              <a:noFill/>
            </a:ln>
            <a:effectLst/>
          </c:spPr>
          <c:invertIfNegative val="0"/>
          <c:cat>
            <c:strRef>
              <c:f>PRACTICE!$AC$4</c:f>
              <c:strCache>
                <c:ptCount val="1"/>
                <c:pt idx="0">
                  <c:v>Total</c:v>
                </c:pt>
              </c:strCache>
            </c:strRef>
          </c:cat>
          <c:val>
            <c:numRef>
              <c:f>PRACTICE!$BC$4</c:f>
              <c:numCache>
                <c:formatCode>General</c:formatCode>
                <c:ptCount val="1"/>
                <c:pt idx="0">
                  <c:v>506</c:v>
                </c:pt>
              </c:numCache>
            </c:numRef>
          </c:val>
          <c:extLst>
            <c:ext xmlns:c16="http://schemas.microsoft.com/office/drawing/2014/chart" uri="{C3380CC4-5D6E-409C-BE32-E72D297353CC}">
              <c16:uniqueId val="{00000018-4D0C-4308-B48F-78F01575D9E6}"/>
            </c:ext>
          </c:extLst>
        </c:ser>
        <c:ser>
          <c:idx val="26"/>
          <c:order val="26"/>
          <c:tx>
            <c:strRef>
              <c:f>PRACTICE!$BD$2:$BD$3</c:f>
              <c:strCache>
                <c:ptCount val="1"/>
                <c:pt idx="0">
                  <c:v>27-Jan</c:v>
                </c:pt>
              </c:strCache>
            </c:strRef>
          </c:tx>
          <c:spPr>
            <a:solidFill>
              <a:schemeClr val="accent3">
                <a:lumMod val="60000"/>
                <a:lumOff val="40000"/>
              </a:schemeClr>
            </a:solidFill>
            <a:ln>
              <a:noFill/>
            </a:ln>
            <a:effectLst/>
          </c:spPr>
          <c:invertIfNegative val="0"/>
          <c:cat>
            <c:strRef>
              <c:f>PRACTICE!$AC$4</c:f>
              <c:strCache>
                <c:ptCount val="1"/>
                <c:pt idx="0">
                  <c:v>Total</c:v>
                </c:pt>
              </c:strCache>
            </c:strRef>
          </c:cat>
          <c:val>
            <c:numRef>
              <c:f>PRACTICE!$BD$4</c:f>
              <c:numCache>
                <c:formatCode>General</c:formatCode>
                <c:ptCount val="1"/>
                <c:pt idx="0">
                  <c:v>431</c:v>
                </c:pt>
              </c:numCache>
            </c:numRef>
          </c:val>
          <c:extLst>
            <c:ext xmlns:c16="http://schemas.microsoft.com/office/drawing/2014/chart" uri="{C3380CC4-5D6E-409C-BE32-E72D297353CC}">
              <c16:uniqueId val="{00000019-4D0C-4308-B48F-78F01575D9E6}"/>
            </c:ext>
          </c:extLst>
        </c:ser>
        <c:ser>
          <c:idx val="27"/>
          <c:order val="27"/>
          <c:tx>
            <c:strRef>
              <c:f>PRACTICE!$BE$2:$BE$3</c:f>
              <c:strCache>
                <c:ptCount val="1"/>
                <c:pt idx="0">
                  <c:v>28-Jan</c:v>
                </c:pt>
              </c:strCache>
            </c:strRef>
          </c:tx>
          <c:spPr>
            <a:solidFill>
              <a:schemeClr val="accent4">
                <a:lumMod val="60000"/>
                <a:lumOff val="40000"/>
              </a:schemeClr>
            </a:solidFill>
            <a:ln>
              <a:noFill/>
            </a:ln>
            <a:effectLst/>
          </c:spPr>
          <c:invertIfNegative val="0"/>
          <c:cat>
            <c:strRef>
              <c:f>PRACTICE!$AC$4</c:f>
              <c:strCache>
                <c:ptCount val="1"/>
                <c:pt idx="0">
                  <c:v>Total</c:v>
                </c:pt>
              </c:strCache>
            </c:strRef>
          </c:cat>
          <c:val>
            <c:numRef>
              <c:f>PRACTICE!$BE$4</c:f>
              <c:numCache>
                <c:formatCode>General</c:formatCode>
                <c:ptCount val="1"/>
                <c:pt idx="0">
                  <c:v>1167</c:v>
                </c:pt>
              </c:numCache>
            </c:numRef>
          </c:val>
          <c:extLst>
            <c:ext xmlns:c16="http://schemas.microsoft.com/office/drawing/2014/chart" uri="{C3380CC4-5D6E-409C-BE32-E72D297353CC}">
              <c16:uniqueId val="{0000001A-4D0C-4308-B48F-78F01575D9E6}"/>
            </c:ext>
          </c:extLst>
        </c:ser>
        <c:ser>
          <c:idx val="28"/>
          <c:order val="28"/>
          <c:tx>
            <c:strRef>
              <c:f>PRACTICE!$BF$2:$BF$3</c:f>
              <c:strCache>
                <c:ptCount val="1"/>
                <c:pt idx="0">
                  <c:v>29-Jan</c:v>
                </c:pt>
              </c:strCache>
            </c:strRef>
          </c:tx>
          <c:spPr>
            <a:solidFill>
              <a:schemeClr val="accent5">
                <a:lumMod val="60000"/>
                <a:lumOff val="40000"/>
              </a:schemeClr>
            </a:solidFill>
            <a:ln>
              <a:noFill/>
            </a:ln>
            <a:effectLst/>
          </c:spPr>
          <c:invertIfNegative val="0"/>
          <c:cat>
            <c:strRef>
              <c:f>PRACTICE!$AC$4</c:f>
              <c:strCache>
                <c:ptCount val="1"/>
                <c:pt idx="0">
                  <c:v>Total</c:v>
                </c:pt>
              </c:strCache>
            </c:strRef>
          </c:cat>
          <c:val>
            <c:numRef>
              <c:f>PRACTICE!$BF$4</c:f>
              <c:numCache>
                <c:formatCode>General</c:formatCode>
                <c:ptCount val="1"/>
                <c:pt idx="0">
                  <c:v>1098</c:v>
                </c:pt>
              </c:numCache>
            </c:numRef>
          </c:val>
          <c:extLst>
            <c:ext xmlns:c16="http://schemas.microsoft.com/office/drawing/2014/chart" uri="{C3380CC4-5D6E-409C-BE32-E72D297353CC}">
              <c16:uniqueId val="{0000001B-4D0C-4308-B48F-78F01575D9E6}"/>
            </c:ext>
          </c:extLst>
        </c:ser>
        <c:ser>
          <c:idx val="29"/>
          <c:order val="29"/>
          <c:tx>
            <c:strRef>
              <c:f>PRACTICE!$BG$2:$BG$3</c:f>
              <c:strCache>
                <c:ptCount val="1"/>
                <c:pt idx="0">
                  <c:v>30-Jan</c:v>
                </c:pt>
              </c:strCache>
            </c:strRef>
          </c:tx>
          <c:spPr>
            <a:solidFill>
              <a:schemeClr val="accent6">
                <a:lumMod val="60000"/>
                <a:lumOff val="40000"/>
              </a:schemeClr>
            </a:solidFill>
            <a:ln>
              <a:noFill/>
            </a:ln>
            <a:effectLst/>
          </c:spPr>
          <c:invertIfNegative val="0"/>
          <c:cat>
            <c:strRef>
              <c:f>PRACTICE!$AC$4</c:f>
              <c:strCache>
                <c:ptCount val="1"/>
                <c:pt idx="0">
                  <c:v>Total</c:v>
                </c:pt>
              </c:strCache>
            </c:strRef>
          </c:cat>
          <c:val>
            <c:numRef>
              <c:f>PRACTICE!$BG$4</c:f>
              <c:numCache>
                <c:formatCode>General</c:formatCode>
                <c:ptCount val="1"/>
                <c:pt idx="0">
                  <c:v>1096</c:v>
                </c:pt>
              </c:numCache>
            </c:numRef>
          </c:val>
          <c:extLst>
            <c:ext xmlns:c16="http://schemas.microsoft.com/office/drawing/2014/chart" uri="{C3380CC4-5D6E-409C-BE32-E72D297353CC}">
              <c16:uniqueId val="{0000001C-4D0C-4308-B48F-78F01575D9E6}"/>
            </c:ext>
          </c:extLst>
        </c:ser>
        <c:ser>
          <c:idx val="30"/>
          <c:order val="30"/>
          <c:tx>
            <c:strRef>
              <c:f>PRACTICE!$BH$2:$BH$3</c:f>
              <c:strCache>
                <c:ptCount val="1"/>
                <c:pt idx="0">
                  <c:v>31-Jan</c:v>
                </c:pt>
              </c:strCache>
            </c:strRef>
          </c:tx>
          <c:spPr>
            <a:solidFill>
              <a:schemeClr val="accent1">
                <a:lumMod val="50000"/>
              </a:schemeClr>
            </a:solidFill>
            <a:ln>
              <a:noFill/>
            </a:ln>
            <a:effectLst/>
          </c:spPr>
          <c:invertIfNegative val="0"/>
          <c:cat>
            <c:strRef>
              <c:f>PRACTICE!$AC$4</c:f>
              <c:strCache>
                <c:ptCount val="1"/>
                <c:pt idx="0">
                  <c:v>Total</c:v>
                </c:pt>
              </c:strCache>
            </c:strRef>
          </c:cat>
          <c:val>
            <c:numRef>
              <c:f>PRACTICE!$BH$4</c:f>
              <c:numCache>
                <c:formatCode>General</c:formatCode>
                <c:ptCount val="1"/>
                <c:pt idx="0">
                  <c:v>1501</c:v>
                </c:pt>
              </c:numCache>
            </c:numRef>
          </c:val>
          <c:extLst>
            <c:ext xmlns:c16="http://schemas.microsoft.com/office/drawing/2014/chart" uri="{C3380CC4-5D6E-409C-BE32-E72D297353CC}">
              <c16:uniqueId val="{0000001D-4D0C-4308-B48F-78F01575D9E6}"/>
            </c:ext>
          </c:extLst>
        </c:ser>
        <c:ser>
          <c:idx val="31"/>
          <c:order val="31"/>
          <c:tx>
            <c:strRef>
              <c:f>PRACTICE!$BI$2:$BI$3</c:f>
              <c:strCache>
                <c:ptCount val="1"/>
                <c:pt idx="0">
                  <c:v>01-Feb</c:v>
                </c:pt>
              </c:strCache>
            </c:strRef>
          </c:tx>
          <c:spPr>
            <a:solidFill>
              <a:schemeClr val="accent2">
                <a:lumMod val="50000"/>
              </a:schemeClr>
            </a:solidFill>
            <a:ln>
              <a:noFill/>
            </a:ln>
            <a:effectLst/>
          </c:spPr>
          <c:invertIfNegative val="0"/>
          <c:cat>
            <c:strRef>
              <c:f>PRACTICE!$AC$4</c:f>
              <c:strCache>
                <c:ptCount val="1"/>
                <c:pt idx="0">
                  <c:v>Total</c:v>
                </c:pt>
              </c:strCache>
            </c:strRef>
          </c:cat>
          <c:val>
            <c:numRef>
              <c:f>PRACTICE!$BI$4</c:f>
              <c:numCache>
                <c:formatCode>General</c:formatCode>
                <c:ptCount val="1"/>
                <c:pt idx="0">
                  <c:v>1360</c:v>
                </c:pt>
              </c:numCache>
            </c:numRef>
          </c:val>
          <c:extLst>
            <c:ext xmlns:c16="http://schemas.microsoft.com/office/drawing/2014/chart" uri="{C3380CC4-5D6E-409C-BE32-E72D297353CC}">
              <c16:uniqueId val="{0000001E-4D0C-4308-B48F-78F01575D9E6}"/>
            </c:ext>
          </c:extLst>
        </c:ser>
        <c:ser>
          <c:idx val="32"/>
          <c:order val="32"/>
          <c:tx>
            <c:strRef>
              <c:f>PRACTICE!$BJ$2:$BJ$3</c:f>
              <c:strCache>
                <c:ptCount val="1"/>
                <c:pt idx="0">
                  <c:v>02-Feb</c:v>
                </c:pt>
              </c:strCache>
            </c:strRef>
          </c:tx>
          <c:spPr>
            <a:solidFill>
              <a:schemeClr val="accent3">
                <a:lumMod val="50000"/>
              </a:schemeClr>
            </a:solidFill>
            <a:ln>
              <a:noFill/>
            </a:ln>
            <a:effectLst/>
          </c:spPr>
          <c:invertIfNegative val="0"/>
          <c:cat>
            <c:strRef>
              <c:f>PRACTICE!$AC$4</c:f>
              <c:strCache>
                <c:ptCount val="1"/>
                <c:pt idx="0">
                  <c:v>Total</c:v>
                </c:pt>
              </c:strCache>
            </c:strRef>
          </c:cat>
          <c:val>
            <c:numRef>
              <c:f>PRACTICE!$BJ$4</c:f>
              <c:numCache>
                <c:formatCode>General</c:formatCode>
                <c:ptCount val="1"/>
                <c:pt idx="0">
                  <c:v>1526</c:v>
                </c:pt>
              </c:numCache>
            </c:numRef>
          </c:val>
          <c:extLst>
            <c:ext xmlns:c16="http://schemas.microsoft.com/office/drawing/2014/chart" uri="{C3380CC4-5D6E-409C-BE32-E72D297353CC}">
              <c16:uniqueId val="{0000001F-4D0C-4308-B48F-78F01575D9E6}"/>
            </c:ext>
          </c:extLst>
        </c:ser>
        <c:ser>
          <c:idx val="33"/>
          <c:order val="33"/>
          <c:tx>
            <c:strRef>
              <c:f>PRACTICE!$BK$2:$BK$3</c:f>
              <c:strCache>
                <c:ptCount val="1"/>
                <c:pt idx="0">
                  <c:v>03-Feb</c:v>
                </c:pt>
              </c:strCache>
            </c:strRef>
          </c:tx>
          <c:spPr>
            <a:solidFill>
              <a:schemeClr val="accent4">
                <a:lumMod val="50000"/>
              </a:schemeClr>
            </a:solidFill>
            <a:ln>
              <a:noFill/>
            </a:ln>
            <a:effectLst/>
          </c:spPr>
          <c:invertIfNegative val="0"/>
          <c:cat>
            <c:strRef>
              <c:f>PRACTICE!$AC$4</c:f>
              <c:strCache>
                <c:ptCount val="1"/>
                <c:pt idx="0">
                  <c:v>Total</c:v>
                </c:pt>
              </c:strCache>
            </c:strRef>
          </c:cat>
          <c:val>
            <c:numRef>
              <c:f>PRACTICE!$BK$4</c:f>
              <c:numCache>
                <c:formatCode>General</c:formatCode>
                <c:ptCount val="1"/>
                <c:pt idx="0">
                  <c:v>1550</c:v>
                </c:pt>
              </c:numCache>
            </c:numRef>
          </c:val>
          <c:extLst>
            <c:ext xmlns:c16="http://schemas.microsoft.com/office/drawing/2014/chart" uri="{C3380CC4-5D6E-409C-BE32-E72D297353CC}">
              <c16:uniqueId val="{00000020-4D0C-4308-B48F-78F01575D9E6}"/>
            </c:ext>
          </c:extLst>
        </c:ser>
        <c:ser>
          <c:idx val="34"/>
          <c:order val="34"/>
          <c:tx>
            <c:strRef>
              <c:f>PRACTICE!$BL$2:$BL$3</c:f>
              <c:strCache>
                <c:ptCount val="1"/>
                <c:pt idx="0">
                  <c:v>04-Feb</c:v>
                </c:pt>
              </c:strCache>
            </c:strRef>
          </c:tx>
          <c:spPr>
            <a:solidFill>
              <a:schemeClr val="accent5">
                <a:lumMod val="50000"/>
              </a:schemeClr>
            </a:solidFill>
            <a:ln>
              <a:noFill/>
            </a:ln>
            <a:effectLst/>
          </c:spPr>
          <c:invertIfNegative val="0"/>
          <c:cat>
            <c:strRef>
              <c:f>PRACTICE!$AC$4</c:f>
              <c:strCache>
                <c:ptCount val="1"/>
                <c:pt idx="0">
                  <c:v>Total</c:v>
                </c:pt>
              </c:strCache>
            </c:strRef>
          </c:cat>
          <c:val>
            <c:numRef>
              <c:f>PRACTICE!$BL$4</c:f>
              <c:numCache>
                <c:formatCode>General</c:formatCode>
                <c:ptCount val="1"/>
                <c:pt idx="0">
                  <c:v>1708</c:v>
                </c:pt>
              </c:numCache>
            </c:numRef>
          </c:val>
          <c:extLst>
            <c:ext xmlns:c16="http://schemas.microsoft.com/office/drawing/2014/chart" uri="{C3380CC4-5D6E-409C-BE32-E72D297353CC}">
              <c16:uniqueId val="{00000021-4D0C-4308-B48F-78F01575D9E6}"/>
            </c:ext>
          </c:extLst>
        </c:ser>
        <c:ser>
          <c:idx val="35"/>
          <c:order val="35"/>
          <c:tx>
            <c:strRef>
              <c:f>PRACTICE!$BM$2:$BM$3</c:f>
              <c:strCache>
                <c:ptCount val="1"/>
                <c:pt idx="0">
                  <c:v>05-Feb</c:v>
                </c:pt>
              </c:strCache>
            </c:strRef>
          </c:tx>
          <c:spPr>
            <a:solidFill>
              <a:schemeClr val="accent6">
                <a:lumMod val="50000"/>
              </a:schemeClr>
            </a:solidFill>
            <a:ln>
              <a:noFill/>
            </a:ln>
            <a:effectLst/>
          </c:spPr>
          <c:invertIfNegative val="0"/>
          <c:cat>
            <c:strRef>
              <c:f>PRACTICE!$AC$4</c:f>
              <c:strCache>
                <c:ptCount val="1"/>
                <c:pt idx="0">
                  <c:v>Total</c:v>
                </c:pt>
              </c:strCache>
            </c:strRef>
          </c:cat>
          <c:val>
            <c:numRef>
              <c:f>PRACTICE!$BM$4</c:f>
              <c:numCache>
                <c:formatCode>General</c:formatCode>
                <c:ptCount val="1"/>
                <c:pt idx="0">
                  <c:v>1005</c:v>
                </c:pt>
              </c:numCache>
            </c:numRef>
          </c:val>
          <c:extLst>
            <c:ext xmlns:c16="http://schemas.microsoft.com/office/drawing/2014/chart" uri="{C3380CC4-5D6E-409C-BE32-E72D297353CC}">
              <c16:uniqueId val="{00000022-4D0C-4308-B48F-78F01575D9E6}"/>
            </c:ext>
          </c:extLst>
        </c:ser>
        <c:ser>
          <c:idx val="36"/>
          <c:order val="36"/>
          <c:tx>
            <c:strRef>
              <c:f>PRACTICE!$BN$2:$BN$3</c:f>
              <c:strCache>
                <c:ptCount val="1"/>
                <c:pt idx="0">
                  <c:v>06-Feb</c:v>
                </c:pt>
              </c:strCache>
            </c:strRef>
          </c:tx>
          <c:spPr>
            <a:solidFill>
              <a:schemeClr val="accent1">
                <a:lumMod val="70000"/>
                <a:lumOff val="30000"/>
              </a:schemeClr>
            </a:solidFill>
            <a:ln>
              <a:noFill/>
            </a:ln>
            <a:effectLst/>
          </c:spPr>
          <c:invertIfNegative val="0"/>
          <c:cat>
            <c:strRef>
              <c:f>PRACTICE!$AC$4</c:f>
              <c:strCache>
                <c:ptCount val="1"/>
                <c:pt idx="0">
                  <c:v>Total</c:v>
                </c:pt>
              </c:strCache>
            </c:strRef>
          </c:cat>
          <c:val>
            <c:numRef>
              <c:f>PRACTICE!$BN$4</c:f>
              <c:numCache>
                <c:formatCode>General</c:formatCode>
                <c:ptCount val="1"/>
                <c:pt idx="0">
                  <c:v>1623</c:v>
                </c:pt>
              </c:numCache>
            </c:numRef>
          </c:val>
          <c:extLst>
            <c:ext xmlns:c16="http://schemas.microsoft.com/office/drawing/2014/chart" uri="{C3380CC4-5D6E-409C-BE32-E72D297353CC}">
              <c16:uniqueId val="{00000023-4D0C-4308-B48F-78F01575D9E6}"/>
            </c:ext>
          </c:extLst>
        </c:ser>
        <c:ser>
          <c:idx val="37"/>
          <c:order val="37"/>
          <c:tx>
            <c:strRef>
              <c:f>PRACTICE!$BO$2:$BO$3</c:f>
              <c:strCache>
                <c:ptCount val="1"/>
                <c:pt idx="0">
                  <c:v>07-Feb</c:v>
                </c:pt>
              </c:strCache>
            </c:strRef>
          </c:tx>
          <c:spPr>
            <a:solidFill>
              <a:schemeClr val="accent2">
                <a:lumMod val="70000"/>
                <a:lumOff val="30000"/>
              </a:schemeClr>
            </a:solidFill>
            <a:ln>
              <a:noFill/>
            </a:ln>
            <a:effectLst/>
          </c:spPr>
          <c:invertIfNegative val="0"/>
          <c:cat>
            <c:strRef>
              <c:f>PRACTICE!$AC$4</c:f>
              <c:strCache>
                <c:ptCount val="1"/>
                <c:pt idx="0">
                  <c:v>Total</c:v>
                </c:pt>
              </c:strCache>
            </c:strRef>
          </c:cat>
          <c:val>
            <c:numRef>
              <c:f>PRACTICE!$BO$4</c:f>
              <c:numCache>
                <c:formatCode>General</c:formatCode>
                <c:ptCount val="1"/>
                <c:pt idx="0">
                  <c:v>1712</c:v>
                </c:pt>
              </c:numCache>
            </c:numRef>
          </c:val>
          <c:extLst>
            <c:ext xmlns:c16="http://schemas.microsoft.com/office/drawing/2014/chart" uri="{C3380CC4-5D6E-409C-BE32-E72D297353CC}">
              <c16:uniqueId val="{00000024-4D0C-4308-B48F-78F01575D9E6}"/>
            </c:ext>
          </c:extLst>
        </c:ser>
        <c:ser>
          <c:idx val="38"/>
          <c:order val="38"/>
          <c:tx>
            <c:strRef>
              <c:f>PRACTICE!$BP$2:$BP$3</c:f>
              <c:strCache>
                <c:ptCount val="1"/>
                <c:pt idx="0">
                  <c:v>08-Feb</c:v>
                </c:pt>
              </c:strCache>
            </c:strRef>
          </c:tx>
          <c:spPr>
            <a:solidFill>
              <a:schemeClr val="accent3">
                <a:lumMod val="70000"/>
                <a:lumOff val="30000"/>
              </a:schemeClr>
            </a:solidFill>
            <a:ln>
              <a:noFill/>
            </a:ln>
            <a:effectLst/>
          </c:spPr>
          <c:invertIfNegative val="0"/>
          <c:cat>
            <c:strRef>
              <c:f>PRACTICE!$AC$4</c:f>
              <c:strCache>
                <c:ptCount val="1"/>
                <c:pt idx="0">
                  <c:v>Total</c:v>
                </c:pt>
              </c:strCache>
            </c:strRef>
          </c:cat>
          <c:val>
            <c:numRef>
              <c:f>PRACTICE!$BP$4</c:f>
              <c:numCache>
                <c:formatCode>General</c:formatCode>
                <c:ptCount val="1"/>
                <c:pt idx="0">
                  <c:v>1530</c:v>
                </c:pt>
              </c:numCache>
            </c:numRef>
          </c:val>
          <c:extLst>
            <c:ext xmlns:c16="http://schemas.microsoft.com/office/drawing/2014/chart" uri="{C3380CC4-5D6E-409C-BE32-E72D297353CC}">
              <c16:uniqueId val="{00000025-4D0C-4308-B48F-78F01575D9E6}"/>
            </c:ext>
          </c:extLst>
        </c:ser>
        <c:ser>
          <c:idx val="39"/>
          <c:order val="39"/>
          <c:tx>
            <c:strRef>
              <c:f>PRACTICE!$BQ$2:$BQ$3</c:f>
              <c:strCache>
                <c:ptCount val="1"/>
                <c:pt idx="0">
                  <c:v>09-Feb</c:v>
                </c:pt>
              </c:strCache>
            </c:strRef>
          </c:tx>
          <c:spPr>
            <a:solidFill>
              <a:schemeClr val="accent4">
                <a:lumMod val="70000"/>
                <a:lumOff val="30000"/>
              </a:schemeClr>
            </a:solidFill>
            <a:ln>
              <a:noFill/>
            </a:ln>
            <a:effectLst/>
          </c:spPr>
          <c:invertIfNegative val="0"/>
          <c:cat>
            <c:strRef>
              <c:f>PRACTICE!$AC$4</c:f>
              <c:strCache>
                <c:ptCount val="1"/>
                <c:pt idx="0">
                  <c:v>Total</c:v>
                </c:pt>
              </c:strCache>
            </c:strRef>
          </c:cat>
          <c:val>
            <c:numRef>
              <c:f>PRACTICE!$BQ$4</c:f>
              <c:numCache>
                <c:formatCode>General</c:formatCode>
                <c:ptCount val="1"/>
                <c:pt idx="0">
                  <c:v>1605</c:v>
                </c:pt>
              </c:numCache>
            </c:numRef>
          </c:val>
          <c:extLst>
            <c:ext xmlns:c16="http://schemas.microsoft.com/office/drawing/2014/chart" uri="{C3380CC4-5D6E-409C-BE32-E72D297353CC}">
              <c16:uniqueId val="{00000026-4D0C-4308-B48F-78F01575D9E6}"/>
            </c:ext>
          </c:extLst>
        </c:ser>
        <c:ser>
          <c:idx val="40"/>
          <c:order val="40"/>
          <c:tx>
            <c:strRef>
              <c:f>PRACTICE!$BR$2:$BR$3</c:f>
              <c:strCache>
                <c:ptCount val="1"/>
                <c:pt idx="0">
                  <c:v>10-Feb</c:v>
                </c:pt>
              </c:strCache>
            </c:strRef>
          </c:tx>
          <c:spPr>
            <a:solidFill>
              <a:schemeClr val="accent5">
                <a:lumMod val="70000"/>
                <a:lumOff val="30000"/>
              </a:schemeClr>
            </a:solidFill>
            <a:ln>
              <a:noFill/>
            </a:ln>
            <a:effectLst/>
          </c:spPr>
          <c:invertIfNegative val="0"/>
          <c:cat>
            <c:strRef>
              <c:f>PRACTICE!$AC$4</c:f>
              <c:strCache>
                <c:ptCount val="1"/>
                <c:pt idx="0">
                  <c:v>Total</c:v>
                </c:pt>
              </c:strCache>
            </c:strRef>
          </c:cat>
          <c:val>
            <c:numRef>
              <c:f>PRACTICE!$BR$4</c:f>
              <c:numCache>
                <c:formatCode>General</c:formatCode>
                <c:ptCount val="1"/>
                <c:pt idx="0">
                  <c:v>1538</c:v>
                </c:pt>
              </c:numCache>
            </c:numRef>
          </c:val>
          <c:extLst>
            <c:ext xmlns:c16="http://schemas.microsoft.com/office/drawing/2014/chart" uri="{C3380CC4-5D6E-409C-BE32-E72D297353CC}">
              <c16:uniqueId val="{00000027-4D0C-4308-B48F-78F01575D9E6}"/>
            </c:ext>
          </c:extLst>
        </c:ser>
        <c:ser>
          <c:idx val="41"/>
          <c:order val="41"/>
          <c:tx>
            <c:strRef>
              <c:f>PRACTICE!$BS$2:$BS$3</c:f>
              <c:strCache>
                <c:ptCount val="1"/>
                <c:pt idx="0">
                  <c:v>11-Feb</c:v>
                </c:pt>
              </c:strCache>
            </c:strRef>
          </c:tx>
          <c:spPr>
            <a:solidFill>
              <a:schemeClr val="accent6">
                <a:lumMod val="70000"/>
                <a:lumOff val="30000"/>
              </a:schemeClr>
            </a:solidFill>
            <a:ln>
              <a:noFill/>
            </a:ln>
            <a:effectLst/>
          </c:spPr>
          <c:invertIfNegative val="0"/>
          <c:cat>
            <c:strRef>
              <c:f>PRACTICE!$AC$4</c:f>
              <c:strCache>
                <c:ptCount val="1"/>
                <c:pt idx="0">
                  <c:v>Total</c:v>
                </c:pt>
              </c:strCache>
            </c:strRef>
          </c:cat>
          <c:val>
            <c:numRef>
              <c:f>PRACTICE!$BS$4</c:f>
              <c:numCache>
                <c:formatCode>General</c:formatCode>
                <c:ptCount val="1"/>
                <c:pt idx="0">
                  <c:v>1746</c:v>
                </c:pt>
              </c:numCache>
            </c:numRef>
          </c:val>
          <c:extLst>
            <c:ext xmlns:c16="http://schemas.microsoft.com/office/drawing/2014/chart" uri="{C3380CC4-5D6E-409C-BE32-E72D297353CC}">
              <c16:uniqueId val="{00000028-4D0C-4308-B48F-78F01575D9E6}"/>
            </c:ext>
          </c:extLst>
        </c:ser>
        <c:ser>
          <c:idx val="42"/>
          <c:order val="42"/>
          <c:tx>
            <c:strRef>
              <c:f>PRACTICE!$BT$2:$BT$3</c:f>
              <c:strCache>
                <c:ptCount val="1"/>
                <c:pt idx="0">
                  <c:v>12-Feb</c:v>
                </c:pt>
              </c:strCache>
            </c:strRef>
          </c:tx>
          <c:spPr>
            <a:solidFill>
              <a:schemeClr val="accent1">
                <a:lumMod val="70000"/>
              </a:schemeClr>
            </a:solidFill>
            <a:ln>
              <a:noFill/>
            </a:ln>
            <a:effectLst/>
          </c:spPr>
          <c:invertIfNegative val="0"/>
          <c:cat>
            <c:strRef>
              <c:f>PRACTICE!$AC$4</c:f>
              <c:strCache>
                <c:ptCount val="1"/>
                <c:pt idx="0">
                  <c:v>Total</c:v>
                </c:pt>
              </c:strCache>
            </c:strRef>
          </c:cat>
          <c:val>
            <c:numRef>
              <c:f>PRACTICE!$BT$4</c:f>
              <c:numCache>
                <c:formatCode>General</c:formatCode>
                <c:ptCount val="1"/>
                <c:pt idx="0">
                  <c:v>1472</c:v>
                </c:pt>
              </c:numCache>
            </c:numRef>
          </c:val>
          <c:extLst>
            <c:ext xmlns:c16="http://schemas.microsoft.com/office/drawing/2014/chart" uri="{C3380CC4-5D6E-409C-BE32-E72D297353CC}">
              <c16:uniqueId val="{00000029-4D0C-4308-B48F-78F01575D9E6}"/>
            </c:ext>
          </c:extLst>
        </c:ser>
        <c:ser>
          <c:idx val="43"/>
          <c:order val="43"/>
          <c:tx>
            <c:strRef>
              <c:f>PRACTICE!$BU$2:$BU$3</c:f>
              <c:strCache>
                <c:ptCount val="1"/>
                <c:pt idx="0">
                  <c:v>13-Feb</c:v>
                </c:pt>
              </c:strCache>
            </c:strRef>
          </c:tx>
          <c:spPr>
            <a:solidFill>
              <a:schemeClr val="accent2">
                <a:lumMod val="70000"/>
              </a:schemeClr>
            </a:solidFill>
            <a:ln>
              <a:noFill/>
            </a:ln>
            <a:effectLst/>
          </c:spPr>
          <c:invertIfNegative val="0"/>
          <c:cat>
            <c:strRef>
              <c:f>PRACTICE!$AC$4</c:f>
              <c:strCache>
                <c:ptCount val="1"/>
                <c:pt idx="0">
                  <c:v>Total</c:v>
                </c:pt>
              </c:strCache>
            </c:strRef>
          </c:cat>
          <c:val>
            <c:numRef>
              <c:f>PRACTICE!$BU$4</c:f>
              <c:numCache>
                <c:formatCode>General</c:formatCode>
                <c:ptCount val="1"/>
                <c:pt idx="0">
                  <c:v>1589</c:v>
                </c:pt>
              </c:numCache>
            </c:numRef>
          </c:val>
          <c:extLst>
            <c:ext xmlns:c16="http://schemas.microsoft.com/office/drawing/2014/chart" uri="{C3380CC4-5D6E-409C-BE32-E72D297353CC}">
              <c16:uniqueId val="{0000002A-4D0C-4308-B48F-78F01575D9E6}"/>
            </c:ext>
          </c:extLst>
        </c:ser>
        <c:ser>
          <c:idx val="44"/>
          <c:order val="44"/>
          <c:tx>
            <c:strRef>
              <c:f>PRACTICE!$BV$2:$BV$3</c:f>
              <c:strCache>
                <c:ptCount val="1"/>
                <c:pt idx="0">
                  <c:v>14-Feb</c:v>
                </c:pt>
              </c:strCache>
            </c:strRef>
          </c:tx>
          <c:spPr>
            <a:solidFill>
              <a:schemeClr val="accent3">
                <a:lumMod val="70000"/>
              </a:schemeClr>
            </a:solidFill>
            <a:ln>
              <a:noFill/>
            </a:ln>
            <a:effectLst/>
          </c:spPr>
          <c:invertIfNegative val="0"/>
          <c:cat>
            <c:strRef>
              <c:f>PRACTICE!$AC$4</c:f>
              <c:strCache>
                <c:ptCount val="1"/>
                <c:pt idx="0">
                  <c:v>Total</c:v>
                </c:pt>
              </c:strCache>
            </c:strRef>
          </c:cat>
          <c:val>
            <c:numRef>
              <c:f>PRACTICE!$BV$4</c:f>
              <c:numCache>
                <c:formatCode>General</c:formatCode>
                <c:ptCount val="1"/>
                <c:pt idx="0">
                  <c:v>151</c:v>
                </c:pt>
              </c:numCache>
            </c:numRef>
          </c:val>
          <c:extLst>
            <c:ext xmlns:c16="http://schemas.microsoft.com/office/drawing/2014/chart" uri="{C3380CC4-5D6E-409C-BE32-E72D297353CC}">
              <c16:uniqueId val="{0000002B-4D0C-4308-B48F-78F01575D9E6}"/>
            </c:ext>
          </c:extLst>
        </c:ser>
        <c:dLbls>
          <c:showLegendKey val="0"/>
          <c:showVal val="0"/>
          <c:showCatName val="0"/>
          <c:showSerName val="0"/>
          <c:showPercent val="0"/>
          <c:showBubbleSize val="0"/>
        </c:dLbls>
        <c:gapWidth val="219"/>
        <c:overlap val="-27"/>
        <c:axId val="33080607"/>
        <c:axId val="612089936"/>
      </c:barChart>
      <c:catAx>
        <c:axId val="3308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89936"/>
        <c:crosses val="autoZero"/>
        <c:auto val="1"/>
        <c:lblAlgn val="ctr"/>
        <c:lblOffset val="100"/>
        <c:noMultiLvlLbl val="0"/>
      </c:catAx>
      <c:valAx>
        <c:axId val="6120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plotArea>
      <cx:plotAreaRegion>
        <cx:series layoutId="boxWhisker" uniqueId="{00000000-819A-43D0-BD62-8C30FD08D6B8}" formatIdx="0">
          <cx:tx>
            <cx:txData>
              <cx:f>_xlchart.v1.0</cx:f>
              <cx:v>TEMP.</cx:v>
            </cx:txData>
          </cx:tx>
          <cx:dataId val="0"/>
          <cx:layoutPr>
            <cx:visibility meanLine="0" meanMarker="1" nonoutliers="0" outliers="1"/>
            <cx:statistics quartileMethod="exclusive"/>
          </cx:layoutPr>
        </cx:series>
        <cx:series layoutId="boxWhisker" uniqueId="{00000001-819A-43D0-BD62-8C30FD08D6B8}" formatIdx="1">
          <cx:tx>
            <cx:txData>
              <cx:f>_xlchart.v1.2</cx:f>
              <cx:v>ASSUMED_TEMP.</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TEMP VS ATEMP</cx:v>
        </cx:txData>
      </cx:tx>
      <cx:spPr>
        <a:solidFill>
          <a:schemeClr val="accent2">
            <a:lumMod val="60000"/>
            <a:lumOff val="40000"/>
          </a:schemeClr>
        </a:solidFill>
      </cx:spPr>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Calibri" panose="020F0502020204030204"/>
            </a:rPr>
            <a:t>TEMP VS ATEMP</a:t>
          </a:r>
        </a:p>
      </cx:txPr>
      <cx:extLst>
        <cx:ext uri="ext:featex">
          <cx:featureExtension feature="mp" drop="onModelChange">
            <cx:offset left="0.2986111044883728"/>
          </cx:featureExtension>
        </cx:ext>
      </cx:extLst>
    </cx:title>
    <cx:plotArea>
      <cx:plotAreaRegion>
        <cx:series layoutId="boxWhisker" uniqueId="{00000000-819A-43D0-BD62-8C30FD08D6B8}" formatIdx="0">
          <cx:tx>
            <cx:txData>
              <cx:f>_xlchart.v1.4</cx:f>
              <cx:v>TEMP.</cx:v>
            </cx:txData>
          </cx:tx>
          <cx:dataId val="0"/>
          <cx:layoutPr>
            <cx:visibility meanLine="0" meanMarker="1" nonoutliers="0" outliers="1"/>
            <cx:statistics quartileMethod="exclusive"/>
          </cx:layoutPr>
        </cx:series>
        <cx:series layoutId="boxWhisker" uniqueId="{00000001-819A-43D0-BD62-8C30FD08D6B8}" formatIdx="1">
          <cx:tx>
            <cx:txData>
              <cx:f>_xlchart.v1.6</cx:f>
              <cx:v>ASSUMED_TEMP.</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microsoft.com/office/2014/relationships/chartEx" Target="../charts/chartEx1.xml"/><Relationship Id="rId1" Type="http://schemas.openxmlformats.org/officeDocument/2006/relationships/chart" Target="../charts/chart9.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7.xml"/><Relationship Id="rId12"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82550</xdr:rowOff>
    </xdr:from>
    <xdr:to>
      <xdr:col>3</xdr:col>
      <xdr:colOff>44450</xdr:colOff>
      <xdr:row>28</xdr:row>
      <xdr:rowOff>114300</xdr:rowOff>
    </xdr:to>
    <xdr:graphicFrame macro="">
      <xdr:nvGraphicFramePr>
        <xdr:cNvPr id="3" name="Chart 2">
          <a:extLst>
            <a:ext uri="{FF2B5EF4-FFF2-40B4-BE49-F238E27FC236}">
              <a16:creationId xmlns:a16="http://schemas.microsoft.com/office/drawing/2014/main" id="{973A53D8-E7D9-F396-0500-65073CB70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39</xdr:row>
      <xdr:rowOff>6349</xdr:rowOff>
    </xdr:from>
    <xdr:to>
      <xdr:col>4</xdr:col>
      <xdr:colOff>190500</xdr:colOff>
      <xdr:row>52</xdr:row>
      <xdr:rowOff>88900</xdr:rowOff>
    </xdr:to>
    <xdr:graphicFrame macro="">
      <xdr:nvGraphicFramePr>
        <xdr:cNvPr id="4" name="Chart 3">
          <a:extLst>
            <a:ext uri="{FF2B5EF4-FFF2-40B4-BE49-F238E27FC236}">
              <a16:creationId xmlns:a16="http://schemas.microsoft.com/office/drawing/2014/main" id="{64179E41-275C-6DB7-AF1A-5FF7C856A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804141</xdr:colOff>
      <xdr:row>14</xdr:row>
      <xdr:rowOff>49839</xdr:rowOff>
    </xdr:from>
    <xdr:to>
      <xdr:col>7</xdr:col>
      <xdr:colOff>770106</xdr:colOff>
      <xdr:row>30</xdr:row>
      <xdr:rowOff>27021</xdr:rowOff>
    </xdr:to>
    <xdr:graphicFrame macro="">
      <xdr:nvGraphicFramePr>
        <xdr:cNvPr id="2" name="Chart 1">
          <a:extLst>
            <a:ext uri="{FF2B5EF4-FFF2-40B4-BE49-F238E27FC236}">
              <a16:creationId xmlns:a16="http://schemas.microsoft.com/office/drawing/2014/main" id="{69484130-F72F-27AE-0ADA-0650C3E21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19051</xdr:colOff>
      <xdr:row>38</xdr:row>
      <xdr:rowOff>152400</xdr:rowOff>
    </xdr:from>
    <xdr:to>
      <xdr:col>8</xdr:col>
      <xdr:colOff>6351</xdr:colOff>
      <xdr:row>52</xdr:row>
      <xdr:rowOff>0</xdr:rowOff>
    </xdr:to>
    <xdr:graphicFrame macro="">
      <xdr:nvGraphicFramePr>
        <xdr:cNvPr id="5" name="Chart 4">
          <a:extLst>
            <a:ext uri="{FF2B5EF4-FFF2-40B4-BE49-F238E27FC236}">
              <a16:creationId xmlns:a16="http://schemas.microsoft.com/office/drawing/2014/main" id="{690FFF43-6CDA-7C04-3386-487D78AE2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39484</xdr:colOff>
      <xdr:row>14</xdr:row>
      <xdr:rowOff>97193</xdr:rowOff>
    </xdr:from>
    <xdr:to>
      <xdr:col>11</xdr:col>
      <xdr:colOff>758112</xdr:colOff>
      <xdr:row>29</xdr:row>
      <xdr:rowOff>130280</xdr:rowOff>
    </xdr:to>
    <xdr:graphicFrame macro="">
      <xdr:nvGraphicFramePr>
        <xdr:cNvPr id="10" name="Chart 9">
          <a:extLst>
            <a:ext uri="{FF2B5EF4-FFF2-40B4-BE49-F238E27FC236}">
              <a16:creationId xmlns:a16="http://schemas.microsoft.com/office/drawing/2014/main" id="{43C35574-DA32-2D30-5682-EFA8C1221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8685</xdr:colOff>
      <xdr:row>38</xdr:row>
      <xdr:rowOff>19578</xdr:rowOff>
    </xdr:from>
    <xdr:to>
      <xdr:col>12</xdr:col>
      <xdr:colOff>15442</xdr:colOff>
      <xdr:row>53</xdr:row>
      <xdr:rowOff>9715</xdr:rowOff>
    </xdr:to>
    <xdr:graphicFrame macro="">
      <xdr:nvGraphicFramePr>
        <xdr:cNvPr id="6" name="Chart 5">
          <a:extLst>
            <a:ext uri="{FF2B5EF4-FFF2-40B4-BE49-F238E27FC236}">
              <a16:creationId xmlns:a16="http://schemas.microsoft.com/office/drawing/2014/main" id="{5E38A304-A104-EFB3-8A85-EEF27E426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526914</xdr:colOff>
      <xdr:row>59</xdr:row>
      <xdr:rowOff>162803</xdr:rowOff>
    </xdr:from>
    <xdr:to>
      <xdr:col>8</xdr:col>
      <xdr:colOff>919826</xdr:colOff>
      <xdr:row>67</xdr:row>
      <xdr:rowOff>75255</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38455502-0619-8F7B-FC0E-64885DFA6E1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26914" y="10601425"/>
              <a:ext cx="10203014" cy="13638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1740076</xdr:colOff>
      <xdr:row>59</xdr:row>
      <xdr:rowOff>176389</xdr:rowOff>
    </xdr:from>
    <xdr:to>
      <xdr:col>13</xdr:col>
      <xdr:colOff>0</xdr:colOff>
      <xdr:row>74</xdr:row>
      <xdr:rowOff>154516</xdr:rowOff>
    </xdr:to>
    <xdr:graphicFrame macro="">
      <xdr:nvGraphicFramePr>
        <xdr:cNvPr id="8" name="Chart 7">
          <a:extLst>
            <a:ext uri="{FF2B5EF4-FFF2-40B4-BE49-F238E27FC236}">
              <a16:creationId xmlns:a16="http://schemas.microsoft.com/office/drawing/2014/main" id="{C8C33934-92F4-86D8-0071-4410B7DB4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593548</xdr:colOff>
      <xdr:row>38</xdr:row>
      <xdr:rowOff>57149</xdr:rowOff>
    </xdr:from>
    <xdr:to>
      <xdr:col>16</xdr:col>
      <xdr:colOff>1108604</xdr:colOff>
      <xdr:row>52</xdr:row>
      <xdr:rowOff>176387</xdr:rowOff>
    </xdr:to>
    <xdr:graphicFrame macro="">
      <xdr:nvGraphicFramePr>
        <xdr:cNvPr id="11" name="Chart 10">
          <a:extLst>
            <a:ext uri="{FF2B5EF4-FFF2-40B4-BE49-F238E27FC236}">
              <a16:creationId xmlns:a16="http://schemas.microsoft.com/office/drawing/2014/main" id="{7865FCE7-B0E9-D704-E079-71BCFD990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304800</xdr:colOff>
      <xdr:row>18</xdr:row>
      <xdr:rowOff>165100</xdr:rowOff>
    </xdr:to>
    <xdr:graphicFrame macro="">
      <xdr:nvGraphicFramePr>
        <xdr:cNvPr id="2" name="Chart 1">
          <a:extLst>
            <a:ext uri="{FF2B5EF4-FFF2-40B4-BE49-F238E27FC236}">
              <a16:creationId xmlns:a16="http://schemas.microsoft.com/office/drawing/2014/main" id="{3AFEECA7-4B68-4F1D-8977-16F2C6ADC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146050</xdr:colOff>
      <xdr:row>6</xdr:row>
      <xdr:rowOff>133350</xdr:rowOff>
    </xdr:from>
    <xdr:to>
      <xdr:col>19</xdr:col>
      <xdr:colOff>450850</xdr:colOff>
      <xdr:row>21</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B848EE8-C2DC-411C-896D-1FB67A30DA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61250" y="1238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127000</xdr:colOff>
      <xdr:row>23</xdr:row>
      <xdr:rowOff>63500</xdr:rowOff>
    </xdr:from>
    <xdr:to>
      <xdr:col>7</xdr:col>
      <xdr:colOff>431800</xdr:colOff>
      <xdr:row>38</xdr:row>
      <xdr:rowOff>44450</xdr:rowOff>
    </xdr:to>
    <xdr:graphicFrame macro="">
      <xdr:nvGraphicFramePr>
        <xdr:cNvPr id="4" name="Chart 3">
          <a:extLst>
            <a:ext uri="{FF2B5EF4-FFF2-40B4-BE49-F238E27FC236}">
              <a16:creationId xmlns:a16="http://schemas.microsoft.com/office/drawing/2014/main" id="{B6BF600C-0EB6-48FB-B39C-DC691C553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146050</xdr:colOff>
      <xdr:row>25</xdr:row>
      <xdr:rowOff>127000</xdr:rowOff>
    </xdr:from>
    <xdr:to>
      <xdr:col>19</xdr:col>
      <xdr:colOff>425450</xdr:colOff>
      <xdr:row>40</xdr:row>
      <xdr:rowOff>122767</xdr:rowOff>
    </xdr:to>
    <xdr:graphicFrame macro="">
      <xdr:nvGraphicFramePr>
        <xdr:cNvPr id="5" name="Chart 4">
          <a:extLst>
            <a:ext uri="{FF2B5EF4-FFF2-40B4-BE49-F238E27FC236}">
              <a16:creationId xmlns:a16="http://schemas.microsoft.com/office/drawing/2014/main" id="{412FE10E-FFE2-4017-8559-E93ACD269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431800</xdr:colOff>
      <xdr:row>22</xdr:row>
      <xdr:rowOff>127000</xdr:rowOff>
    </xdr:from>
    <xdr:to>
      <xdr:col>15</xdr:col>
      <xdr:colOff>482600</xdr:colOff>
      <xdr:row>39</xdr:row>
      <xdr:rowOff>44451</xdr:rowOff>
    </xdr:to>
    <xdr:graphicFrame macro="">
      <xdr:nvGraphicFramePr>
        <xdr:cNvPr id="3" name="Chart 2">
          <a:extLst>
            <a:ext uri="{FF2B5EF4-FFF2-40B4-BE49-F238E27FC236}">
              <a16:creationId xmlns:a16="http://schemas.microsoft.com/office/drawing/2014/main" id="{FE91B125-9824-40BE-B40B-31360E0CA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584200</xdr:colOff>
      <xdr:row>1</xdr:row>
      <xdr:rowOff>356528</xdr:rowOff>
    </xdr:from>
    <xdr:ext cx="13123334" cy="280205"/>
    <xdr:sp macro="" textlink="">
      <xdr:nvSpPr>
        <xdr:cNvPr id="6" name="TextBox 5">
          <a:extLst>
            <a:ext uri="{FF2B5EF4-FFF2-40B4-BE49-F238E27FC236}">
              <a16:creationId xmlns:a16="http://schemas.microsoft.com/office/drawing/2014/main" id="{33DAB96D-2432-EB72-A0A7-2E6FB6BC4B03}"/>
            </a:ext>
          </a:extLst>
        </xdr:cNvPr>
        <xdr:cNvSpPr txBox="1"/>
      </xdr:nvSpPr>
      <xdr:spPr>
        <a:xfrm flipH="1">
          <a:off x="1515533" y="500461"/>
          <a:ext cx="13123334" cy="280205"/>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u="sng"/>
            <a:t>ANOMALY</a:t>
          </a:r>
          <a:r>
            <a:rPr lang="en-IN" sz="1200" b="1" u="sng" baseline="0"/>
            <a:t> DETECTION USING THE IQR METHOD</a:t>
          </a:r>
          <a:endParaRPr lang="en-IN" sz="1200" b="1" u="sng"/>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90319</xdr:colOff>
      <xdr:row>3</xdr:row>
      <xdr:rowOff>109041</xdr:rowOff>
    </xdr:from>
    <xdr:to>
      <xdr:col>18</xdr:col>
      <xdr:colOff>310741</xdr:colOff>
      <xdr:row>24</xdr:row>
      <xdr:rowOff>6415</xdr:rowOff>
    </xdr:to>
    <xdr:graphicFrame macro="">
      <xdr:nvGraphicFramePr>
        <xdr:cNvPr id="2" name="Chart 1">
          <a:extLst>
            <a:ext uri="{FF2B5EF4-FFF2-40B4-BE49-F238E27FC236}">
              <a16:creationId xmlns:a16="http://schemas.microsoft.com/office/drawing/2014/main" id="{C46A8F39-55E1-0B27-DAE8-3E11C0C67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0</xdr:row>
      <xdr:rowOff>63500</xdr:rowOff>
    </xdr:from>
    <xdr:to>
      <xdr:col>16</xdr:col>
      <xdr:colOff>63500</xdr:colOff>
      <xdr:row>5</xdr:row>
      <xdr:rowOff>171450</xdr:rowOff>
    </xdr:to>
    <xdr:sp macro="" textlink="">
      <xdr:nvSpPr>
        <xdr:cNvPr id="13" name="Rectangle: Rounded Corners 12">
          <a:extLst>
            <a:ext uri="{FF2B5EF4-FFF2-40B4-BE49-F238E27FC236}">
              <a16:creationId xmlns:a16="http://schemas.microsoft.com/office/drawing/2014/main" id="{48976CB6-F9A9-15D9-863B-C07E71A1042F}"/>
            </a:ext>
          </a:extLst>
        </xdr:cNvPr>
        <xdr:cNvSpPr/>
      </xdr:nvSpPr>
      <xdr:spPr>
        <a:xfrm>
          <a:off x="12700" y="63500"/>
          <a:ext cx="9804400" cy="102870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1</xdr:row>
      <xdr:rowOff>107950</xdr:rowOff>
    </xdr:from>
    <xdr:to>
      <xdr:col>8</xdr:col>
      <xdr:colOff>63500</xdr:colOff>
      <xdr:row>5</xdr:row>
      <xdr:rowOff>12700</xdr:rowOff>
    </xdr:to>
    <xdr:sp macro="" textlink="">
      <xdr:nvSpPr>
        <xdr:cNvPr id="14" name="Rectangle: Rounded Corners 13">
          <a:extLst>
            <a:ext uri="{FF2B5EF4-FFF2-40B4-BE49-F238E27FC236}">
              <a16:creationId xmlns:a16="http://schemas.microsoft.com/office/drawing/2014/main" id="{8E98DDF6-961B-7BE7-A845-F774EF31CE5C}"/>
            </a:ext>
          </a:extLst>
        </xdr:cNvPr>
        <xdr:cNvSpPr/>
      </xdr:nvSpPr>
      <xdr:spPr>
        <a:xfrm>
          <a:off x="165100" y="292100"/>
          <a:ext cx="4775200" cy="641350"/>
        </a:xfrm>
        <a:prstGeom prst="roundRect">
          <a:avLst>
            <a:gd name="adj" fmla="val 2062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baseline="0"/>
            <a:t>                            </a:t>
          </a:r>
          <a:r>
            <a:rPr lang="en-IN" sz="1600" b="1" baseline="0"/>
            <a:t>BIKE SHARING DEMAND ANALYSIS</a:t>
          </a:r>
          <a:endParaRPr lang="en-IN" sz="1200" b="1"/>
        </a:p>
      </xdr:txBody>
    </xdr:sp>
    <xdr:clientData/>
  </xdr:twoCellAnchor>
  <xdr:twoCellAnchor editAs="oneCell">
    <xdr:from>
      <xdr:col>0</xdr:col>
      <xdr:colOff>247649</xdr:colOff>
      <xdr:row>0</xdr:row>
      <xdr:rowOff>165099</xdr:rowOff>
    </xdr:from>
    <xdr:to>
      <xdr:col>1</xdr:col>
      <xdr:colOff>469900</xdr:colOff>
      <xdr:row>5</xdr:row>
      <xdr:rowOff>82550</xdr:rowOff>
    </xdr:to>
    <xdr:pic>
      <xdr:nvPicPr>
        <xdr:cNvPr id="15" name="Picture 14">
          <a:extLst>
            <a:ext uri="{FF2B5EF4-FFF2-40B4-BE49-F238E27FC236}">
              <a16:creationId xmlns:a16="http://schemas.microsoft.com/office/drawing/2014/main" id="{D854979F-0245-1A65-67FB-1B1C3584218A}"/>
            </a:ext>
          </a:extLst>
        </xdr:cNvPr>
        <xdr:cNvPicPr>
          <a:picLocks noChangeAspect="1"/>
        </xdr:cNvPicPr>
      </xdr:nvPicPr>
      <xdr:blipFill>
        <a:blip xmlns:r="http://schemas.openxmlformats.org/officeDocument/2006/relationships" r:embed="rId1"/>
        <a:stretch>
          <a:fillRect/>
        </a:stretch>
      </xdr:blipFill>
      <xdr:spPr>
        <a:xfrm>
          <a:off x="247649" y="165099"/>
          <a:ext cx="831851" cy="838201"/>
        </a:xfrm>
        <a:prstGeom prst="rect">
          <a:avLst/>
        </a:prstGeom>
      </xdr:spPr>
    </xdr:pic>
    <xdr:clientData/>
  </xdr:twoCellAnchor>
  <xdr:twoCellAnchor editAs="oneCell">
    <xdr:from>
      <xdr:col>6</xdr:col>
      <xdr:colOff>590550</xdr:colOff>
      <xdr:row>2</xdr:row>
      <xdr:rowOff>63500</xdr:rowOff>
    </xdr:from>
    <xdr:to>
      <xdr:col>8</xdr:col>
      <xdr:colOff>0</xdr:colOff>
      <xdr:row>4</xdr:row>
      <xdr:rowOff>44450</xdr:rowOff>
    </xdr:to>
    <xdr:pic>
      <xdr:nvPicPr>
        <xdr:cNvPr id="16" name="Picture 15">
          <a:extLst>
            <a:ext uri="{FF2B5EF4-FFF2-40B4-BE49-F238E27FC236}">
              <a16:creationId xmlns:a16="http://schemas.microsoft.com/office/drawing/2014/main" id="{FF79E0B6-E808-9EBE-42F3-59E86E7A7DEE}"/>
            </a:ext>
          </a:extLst>
        </xdr:cNvPr>
        <xdr:cNvPicPr>
          <a:picLocks noChangeAspect="1"/>
        </xdr:cNvPicPr>
      </xdr:nvPicPr>
      <xdr:blipFill>
        <a:blip xmlns:r="http://schemas.openxmlformats.org/officeDocument/2006/relationships" r:embed="rId2"/>
        <a:stretch>
          <a:fillRect/>
        </a:stretch>
      </xdr:blipFill>
      <xdr:spPr>
        <a:xfrm>
          <a:off x="4248150" y="431800"/>
          <a:ext cx="628650" cy="349250"/>
        </a:xfrm>
        <a:prstGeom prst="rect">
          <a:avLst/>
        </a:prstGeom>
      </xdr:spPr>
    </xdr:pic>
    <xdr:clientData/>
  </xdr:twoCellAnchor>
  <xdr:twoCellAnchor>
    <xdr:from>
      <xdr:col>11</xdr:col>
      <xdr:colOff>501650</xdr:colOff>
      <xdr:row>1</xdr:row>
      <xdr:rowOff>133350</xdr:rowOff>
    </xdr:from>
    <xdr:to>
      <xdr:col>13</xdr:col>
      <xdr:colOff>495300</xdr:colOff>
      <xdr:row>4</xdr:row>
      <xdr:rowOff>152400</xdr:rowOff>
    </xdr:to>
    <xdr:sp macro="" textlink="">
      <xdr:nvSpPr>
        <xdr:cNvPr id="18" name="Rectangle: Rounded Corners 17">
          <a:extLst>
            <a:ext uri="{FF2B5EF4-FFF2-40B4-BE49-F238E27FC236}">
              <a16:creationId xmlns:a16="http://schemas.microsoft.com/office/drawing/2014/main" id="{CFAA2B0B-DE9C-4CCD-83DA-C3DA70B7888F}"/>
            </a:ext>
          </a:extLst>
        </xdr:cNvPr>
        <xdr:cNvSpPr/>
      </xdr:nvSpPr>
      <xdr:spPr>
        <a:xfrm>
          <a:off x="7207250" y="317500"/>
          <a:ext cx="1212850" cy="571500"/>
        </a:xfrm>
        <a:prstGeom prst="roundRect">
          <a:avLst>
            <a:gd name="adj" fmla="val 2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AAAAA</a:t>
          </a:r>
        </a:p>
      </xdr:txBody>
    </xdr:sp>
    <xdr:clientData/>
  </xdr:twoCellAnchor>
  <xdr:twoCellAnchor>
    <xdr:from>
      <xdr:col>14</xdr:col>
      <xdr:colOff>19050</xdr:colOff>
      <xdr:row>1</xdr:row>
      <xdr:rowOff>139700</xdr:rowOff>
    </xdr:from>
    <xdr:to>
      <xdr:col>15</xdr:col>
      <xdr:colOff>514350</xdr:colOff>
      <xdr:row>4</xdr:row>
      <xdr:rowOff>133350</xdr:rowOff>
    </xdr:to>
    <xdr:sp macro="" textlink="">
      <xdr:nvSpPr>
        <xdr:cNvPr id="19" name="Rectangle: Rounded Corners 18">
          <a:extLst>
            <a:ext uri="{FF2B5EF4-FFF2-40B4-BE49-F238E27FC236}">
              <a16:creationId xmlns:a16="http://schemas.microsoft.com/office/drawing/2014/main" id="{2D0E2DEA-301D-45F8-8805-AA8F7F906A71}"/>
            </a:ext>
          </a:extLst>
        </xdr:cNvPr>
        <xdr:cNvSpPr/>
      </xdr:nvSpPr>
      <xdr:spPr>
        <a:xfrm>
          <a:off x="8553450" y="323850"/>
          <a:ext cx="1104900" cy="546100"/>
        </a:xfrm>
        <a:prstGeom prst="roundRect">
          <a:avLst>
            <a:gd name="adj" fmla="val 144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a:t>
          </a:r>
        </a:p>
      </xdr:txBody>
    </xdr:sp>
    <xdr:clientData/>
  </xdr:twoCellAnchor>
  <xdr:twoCellAnchor>
    <xdr:from>
      <xdr:col>10</xdr:col>
      <xdr:colOff>425450</xdr:colOff>
      <xdr:row>1</xdr:row>
      <xdr:rowOff>114300</xdr:rowOff>
    </xdr:from>
    <xdr:to>
      <xdr:col>11</xdr:col>
      <xdr:colOff>406400</xdr:colOff>
      <xdr:row>4</xdr:row>
      <xdr:rowOff>158750</xdr:rowOff>
    </xdr:to>
    <xdr:sp macro="" textlink="">
      <xdr:nvSpPr>
        <xdr:cNvPr id="20" name="Rectangle: Rounded Corners 19">
          <a:extLst>
            <a:ext uri="{FF2B5EF4-FFF2-40B4-BE49-F238E27FC236}">
              <a16:creationId xmlns:a16="http://schemas.microsoft.com/office/drawing/2014/main" id="{9859CB51-48A8-CD40-D1C8-BCE59B2901A0}"/>
            </a:ext>
          </a:extLst>
        </xdr:cNvPr>
        <xdr:cNvSpPr/>
      </xdr:nvSpPr>
      <xdr:spPr>
        <a:xfrm>
          <a:off x="6521450" y="298450"/>
          <a:ext cx="590550" cy="596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482600</xdr:colOff>
      <xdr:row>1</xdr:row>
      <xdr:rowOff>152400</xdr:rowOff>
    </xdr:from>
    <xdr:to>
      <xdr:col>11</xdr:col>
      <xdr:colOff>317500</xdr:colOff>
      <xdr:row>4</xdr:row>
      <xdr:rowOff>63500</xdr:rowOff>
    </xdr:to>
    <xdr:pic>
      <xdr:nvPicPr>
        <xdr:cNvPr id="22" name="Picture 21">
          <a:extLst>
            <a:ext uri="{FF2B5EF4-FFF2-40B4-BE49-F238E27FC236}">
              <a16:creationId xmlns:a16="http://schemas.microsoft.com/office/drawing/2014/main" id="{35694B32-FC54-3F2D-0188-467FBD0E6F87}"/>
            </a:ext>
          </a:extLst>
        </xdr:cNvPr>
        <xdr:cNvPicPr>
          <a:picLocks noChangeAspect="1"/>
        </xdr:cNvPicPr>
      </xdr:nvPicPr>
      <xdr:blipFill>
        <a:blip xmlns:r="http://schemas.openxmlformats.org/officeDocument/2006/relationships" r:embed="rId3"/>
        <a:stretch>
          <a:fillRect/>
        </a:stretch>
      </xdr:blipFill>
      <xdr:spPr>
        <a:xfrm>
          <a:off x="6578600" y="336550"/>
          <a:ext cx="444500" cy="463550"/>
        </a:xfrm>
        <a:prstGeom prst="rect">
          <a:avLst/>
        </a:prstGeom>
      </xdr:spPr>
    </xdr:pic>
    <xdr:clientData/>
  </xdr:twoCellAnchor>
  <xdr:twoCellAnchor>
    <xdr:from>
      <xdr:col>8</xdr:col>
      <xdr:colOff>196850</xdr:colOff>
      <xdr:row>1</xdr:row>
      <xdr:rowOff>95250</xdr:rowOff>
    </xdr:from>
    <xdr:to>
      <xdr:col>10</xdr:col>
      <xdr:colOff>323850</xdr:colOff>
      <xdr:row>4</xdr:row>
      <xdr:rowOff>139700</xdr:rowOff>
    </xdr:to>
    <xdr:grpSp>
      <xdr:nvGrpSpPr>
        <xdr:cNvPr id="24" name="Group 23">
          <a:extLst>
            <a:ext uri="{FF2B5EF4-FFF2-40B4-BE49-F238E27FC236}">
              <a16:creationId xmlns:a16="http://schemas.microsoft.com/office/drawing/2014/main" id="{8C772BEF-AC9E-7FE7-BF7A-6C7DB9CFA8C0}"/>
            </a:ext>
          </a:extLst>
        </xdr:cNvPr>
        <xdr:cNvGrpSpPr/>
      </xdr:nvGrpSpPr>
      <xdr:grpSpPr>
        <a:xfrm>
          <a:off x="5073650" y="279400"/>
          <a:ext cx="1346200" cy="596900"/>
          <a:chOff x="4997450" y="285750"/>
          <a:chExt cx="1416050" cy="655292"/>
        </a:xfrm>
      </xdr:grpSpPr>
      <xdr:sp macro="" textlink="">
        <xdr:nvSpPr>
          <xdr:cNvPr id="17" name="Rectangle: Rounded Corners 16">
            <a:extLst>
              <a:ext uri="{FF2B5EF4-FFF2-40B4-BE49-F238E27FC236}">
                <a16:creationId xmlns:a16="http://schemas.microsoft.com/office/drawing/2014/main" id="{96460DCB-97C5-CB2E-E037-59E3EEDA966E}"/>
              </a:ext>
            </a:extLst>
          </xdr:cNvPr>
          <xdr:cNvSpPr/>
        </xdr:nvSpPr>
        <xdr:spPr>
          <a:xfrm>
            <a:off x="5010150" y="285750"/>
            <a:ext cx="1397000" cy="641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TTOTTO</a:t>
            </a:r>
          </a:p>
        </xdr:txBody>
      </xdr:sp>
      <xdr:sp macro="" textlink="">
        <xdr:nvSpPr>
          <xdr:cNvPr id="23" name="TextBox 22">
            <a:extLst>
              <a:ext uri="{FF2B5EF4-FFF2-40B4-BE49-F238E27FC236}">
                <a16:creationId xmlns:a16="http://schemas.microsoft.com/office/drawing/2014/main" id="{9DA92D17-BEBB-6B6F-784A-48E45109DE21}"/>
              </a:ext>
            </a:extLst>
          </xdr:cNvPr>
          <xdr:cNvSpPr txBox="1"/>
        </xdr:nvSpPr>
        <xdr:spPr>
          <a:xfrm>
            <a:off x="4997450" y="292721"/>
            <a:ext cx="1416050" cy="648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TOTAL_RENTAL   58304  </a:t>
            </a:r>
            <a:r>
              <a:rPr lang="en-IN" sz="1200" b="1"/>
              <a:t>        </a:t>
            </a:r>
          </a:p>
        </xdr:txBody>
      </xdr:sp>
    </xdr:grpSp>
    <xdr:clientData/>
  </xdr:twoCellAnchor>
  <xdr:oneCellAnchor>
    <xdr:from>
      <xdr:col>11</xdr:col>
      <xdr:colOff>501650</xdr:colOff>
      <xdr:row>1</xdr:row>
      <xdr:rowOff>139700</xdr:rowOff>
    </xdr:from>
    <xdr:ext cx="1212850" cy="565150"/>
    <xdr:sp macro="" textlink="">
      <xdr:nvSpPr>
        <xdr:cNvPr id="27" name="TextBox 26">
          <a:extLst>
            <a:ext uri="{FF2B5EF4-FFF2-40B4-BE49-F238E27FC236}">
              <a16:creationId xmlns:a16="http://schemas.microsoft.com/office/drawing/2014/main" id="{D46A47F8-9D87-F4A1-4A0F-4BDEFD71D5E8}"/>
            </a:ext>
          </a:extLst>
        </xdr:cNvPr>
        <xdr:cNvSpPr txBox="1"/>
      </xdr:nvSpPr>
      <xdr:spPr>
        <a:xfrm>
          <a:off x="7207250" y="323850"/>
          <a:ext cx="1212850" cy="565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t>AVERAGE CASUAL</a:t>
          </a:r>
        </a:p>
        <a:p>
          <a:r>
            <a:rPr lang="en-IN" sz="1400" b="1"/>
            <a:t>       109 </a:t>
          </a:r>
        </a:p>
      </xdr:txBody>
    </xdr:sp>
    <xdr:clientData/>
  </xdr:oneCellAnchor>
  <xdr:oneCellAnchor>
    <xdr:from>
      <xdr:col>14</xdr:col>
      <xdr:colOff>25400</xdr:colOff>
      <xdr:row>1</xdr:row>
      <xdr:rowOff>152400</xdr:rowOff>
    </xdr:from>
    <xdr:ext cx="1085850" cy="533400"/>
    <xdr:sp macro="" textlink="">
      <xdr:nvSpPr>
        <xdr:cNvPr id="28" name="TextBox 27">
          <a:extLst>
            <a:ext uri="{FF2B5EF4-FFF2-40B4-BE49-F238E27FC236}">
              <a16:creationId xmlns:a16="http://schemas.microsoft.com/office/drawing/2014/main" id="{E56DF2A1-C23E-EA64-4301-C6A56F413C92}"/>
            </a:ext>
          </a:extLst>
        </xdr:cNvPr>
        <xdr:cNvSpPr txBox="1"/>
      </xdr:nvSpPr>
      <xdr:spPr>
        <a:xfrm>
          <a:off x="8559800" y="336550"/>
          <a:ext cx="108585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AVERAGE</a:t>
          </a:r>
          <a:r>
            <a:rPr lang="en-IN" sz="1100" b="1" baseline="0"/>
            <a:t> REG.</a:t>
          </a:r>
        </a:p>
        <a:p>
          <a:r>
            <a:rPr lang="en-IN" sz="1400" b="1" baseline="0"/>
            <a:t>      1186</a:t>
          </a:r>
          <a:endParaRPr lang="en-IN" sz="1400" b="1"/>
        </a:p>
      </xdr:txBody>
    </xdr:sp>
    <xdr:clientData/>
  </xdr:oneCellAnchor>
  <xdr:twoCellAnchor>
    <xdr:from>
      <xdr:col>0</xdr:col>
      <xdr:colOff>50801</xdr:colOff>
      <xdr:row>6</xdr:row>
      <xdr:rowOff>63500</xdr:rowOff>
    </xdr:from>
    <xdr:to>
      <xdr:col>6</xdr:col>
      <xdr:colOff>311151</xdr:colOff>
      <xdr:row>16</xdr:row>
      <xdr:rowOff>76200</xdr:rowOff>
    </xdr:to>
    <xdr:graphicFrame macro="">
      <xdr:nvGraphicFramePr>
        <xdr:cNvPr id="29" name="Chart 28">
          <a:extLst>
            <a:ext uri="{FF2B5EF4-FFF2-40B4-BE49-F238E27FC236}">
              <a16:creationId xmlns:a16="http://schemas.microsoft.com/office/drawing/2014/main" id="{5F1D0090-8F34-48FE-9F02-37434151F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444500</xdr:colOff>
      <xdr:row>16</xdr:row>
      <xdr:rowOff>63500</xdr:rowOff>
    </xdr:from>
    <xdr:to>
      <xdr:col>16</xdr:col>
      <xdr:colOff>12700</xdr:colOff>
      <xdr:row>25</xdr:row>
      <xdr:rowOff>88900</xdr:rowOff>
    </xdr:to>
    <xdr:graphicFrame macro="">
      <xdr:nvGraphicFramePr>
        <xdr:cNvPr id="48" name="Chart 47">
          <a:extLst>
            <a:ext uri="{FF2B5EF4-FFF2-40B4-BE49-F238E27FC236}">
              <a16:creationId xmlns:a16="http://schemas.microsoft.com/office/drawing/2014/main" id="{06A77D39-24D9-4C85-8B10-D7B4FA5C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114300</xdr:colOff>
      <xdr:row>17</xdr:row>
      <xdr:rowOff>63500</xdr:rowOff>
    </xdr:from>
    <xdr:to>
      <xdr:col>19</xdr:col>
      <xdr:colOff>114300</xdr:colOff>
      <xdr:row>25</xdr:row>
      <xdr:rowOff>95250</xdr:rowOff>
    </xdr:to>
    <mc:AlternateContent xmlns:mc="http://schemas.openxmlformats.org/markup-compatibility/2006" xmlns:a14="http://schemas.microsoft.com/office/drawing/2010/main">
      <mc:Choice Requires="a14">
        <xdr:graphicFrame macro="">
          <xdr:nvGraphicFramePr>
            <xdr:cNvPr id="6" name="WEATHER_TYPE">
              <a:extLst>
                <a:ext uri="{FF2B5EF4-FFF2-40B4-BE49-F238E27FC236}">
                  <a16:creationId xmlns:a16="http://schemas.microsoft.com/office/drawing/2014/main" id="{C1DB9CD5-8F54-42AB-6598-C1E4605D3E67}"/>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mlns="">
        <xdr:sp macro="" textlink="">
          <xdr:nvSpPr>
            <xdr:cNvPr id="0" name=""/>
            <xdr:cNvSpPr>
              <a:spLocks noTextEdit="1"/>
            </xdr:cNvSpPr>
          </xdr:nvSpPr>
          <xdr:spPr>
            <a:xfrm>
              <a:off x="9867900" y="3194050"/>
              <a:ext cx="1828800" cy="144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425450</xdr:colOff>
      <xdr:row>6</xdr:row>
      <xdr:rowOff>63500</xdr:rowOff>
    </xdr:from>
    <xdr:to>
      <xdr:col>15</xdr:col>
      <xdr:colOff>596900</xdr:colOff>
      <xdr:row>15</xdr:row>
      <xdr:rowOff>171450</xdr:rowOff>
    </xdr:to>
    <xdr:graphicFrame macro="">
      <xdr:nvGraphicFramePr>
        <xdr:cNvPr id="7" name="Chart 6">
          <a:extLst>
            <a:ext uri="{FF2B5EF4-FFF2-40B4-BE49-F238E27FC236}">
              <a16:creationId xmlns:a16="http://schemas.microsoft.com/office/drawing/2014/main" id="{819516C3-D565-401A-88F9-4091AE53A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88900</xdr:colOff>
      <xdr:row>6</xdr:row>
      <xdr:rowOff>31751</xdr:rowOff>
    </xdr:from>
    <xdr:to>
      <xdr:col>19</xdr:col>
      <xdr:colOff>88900</xdr:colOff>
      <xdr:row>10</xdr:row>
      <xdr:rowOff>177800</xdr:rowOff>
    </xdr:to>
    <mc:AlternateContent xmlns:mc="http://schemas.openxmlformats.org/markup-compatibility/2006" xmlns:a14="http://schemas.microsoft.com/office/drawing/2010/main">
      <mc:Choice Requires="a14">
        <xdr:graphicFrame macro="">
          <xdr:nvGraphicFramePr>
            <xdr:cNvPr id="8" name="HOUR">
              <a:extLst>
                <a:ext uri="{FF2B5EF4-FFF2-40B4-BE49-F238E27FC236}">
                  <a16:creationId xmlns:a16="http://schemas.microsoft.com/office/drawing/2014/main" id="{6D526068-FD85-B2E0-770C-65D9207CFDD7}"/>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9842500" y="113665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374650</xdr:colOff>
      <xdr:row>6</xdr:row>
      <xdr:rowOff>88900</xdr:rowOff>
    </xdr:from>
    <xdr:to>
      <xdr:col>10</xdr:col>
      <xdr:colOff>368300</xdr:colOff>
      <xdr:row>16</xdr:row>
      <xdr:rowOff>50800</xdr:rowOff>
    </xdr:to>
    <xdr:graphicFrame macro="">
      <xdr:nvGraphicFramePr>
        <xdr:cNvPr id="9" name="Chart 8">
          <a:extLst>
            <a:ext uri="{FF2B5EF4-FFF2-40B4-BE49-F238E27FC236}">
              <a16:creationId xmlns:a16="http://schemas.microsoft.com/office/drawing/2014/main" id="{385FC473-3C35-4E49-A1D6-C5BD023C4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107950</xdr:colOff>
      <xdr:row>0</xdr:row>
      <xdr:rowOff>95251</xdr:rowOff>
    </xdr:from>
    <xdr:to>
      <xdr:col>19</xdr:col>
      <xdr:colOff>107950</xdr:colOff>
      <xdr:row>5</xdr:row>
      <xdr:rowOff>146051</xdr:rowOff>
    </xdr:to>
    <mc:AlternateContent xmlns:mc="http://schemas.openxmlformats.org/markup-compatibility/2006" xmlns:a14="http://schemas.microsoft.com/office/drawing/2010/main">
      <mc:Choice Requires="a14">
        <xdr:graphicFrame macro="">
          <xdr:nvGraphicFramePr>
            <xdr:cNvPr id="10" name="WEEK_DAY ">
              <a:extLst>
                <a:ext uri="{FF2B5EF4-FFF2-40B4-BE49-F238E27FC236}">
                  <a16:creationId xmlns:a16="http://schemas.microsoft.com/office/drawing/2014/main" id="{B49B219F-6FFC-5147-0998-877537D09BAA}"/>
                </a:ext>
              </a:extLst>
            </xdr:cNvPr>
            <xdr:cNvGraphicFramePr/>
          </xdr:nvGraphicFramePr>
          <xdr:xfrm>
            <a:off x="0" y="0"/>
            <a:ext cx="0" cy="0"/>
          </xdr:xfrm>
          <a:graphic>
            <a:graphicData uri="http://schemas.microsoft.com/office/drawing/2010/slicer">
              <sle:slicer xmlns:sle="http://schemas.microsoft.com/office/drawing/2010/slicer" name="WEEK_DAY "/>
            </a:graphicData>
          </a:graphic>
        </xdr:graphicFrame>
      </mc:Choice>
      <mc:Fallback xmlns="">
        <xdr:sp macro="" textlink="">
          <xdr:nvSpPr>
            <xdr:cNvPr id="0" name=""/>
            <xdr:cNvSpPr>
              <a:spLocks noTextEdit="1"/>
            </xdr:cNvSpPr>
          </xdr:nvSpPr>
          <xdr:spPr>
            <a:xfrm>
              <a:off x="9861550" y="952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16</xdr:row>
      <xdr:rowOff>107950</xdr:rowOff>
    </xdr:from>
    <xdr:to>
      <xdr:col>10</xdr:col>
      <xdr:colOff>342900</xdr:colOff>
      <xdr:row>25</xdr:row>
      <xdr:rowOff>88900</xdr:rowOff>
    </xdr:to>
    <xdr:graphicFrame macro="">
      <xdr:nvGraphicFramePr>
        <xdr:cNvPr id="11" name="Chart 10">
          <a:extLst>
            <a:ext uri="{FF2B5EF4-FFF2-40B4-BE49-F238E27FC236}">
              <a16:creationId xmlns:a16="http://schemas.microsoft.com/office/drawing/2014/main" id="{632451C7-BE7E-486B-8E33-C30A97BF4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95250</xdr:colOff>
      <xdr:row>11</xdr:row>
      <xdr:rowOff>57151</xdr:rowOff>
    </xdr:from>
    <xdr:to>
      <xdr:col>19</xdr:col>
      <xdr:colOff>95250</xdr:colOff>
      <xdr:row>16</xdr:row>
      <xdr:rowOff>165100</xdr:rowOff>
    </xdr:to>
    <mc:AlternateContent xmlns:mc="http://schemas.openxmlformats.org/markup-compatibility/2006" xmlns:a14="http://schemas.microsoft.com/office/drawing/2010/main">
      <mc:Choice Requires="a14">
        <xdr:graphicFrame macro="">
          <xdr:nvGraphicFramePr>
            <xdr:cNvPr id="12" name="DATE 1">
              <a:extLst>
                <a:ext uri="{FF2B5EF4-FFF2-40B4-BE49-F238E27FC236}">
                  <a16:creationId xmlns:a16="http://schemas.microsoft.com/office/drawing/2014/main" id="{2CBE9DCB-F268-DE55-0F08-9E610DF1A11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9848850" y="2082801"/>
              <a:ext cx="182880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114301</xdr:colOff>
      <xdr:row>26</xdr:row>
      <xdr:rowOff>6351</xdr:rowOff>
    </xdr:from>
    <xdr:to>
      <xdr:col>11</xdr:col>
      <xdr:colOff>120650</xdr:colOff>
      <xdr:row>42</xdr:row>
      <xdr:rowOff>133350</xdr:rowOff>
    </xdr:to>
    <xdr:graphicFrame macro="">
      <xdr:nvGraphicFramePr>
        <xdr:cNvPr id="2" name="Chart 1">
          <a:extLst>
            <a:ext uri="{FF2B5EF4-FFF2-40B4-BE49-F238E27FC236}">
              <a16:creationId xmlns:a16="http://schemas.microsoft.com/office/drawing/2014/main" id="{8BA0CC37-0D9F-4568-90CD-8BAD87AA0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222250</xdr:colOff>
      <xdr:row>26</xdr:row>
      <xdr:rowOff>0</xdr:rowOff>
    </xdr:from>
    <xdr:to>
      <xdr:col>19</xdr:col>
      <xdr:colOff>88900</xdr:colOff>
      <xdr:row>42</xdr:row>
      <xdr:rowOff>114300</xdr:rowOff>
    </xdr:to>
    <xdr:graphicFrame macro="">
      <xdr:nvGraphicFramePr>
        <xdr:cNvPr id="4" name="Chart 3">
          <a:extLst>
            <a:ext uri="{FF2B5EF4-FFF2-40B4-BE49-F238E27FC236}">
              <a16:creationId xmlns:a16="http://schemas.microsoft.com/office/drawing/2014/main" id="{26A3CD11-5845-4854-86A3-E91AE2EC4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133350</xdr:colOff>
      <xdr:row>44</xdr:row>
      <xdr:rowOff>82550</xdr:rowOff>
    </xdr:from>
    <xdr:to>
      <xdr:col>10</xdr:col>
      <xdr:colOff>165100</xdr:colOff>
      <xdr:row>59</xdr:row>
      <xdr:rowOff>63500</xdr:rowOff>
    </xdr:to>
    <xdr:graphicFrame macro="">
      <xdr:nvGraphicFramePr>
        <xdr:cNvPr id="5" name="Chart 4">
          <a:extLst>
            <a:ext uri="{FF2B5EF4-FFF2-40B4-BE49-F238E27FC236}">
              <a16:creationId xmlns:a16="http://schemas.microsoft.com/office/drawing/2014/main" id="{13A6EF9D-2DD2-4A37-A637-87859CEC7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596900</xdr:colOff>
      <xdr:row>44</xdr:row>
      <xdr:rowOff>50800</xdr:rowOff>
    </xdr:from>
    <xdr:to>
      <xdr:col>19</xdr:col>
      <xdr:colOff>95250</xdr:colOff>
      <xdr:row>59</xdr:row>
      <xdr:rowOff>31750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D7E3DB5C-98BC-4F37-AC4F-11D47F6ABF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692900" y="8153400"/>
              <a:ext cx="49847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361950</xdr:colOff>
      <xdr:row>0</xdr:row>
      <xdr:rowOff>0</xdr:rowOff>
    </xdr:from>
    <xdr:to>
      <xdr:col>10</xdr:col>
      <xdr:colOff>31750</xdr:colOff>
      <xdr:row>10</xdr:row>
      <xdr:rowOff>152400</xdr:rowOff>
    </xdr:to>
    <xdr:graphicFrame macro="">
      <xdr:nvGraphicFramePr>
        <xdr:cNvPr id="2" name="Chart 1">
          <a:extLst>
            <a:ext uri="{FF2B5EF4-FFF2-40B4-BE49-F238E27FC236}">
              <a16:creationId xmlns:a16="http://schemas.microsoft.com/office/drawing/2014/main" id="{B363917D-F2CA-1925-6D61-52E4D1748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635000</xdr:colOff>
      <xdr:row>11</xdr:row>
      <xdr:rowOff>6350</xdr:rowOff>
    </xdr:from>
    <xdr:to>
      <xdr:col>3</xdr:col>
      <xdr:colOff>990600</xdr:colOff>
      <xdr:row>25</xdr:row>
      <xdr:rowOff>171450</xdr:rowOff>
    </xdr:to>
    <xdr:graphicFrame macro="">
      <xdr:nvGraphicFramePr>
        <xdr:cNvPr id="3" name="Chart 2">
          <a:extLst>
            <a:ext uri="{FF2B5EF4-FFF2-40B4-BE49-F238E27FC236}">
              <a16:creationId xmlns:a16="http://schemas.microsoft.com/office/drawing/2014/main" id="{B2964579-D4A2-4A11-B130-12AC248A2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20</xdr:row>
      <xdr:rowOff>0</xdr:rowOff>
    </xdr:from>
    <xdr:to>
      <xdr:col>13</xdr:col>
      <xdr:colOff>304800</xdr:colOff>
      <xdr:row>34</xdr:row>
      <xdr:rowOff>165100</xdr:rowOff>
    </xdr:to>
    <xdr:graphicFrame macro="">
      <xdr:nvGraphicFramePr>
        <xdr:cNvPr id="4" name="Chart 3">
          <a:extLst>
            <a:ext uri="{FF2B5EF4-FFF2-40B4-BE49-F238E27FC236}">
              <a16:creationId xmlns:a16="http://schemas.microsoft.com/office/drawing/2014/main" id="{CCDE6808-9136-4453-B56B-157370402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xdr:row>
      <xdr:rowOff>0</xdr:rowOff>
    </xdr:from>
    <xdr:to>
      <xdr:col>15</xdr:col>
      <xdr:colOff>22225</xdr:colOff>
      <xdr:row>13</xdr:row>
      <xdr:rowOff>171450</xdr:rowOff>
    </xdr:to>
    <xdr:graphicFrame macro="">
      <xdr:nvGraphicFramePr>
        <xdr:cNvPr id="5" name="Chart 4">
          <a:extLst>
            <a:ext uri="{FF2B5EF4-FFF2-40B4-BE49-F238E27FC236}">
              <a16:creationId xmlns:a16="http://schemas.microsoft.com/office/drawing/2014/main" id="{7E6B50B6-E2A3-4BB2-866F-CE2731346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88900</xdr:colOff>
      <xdr:row>15</xdr:row>
      <xdr:rowOff>19050</xdr:rowOff>
    </xdr:from>
    <xdr:to>
      <xdr:col>24</xdr:col>
      <xdr:colOff>38100</xdr:colOff>
      <xdr:row>28</xdr:row>
      <xdr:rowOff>19050</xdr:rowOff>
    </xdr:to>
    <xdr:graphicFrame macro="">
      <xdr:nvGraphicFramePr>
        <xdr:cNvPr id="7" name="Chart 6">
          <a:extLst>
            <a:ext uri="{FF2B5EF4-FFF2-40B4-BE49-F238E27FC236}">
              <a16:creationId xmlns:a16="http://schemas.microsoft.com/office/drawing/2014/main" id="{00C1A030-F673-AAA7-8E88-4B1A794C7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88900</xdr:colOff>
      <xdr:row>14</xdr:row>
      <xdr:rowOff>107950</xdr:rowOff>
    </xdr:from>
    <xdr:to>
      <xdr:col>23</xdr:col>
      <xdr:colOff>520700</xdr:colOff>
      <xdr:row>26</xdr:row>
      <xdr:rowOff>165100</xdr:rowOff>
    </xdr:to>
    <xdr:graphicFrame macro="">
      <xdr:nvGraphicFramePr>
        <xdr:cNvPr id="8" name="Chart 7">
          <a:extLst>
            <a:ext uri="{FF2B5EF4-FFF2-40B4-BE49-F238E27FC236}">
              <a16:creationId xmlns:a16="http://schemas.microsoft.com/office/drawing/2014/main" id="{DC4B08DC-F78F-7FB7-F5B3-54113C531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1054100</xdr:colOff>
      <xdr:row>5</xdr:row>
      <xdr:rowOff>6350</xdr:rowOff>
    </xdr:from>
    <xdr:to>
      <xdr:col>25</xdr:col>
      <xdr:colOff>1371600</xdr:colOff>
      <xdr:row>13</xdr:row>
      <xdr:rowOff>171450</xdr:rowOff>
    </xdr:to>
    <xdr:graphicFrame macro="">
      <xdr:nvGraphicFramePr>
        <xdr:cNvPr id="10" name="Chart 9">
          <a:extLst>
            <a:ext uri="{FF2B5EF4-FFF2-40B4-BE49-F238E27FC236}">
              <a16:creationId xmlns:a16="http://schemas.microsoft.com/office/drawing/2014/main" id="{EB86D473-DEA2-9A89-D881-0DD0BC591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ishore" refreshedDate="46301.793731944446" createdVersion="8" refreshedVersion="8" minRefreshableVersion="3" recordCount="1000" xr:uid="{997768F0-506D-4E27-96A2-A66A31D91877}">
  <cacheSource type="worksheet">
    <worksheetSource name="final_data786"/>
  </cacheSource>
  <cacheFields count="22">
    <cacheField name="SR.NO"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SEASON_CODE "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_CODE" numFmtId="0">
      <sharedItems containsSemiMixedTypes="0" containsString="0" containsNumber="1" containsInteger="1" minValue="1" maxValue="2"/>
    </cacheField>
    <cacheField name="MONTH" numFmtId="0">
      <sharedItems count="2">
        <s v="JANUARY"/>
        <s v="FEBRUARY"/>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ntainsSemiMixedTypes="0" containsString="0" containsNumber="1" containsInteger="1" minValue="0" maxValue="1" count="2">
        <n v="0"/>
        <n v="1"/>
      </sharedItems>
    </cacheField>
    <cacheField name="DAY_CODE" numFmtId="0">
      <sharedItems containsSemiMixedTypes="0" containsString="0" containsNumber="1" containsInteger="1" minValue="0" maxValue="6"/>
    </cacheField>
    <cacheField name="WEEK_DAY " numFmtId="0">
      <sharedItems count="7">
        <s v="Saturday"/>
        <s v="Sunday"/>
        <s v="monday"/>
        <s v="Tuesday"/>
        <s v="Wednesday"/>
        <s v="Thursday"/>
        <s v="Friday"/>
      </sharedItems>
    </cacheField>
    <cacheField name="DAY_TYPE" numFmtId="0">
      <sharedItems count="2">
        <s v="weekday"/>
        <s v="weekend"/>
      </sharedItems>
    </cacheField>
    <cacheField name="WEATHER_CODE" numFmtId="0">
      <sharedItems containsSemiMixedTypes="0" containsString="0" containsNumber="1" containsInteger="1" minValue="1" maxValue="4"/>
    </cacheField>
    <cacheField name="WEATHER_TYPE" numFmtId="0">
      <sharedItems count="4">
        <s v="clear"/>
        <s v="cloudy"/>
        <s v="light rain"/>
        <s v="heavy rain"/>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_TEMP."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_RENTALS"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RENTALS"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_RENTALS"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728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x v="0"/>
    <x v="0"/>
    <n v="6"/>
    <x v="0"/>
    <x v="0"/>
    <n v="1"/>
    <x v="0"/>
    <x v="0"/>
    <n v="0.28789999999999999"/>
    <x v="0"/>
    <x v="0"/>
    <x v="0"/>
    <x v="0"/>
    <x v="0"/>
  </r>
  <r>
    <n v="2"/>
    <x v="0"/>
    <n v="1"/>
    <n v="0"/>
    <n v="1"/>
    <x v="0"/>
    <x v="1"/>
    <x v="0"/>
    <n v="6"/>
    <x v="0"/>
    <x v="0"/>
    <n v="1"/>
    <x v="0"/>
    <x v="1"/>
    <n v="0.2727"/>
    <x v="1"/>
    <x v="0"/>
    <x v="1"/>
    <x v="1"/>
    <x v="1"/>
  </r>
  <r>
    <n v="3"/>
    <x v="0"/>
    <n v="1"/>
    <n v="0"/>
    <n v="1"/>
    <x v="0"/>
    <x v="2"/>
    <x v="0"/>
    <n v="6"/>
    <x v="0"/>
    <x v="0"/>
    <n v="1"/>
    <x v="0"/>
    <x v="1"/>
    <n v="0.2727"/>
    <x v="1"/>
    <x v="0"/>
    <x v="2"/>
    <x v="2"/>
    <x v="2"/>
  </r>
  <r>
    <n v="4"/>
    <x v="0"/>
    <n v="1"/>
    <n v="0"/>
    <n v="1"/>
    <x v="0"/>
    <x v="3"/>
    <x v="0"/>
    <n v="6"/>
    <x v="0"/>
    <x v="0"/>
    <n v="1"/>
    <x v="0"/>
    <x v="0"/>
    <n v="0.28789999999999999"/>
    <x v="2"/>
    <x v="0"/>
    <x v="0"/>
    <x v="3"/>
    <x v="3"/>
  </r>
  <r>
    <n v="5"/>
    <x v="0"/>
    <n v="1"/>
    <n v="0"/>
    <n v="1"/>
    <x v="0"/>
    <x v="4"/>
    <x v="0"/>
    <n v="6"/>
    <x v="0"/>
    <x v="0"/>
    <n v="1"/>
    <x v="0"/>
    <x v="0"/>
    <n v="0.28789999999999999"/>
    <x v="2"/>
    <x v="0"/>
    <x v="3"/>
    <x v="4"/>
    <x v="4"/>
  </r>
  <r>
    <n v="6"/>
    <x v="0"/>
    <n v="1"/>
    <n v="0"/>
    <n v="1"/>
    <x v="0"/>
    <x v="5"/>
    <x v="0"/>
    <n v="6"/>
    <x v="0"/>
    <x v="0"/>
    <n v="2"/>
    <x v="1"/>
    <x v="0"/>
    <n v="0.2576"/>
    <x v="2"/>
    <x v="1"/>
    <x v="3"/>
    <x v="4"/>
    <x v="4"/>
  </r>
  <r>
    <n v="7"/>
    <x v="0"/>
    <n v="1"/>
    <n v="0"/>
    <n v="1"/>
    <x v="0"/>
    <x v="6"/>
    <x v="0"/>
    <n v="6"/>
    <x v="0"/>
    <x v="0"/>
    <n v="1"/>
    <x v="0"/>
    <x v="1"/>
    <n v="0.2727"/>
    <x v="1"/>
    <x v="0"/>
    <x v="4"/>
    <x v="5"/>
    <x v="5"/>
  </r>
  <r>
    <n v="8"/>
    <x v="0"/>
    <n v="1"/>
    <n v="0"/>
    <n v="1"/>
    <x v="0"/>
    <x v="7"/>
    <x v="0"/>
    <n v="6"/>
    <x v="0"/>
    <x v="0"/>
    <n v="1"/>
    <x v="0"/>
    <x v="2"/>
    <n v="0.2576"/>
    <x v="3"/>
    <x v="0"/>
    <x v="5"/>
    <x v="6"/>
    <x v="6"/>
  </r>
  <r>
    <n v="9"/>
    <x v="0"/>
    <n v="1"/>
    <n v="0"/>
    <n v="1"/>
    <x v="0"/>
    <x v="8"/>
    <x v="0"/>
    <n v="6"/>
    <x v="0"/>
    <x v="0"/>
    <n v="1"/>
    <x v="0"/>
    <x v="0"/>
    <n v="0.19993489148580967"/>
    <x v="2"/>
    <x v="0"/>
    <x v="5"/>
    <x v="7"/>
    <x v="7"/>
  </r>
  <r>
    <n v="10"/>
    <x v="0"/>
    <n v="1"/>
    <n v="0"/>
    <n v="1"/>
    <x v="0"/>
    <x v="9"/>
    <x v="0"/>
    <n v="6"/>
    <x v="0"/>
    <x v="0"/>
    <n v="1"/>
    <x v="0"/>
    <x v="3"/>
    <n v="0.34849999999999998"/>
    <x v="4"/>
    <x v="0"/>
    <x v="1"/>
    <x v="8"/>
    <x v="8"/>
  </r>
  <r>
    <n v="11"/>
    <x v="0"/>
    <n v="1"/>
    <n v="0"/>
    <n v="1"/>
    <x v="0"/>
    <x v="10"/>
    <x v="0"/>
    <n v="6"/>
    <x v="0"/>
    <x v="0"/>
    <n v="1"/>
    <x v="0"/>
    <x v="4"/>
    <n v="0.39389999999999997"/>
    <x v="4"/>
    <x v="2"/>
    <x v="6"/>
    <x v="9"/>
    <x v="9"/>
  </r>
  <r>
    <n v="12"/>
    <x v="0"/>
    <n v="1"/>
    <n v="0"/>
    <n v="1"/>
    <x v="0"/>
    <x v="11"/>
    <x v="0"/>
    <n v="6"/>
    <x v="0"/>
    <x v="0"/>
    <n v="1"/>
    <x v="0"/>
    <x v="5"/>
    <n v="0.33329999999999999"/>
    <x v="0"/>
    <x v="3"/>
    <x v="7"/>
    <x v="10"/>
    <x v="10"/>
  </r>
  <r>
    <n v="13"/>
    <x v="0"/>
    <n v="1"/>
    <n v="0"/>
    <n v="1"/>
    <x v="0"/>
    <x v="12"/>
    <x v="0"/>
    <n v="6"/>
    <x v="0"/>
    <x v="0"/>
    <n v="1"/>
    <x v="0"/>
    <x v="6"/>
    <n v="0.42420000000000002"/>
    <x v="5"/>
    <x v="3"/>
    <x v="8"/>
    <x v="11"/>
    <x v="11"/>
  </r>
  <r>
    <n v="14"/>
    <x v="0"/>
    <n v="1"/>
    <n v="0"/>
    <n v="1"/>
    <x v="0"/>
    <x v="13"/>
    <x v="0"/>
    <n v="6"/>
    <x v="0"/>
    <x v="0"/>
    <n v="2"/>
    <x v="1"/>
    <x v="7"/>
    <n v="0.45450000000000002"/>
    <x v="6"/>
    <x v="4"/>
    <x v="9"/>
    <x v="12"/>
    <x v="12"/>
  </r>
  <r>
    <n v="15"/>
    <x v="0"/>
    <n v="1"/>
    <n v="0"/>
    <n v="1"/>
    <x v="0"/>
    <x v="14"/>
    <x v="0"/>
    <n v="6"/>
    <x v="0"/>
    <x v="0"/>
    <n v="2"/>
    <x v="1"/>
    <x v="7"/>
    <n v="0.45450000000000002"/>
    <x v="6"/>
    <x v="3"/>
    <x v="10"/>
    <x v="13"/>
    <x v="13"/>
  </r>
  <r>
    <n v="16"/>
    <x v="0"/>
    <n v="1"/>
    <n v="0"/>
    <n v="1"/>
    <x v="0"/>
    <x v="15"/>
    <x v="0"/>
    <n v="6"/>
    <x v="0"/>
    <x v="0"/>
    <n v="2"/>
    <x v="1"/>
    <x v="8"/>
    <n v="0.43940000000000001"/>
    <x v="5"/>
    <x v="4"/>
    <x v="11"/>
    <x v="14"/>
    <x v="14"/>
  </r>
  <r>
    <n v="17"/>
    <x v="0"/>
    <n v="1"/>
    <n v="0"/>
    <n v="1"/>
    <x v="0"/>
    <x v="16"/>
    <x v="0"/>
    <n v="6"/>
    <x v="0"/>
    <x v="0"/>
    <n v="2"/>
    <x v="1"/>
    <x v="6"/>
    <n v="0.42420000000000002"/>
    <x v="7"/>
    <x v="4"/>
    <x v="12"/>
    <x v="15"/>
    <x v="15"/>
  </r>
  <r>
    <n v="18"/>
    <x v="0"/>
    <n v="1"/>
    <n v="0"/>
    <n v="1"/>
    <x v="0"/>
    <x v="17"/>
    <x v="0"/>
    <n v="6"/>
    <x v="0"/>
    <x v="0"/>
    <n v="2"/>
    <x v="1"/>
    <x v="8"/>
    <n v="0.19993489148580967"/>
    <x v="7"/>
    <x v="3"/>
    <x v="13"/>
    <x v="15"/>
    <x v="16"/>
  </r>
  <r>
    <n v="19"/>
    <x v="0"/>
    <n v="1"/>
    <n v="0"/>
    <n v="1"/>
    <x v="0"/>
    <x v="18"/>
    <x v="0"/>
    <n v="6"/>
    <x v="0"/>
    <x v="0"/>
    <n v="3"/>
    <x v="2"/>
    <x v="6"/>
    <n v="0.42420000000000002"/>
    <x v="8"/>
    <x v="2"/>
    <x v="14"/>
    <x v="16"/>
    <x v="17"/>
  </r>
  <r>
    <n v="20"/>
    <x v="0"/>
    <n v="1"/>
    <n v="0"/>
    <n v="1"/>
    <x v="0"/>
    <x v="19"/>
    <x v="0"/>
    <n v="6"/>
    <x v="0"/>
    <x v="0"/>
    <n v="3"/>
    <x v="2"/>
    <x v="6"/>
    <n v="0.42420000000000002"/>
    <x v="8"/>
    <x v="2"/>
    <x v="15"/>
    <x v="17"/>
    <x v="18"/>
  </r>
  <r>
    <n v="21"/>
    <x v="0"/>
    <n v="1"/>
    <n v="0"/>
    <n v="1"/>
    <x v="0"/>
    <x v="20"/>
    <x v="0"/>
    <n v="6"/>
    <x v="0"/>
    <x v="0"/>
    <n v="2"/>
    <x v="1"/>
    <x v="9"/>
    <n v="0.40910000000000002"/>
    <x v="9"/>
    <x v="2"/>
    <x v="16"/>
    <x v="18"/>
    <x v="9"/>
  </r>
  <r>
    <n v="22"/>
    <x v="0"/>
    <n v="1"/>
    <n v="0"/>
    <n v="1"/>
    <x v="0"/>
    <x v="21"/>
    <x v="0"/>
    <n v="6"/>
    <x v="0"/>
    <x v="0"/>
    <n v="2"/>
    <x v="1"/>
    <x v="9"/>
    <n v="0.40910000000000002"/>
    <x v="9"/>
    <x v="5"/>
    <x v="0"/>
    <x v="17"/>
    <x v="19"/>
  </r>
  <r>
    <n v="23"/>
    <x v="0"/>
    <n v="1"/>
    <n v="0"/>
    <n v="1"/>
    <x v="0"/>
    <x v="22"/>
    <x v="0"/>
    <n v="6"/>
    <x v="0"/>
    <x v="0"/>
    <n v="2"/>
    <x v="1"/>
    <x v="9"/>
    <n v="0.40910000000000002"/>
    <x v="10"/>
    <x v="6"/>
    <x v="16"/>
    <x v="19"/>
    <x v="20"/>
  </r>
  <r>
    <n v="24"/>
    <x v="0"/>
    <n v="1"/>
    <n v="0"/>
    <n v="1"/>
    <x v="0"/>
    <x v="23"/>
    <x v="0"/>
    <n v="6"/>
    <x v="0"/>
    <x v="0"/>
    <n v="2"/>
    <x v="1"/>
    <x v="7"/>
    <n v="0.19993489148580967"/>
    <x v="8"/>
    <x v="4"/>
    <x v="13"/>
    <x v="9"/>
    <x v="21"/>
  </r>
  <r>
    <n v="25"/>
    <x v="1"/>
    <n v="1"/>
    <n v="0"/>
    <n v="1"/>
    <x v="0"/>
    <x v="0"/>
    <x v="0"/>
    <n v="0"/>
    <x v="1"/>
    <x v="1"/>
    <n v="2"/>
    <x v="1"/>
    <x v="7"/>
    <n v="0.45450000000000002"/>
    <x v="8"/>
    <x v="4"/>
    <x v="17"/>
    <x v="0"/>
    <x v="22"/>
  </r>
  <r>
    <n v="26"/>
    <x v="1"/>
    <n v="1"/>
    <n v="0"/>
    <n v="1"/>
    <x v="0"/>
    <x v="1"/>
    <x v="0"/>
    <n v="0"/>
    <x v="1"/>
    <x v="1"/>
    <n v="2"/>
    <x v="1"/>
    <x v="8"/>
    <n v="0.43940000000000001"/>
    <x v="10"/>
    <x v="2"/>
    <x v="5"/>
    <x v="20"/>
    <x v="22"/>
  </r>
  <r>
    <n v="27"/>
    <x v="1"/>
    <n v="1"/>
    <n v="0"/>
    <n v="1"/>
    <x v="0"/>
    <x v="2"/>
    <x v="0"/>
    <n v="0"/>
    <x v="1"/>
    <x v="1"/>
    <n v="2"/>
    <x v="1"/>
    <x v="6"/>
    <n v="0.42420000000000002"/>
    <x v="11"/>
    <x v="3"/>
    <x v="5"/>
    <x v="21"/>
    <x v="23"/>
  </r>
  <r>
    <n v="28"/>
    <x v="1"/>
    <n v="1"/>
    <n v="0"/>
    <n v="1"/>
    <x v="0"/>
    <x v="3"/>
    <x v="0"/>
    <n v="0"/>
    <x v="1"/>
    <x v="1"/>
    <n v="2"/>
    <x v="1"/>
    <x v="7"/>
    <n v="0.45450000000000002"/>
    <x v="10"/>
    <x v="5"/>
    <x v="4"/>
    <x v="22"/>
    <x v="24"/>
  </r>
  <r>
    <n v="29"/>
    <x v="1"/>
    <n v="1"/>
    <n v="0"/>
    <n v="1"/>
    <x v="0"/>
    <x v="4"/>
    <x v="0"/>
    <n v="0"/>
    <x v="1"/>
    <x v="1"/>
    <n v="2"/>
    <x v="1"/>
    <x v="7"/>
    <n v="0.19993489148580967"/>
    <x v="10"/>
    <x v="5"/>
    <x v="4"/>
    <x v="4"/>
    <x v="6"/>
  </r>
  <r>
    <n v="30"/>
    <x v="1"/>
    <n v="1"/>
    <n v="0"/>
    <n v="1"/>
    <x v="0"/>
    <x v="6"/>
    <x v="0"/>
    <n v="0"/>
    <x v="1"/>
    <x v="1"/>
    <n v="3"/>
    <x v="2"/>
    <x v="6"/>
    <n v="0.42420000000000002"/>
    <x v="5"/>
    <x v="4"/>
    <x v="3"/>
    <x v="6"/>
    <x v="5"/>
  </r>
  <r>
    <n v="31"/>
    <x v="1"/>
    <n v="1"/>
    <n v="0"/>
    <n v="1"/>
    <x v="0"/>
    <x v="7"/>
    <x v="0"/>
    <n v="0"/>
    <x v="1"/>
    <x v="1"/>
    <n v="2"/>
    <x v="1"/>
    <x v="9"/>
    <n v="0.40910000000000002"/>
    <x v="4"/>
    <x v="5"/>
    <x v="3"/>
    <x v="4"/>
    <x v="4"/>
  </r>
  <r>
    <n v="32"/>
    <x v="1"/>
    <n v="1"/>
    <n v="0"/>
    <n v="1"/>
    <x v="0"/>
    <x v="8"/>
    <x v="0"/>
    <n v="0"/>
    <x v="1"/>
    <x v="1"/>
    <n v="3"/>
    <x v="2"/>
    <x v="9"/>
    <n v="0.40910000000000002"/>
    <x v="12"/>
    <x v="6"/>
    <x v="3"/>
    <x v="21"/>
    <x v="7"/>
  </r>
  <r>
    <n v="33"/>
    <x v="1"/>
    <n v="1"/>
    <n v="0"/>
    <n v="1"/>
    <x v="0"/>
    <x v="9"/>
    <x v="0"/>
    <n v="0"/>
    <x v="1"/>
    <x v="1"/>
    <n v="2"/>
    <x v="1"/>
    <x v="4"/>
    <n v="0.19993489148580967"/>
    <x v="4"/>
    <x v="6"/>
    <x v="5"/>
    <x v="23"/>
    <x v="25"/>
  </r>
  <r>
    <n v="34"/>
    <x v="1"/>
    <n v="1"/>
    <n v="0"/>
    <n v="1"/>
    <x v="0"/>
    <x v="10"/>
    <x v="0"/>
    <n v="0"/>
    <x v="1"/>
    <x v="1"/>
    <n v="2"/>
    <x v="1"/>
    <x v="5"/>
    <n v="0.34849999999999998"/>
    <x v="0"/>
    <x v="6"/>
    <x v="18"/>
    <x v="24"/>
    <x v="26"/>
  </r>
  <r>
    <n v="35"/>
    <x v="1"/>
    <n v="1"/>
    <n v="0"/>
    <n v="1"/>
    <x v="0"/>
    <x v="11"/>
    <x v="0"/>
    <n v="0"/>
    <x v="1"/>
    <x v="1"/>
    <n v="2"/>
    <x v="1"/>
    <x v="5"/>
    <n v="0.33329999999999999"/>
    <x v="12"/>
    <x v="2"/>
    <x v="19"/>
    <x v="25"/>
    <x v="27"/>
  </r>
  <r>
    <n v="36"/>
    <x v="1"/>
    <n v="1"/>
    <n v="0"/>
    <n v="1"/>
    <x v="0"/>
    <x v="12"/>
    <x v="0"/>
    <n v="0"/>
    <x v="1"/>
    <x v="1"/>
    <n v="2"/>
    <x v="1"/>
    <x v="5"/>
    <n v="0.33329999999999999"/>
    <x v="13"/>
    <x v="4"/>
    <x v="20"/>
    <x v="26"/>
    <x v="15"/>
  </r>
  <r>
    <n v="37"/>
    <x v="1"/>
    <n v="1"/>
    <n v="0"/>
    <n v="1"/>
    <x v="0"/>
    <x v="13"/>
    <x v="0"/>
    <n v="0"/>
    <x v="1"/>
    <x v="1"/>
    <n v="2"/>
    <x v="1"/>
    <x v="5"/>
    <n v="0.34849999999999998"/>
    <x v="13"/>
    <x v="7"/>
    <x v="16"/>
    <x v="27"/>
    <x v="28"/>
  </r>
  <r>
    <n v="38"/>
    <x v="1"/>
    <n v="1"/>
    <n v="0"/>
    <n v="1"/>
    <x v="0"/>
    <x v="14"/>
    <x v="0"/>
    <n v="0"/>
    <x v="1"/>
    <x v="1"/>
    <n v="3"/>
    <x v="2"/>
    <x v="5"/>
    <n v="0.19993489148580967"/>
    <x v="4"/>
    <x v="5"/>
    <x v="17"/>
    <x v="11"/>
    <x v="29"/>
  </r>
  <r>
    <n v="39"/>
    <x v="1"/>
    <n v="1"/>
    <n v="0"/>
    <n v="1"/>
    <x v="0"/>
    <x v="15"/>
    <x v="0"/>
    <n v="0"/>
    <x v="1"/>
    <x v="1"/>
    <n v="3"/>
    <x v="2"/>
    <x v="10"/>
    <n v="0.33329999999999999"/>
    <x v="0"/>
    <x v="8"/>
    <x v="21"/>
    <x v="11"/>
    <x v="30"/>
  </r>
  <r>
    <n v="40"/>
    <x v="1"/>
    <n v="1"/>
    <n v="0"/>
    <n v="1"/>
    <x v="0"/>
    <x v="16"/>
    <x v="0"/>
    <n v="0"/>
    <x v="1"/>
    <x v="1"/>
    <n v="3"/>
    <x v="2"/>
    <x v="10"/>
    <n v="0.33329999999999999"/>
    <x v="12"/>
    <x v="8"/>
    <x v="14"/>
    <x v="28"/>
    <x v="31"/>
  </r>
  <r>
    <n v="41"/>
    <x v="1"/>
    <n v="1"/>
    <n v="0"/>
    <n v="1"/>
    <x v="0"/>
    <x v="17"/>
    <x v="0"/>
    <n v="0"/>
    <x v="1"/>
    <x v="1"/>
    <n v="1"/>
    <x v="0"/>
    <x v="10"/>
    <n v="0.33329999999999999"/>
    <x v="14"/>
    <x v="5"/>
    <x v="18"/>
    <x v="29"/>
    <x v="32"/>
  </r>
  <r>
    <n v="42"/>
    <x v="1"/>
    <n v="1"/>
    <n v="0"/>
    <n v="1"/>
    <x v="0"/>
    <x v="18"/>
    <x v="0"/>
    <n v="0"/>
    <x v="1"/>
    <x v="1"/>
    <n v="2"/>
    <x v="1"/>
    <x v="5"/>
    <n v="0.33329999999999999"/>
    <x v="15"/>
    <x v="9"/>
    <x v="22"/>
    <x v="30"/>
    <x v="26"/>
  </r>
  <r>
    <n v="43"/>
    <x v="1"/>
    <n v="1"/>
    <n v="0"/>
    <n v="1"/>
    <x v="0"/>
    <x v="19"/>
    <x v="0"/>
    <n v="0"/>
    <x v="1"/>
    <x v="1"/>
    <n v="1"/>
    <x v="0"/>
    <x v="3"/>
    <n v="0.28789999999999999"/>
    <x v="16"/>
    <x v="10"/>
    <x v="5"/>
    <x v="31"/>
    <x v="33"/>
  </r>
  <r>
    <n v="44"/>
    <x v="1"/>
    <n v="1"/>
    <n v="0"/>
    <n v="1"/>
    <x v="0"/>
    <x v="20"/>
    <x v="0"/>
    <n v="0"/>
    <x v="1"/>
    <x v="1"/>
    <n v="1"/>
    <x v="0"/>
    <x v="11"/>
    <n v="0.19993489148580967"/>
    <x v="17"/>
    <x v="11"/>
    <x v="2"/>
    <x v="19"/>
    <x v="34"/>
  </r>
  <r>
    <n v="45"/>
    <x v="1"/>
    <n v="1"/>
    <n v="0"/>
    <n v="1"/>
    <x v="0"/>
    <x v="21"/>
    <x v="0"/>
    <n v="0"/>
    <x v="1"/>
    <x v="1"/>
    <n v="1"/>
    <x v="0"/>
    <x v="12"/>
    <n v="0.2273"/>
    <x v="18"/>
    <x v="9"/>
    <x v="16"/>
    <x v="32"/>
    <x v="35"/>
  </r>
  <r>
    <n v="46"/>
    <x v="1"/>
    <n v="1"/>
    <n v="0"/>
    <n v="1"/>
    <x v="0"/>
    <x v="22"/>
    <x v="0"/>
    <n v="0"/>
    <x v="1"/>
    <x v="1"/>
    <n v="1"/>
    <x v="0"/>
    <x v="0"/>
    <n v="0.21210000000000001"/>
    <x v="18"/>
    <x v="4"/>
    <x v="3"/>
    <x v="33"/>
    <x v="23"/>
  </r>
  <r>
    <n v="47"/>
    <x v="1"/>
    <n v="1"/>
    <n v="0"/>
    <n v="1"/>
    <x v="0"/>
    <x v="23"/>
    <x v="0"/>
    <n v="0"/>
    <x v="1"/>
    <x v="1"/>
    <n v="1"/>
    <x v="0"/>
    <x v="1"/>
    <n v="0.2273"/>
    <x v="19"/>
    <x v="8"/>
    <x v="3"/>
    <x v="21"/>
    <x v="7"/>
  </r>
  <r>
    <n v="48"/>
    <x v="2"/>
    <n v="1"/>
    <n v="0"/>
    <n v="1"/>
    <x v="0"/>
    <x v="0"/>
    <x v="0"/>
    <n v="1"/>
    <x v="2"/>
    <x v="1"/>
    <n v="1"/>
    <x v="0"/>
    <x v="1"/>
    <n v="0.19700000000000001"/>
    <x v="18"/>
    <x v="11"/>
    <x v="3"/>
    <x v="34"/>
    <x v="36"/>
  </r>
  <r>
    <n v="49"/>
    <x v="2"/>
    <n v="1"/>
    <n v="0"/>
    <n v="1"/>
    <x v="0"/>
    <x v="1"/>
    <x v="0"/>
    <n v="1"/>
    <x v="2"/>
    <x v="1"/>
    <n v="1"/>
    <x v="0"/>
    <x v="2"/>
    <n v="0.19993489148580967"/>
    <x v="18"/>
    <x v="12"/>
    <x v="3"/>
    <x v="6"/>
    <x v="5"/>
  </r>
  <r>
    <n v="50"/>
    <x v="2"/>
    <n v="1"/>
    <n v="0"/>
    <n v="1"/>
    <x v="0"/>
    <x v="4"/>
    <x v="0"/>
    <n v="1"/>
    <x v="2"/>
    <x v="1"/>
    <n v="1"/>
    <x v="0"/>
    <x v="13"/>
    <n v="0.13639999999999999"/>
    <x v="19"/>
    <x v="13"/>
    <x v="3"/>
    <x v="4"/>
    <x v="4"/>
  </r>
  <r>
    <n v="51"/>
    <x v="2"/>
    <n v="1"/>
    <n v="0"/>
    <n v="1"/>
    <x v="0"/>
    <x v="5"/>
    <x v="0"/>
    <n v="1"/>
    <x v="2"/>
    <x v="1"/>
    <n v="1"/>
    <x v="0"/>
    <x v="13"/>
    <n v="0.13639999999999999"/>
    <x v="19"/>
    <x v="3"/>
    <x v="3"/>
    <x v="35"/>
    <x v="6"/>
  </r>
  <r>
    <n v="52"/>
    <x v="2"/>
    <n v="1"/>
    <n v="0"/>
    <n v="1"/>
    <x v="0"/>
    <x v="6"/>
    <x v="0"/>
    <n v="1"/>
    <x v="2"/>
    <x v="1"/>
    <n v="1"/>
    <x v="0"/>
    <x v="14"/>
    <n v="0.1061"/>
    <x v="20"/>
    <x v="13"/>
    <x v="3"/>
    <x v="10"/>
    <x v="33"/>
  </r>
  <r>
    <n v="53"/>
    <x v="2"/>
    <n v="1"/>
    <n v="0"/>
    <n v="1"/>
    <x v="0"/>
    <x v="7"/>
    <x v="0"/>
    <n v="1"/>
    <x v="2"/>
    <x v="1"/>
    <n v="1"/>
    <x v="0"/>
    <x v="14"/>
    <n v="0.13639999999999999"/>
    <x v="20"/>
    <x v="5"/>
    <x v="5"/>
    <x v="36"/>
    <x v="37"/>
  </r>
  <r>
    <n v="54"/>
    <x v="2"/>
    <n v="1"/>
    <n v="0"/>
    <n v="1"/>
    <x v="0"/>
    <x v="8"/>
    <x v="0"/>
    <n v="1"/>
    <x v="2"/>
    <x v="1"/>
    <n v="1"/>
    <x v="0"/>
    <x v="14"/>
    <n v="0.1212"/>
    <x v="20"/>
    <x v="3"/>
    <x v="5"/>
    <x v="37"/>
    <x v="38"/>
  </r>
  <r>
    <n v="55"/>
    <x v="2"/>
    <n v="1"/>
    <n v="0"/>
    <n v="1"/>
    <x v="0"/>
    <x v="9"/>
    <x v="0"/>
    <n v="1"/>
    <x v="2"/>
    <x v="1"/>
    <n v="1"/>
    <x v="0"/>
    <x v="13"/>
    <n v="0.13639999999999999"/>
    <x v="21"/>
    <x v="13"/>
    <x v="18"/>
    <x v="38"/>
    <x v="39"/>
  </r>
  <r>
    <n v="56"/>
    <x v="2"/>
    <n v="1"/>
    <n v="0"/>
    <n v="1"/>
    <x v="0"/>
    <x v="10"/>
    <x v="0"/>
    <n v="1"/>
    <x v="2"/>
    <x v="1"/>
    <n v="1"/>
    <x v="0"/>
    <x v="15"/>
    <n v="0.16669999999999999"/>
    <x v="21"/>
    <x v="2"/>
    <x v="16"/>
    <x v="39"/>
    <x v="40"/>
  </r>
  <r>
    <n v="57"/>
    <x v="2"/>
    <n v="1"/>
    <n v="0"/>
    <n v="1"/>
    <x v="0"/>
    <x v="11"/>
    <x v="0"/>
    <n v="1"/>
    <x v="2"/>
    <x v="1"/>
    <n v="1"/>
    <x v="0"/>
    <x v="2"/>
    <n v="0.18179999999999999"/>
    <x v="22"/>
    <x v="9"/>
    <x v="22"/>
    <x v="40"/>
    <x v="41"/>
  </r>
  <r>
    <n v="58"/>
    <x v="2"/>
    <n v="1"/>
    <n v="0"/>
    <n v="1"/>
    <x v="0"/>
    <x v="12"/>
    <x v="0"/>
    <n v="1"/>
    <x v="2"/>
    <x v="1"/>
    <n v="1"/>
    <x v="0"/>
    <x v="1"/>
    <n v="0.21210000000000001"/>
    <x v="23"/>
    <x v="4"/>
    <x v="23"/>
    <x v="41"/>
    <x v="42"/>
  </r>
  <r>
    <n v="59"/>
    <x v="2"/>
    <n v="1"/>
    <n v="0"/>
    <n v="1"/>
    <x v="0"/>
    <x v="13"/>
    <x v="0"/>
    <n v="1"/>
    <x v="2"/>
    <x v="1"/>
    <n v="1"/>
    <x v="0"/>
    <x v="0"/>
    <n v="0.19993489148580967"/>
    <x v="23"/>
    <x v="3"/>
    <x v="1"/>
    <x v="42"/>
    <x v="42"/>
  </r>
  <r>
    <n v="60"/>
    <x v="2"/>
    <n v="1"/>
    <n v="0"/>
    <n v="1"/>
    <x v="0"/>
    <x v="14"/>
    <x v="0"/>
    <n v="1"/>
    <x v="2"/>
    <x v="1"/>
    <n v="1"/>
    <x v="0"/>
    <x v="12"/>
    <n v="0.2424"/>
    <x v="24"/>
    <x v="3"/>
    <x v="16"/>
    <x v="43"/>
    <x v="43"/>
  </r>
  <r>
    <n v="61"/>
    <x v="2"/>
    <n v="1"/>
    <n v="0"/>
    <n v="1"/>
    <x v="0"/>
    <x v="15"/>
    <x v="0"/>
    <n v="1"/>
    <x v="2"/>
    <x v="1"/>
    <n v="1"/>
    <x v="0"/>
    <x v="12"/>
    <n v="0.2424"/>
    <x v="24"/>
    <x v="2"/>
    <x v="24"/>
    <x v="29"/>
    <x v="44"/>
  </r>
  <r>
    <n v="62"/>
    <x v="2"/>
    <n v="1"/>
    <n v="0"/>
    <n v="1"/>
    <x v="0"/>
    <x v="16"/>
    <x v="0"/>
    <n v="1"/>
    <x v="2"/>
    <x v="1"/>
    <n v="1"/>
    <x v="0"/>
    <x v="12"/>
    <n v="0.2424"/>
    <x v="24"/>
    <x v="2"/>
    <x v="14"/>
    <x v="28"/>
    <x v="31"/>
  </r>
  <r>
    <n v="63"/>
    <x v="2"/>
    <n v="1"/>
    <n v="0"/>
    <n v="1"/>
    <x v="0"/>
    <x v="17"/>
    <x v="0"/>
    <n v="1"/>
    <x v="2"/>
    <x v="1"/>
    <n v="1"/>
    <x v="0"/>
    <x v="0"/>
    <n v="0.2273"/>
    <x v="24"/>
    <x v="6"/>
    <x v="16"/>
    <x v="44"/>
    <x v="45"/>
  </r>
  <r>
    <n v="64"/>
    <x v="2"/>
    <n v="1"/>
    <n v="0"/>
    <n v="1"/>
    <x v="0"/>
    <x v="18"/>
    <x v="0"/>
    <n v="1"/>
    <x v="2"/>
    <x v="1"/>
    <n v="1"/>
    <x v="0"/>
    <x v="0"/>
    <n v="0.2576"/>
    <x v="25"/>
    <x v="14"/>
    <x v="14"/>
    <x v="45"/>
    <x v="45"/>
  </r>
  <r>
    <n v="65"/>
    <x v="2"/>
    <n v="1"/>
    <n v="0"/>
    <n v="1"/>
    <x v="0"/>
    <x v="19"/>
    <x v="0"/>
    <n v="1"/>
    <x v="2"/>
    <x v="1"/>
    <n v="1"/>
    <x v="0"/>
    <x v="2"/>
    <n v="0.2576"/>
    <x v="19"/>
    <x v="0"/>
    <x v="1"/>
    <x v="46"/>
    <x v="14"/>
  </r>
  <r>
    <n v="66"/>
    <x v="2"/>
    <n v="1"/>
    <n v="0"/>
    <n v="1"/>
    <x v="0"/>
    <x v="20"/>
    <x v="0"/>
    <n v="1"/>
    <x v="2"/>
    <x v="1"/>
    <n v="1"/>
    <x v="0"/>
    <x v="2"/>
    <n v="0.19993489148580967"/>
    <x v="19"/>
    <x v="14"/>
    <x v="0"/>
    <x v="47"/>
    <x v="46"/>
  </r>
  <r>
    <n v="67"/>
    <x v="2"/>
    <n v="1"/>
    <n v="0"/>
    <n v="1"/>
    <x v="0"/>
    <x v="21"/>
    <x v="0"/>
    <n v="1"/>
    <x v="2"/>
    <x v="1"/>
    <n v="1"/>
    <x v="0"/>
    <x v="15"/>
    <n v="0.19700000000000001"/>
    <x v="26"/>
    <x v="7"/>
    <x v="0"/>
    <x v="47"/>
    <x v="46"/>
  </r>
  <r>
    <n v="68"/>
    <x v="2"/>
    <n v="1"/>
    <n v="0"/>
    <n v="1"/>
    <x v="0"/>
    <x v="22"/>
    <x v="0"/>
    <n v="1"/>
    <x v="2"/>
    <x v="1"/>
    <n v="1"/>
    <x v="0"/>
    <x v="14"/>
    <n v="0.1515"/>
    <x v="27"/>
    <x v="7"/>
    <x v="3"/>
    <x v="32"/>
    <x v="25"/>
  </r>
  <r>
    <n v="69"/>
    <x v="2"/>
    <n v="1"/>
    <n v="0"/>
    <n v="1"/>
    <x v="0"/>
    <x v="23"/>
    <x v="0"/>
    <n v="1"/>
    <x v="2"/>
    <x v="1"/>
    <n v="1"/>
    <x v="0"/>
    <x v="15"/>
    <n v="0.21210000000000001"/>
    <x v="28"/>
    <x v="14"/>
    <x v="5"/>
    <x v="48"/>
    <x v="47"/>
  </r>
  <r>
    <n v="70"/>
    <x v="3"/>
    <n v="1"/>
    <n v="0"/>
    <n v="1"/>
    <x v="0"/>
    <x v="0"/>
    <x v="0"/>
    <n v="2"/>
    <x v="3"/>
    <x v="0"/>
    <n v="1"/>
    <x v="0"/>
    <x v="13"/>
    <n v="0.19993489148580967"/>
    <x v="28"/>
    <x v="14"/>
    <x v="3"/>
    <x v="34"/>
    <x v="36"/>
  </r>
  <r>
    <n v="71"/>
    <x v="3"/>
    <n v="1"/>
    <n v="0"/>
    <n v="1"/>
    <x v="0"/>
    <x v="1"/>
    <x v="0"/>
    <n v="2"/>
    <x v="3"/>
    <x v="0"/>
    <n v="1"/>
    <x v="0"/>
    <x v="13"/>
    <n v="0.18179999999999999"/>
    <x v="29"/>
    <x v="14"/>
    <x v="3"/>
    <x v="6"/>
    <x v="5"/>
  </r>
  <r>
    <n v="72"/>
    <x v="3"/>
    <n v="1"/>
    <n v="0"/>
    <n v="1"/>
    <x v="0"/>
    <x v="2"/>
    <x v="0"/>
    <n v="2"/>
    <x v="3"/>
    <x v="0"/>
    <n v="1"/>
    <x v="0"/>
    <x v="14"/>
    <n v="0.1515"/>
    <x v="30"/>
    <x v="7"/>
    <x v="3"/>
    <x v="4"/>
    <x v="4"/>
  </r>
  <r>
    <n v="73"/>
    <x v="3"/>
    <n v="1"/>
    <n v="0"/>
    <n v="1"/>
    <x v="0"/>
    <x v="4"/>
    <x v="0"/>
    <n v="2"/>
    <x v="3"/>
    <x v="0"/>
    <n v="1"/>
    <x v="0"/>
    <x v="14"/>
    <n v="0.18179999999999999"/>
    <x v="30"/>
    <x v="1"/>
    <x v="3"/>
    <x v="6"/>
    <x v="5"/>
  </r>
  <r>
    <n v="74"/>
    <x v="3"/>
    <n v="1"/>
    <n v="0"/>
    <n v="1"/>
    <x v="0"/>
    <x v="5"/>
    <x v="0"/>
    <n v="2"/>
    <x v="3"/>
    <x v="0"/>
    <n v="1"/>
    <x v="0"/>
    <x v="16"/>
    <n v="0.1515"/>
    <x v="31"/>
    <x v="14"/>
    <x v="3"/>
    <x v="22"/>
    <x v="48"/>
  </r>
  <r>
    <n v="75"/>
    <x v="3"/>
    <n v="1"/>
    <n v="0"/>
    <n v="1"/>
    <x v="0"/>
    <x v="6"/>
    <x v="0"/>
    <n v="2"/>
    <x v="3"/>
    <x v="0"/>
    <n v="1"/>
    <x v="0"/>
    <x v="16"/>
    <n v="0.1515"/>
    <x v="32"/>
    <x v="14"/>
    <x v="3"/>
    <x v="49"/>
    <x v="9"/>
  </r>
  <r>
    <n v="76"/>
    <x v="3"/>
    <n v="1"/>
    <n v="0"/>
    <n v="1"/>
    <x v="0"/>
    <x v="7"/>
    <x v="0"/>
    <n v="2"/>
    <x v="3"/>
    <x v="0"/>
    <n v="1"/>
    <x v="0"/>
    <x v="16"/>
    <n v="0.1515"/>
    <x v="32"/>
    <x v="7"/>
    <x v="4"/>
    <x v="50"/>
    <x v="12"/>
  </r>
  <r>
    <n v="77"/>
    <x v="3"/>
    <n v="1"/>
    <n v="0"/>
    <n v="1"/>
    <x v="0"/>
    <x v="8"/>
    <x v="0"/>
    <n v="2"/>
    <x v="3"/>
    <x v="0"/>
    <n v="1"/>
    <x v="0"/>
    <x v="14"/>
    <n v="0.1515"/>
    <x v="27"/>
    <x v="8"/>
    <x v="4"/>
    <x v="51"/>
    <x v="49"/>
  </r>
  <r>
    <n v="78"/>
    <x v="3"/>
    <n v="1"/>
    <n v="0"/>
    <n v="1"/>
    <x v="0"/>
    <x v="9"/>
    <x v="0"/>
    <n v="2"/>
    <x v="3"/>
    <x v="0"/>
    <n v="1"/>
    <x v="0"/>
    <x v="13"/>
    <n v="0.1515"/>
    <x v="26"/>
    <x v="6"/>
    <x v="4"/>
    <x v="52"/>
    <x v="50"/>
  </r>
  <r>
    <n v="79"/>
    <x v="3"/>
    <n v="1"/>
    <n v="0"/>
    <n v="1"/>
    <x v="0"/>
    <x v="10"/>
    <x v="0"/>
    <n v="2"/>
    <x v="3"/>
    <x v="0"/>
    <n v="2"/>
    <x v="1"/>
    <x v="13"/>
    <n v="0.13639999999999999"/>
    <x v="27"/>
    <x v="9"/>
    <x v="2"/>
    <x v="53"/>
    <x v="51"/>
  </r>
  <r>
    <n v="80"/>
    <x v="3"/>
    <n v="1"/>
    <n v="0"/>
    <n v="1"/>
    <x v="0"/>
    <x v="11"/>
    <x v="0"/>
    <n v="2"/>
    <x v="3"/>
    <x v="0"/>
    <n v="1"/>
    <x v="0"/>
    <x v="1"/>
    <n v="0.21210000000000001"/>
    <x v="33"/>
    <x v="4"/>
    <x v="18"/>
    <x v="54"/>
    <x v="52"/>
  </r>
  <r>
    <n v="81"/>
    <x v="3"/>
    <n v="1"/>
    <n v="0"/>
    <n v="1"/>
    <x v="0"/>
    <x v="12"/>
    <x v="0"/>
    <n v="2"/>
    <x v="3"/>
    <x v="0"/>
    <n v="1"/>
    <x v="0"/>
    <x v="1"/>
    <n v="0.2273"/>
    <x v="33"/>
    <x v="8"/>
    <x v="6"/>
    <x v="43"/>
    <x v="53"/>
  </r>
  <r>
    <n v="82"/>
    <x v="3"/>
    <n v="1"/>
    <n v="0"/>
    <n v="1"/>
    <x v="0"/>
    <x v="13"/>
    <x v="0"/>
    <n v="2"/>
    <x v="3"/>
    <x v="0"/>
    <n v="1"/>
    <x v="0"/>
    <x v="0"/>
    <n v="0.2273"/>
    <x v="34"/>
    <x v="5"/>
    <x v="25"/>
    <x v="55"/>
    <x v="54"/>
  </r>
  <r>
    <n v="83"/>
    <x v="3"/>
    <n v="1"/>
    <n v="0"/>
    <n v="1"/>
    <x v="0"/>
    <x v="14"/>
    <x v="0"/>
    <n v="2"/>
    <x v="3"/>
    <x v="0"/>
    <n v="1"/>
    <x v="0"/>
    <x v="12"/>
    <n v="0.2576"/>
    <x v="35"/>
    <x v="6"/>
    <x v="14"/>
    <x v="25"/>
    <x v="55"/>
  </r>
  <r>
    <n v="84"/>
    <x v="3"/>
    <n v="1"/>
    <n v="0"/>
    <n v="1"/>
    <x v="0"/>
    <x v="15"/>
    <x v="0"/>
    <n v="2"/>
    <x v="3"/>
    <x v="0"/>
    <n v="1"/>
    <x v="0"/>
    <x v="17"/>
    <n v="0.2727"/>
    <x v="35"/>
    <x v="2"/>
    <x v="26"/>
    <x v="41"/>
    <x v="32"/>
  </r>
  <r>
    <n v="85"/>
    <x v="3"/>
    <n v="1"/>
    <n v="0"/>
    <n v="1"/>
    <x v="0"/>
    <x v="16"/>
    <x v="0"/>
    <n v="2"/>
    <x v="3"/>
    <x v="0"/>
    <n v="1"/>
    <x v="0"/>
    <x v="11"/>
    <n v="0.28789999999999999"/>
    <x v="36"/>
    <x v="2"/>
    <x v="13"/>
    <x v="56"/>
    <x v="56"/>
  </r>
  <r>
    <n v="86"/>
    <x v="3"/>
    <n v="1"/>
    <n v="0"/>
    <n v="1"/>
    <x v="0"/>
    <x v="17"/>
    <x v="0"/>
    <n v="2"/>
    <x v="3"/>
    <x v="0"/>
    <n v="1"/>
    <x v="0"/>
    <x v="17"/>
    <n v="0.2727"/>
    <x v="37"/>
    <x v="6"/>
    <x v="22"/>
    <x v="57"/>
    <x v="57"/>
  </r>
  <r>
    <n v="87"/>
    <x v="3"/>
    <n v="1"/>
    <n v="0"/>
    <n v="1"/>
    <x v="0"/>
    <x v="18"/>
    <x v="0"/>
    <n v="2"/>
    <x v="3"/>
    <x v="0"/>
    <n v="1"/>
    <x v="0"/>
    <x v="12"/>
    <n v="0.2576"/>
    <x v="37"/>
    <x v="5"/>
    <x v="0"/>
    <x v="58"/>
    <x v="58"/>
  </r>
  <r>
    <n v="88"/>
    <x v="3"/>
    <n v="1"/>
    <n v="0"/>
    <n v="1"/>
    <x v="0"/>
    <x v="19"/>
    <x v="0"/>
    <n v="2"/>
    <x v="3"/>
    <x v="0"/>
    <n v="1"/>
    <x v="0"/>
    <x v="0"/>
    <n v="0.2576"/>
    <x v="37"/>
    <x v="14"/>
    <x v="4"/>
    <x v="59"/>
    <x v="59"/>
  </r>
  <r>
    <n v="89"/>
    <x v="3"/>
    <n v="1"/>
    <n v="0"/>
    <n v="1"/>
    <x v="0"/>
    <x v="20"/>
    <x v="0"/>
    <n v="2"/>
    <x v="3"/>
    <x v="0"/>
    <n v="1"/>
    <x v="0"/>
    <x v="0"/>
    <n v="0.2576"/>
    <x v="37"/>
    <x v="14"/>
    <x v="5"/>
    <x v="42"/>
    <x v="60"/>
  </r>
  <r>
    <n v="90"/>
    <x v="3"/>
    <n v="1"/>
    <n v="0"/>
    <n v="1"/>
    <x v="0"/>
    <x v="21"/>
    <x v="0"/>
    <n v="2"/>
    <x v="3"/>
    <x v="0"/>
    <n v="1"/>
    <x v="0"/>
    <x v="1"/>
    <n v="0.2727"/>
    <x v="26"/>
    <x v="0"/>
    <x v="3"/>
    <x v="41"/>
    <x v="61"/>
  </r>
  <r>
    <n v="91"/>
    <x v="3"/>
    <n v="1"/>
    <n v="0"/>
    <n v="1"/>
    <x v="0"/>
    <x v="22"/>
    <x v="0"/>
    <n v="2"/>
    <x v="3"/>
    <x v="0"/>
    <n v="1"/>
    <x v="0"/>
    <x v="1"/>
    <n v="0.2576"/>
    <x v="26"/>
    <x v="1"/>
    <x v="5"/>
    <x v="60"/>
    <x v="17"/>
  </r>
  <r>
    <n v="92"/>
    <x v="3"/>
    <n v="1"/>
    <n v="0"/>
    <n v="1"/>
    <x v="0"/>
    <x v="23"/>
    <x v="0"/>
    <n v="2"/>
    <x v="3"/>
    <x v="0"/>
    <n v="1"/>
    <x v="0"/>
    <x v="2"/>
    <n v="0.2273"/>
    <x v="27"/>
    <x v="1"/>
    <x v="4"/>
    <x v="33"/>
    <x v="62"/>
  </r>
  <r>
    <n v="93"/>
    <x v="4"/>
    <n v="1"/>
    <n v="0"/>
    <n v="1"/>
    <x v="0"/>
    <x v="0"/>
    <x v="0"/>
    <n v="3"/>
    <x v="4"/>
    <x v="0"/>
    <n v="1"/>
    <x v="0"/>
    <x v="2"/>
    <n v="0.2576"/>
    <x v="26"/>
    <x v="0"/>
    <x v="3"/>
    <x v="8"/>
    <x v="24"/>
  </r>
  <r>
    <n v="94"/>
    <x v="4"/>
    <n v="1"/>
    <n v="0"/>
    <n v="1"/>
    <x v="0"/>
    <x v="1"/>
    <x v="0"/>
    <n v="3"/>
    <x v="4"/>
    <x v="0"/>
    <n v="1"/>
    <x v="0"/>
    <x v="13"/>
    <n v="0.19700000000000001"/>
    <x v="32"/>
    <x v="1"/>
    <x v="3"/>
    <x v="8"/>
    <x v="24"/>
  </r>
  <r>
    <n v="95"/>
    <x v="4"/>
    <n v="1"/>
    <n v="0"/>
    <n v="1"/>
    <x v="0"/>
    <x v="2"/>
    <x v="0"/>
    <n v="3"/>
    <x v="4"/>
    <x v="0"/>
    <n v="1"/>
    <x v="0"/>
    <x v="13"/>
    <n v="0.19700000000000001"/>
    <x v="32"/>
    <x v="1"/>
    <x v="3"/>
    <x v="6"/>
    <x v="5"/>
  </r>
  <r>
    <n v="96"/>
    <x v="4"/>
    <n v="1"/>
    <n v="0"/>
    <n v="1"/>
    <x v="0"/>
    <x v="4"/>
    <x v="0"/>
    <n v="3"/>
    <x v="4"/>
    <x v="0"/>
    <n v="1"/>
    <x v="0"/>
    <x v="0"/>
    <n v="0.2273"/>
    <x v="37"/>
    <x v="6"/>
    <x v="3"/>
    <x v="6"/>
    <x v="5"/>
  </r>
  <r>
    <n v="97"/>
    <x v="4"/>
    <n v="1"/>
    <n v="0"/>
    <n v="1"/>
    <x v="0"/>
    <x v="5"/>
    <x v="0"/>
    <n v="3"/>
    <x v="4"/>
    <x v="0"/>
    <n v="1"/>
    <x v="0"/>
    <x v="1"/>
    <n v="0.2273"/>
    <x v="19"/>
    <x v="8"/>
    <x v="3"/>
    <x v="35"/>
    <x v="6"/>
  </r>
  <r>
    <n v="98"/>
    <x v="4"/>
    <n v="1"/>
    <n v="0"/>
    <n v="1"/>
    <x v="0"/>
    <x v="6"/>
    <x v="0"/>
    <n v="3"/>
    <x v="4"/>
    <x v="0"/>
    <n v="1"/>
    <x v="0"/>
    <x v="2"/>
    <n v="0.19700000000000001"/>
    <x v="19"/>
    <x v="6"/>
    <x v="3"/>
    <x v="39"/>
    <x v="63"/>
  </r>
  <r>
    <n v="99"/>
    <x v="4"/>
    <n v="1"/>
    <n v="0"/>
    <n v="1"/>
    <x v="0"/>
    <x v="7"/>
    <x v="0"/>
    <n v="3"/>
    <x v="4"/>
    <x v="0"/>
    <n v="1"/>
    <x v="0"/>
    <x v="15"/>
    <n v="0.18179999999999999"/>
    <x v="21"/>
    <x v="5"/>
    <x v="5"/>
    <x v="61"/>
    <x v="39"/>
  </r>
  <r>
    <n v="100"/>
    <x v="4"/>
    <n v="1"/>
    <n v="0"/>
    <n v="1"/>
    <x v="0"/>
    <x v="8"/>
    <x v="0"/>
    <n v="3"/>
    <x v="4"/>
    <x v="0"/>
    <n v="1"/>
    <x v="0"/>
    <x v="2"/>
    <n v="0.18179999999999999"/>
    <x v="22"/>
    <x v="4"/>
    <x v="0"/>
    <x v="62"/>
    <x v="64"/>
  </r>
  <r>
    <n v="101"/>
    <x v="4"/>
    <n v="1"/>
    <n v="0"/>
    <n v="1"/>
    <x v="0"/>
    <x v="9"/>
    <x v="0"/>
    <n v="3"/>
    <x v="4"/>
    <x v="0"/>
    <n v="1"/>
    <x v="0"/>
    <x v="1"/>
    <n v="0.19700000000000001"/>
    <x v="38"/>
    <x v="9"/>
    <x v="15"/>
    <x v="63"/>
    <x v="65"/>
  </r>
  <r>
    <n v="102"/>
    <x v="4"/>
    <n v="1"/>
    <n v="0"/>
    <n v="1"/>
    <x v="0"/>
    <x v="10"/>
    <x v="0"/>
    <n v="3"/>
    <x v="4"/>
    <x v="0"/>
    <n v="1"/>
    <x v="0"/>
    <x v="1"/>
    <n v="0.19700000000000001"/>
    <x v="38"/>
    <x v="9"/>
    <x v="17"/>
    <x v="42"/>
    <x v="52"/>
  </r>
  <r>
    <n v="103"/>
    <x v="4"/>
    <n v="1"/>
    <n v="0"/>
    <n v="1"/>
    <x v="0"/>
    <x v="11"/>
    <x v="0"/>
    <n v="3"/>
    <x v="4"/>
    <x v="0"/>
    <n v="1"/>
    <x v="0"/>
    <x v="12"/>
    <n v="0.2273"/>
    <x v="39"/>
    <x v="9"/>
    <x v="6"/>
    <x v="60"/>
    <x v="66"/>
  </r>
  <r>
    <n v="104"/>
    <x v="4"/>
    <n v="1"/>
    <n v="0"/>
    <n v="1"/>
    <x v="0"/>
    <x v="12"/>
    <x v="0"/>
    <n v="3"/>
    <x v="4"/>
    <x v="0"/>
    <n v="1"/>
    <x v="0"/>
    <x v="12"/>
    <n v="0.2273"/>
    <x v="39"/>
    <x v="9"/>
    <x v="2"/>
    <x v="64"/>
    <x v="67"/>
  </r>
  <r>
    <n v="105"/>
    <x v="4"/>
    <n v="1"/>
    <n v="0"/>
    <n v="1"/>
    <x v="0"/>
    <x v="13"/>
    <x v="0"/>
    <n v="3"/>
    <x v="4"/>
    <x v="0"/>
    <n v="1"/>
    <x v="0"/>
    <x v="17"/>
    <n v="0.2576"/>
    <x v="24"/>
    <x v="4"/>
    <x v="15"/>
    <x v="65"/>
    <x v="68"/>
  </r>
  <r>
    <n v="106"/>
    <x v="4"/>
    <n v="1"/>
    <n v="0"/>
    <n v="1"/>
    <x v="0"/>
    <x v="14"/>
    <x v="0"/>
    <n v="3"/>
    <x v="4"/>
    <x v="0"/>
    <n v="1"/>
    <x v="0"/>
    <x v="11"/>
    <n v="0.28789999999999999"/>
    <x v="40"/>
    <x v="5"/>
    <x v="22"/>
    <x v="15"/>
    <x v="69"/>
  </r>
  <r>
    <n v="107"/>
    <x v="4"/>
    <n v="1"/>
    <n v="0"/>
    <n v="1"/>
    <x v="0"/>
    <x v="15"/>
    <x v="0"/>
    <n v="3"/>
    <x v="4"/>
    <x v="0"/>
    <n v="1"/>
    <x v="0"/>
    <x v="11"/>
    <n v="0.28789999999999999"/>
    <x v="40"/>
    <x v="5"/>
    <x v="18"/>
    <x v="11"/>
    <x v="69"/>
  </r>
  <r>
    <n v="108"/>
    <x v="4"/>
    <n v="1"/>
    <n v="0"/>
    <n v="1"/>
    <x v="0"/>
    <x v="16"/>
    <x v="0"/>
    <n v="3"/>
    <x v="4"/>
    <x v="0"/>
    <n v="1"/>
    <x v="0"/>
    <x v="11"/>
    <n v="0.31819999999999998"/>
    <x v="40"/>
    <x v="1"/>
    <x v="17"/>
    <x v="66"/>
    <x v="70"/>
  </r>
  <r>
    <n v="109"/>
    <x v="4"/>
    <n v="1"/>
    <n v="0"/>
    <n v="1"/>
    <x v="0"/>
    <x v="17"/>
    <x v="0"/>
    <n v="3"/>
    <x v="4"/>
    <x v="0"/>
    <n v="1"/>
    <x v="0"/>
    <x v="0"/>
    <n v="0.2273"/>
    <x v="41"/>
    <x v="5"/>
    <x v="17"/>
    <x v="67"/>
    <x v="71"/>
  </r>
  <r>
    <n v="110"/>
    <x v="4"/>
    <n v="1"/>
    <n v="0"/>
    <n v="1"/>
    <x v="0"/>
    <x v="18"/>
    <x v="0"/>
    <n v="3"/>
    <x v="4"/>
    <x v="0"/>
    <n v="1"/>
    <x v="0"/>
    <x v="0"/>
    <n v="0.2424"/>
    <x v="41"/>
    <x v="7"/>
    <x v="0"/>
    <x v="68"/>
    <x v="72"/>
  </r>
  <r>
    <n v="111"/>
    <x v="4"/>
    <n v="1"/>
    <n v="0"/>
    <n v="1"/>
    <x v="0"/>
    <x v="19"/>
    <x v="0"/>
    <n v="3"/>
    <x v="4"/>
    <x v="0"/>
    <n v="1"/>
    <x v="0"/>
    <x v="0"/>
    <n v="0.2576"/>
    <x v="41"/>
    <x v="14"/>
    <x v="2"/>
    <x v="69"/>
    <x v="73"/>
  </r>
  <r>
    <n v="112"/>
    <x v="4"/>
    <n v="1"/>
    <n v="0"/>
    <n v="1"/>
    <x v="0"/>
    <x v="20"/>
    <x v="0"/>
    <n v="3"/>
    <x v="4"/>
    <x v="0"/>
    <n v="1"/>
    <x v="0"/>
    <x v="1"/>
    <n v="0.2273"/>
    <x v="19"/>
    <x v="8"/>
    <x v="18"/>
    <x v="70"/>
    <x v="70"/>
  </r>
  <r>
    <n v="113"/>
    <x v="4"/>
    <n v="1"/>
    <n v="0"/>
    <n v="1"/>
    <x v="0"/>
    <x v="21"/>
    <x v="0"/>
    <n v="3"/>
    <x v="4"/>
    <x v="0"/>
    <n v="1"/>
    <x v="0"/>
    <x v="2"/>
    <n v="0.19700000000000001"/>
    <x v="33"/>
    <x v="5"/>
    <x v="0"/>
    <x v="71"/>
    <x v="74"/>
  </r>
  <r>
    <n v="114"/>
    <x v="4"/>
    <n v="1"/>
    <n v="0"/>
    <n v="1"/>
    <x v="0"/>
    <x v="22"/>
    <x v="0"/>
    <n v="3"/>
    <x v="4"/>
    <x v="0"/>
    <n v="1"/>
    <x v="0"/>
    <x v="15"/>
    <n v="0.19700000000000001"/>
    <x v="28"/>
    <x v="7"/>
    <x v="5"/>
    <x v="40"/>
    <x v="51"/>
  </r>
  <r>
    <n v="115"/>
    <x v="4"/>
    <n v="1"/>
    <n v="0"/>
    <n v="1"/>
    <x v="0"/>
    <x v="23"/>
    <x v="0"/>
    <n v="3"/>
    <x v="4"/>
    <x v="0"/>
    <n v="1"/>
    <x v="0"/>
    <x v="2"/>
    <n v="0.2576"/>
    <x v="19"/>
    <x v="0"/>
    <x v="5"/>
    <x v="72"/>
    <x v="75"/>
  </r>
  <r>
    <n v="116"/>
    <x v="5"/>
    <n v="1"/>
    <n v="0"/>
    <n v="1"/>
    <x v="0"/>
    <x v="0"/>
    <x v="0"/>
    <n v="4"/>
    <x v="5"/>
    <x v="0"/>
    <n v="1"/>
    <x v="0"/>
    <x v="15"/>
    <n v="0.2424"/>
    <x v="28"/>
    <x v="0"/>
    <x v="3"/>
    <x v="48"/>
    <x v="62"/>
  </r>
  <r>
    <n v="117"/>
    <x v="5"/>
    <n v="1"/>
    <n v="0"/>
    <n v="1"/>
    <x v="0"/>
    <x v="1"/>
    <x v="0"/>
    <n v="4"/>
    <x v="5"/>
    <x v="0"/>
    <n v="1"/>
    <x v="0"/>
    <x v="13"/>
    <n v="0.2273"/>
    <x v="26"/>
    <x v="0"/>
    <x v="3"/>
    <x v="22"/>
    <x v="48"/>
  </r>
  <r>
    <n v="118"/>
    <x v="5"/>
    <n v="1"/>
    <n v="0"/>
    <n v="1"/>
    <x v="0"/>
    <x v="2"/>
    <x v="0"/>
    <n v="4"/>
    <x v="5"/>
    <x v="0"/>
    <n v="1"/>
    <x v="0"/>
    <x v="13"/>
    <n v="0.2273"/>
    <x v="26"/>
    <x v="0"/>
    <x v="3"/>
    <x v="6"/>
    <x v="5"/>
  </r>
  <r>
    <n v="119"/>
    <x v="5"/>
    <n v="1"/>
    <n v="0"/>
    <n v="1"/>
    <x v="0"/>
    <x v="4"/>
    <x v="0"/>
    <n v="4"/>
    <x v="5"/>
    <x v="0"/>
    <n v="2"/>
    <x v="1"/>
    <x v="13"/>
    <n v="0.19700000000000001"/>
    <x v="26"/>
    <x v="1"/>
    <x v="3"/>
    <x v="4"/>
    <x v="4"/>
  </r>
  <r>
    <n v="120"/>
    <x v="5"/>
    <n v="1"/>
    <n v="0"/>
    <n v="1"/>
    <x v="0"/>
    <x v="5"/>
    <x v="0"/>
    <n v="4"/>
    <x v="5"/>
    <x v="0"/>
    <n v="2"/>
    <x v="1"/>
    <x v="14"/>
    <n v="0.18179999999999999"/>
    <x v="27"/>
    <x v="1"/>
    <x v="3"/>
    <x v="22"/>
    <x v="48"/>
  </r>
  <r>
    <n v="121"/>
    <x v="5"/>
    <n v="1"/>
    <n v="0"/>
    <n v="1"/>
    <x v="0"/>
    <x v="6"/>
    <x v="0"/>
    <n v="4"/>
    <x v="5"/>
    <x v="0"/>
    <n v="2"/>
    <x v="1"/>
    <x v="14"/>
    <n v="0.16669999999999999"/>
    <x v="30"/>
    <x v="14"/>
    <x v="3"/>
    <x v="49"/>
    <x v="9"/>
  </r>
  <r>
    <n v="122"/>
    <x v="5"/>
    <n v="1"/>
    <n v="0"/>
    <n v="1"/>
    <x v="0"/>
    <x v="7"/>
    <x v="0"/>
    <n v="4"/>
    <x v="5"/>
    <x v="0"/>
    <n v="2"/>
    <x v="1"/>
    <x v="13"/>
    <n v="0.2273"/>
    <x v="29"/>
    <x v="0"/>
    <x v="3"/>
    <x v="73"/>
    <x v="76"/>
  </r>
  <r>
    <n v="123"/>
    <x v="5"/>
    <n v="1"/>
    <n v="0"/>
    <n v="1"/>
    <x v="0"/>
    <x v="8"/>
    <x v="0"/>
    <n v="4"/>
    <x v="5"/>
    <x v="0"/>
    <n v="1"/>
    <x v="0"/>
    <x v="13"/>
    <n v="0.2273"/>
    <x v="29"/>
    <x v="0"/>
    <x v="0"/>
    <x v="74"/>
    <x v="77"/>
  </r>
  <r>
    <n v="124"/>
    <x v="5"/>
    <n v="1"/>
    <n v="0"/>
    <n v="1"/>
    <x v="0"/>
    <x v="9"/>
    <x v="0"/>
    <n v="4"/>
    <x v="5"/>
    <x v="0"/>
    <n v="2"/>
    <x v="1"/>
    <x v="15"/>
    <n v="0.2424"/>
    <x v="33"/>
    <x v="0"/>
    <x v="15"/>
    <x v="75"/>
    <x v="78"/>
  </r>
  <r>
    <n v="125"/>
    <x v="5"/>
    <n v="1"/>
    <n v="0"/>
    <n v="1"/>
    <x v="0"/>
    <x v="10"/>
    <x v="0"/>
    <n v="4"/>
    <x v="5"/>
    <x v="0"/>
    <n v="1"/>
    <x v="0"/>
    <x v="2"/>
    <n v="0.2576"/>
    <x v="19"/>
    <x v="0"/>
    <x v="0"/>
    <x v="76"/>
    <x v="79"/>
  </r>
  <r>
    <n v="126"/>
    <x v="5"/>
    <n v="1"/>
    <n v="0"/>
    <n v="1"/>
    <x v="0"/>
    <x v="11"/>
    <x v="0"/>
    <n v="4"/>
    <x v="5"/>
    <x v="0"/>
    <n v="1"/>
    <x v="0"/>
    <x v="1"/>
    <n v="0.2576"/>
    <x v="18"/>
    <x v="1"/>
    <x v="4"/>
    <x v="77"/>
    <x v="29"/>
  </r>
  <r>
    <n v="127"/>
    <x v="5"/>
    <n v="1"/>
    <n v="0"/>
    <n v="1"/>
    <x v="0"/>
    <x v="12"/>
    <x v="0"/>
    <n v="4"/>
    <x v="5"/>
    <x v="0"/>
    <n v="1"/>
    <x v="0"/>
    <x v="12"/>
    <n v="0.28789999999999999"/>
    <x v="23"/>
    <x v="0"/>
    <x v="15"/>
    <x v="78"/>
    <x v="11"/>
  </r>
  <r>
    <n v="128"/>
    <x v="5"/>
    <n v="1"/>
    <n v="0"/>
    <n v="1"/>
    <x v="0"/>
    <x v="13"/>
    <x v="0"/>
    <n v="4"/>
    <x v="5"/>
    <x v="0"/>
    <n v="1"/>
    <x v="0"/>
    <x v="12"/>
    <n v="0.2727"/>
    <x v="23"/>
    <x v="14"/>
    <x v="6"/>
    <x v="11"/>
    <x v="16"/>
  </r>
  <r>
    <n v="129"/>
    <x v="5"/>
    <n v="1"/>
    <n v="0"/>
    <n v="1"/>
    <x v="0"/>
    <x v="14"/>
    <x v="0"/>
    <n v="4"/>
    <x v="5"/>
    <x v="0"/>
    <n v="1"/>
    <x v="0"/>
    <x v="17"/>
    <n v="0.2727"/>
    <x v="42"/>
    <x v="8"/>
    <x v="16"/>
    <x v="79"/>
    <x v="27"/>
  </r>
  <r>
    <n v="130"/>
    <x v="5"/>
    <n v="1"/>
    <n v="0"/>
    <n v="1"/>
    <x v="0"/>
    <x v="15"/>
    <x v="0"/>
    <n v="4"/>
    <x v="5"/>
    <x v="0"/>
    <n v="1"/>
    <x v="0"/>
    <x v="17"/>
    <n v="0.2727"/>
    <x v="42"/>
    <x v="0"/>
    <x v="1"/>
    <x v="25"/>
    <x v="69"/>
  </r>
  <r>
    <n v="131"/>
    <x v="5"/>
    <n v="1"/>
    <n v="0"/>
    <n v="1"/>
    <x v="0"/>
    <x v="16"/>
    <x v="0"/>
    <n v="4"/>
    <x v="5"/>
    <x v="0"/>
    <n v="1"/>
    <x v="0"/>
    <x v="12"/>
    <n v="0.2576"/>
    <x v="41"/>
    <x v="8"/>
    <x v="6"/>
    <x v="64"/>
    <x v="80"/>
  </r>
  <r>
    <n v="132"/>
    <x v="5"/>
    <n v="1"/>
    <n v="0"/>
    <n v="1"/>
    <x v="0"/>
    <x v="17"/>
    <x v="0"/>
    <n v="4"/>
    <x v="5"/>
    <x v="0"/>
    <n v="1"/>
    <x v="0"/>
    <x v="1"/>
    <n v="0.2273"/>
    <x v="33"/>
    <x v="8"/>
    <x v="14"/>
    <x v="80"/>
    <x v="81"/>
  </r>
  <r>
    <n v="133"/>
    <x v="5"/>
    <n v="1"/>
    <n v="0"/>
    <n v="1"/>
    <x v="0"/>
    <x v="18"/>
    <x v="0"/>
    <n v="4"/>
    <x v="5"/>
    <x v="0"/>
    <n v="1"/>
    <x v="0"/>
    <x v="1"/>
    <n v="0.2273"/>
    <x v="33"/>
    <x v="7"/>
    <x v="2"/>
    <x v="81"/>
    <x v="82"/>
  </r>
  <r>
    <n v="134"/>
    <x v="5"/>
    <n v="1"/>
    <n v="0"/>
    <n v="1"/>
    <x v="0"/>
    <x v="19"/>
    <x v="0"/>
    <n v="4"/>
    <x v="5"/>
    <x v="0"/>
    <n v="1"/>
    <x v="0"/>
    <x v="1"/>
    <n v="0.2576"/>
    <x v="28"/>
    <x v="1"/>
    <x v="0"/>
    <x v="63"/>
    <x v="59"/>
  </r>
  <r>
    <n v="135"/>
    <x v="5"/>
    <n v="1"/>
    <n v="0"/>
    <n v="1"/>
    <x v="0"/>
    <x v="20"/>
    <x v="0"/>
    <n v="4"/>
    <x v="5"/>
    <x v="0"/>
    <n v="1"/>
    <x v="0"/>
    <x v="2"/>
    <n v="0.21210000000000001"/>
    <x v="33"/>
    <x v="8"/>
    <x v="0"/>
    <x v="43"/>
    <x v="83"/>
  </r>
  <r>
    <n v="136"/>
    <x v="5"/>
    <n v="1"/>
    <n v="0"/>
    <n v="1"/>
    <x v="0"/>
    <x v="21"/>
    <x v="0"/>
    <n v="4"/>
    <x v="5"/>
    <x v="0"/>
    <n v="2"/>
    <x v="1"/>
    <x v="1"/>
    <n v="0.21210000000000001"/>
    <x v="28"/>
    <x v="6"/>
    <x v="3"/>
    <x v="41"/>
    <x v="61"/>
  </r>
  <r>
    <n v="137"/>
    <x v="5"/>
    <n v="1"/>
    <n v="0"/>
    <n v="1"/>
    <x v="0"/>
    <x v="22"/>
    <x v="0"/>
    <n v="4"/>
    <x v="5"/>
    <x v="0"/>
    <n v="2"/>
    <x v="1"/>
    <x v="1"/>
    <n v="0.21210000000000001"/>
    <x v="33"/>
    <x v="3"/>
    <x v="5"/>
    <x v="82"/>
    <x v="46"/>
  </r>
  <r>
    <n v="138"/>
    <x v="5"/>
    <n v="1"/>
    <n v="0"/>
    <n v="1"/>
    <x v="0"/>
    <x v="23"/>
    <x v="0"/>
    <n v="4"/>
    <x v="5"/>
    <x v="0"/>
    <n v="2"/>
    <x v="1"/>
    <x v="2"/>
    <n v="0.19700000000000001"/>
    <x v="29"/>
    <x v="5"/>
    <x v="17"/>
    <x v="23"/>
    <x v="84"/>
  </r>
  <r>
    <n v="139"/>
    <x v="6"/>
    <n v="1"/>
    <n v="0"/>
    <n v="1"/>
    <x v="0"/>
    <x v="0"/>
    <x v="0"/>
    <n v="5"/>
    <x v="6"/>
    <x v="0"/>
    <n v="2"/>
    <x v="1"/>
    <x v="2"/>
    <n v="0.19700000000000001"/>
    <x v="26"/>
    <x v="5"/>
    <x v="17"/>
    <x v="0"/>
    <x v="22"/>
  </r>
  <r>
    <n v="140"/>
    <x v="6"/>
    <n v="1"/>
    <n v="0"/>
    <n v="1"/>
    <x v="0"/>
    <x v="1"/>
    <x v="0"/>
    <n v="5"/>
    <x v="6"/>
    <x v="0"/>
    <n v="2"/>
    <x v="1"/>
    <x v="2"/>
    <n v="0.19700000000000001"/>
    <x v="27"/>
    <x v="6"/>
    <x v="4"/>
    <x v="34"/>
    <x v="85"/>
  </r>
  <r>
    <n v="141"/>
    <x v="6"/>
    <n v="1"/>
    <n v="0"/>
    <n v="1"/>
    <x v="0"/>
    <x v="2"/>
    <x v="0"/>
    <n v="5"/>
    <x v="6"/>
    <x v="0"/>
    <n v="2"/>
    <x v="1"/>
    <x v="2"/>
    <n v="0.19700000000000001"/>
    <x v="27"/>
    <x v="6"/>
    <x v="3"/>
    <x v="4"/>
    <x v="4"/>
  </r>
  <r>
    <n v="142"/>
    <x v="6"/>
    <n v="1"/>
    <n v="0"/>
    <n v="1"/>
    <x v="0"/>
    <x v="4"/>
    <x v="0"/>
    <n v="5"/>
    <x v="6"/>
    <x v="0"/>
    <n v="2"/>
    <x v="1"/>
    <x v="2"/>
    <n v="0.21210000000000001"/>
    <x v="27"/>
    <x v="7"/>
    <x v="3"/>
    <x v="4"/>
    <x v="4"/>
  </r>
  <r>
    <n v="143"/>
    <x v="6"/>
    <n v="1"/>
    <n v="0"/>
    <n v="1"/>
    <x v="0"/>
    <x v="5"/>
    <x v="0"/>
    <n v="5"/>
    <x v="6"/>
    <x v="0"/>
    <n v="3"/>
    <x v="2"/>
    <x v="1"/>
    <n v="0.2727"/>
    <x v="28"/>
    <x v="0"/>
    <x v="3"/>
    <x v="34"/>
    <x v="36"/>
  </r>
  <r>
    <n v="144"/>
    <x v="6"/>
    <n v="1"/>
    <n v="0"/>
    <n v="1"/>
    <x v="0"/>
    <x v="6"/>
    <x v="0"/>
    <n v="5"/>
    <x v="6"/>
    <x v="0"/>
    <n v="2"/>
    <x v="1"/>
    <x v="2"/>
    <n v="0.2576"/>
    <x v="27"/>
    <x v="0"/>
    <x v="1"/>
    <x v="16"/>
    <x v="19"/>
  </r>
  <r>
    <n v="145"/>
    <x v="6"/>
    <n v="1"/>
    <n v="0"/>
    <n v="1"/>
    <x v="0"/>
    <x v="7"/>
    <x v="0"/>
    <n v="5"/>
    <x v="6"/>
    <x v="0"/>
    <n v="1"/>
    <x v="0"/>
    <x v="2"/>
    <n v="0.21210000000000001"/>
    <x v="27"/>
    <x v="7"/>
    <x v="1"/>
    <x v="83"/>
    <x v="11"/>
  </r>
  <r>
    <n v="146"/>
    <x v="6"/>
    <n v="1"/>
    <n v="0"/>
    <n v="1"/>
    <x v="0"/>
    <x v="8"/>
    <x v="0"/>
    <n v="5"/>
    <x v="6"/>
    <x v="0"/>
    <n v="1"/>
    <x v="0"/>
    <x v="2"/>
    <n v="0.19700000000000001"/>
    <x v="33"/>
    <x v="2"/>
    <x v="20"/>
    <x v="84"/>
    <x v="86"/>
  </r>
  <r>
    <n v="147"/>
    <x v="6"/>
    <n v="1"/>
    <n v="0"/>
    <n v="1"/>
    <x v="0"/>
    <x v="9"/>
    <x v="0"/>
    <n v="5"/>
    <x v="6"/>
    <x v="0"/>
    <n v="1"/>
    <x v="0"/>
    <x v="2"/>
    <n v="0.18179999999999999"/>
    <x v="19"/>
    <x v="4"/>
    <x v="14"/>
    <x v="85"/>
    <x v="87"/>
  </r>
  <r>
    <n v="148"/>
    <x v="6"/>
    <n v="1"/>
    <n v="0"/>
    <n v="1"/>
    <x v="0"/>
    <x v="10"/>
    <x v="0"/>
    <n v="5"/>
    <x v="6"/>
    <x v="0"/>
    <n v="1"/>
    <x v="0"/>
    <x v="1"/>
    <n v="0.19700000000000001"/>
    <x v="38"/>
    <x v="9"/>
    <x v="19"/>
    <x v="12"/>
    <x v="55"/>
  </r>
  <r>
    <n v="149"/>
    <x v="6"/>
    <n v="1"/>
    <n v="0"/>
    <n v="1"/>
    <x v="0"/>
    <x v="11"/>
    <x v="0"/>
    <n v="5"/>
    <x v="6"/>
    <x v="0"/>
    <n v="2"/>
    <x v="1"/>
    <x v="2"/>
    <n v="0.19700000000000001"/>
    <x v="22"/>
    <x v="6"/>
    <x v="21"/>
    <x v="41"/>
    <x v="16"/>
  </r>
  <r>
    <n v="150"/>
    <x v="6"/>
    <n v="1"/>
    <n v="0"/>
    <n v="1"/>
    <x v="0"/>
    <x v="12"/>
    <x v="0"/>
    <n v="5"/>
    <x v="6"/>
    <x v="0"/>
    <n v="2"/>
    <x v="1"/>
    <x v="2"/>
    <n v="0.19700000000000001"/>
    <x v="38"/>
    <x v="2"/>
    <x v="14"/>
    <x v="54"/>
    <x v="29"/>
  </r>
  <r>
    <n v="151"/>
    <x v="6"/>
    <n v="1"/>
    <n v="0"/>
    <n v="1"/>
    <x v="0"/>
    <x v="13"/>
    <x v="0"/>
    <n v="5"/>
    <x v="6"/>
    <x v="0"/>
    <n v="2"/>
    <x v="1"/>
    <x v="2"/>
    <n v="0.18179999999999999"/>
    <x v="38"/>
    <x v="3"/>
    <x v="14"/>
    <x v="27"/>
    <x v="88"/>
  </r>
  <r>
    <n v="152"/>
    <x v="6"/>
    <n v="1"/>
    <n v="0"/>
    <n v="1"/>
    <x v="0"/>
    <x v="14"/>
    <x v="0"/>
    <n v="5"/>
    <x v="6"/>
    <x v="0"/>
    <n v="2"/>
    <x v="1"/>
    <x v="2"/>
    <n v="0.19700000000000001"/>
    <x v="22"/>
    <x v="2"/>
    <x v="18"/>
    <x v="30"/>
    <x v="89"/>
  </r>
  <r>
    <n v="153"/>
    <x v="6"/>
    <n v="1"/>
    <n v="0"/>
    <n v="1"/>
    <x v="0"/>
    <x v="15"/>
    <x v="0"/>
    <n v="5"/>
    <x v="6"/>
    <x v="0"/>
    <n v="2"/>
    <x v="1"/>
    <x v="2"/>
    <n v="0.21210000000000001"/>
    <x v="38"/>
    <x v="8"/>
    <x v="14"/>
    <x v="36"/>
    <x v="44"/>
  </r>
  <r>
    <n v="154"/>
    <x v="6"/>
    <n v="1"/>
    <n v="0"/>
    <n v="1"/>
    <x v="0"/>
    <x v="16"/>
    <x v="0"/>
    <n v="5"/>
    <x v="6"/>
    <x v="0"/>
    <n v="2"/>
    <x v="1"/>
    <x v="2"/>
    <n v="0.21210000000000001"/>
    <x v="38"/>
    <x v="8"/>
    <x v="2"/>
    <x v="70"/>
    <x v="90"/>
  </r>
  <r>
    <n v="155"/>
    <x v="6"/>
    <n v="1"/>
    <n v="0"/>
    <n v="1"/>
    <x v="0"/>
    <x v="17"/>
    <x v="0"/>
    <n v="5"/>
    <x v="6"/>
    <x v="0"/>
    <n v="2"/>
    <x v="1"/>
    <x v="2"/>
    <n v="0.2576"/>
    <x v="38"/>
    <x v="0"/>
    <x v="14"/>
    <x v="86"/>
    <x v="91"/>
  </r>
  <r>
    <n v="156"/>
    <x v="6"/>
    <n v="1"/>
    <n v="0"/>
    <n v="1"/>
    <x v="0"/>
    <x v="18"/>
    <x v="0"/>
    <n v="5"/>
    <x v="6"/>
    <x v="0"/>
    <n v="1"/>
    <x v="0"/>
    <x v="2"/>
    <n v="0.2273"/>
    <x v="22"/>
    <x v="1"/>
    <x v="18"/>
    <x v="75"/>
    <x v="92"/>
  </r>
  <r>
    <n v="157"/>
    <x v="6"/>
    <n v="1"/>
    <n v="0"/>
    <n v="1"/>
    <x v="0"/>
    <x v="19"/>
    <x v="0"/>
    <n v="5"/>
    <x v="6"/>
    <x v="0"/>
    <n v="1"/>
    <x v="0"/>
    <x v="13"/>
    <n v="0.19700000000000001"/>
    <x v="28"/>
    <x v="1"/>
    <x v="0"/>
    <x v="50"/>
    <x v="76"/>
  </r>
  <r>
    <n v="158"/>
    <x v="6"/>
    <n v="1"/>
    <n v="0"/>
    <n v="1"/>
    <x v="0"/>
    <x v="20"/>
    <x v="0"/>
    <n v="5"/>
    <x v="6"/>
    <x v="0"/>
    <n v="1"/>
    <x v="0"/>
    <x v="15"/>
    <n v="0.21210000000000001"/>
    <x v="19"/>
    <x v="14"/>
    <x v="5"/>
    <x v="54"/>
    <x v="41"/>
  </r>
  <r>
    <n v="159"/>
    <x v="6"/>
    <n v="1"/>
    <n v="0"/>
    <n v="1"/>
    <x v="0"/>
    <x v="21"/>
    <x v="0"/>
    <n v="5"/>
    <x v="6"/>
    <x v="0"/>
    <n v="1"/>
    <x v="0"/>
    <x v="15"/>
    <n v="0.19700000000000001"/>
    <x v="19"/>
    <x v="7"/>
    <x v="3"/>
    <x v="87"/>
    <x v="21"/>
  </r>
  <r>
    <n v="160"/>
    <x v="6"/>
    <n v="1"/>
    <n v="0"/>
    <n v="1"/>
    <x v="0"/>
    <x v="22"/>
    <x v="0"/>
    <n v="5"/>
    <x v="6"/>
    <x v="0"/>
    <n v="2"/>
    <x v="1"/>
    <x v="15"/>
    <n v="0.19700000000000001"/>
    <x v="21"/>
    <x v="8"/>
    <x v="4"/>
    <x v="60"/>
    <x v="9"/>
  </r>
  <r>
    <n v="161"/>
    <x v="6"/>
    <n v="1"/>
    <n v="0"/>
    <n v="1"/>
    <x v="0"/>
    <x v="23"/>
    <x v="0"/>
    <n v="5"/>
    <x v="6"/>
    <x v="0"/>
    <n v="2"/>
    <x v="1"/>
    <x v="15"/>
    <n v="0.19700000000000001"/>
    <x v="33"/>
    <x v="8"/>
    <x v="5"/>
    <x v="88"/>
    <x v="93"/>
  </r>
  <r>
    <n v="162"/>
    <x v="7"/>
    <n v="1"/>
    <n v="0"/>
    <n v="1"/>
    <x v="0"/>
    <x v="0"/>
    <x v="0"/>
    <n v="6"/>
    <x v="0"/>
    <x v="0"/>
    <n v="2"/>
    <x v="1"/>
    <x v="15"/>
    <n v="0.19700000000000001"/>
    <x v="33"/>
    <x v="8"/>
    <x v="5"/>
    <x v="9"/>
    <x v="94"/>
  </r>
  <r>
    <n v="163"/>
    <x v="7"/>
    <n v="1"/>
    <n v="0"/>
    <n v="1"/>
    <x v="0"/>
    <x v="1"/>
    <x v="0"/>
    <n v="6"/>
    <x v="0"/>
    <x v="0"/>
    <n v="2"/>
    <x v="1"/>
    <x v="15"/>
    <n v="0.21210000000000001"/>
    <x v="28"/>
    <x v="1"/>
    <x v="5"/>
    <x v="89"/>
    <x v="0"/>
  </r>
  <r>
    <n v="164"/>
    <x v="7"/>
    <n v="1"/>
    <n v="0"/>
    <n v="1"/>
    <x v="0"/>
    <x v="2"/>
    <x v="0"/>
    <n v="6"/>
    <x v="0"/>
    <x v="0"/>
    <n v="2"/>
    <x v="1"/>
    <x v="15"/>
    <n v="0.2424"/>
    <x v="28"/>
    <x v="0"/>
    <x v="0"/>
    <x v="0"/>
    <x v="0"/>
  </r>
  <r>
    <n v="165"/>
    <x v="7"/>
    <n v="1"/>
    <n v="0"/>
    <n v="1"/>
    <x v="0"/>
    <x v="3"/>
    <x v="0"/>
    <n v="6"/>
    <x v="0"/>
    <x v="0"/>
    <n v="3"/>
    <x v="2"/>
    <x v="15"/>
    <n v="0.19700000000000001"/>
    <x v="28"/>
    <x v="8"/>
    <x v="3"/>
    <x v="7"/>
    <x v="85"/>
  </r>
  <r>
    <n v="166"/>
    <x v="7"/>
    <n v="1"/>
    <n v="0"/>
    <n v="1"/>
    <x v="0"/>
    <x v="4"/>
    <x v="0"/>
    <n v="6"/>
    <x v="0"/>
    <x v="0"/>
    <n v="3"/>
    <x v="2"/>
    <x v="15"/>
    <n v="0.19700000000000001"/>
    <x v="28"/>
    <x v="8"/>
    <x v="3"/>
    <x v="4"/>
    <x v="4"/>
  </r>
  <r>
    <n v="167"/>
    <x v="7"/>
    <n v="1"/>
    <n v="0"/>
    <n v="1"/>
    <x v="0"/>
    <x v="5"/>
    <x v="0"/>
    <n v="6"/>
    <x v="0"/>
    <x v="0"/>
    <n v="2"/>
    <x v="1"/>
    <x v="13"/>
    <n v="0.16669999999999999"/>
    <x v="32"/>
    <x v="8"/>
    <x v="3"/>
    <x v="34"/>
    <x v="36"/>
  </r>
  <r>
    <n v="168"/>
    <x v="7"/>
    <n v="1"/>
    <n v="0"/>
    <n v="1"/>
    <x v="0"/>
    <x v="6"/>
    <x v="0"/>
    <n v="6"/>
    <x v="0"/>
    <x v="0"/>
    <n v="2"/>
    <x v="1"/>
    <x v="13"/>
    <n v="0.16669999999999999"/>
    <x v="32"/>
    <x v="8"/>
    <x v="3"/>
    <x v="6"/>
    <x v="5"/>
  </r>
  <r>
    <n v="169"/>
    <x v="7"/>
    <n v="1"/>
    <n v="0"/>
    <n v="1"/>
    <x v="0"/>
    <x v="7"/>
    <x v="0"/>
    <n v="6"/>
    <x v="0"/>
    <x v="0"/>
    <n v="2"/>
    <x v="1"/>
    <x v="13"/>
    <n v="0.18179999999999999"/>
    <x v="32"/>
    <x v="14"/>
    <x v="5"/>
    <x v="21"/>
    <x v="23"/>
  </r>
  <r>
    <n v="170"/>
    <x v="7"/>
    <n v="1"/>
    <n v="0"/>
    <n v="1"/>
    <x v="0"/>
    <x v="8"/>
    <x v="0"/>
    <n v="6"/>
    <x v="0"/>
    <x v="0"/>
    <n v="3"/>
    <x v="2"/>
    <x v="13"/>
    <n v="0.18179999999999999"/>
    <x v="43"/>
    <x v="14"/>
    <x v="3"/>
    <x v="89"/>
    <x v="93"/>
  </r>
  <r>
    <n v="171"/>
    <x v="7"/>
    <n v="1"/>
    <n v="0"/>
    <n v="1"/>
    <x v="0"/>
    <x v="9"/>
    <x v="0"/>
    <n v="6"/>
    <x v="0"/>
    <x v="0"/>
    <n v="3"/>
    <x v="2"/>
    <x v="13"/>
    <n v="0.18179999999999999"/>
    <x v="43"/>
    <x v="14"/>
    <x v="3"/>
    <x v="32"/>
    <x v="25"/>
  </r>
  <r>
    <n v="172"/>
    <x v="7"/>
    <n v="1"/>
    <n v="0"/>
    <n v="1"/>
    <x v="0"/>
    <x v="10"/>
    <x v="0"/>
    <n v="6"/>
    <x v="0"/>
    <x v="0"/>
    <n v="2"/>
    <x v="1"/>
    <x v="15"/>
    <n v="0.19700000000000001"/>
    <x v="1"/>
    <x v="8"/>
    <x v="2"/>
    <x v="90"/>
    <x v="42"/>
  </r>
  <r>
    <n v="173"/>
    <x v="7"/>
    <n v="1"/>
    <n v="0"/>
    <n v="1"/>
    <x v="0"/>
    <x v="11"/>
    <x v="0"/>
    <n v="6"/>
    <x v="0"/>
    <x v="0"/>
    <n v="2"/>
    <x v="1"/>
    <x v="2"/>
    <n v="0.18179999999999999"/>
    <x v="27"/>
    <x v="13"/>
    <x v="4"/>
    <x v="91"/>
    <x v="69"/>
  </r>
  <r>
    <n v="174"/>
    <x v="7"/>
    <n v="1"/>
    <n v="0"/>
    <n v="1"/>
    <x v="0"/>
    <x v="12"/>
    <x v="0"/>
    <n v="6"/>
    <x v="0"/>
    <x v="0"/>
    <n v="2"/>
    <x v="1"/>
    <x v="2"/>
    <n v="0.18179999999999999"/>
    <x v="29"/>
    <x v="11"/>
    <x v="1"/>
    <x v="92"/>
    <x v="95"/>
  </r>
  <r>
    <n v="175"/>
    <x v="7"/>
    <n v="1"/>
    <n v="0"/>
    <n v="1"/>
    <x v="0"/>
    <x v="13"/>
    <x v="0"/>
    <n v="6"/>
    <x v="0"/>
    <x v="0"/>
    <n v="1"/>
    <x v="0"/>
    <x v="2"/>
    <n v="0.18179999999999999"/>
    <x v="18"/>
    <x v="9"/>
    <x v="18"/>
    <x v="73"/>
    <x v="96"/>
  </r>
  <r>
    <n v="176"/>
    <x v="7"/>
    <n v="1"/>
    <n v="0"/>
    <n v="1"/>
    <x v="0"/>
    <x v="14"/>
    <x v="0"/>
    <n v="6"/>
    <x v="0"/>
    <x v="0"/>
    <n v="1"/>
    <x v="0"/>
    <x v="2"/>
    <n v="0.16669999999999999"/>
    <x v="25"/>
    <x v="15"/>
    <x v="6"/>
    <x v="93"/>
    <x v="76"/>
  </r>
  <r>
    <n v="177"/>
    <x v="7"/>
    <n v="1"/>
    <n v="0"/>
    <n v="1"/>
    <x v="0"/>
    <x v="15"/>
    <x v="0"/>
    <n v="6"/>
    <x v="0"/>
    <x v="0"/>
    <n v="1"/>
    <x v="0"/>
    <x v="2"/>
    <n v="0.16669999999999999"/>
    <x v="25"/>
    <x v="10"/>
    <x v="2"/>
    <x v="94"/>
    <x v="30"/>
  </r>
  <r>
    <n v="178"/>
    <x v="7"/>
    <n v="1"/>
    <n v="0"/>
    <n v="1"/>
    <x v="0"/>
    <x v="16"/>
    <x v="0"/>
    <n v="6"/>
    <x v="0"/>
    <x v="0"/>
    <n v="1"/>
    <x v="0"/>
    <x v="15"/>
    <n v="0.13639999999999999"/>
    <x v="44"/>
    <x v="10"/>
    <x v="1"/>
    <x v="56"/>
    <x v="31"/>
  </r>
  <r>
    <n v="179"/>
    <x v="7"/>
    <n v="1"/>
    <n v="0"/>
    <n v="1"/>
    <x v="0"/>
    <x v="17"/>
    <x v="0"/>
    <n v="6"/>
    <x v="0"/>
    <x v="0"/>
    <n v="1"/>
    <x v="0"/>
    <x v="13"/>
    <n v="0.1212"/>
    <x v="38"/>
    <x v="16"/>
    <x v="2"/>
    <x v="27"/>
    <x v="83"/>
  </r>
  <r>
    <n v="180"/>
    <x v="7"/>
    <n v="1"/>
    <n v="0"/>
    <n v="1"/>
    <x v="0"/>
    <x v="18"/>
    <x v="0"/>
    <n v="6"/>
    <x v="0"/>
    <x v="0"/>
    <n v="1"/>
    <x v="0"/>
    <x v="14"/>
    <n v="0.1212"/>
    <x v="17"/>
    <x v="4"/>
    <x v="0"/>
    <x v="15"/>
    <x v="97"/>
  </r>
  <r>
    <n v="181"/>
    <x v="7"/>
    <n v="1"/>
    <n v="0"/>
    <n v="1"/>
    <x v="0"/>
    <x v="19"/>
    <x v="0"/>
    <n v="6"/>
    <x v="0"/>
    <x v="0"/>
    <n v="1"/>
    <x v="0"/>
    <x v="14"/>
    <n v="0.1212"/>
    <x v="42"/>
    <x v="2"/>
    <x v="17"/>
    <x v="16"/>
    <x v="33"/>
  </r>
  <r>
    <n v="182"/>
    <x v="7"/>
    <n v="1"/>
    <n v="0"/>
    <n v="1"/>
    <x v="0"/>
    <x v="20"/>
    <x v="0"/>
    <n v="6"/>
    <x v="0"/>
    <x v="0"/>
    <n v="1"/>
    <x v="0"/>
    <x v="16"/>
    <n v="0.1212"/>
    <x v="42"/>
    <x v="2"/>
    <x v="3"/>
    <x v="95"/>
    <x v="20"/>
  </r>
  <r>
    <n v="183"/>
    <x v="7"/>
    <n v="1"/>
    <n v="0"/>
    <n v="1"/>
    <x v="0"/>
    <x v="21"/>
    <x v="0"/>
    <n v="6"/>
    <x v="0"/>
    <x v="0"/>
    <n v="1"/>
    <x v="0"/>
    <x v="16"/>
    <n v="0.1061"/>
    <x v="17"/>
    <x v="11"/>
    <x v="4"/>
    <x v="96"/>
    <x v="18"/>
  </r>
  <r>
    <n v="184"/>
    <x v="7"/>
    <n v="1"/>
    <n v="0"/>
    <n v="1"/>
    <x v="0"/>
    <x v="22"/>
    <x v="0"/>
    <n v="6"/>
    <x v="0"/>
    <x v="0"/>
    <n v="1"/>
    <x v="0"/>
    <x v="16"/>
    <n v="0.1061"/>
    <x v="42"/>
    <x v="13"/>
    <x v="5"/>
    <x v="39"/>
    <x v="19"/>
  </r>
  <r>
    <n v="185"/>
    <x v="7"/>
    <n v="1"/>
    <n v="0"/>
    <n v="1"/>
    <x v="0"/>
    <x v="23"/>
    <x v="0"/>
    <n v="6"/>
    <x v="0"/>
    <x v="0"/>
    <n v="1"/>
    <x v="0"/>
    <x v="18"/>
    <n v="6.0600000000000001E-2"/>
    <x v="17"/>
    <x v="10"/>
    <x v="3"/>
    <x v="97"/>
    <x v="34"/>
  </r>
  <r>
    <n v="186"/>
    <x v="8"/>
    <n v="1"/>
    <n v="0"/>
    <n v="1"/>
    <x v="0"/>
    <x v="0"/>
    <x v="0"/>
    <n v="0"/>
    <x v="1"/>
    <x v="1"/>
    <n v="1"/>
    <x v="0"/>
    <x v="18"/>
    <n v="7.5800000000000006E-2"/>
    <x v="16"/>
    <x v="13"/>
    <x v="5"/>
    <x v="9"/>
    <x v="94"/>
  </r>
  <r>
    <n v="187"/>
    <x v="8"/>
    <n v="1"/>
    <n v="0"/>
    <n v="1"/>
    <x v="0"/>
    <x v="1"/>
    <x v="0"/>
    <n v="0"/>
    <x v="1"/>
    <x v="1"/>
    <n v="1"/>
    <x v="0"/>
    <x v="18"/>
    <n v="6.0600000000000001E-2"/>
    <x v="16"/>
    <x v="17"/>
    <x v="3"/>
    <x v="98"/>
    <x v="47"/>
  </r>
  <r>
    <n v="188"/>
    <x v="8"/>
    <n v="1"/>
    <n v="0"/>
    <n v="1"/>
    <x v="0"/>
    <x v="2"/>
    <x v="0"/>
    <n v="0"/>
    <x v="1"/>
    <x v="1"/>
    <n v="1"/>
    <x v="0"/>
    <x v="18"/>
    <n v="6.0600000000000001E-2"/>
    <x v="15"/>
    <x v="17"/>
    <x v="3"/>
    <x v="48"/>
    <x v="62"/>
  </r>
  <r>
    <n v="189"/>
    <x v="8"/>
    <n v="1"/>
    <n v="0"/>
    <n v="1"/>
    <x v="0"/>
    <x v="3"/>
    <x v="0"/>
    <n v="0"/>
    <x v="1"/>
    <x v="1"/>
    <n v="1"/>
    <x v="0"/>
    <x v="18"/>
    <n v="7.5800000000000006E-2"/>
    <x v="15"/>
    <x v="12"/>
    <x v="3"/>
    <x v="22"/>
    <x v="48"/>
  </r>
  <r>
    <n v="190"/>
    <x v="8"/>
    <n v="1"/>
    <n v="0"/>
    <n v="1"/>
    <x v="0"/>
    <x v="4"/>
    <x v="0"/>
    <n v="0"/>
    <x v="1"/>
    <x v="1"/>
    <n v="1"/>
    <x v="0"/>
    <x v="19"/>
    <n v="9.0899999999999995E-2"/>
    <x v="45"/>
    <x v="5"/>
    <x v="3"/>
    <x v="4"/>
    <x v="4"/>
  </r>
  <r>
    <n v="191"/>
    <x v="8"/>
    <n v="1"/>
    <n v="0"/>
    <n v="1"/>
    <x v="0"/>
    <x v="5"/>
    <x v="0"/>
    <n v="0"/>
    <x v="1"/>
    <x v="1"/>
    <n v="1"/>
    <x v="0"/>
    <x v="19"/>
    <n v="9.0899999999999995E-2"/>
    <x v="45"/>
    <x v="5"/>
    <x v="3"/>
    <x v="4"/>
    <x v="4"/>
  </r>
  <r>
    <n v="192"/>
    <x v="8"/>
    <n v="1"/>
    <n v="0"/>
    <n v="1"/>
    <x v="0"/>
    <x v="6"/>
    <x v="0"/>
    <n v="0"/>
    <x v="1"/>
    <x v="1"/>
    <n v="1"/>
    <x v="0"/>
    <x v="18"/>
    <n v="9.0899999999999995E-2"/>
    <x v="36"/>
    <x v="3"/>
    <x v="3"/>
    <x v="4"/>
    <x v="4"/>
  </r>
  <r>
    <n v="193"/>
    <x v="8"/>
    <n v="1"/>
    <n v="0"/>
    <n v="1"/>
    <x v="0"/>
    <x v="7"/>
    <x v="0"/>
    <n v="0"/>
    <x v="1"/>
    <x v="1"/>
    <n v="1"/>
    <x v="0"/>
    <x v="19"/>
    <n v="9.0899999999999995E-2"/>
    <x v="45"/>
    <x v="5"/>
    <x v="5"/>
    <x v="34"/>
    <x v="24"/>
  </r>
  <r>
    <n v="194"/>
    <x v="8"/>
    <n v="1"/>
    <n v="0"/>
    <n v="1"/>
    <x v="0"/>
    <x v="8"/>
    <x v="0"/>
    <n v="0"/>
    <x v="1"/>
    <x v="1"/>
    <n v="1"/>
    <x v="0"/>
    <x v="18"/>
    <n v="9.0899999999999995E-2"/>
    <x v="36"/>
    <x v="3"/>
    <x v="3"/>
    <x v="3"/>
    <x v="98"/>
  </r>
  <r>
    <n v="195"/>
    <x v="8"/>
    <n v="1"/>
    <n v="0"/>
    <n v="1"/>
    <x v="0"/>
    <x v="9"/>
    <x v="0"/>
    <n v="0"/>
    <x v="1"/>
    <x v="1"/>
    <n v="1"/>
    <x v="0"/>
    <x v="16"/>
    <n v="7.5800000000000006E-2"/>
    <x v="15"/>
    <x v="18"/>
    <x v="3"/>
    <x v="23"/>
    <x v="75"/>
  </r>
  <r>
    <n v="196"/>
    <x v="8"/>
    <n v="1"/>
    <n v="0"/>
    <n v="1"/>
    <x v="0"/>
    <x v="10"/>
    <x v="0"/>
    <n v="0"/>
    <x v="1"/>
    <x v="1"/>
    <n v="1"/>
    <x v="0"/>
    <x v="14"/>
    <n v="0.1061"/>
    <x v="21"/>
    <x v="13"/>
    <x v="3"/>
    <x v="47"/>
    <x v="99"/>
  </r>
  <r>
    <n v="197"/>
    <x v="8"/>
    <n v="1"/>
    <n v="0"/>
    <n v="1"/>
    <x v="0"/>
    <x v="11"/>
    <x v="0"/>
    <n v="0"/>
    <x v="1"/>
    <x v="1"/>
    <n v="1"/>
    <x v="0"/>
    <x v="13"/>
    <n v="0.1212"/>
    <x v="22"/>
    <x v="18"/>
    <x v="4"/>
    <x v="12"/>
    <x v="99"/>
  </r>
  <r>
    <n v="198"/>
    <x v="8"/>
    <n v="1"/>
    <n v="0"/>
    <n v="1"/>
    <x v="0"/>
    <x v="12"/>
    <x v="0"/>
    <n v="0"/>
    <x v="1"/>
    <x v="1"/>
    <n v="1"/>
    <x v="0"/>
    <x v="15"/>
    <n v="0.13639999999999999"/>
    <x v="38"/>
    <x v="10"/>
    <x v="17"/>
    <x v="55"/>
    <x v="56"/>
  </r>
  <r>
    <n v="199"/>
    <x v="8"/>
    <n v="1"/>
    <n v="0"/>
    <n v="1"/>
    <x v="0"/>
    <x v="13"/>
    <x v="0"/>
    <n v="0"/>
    <x v="1"/>
    <x v="1"/>
    <n v="1"/>
    <x v="0"/>
    <x v="2"/>
    <n v="0.16669999999999999"/>
    <x v="46"/>
    <x v="10"/>
    <x v="15"/>
    <x v="94"/>
    <x v="28"/>
  </r>
  <r>
    <n v="200"/>
    <x v="8"/>
    <n v="1"/>
    <n v="0"/>
    <n v="1"/>
    <x v="0"/>
    <x v="14"/>
    <x v="0"/>
    <n v="0"/>
    <x v="1"/>
    <x v="1"/>
    <n v="1"/>
    <x v="0"/>
    <x v="1"/>
    <n v="0.18179999999999999"/>
    <x v="25"/>
    <x v="17"/>
    <x v="1"/>
    <x v="27"/>
    <x v="44"/>
  </r>
  <r>
    <n v="201"/>
    <x v="8"/>
    <n v="1"/>
    <n v="0"/>
    <n v="1"/>
    <x v="0"/>
    <x v="15"/>
    <x v="0"/>
    <n v="0"/>
    <x v="1"/>
    <x v="1"/>
    <n v="1"/>
    <x v="0"/>
    <x v="1"/>
    <n v="0.19700000000000001"/>
    <x v="23"/>
    <x v="11"/>
    <x v="2"/>
    <x v="99"/>
    <x v="100"/>
  </r>
  <r>
    <n v="202"/>
    <x v="8"/>
    <n v="1"/>
    <n v="0"/>
    <n v="1"/>
    <x v="0"/>
    <x v="16"/>
    <x v="0"/>
    <n v="0"/>
    <x v="1"/>
    <x v="1"/>
    <n v="1"/>
    <x v="0"/>
    <x v="2"/>
    <n v="0.16669999999999999"/>
    <x v="46"/>
    <x v="10"/>
    <x v="23"/>
    <x v="55"/>
    <x v="101"/>
  </r>
  <r>
    <n v="203"/>
    <x v="8"/>
    <n v="1"/>
    <n v="0"/>
    <n v="1"/>
    <x v="0"/>
    <x v="17"/>
    <x v="0"/>
    <n v="0"/>
    <x v="1"/>
    <x v="1"/>
    <n v="1"/>
    <x v="0"/>
    <x v="15"/>
    <n v="0.1515"/>
    <x v="38"/>
    <x v="13"/>
    <x v="0"/>
    <x v="79"/>
    <x v="69"/>
  </r>
  <r>
    <n v="204"/>
    <x v="8"/>
    <n v="1"/>
    <n v="0"/>
    <n v="1"/>
    <x v="0"/>
    <x v="18"/>
    <x v="0"/>
    <n v="0"/>
    <x v="1"/>
    <x v="1"/>
    <n v="1"/>
    <x v="0"/>
    <x v="13"/>
    <n v="0.13639999999999999"/>
    <x v="22"/>
    <x v="9"/>
    <x v="17"/>
    <x v="100"/>
    <x v="61"/>
  </r>
  <r>
    <n v="205"/>
    <x v="8"/>
    <n v="1"/>
    <n v="0"/>
    <n v="1"/>
    <x v="0"/>
    <x v="19"/>
    <x v="0"/>
    <n v="0"/>
    <x v="1"/>
    <x v="1"/>
    <n v="1"/>
    <x v="0"/>
    <x v="13"/>
    <n v="0.13639999999999999"/>
    <x v="21"/>
    <x v="9"/>
    <x v="5"/>
    <x v="71"/>
    <x v="102"/>
  </r>
  <r>
    <n v="206"/>
    <x v="8"/>
    <n v="1"/>
    <n v="0"/>
    <n v="1"/>
    <x v="0"/>
    <x v="20"/>
    <x v="0"/>
    <n v="0"/>
    <x v="1"/>
    <x v="1"/>
    <n v="1"/>
    <x v="0"/>
    <x v="14"/>
    <n v="0.1212"/>
    <x v="15"/>
    <x v="2"/>
    <x v="3"/>
    <x v="101"/>
    <x v="103"/>
  </r>
  <r>
    <n v="207"/>
    <x v="8"/>
    <n v="1"/>
    <n v="0"/>
    <n v="1"/>
    <x v="0"/>
    <x v="21"/>
    <x v="0"/>
    <n v="0"/>
    <x v="1"/>
    <x v="1"/>
    <n v="1"/>
    <x v="0"/>
    <x v="14"/>
    <n v="0.1061"/>
    <x v="15"/>
    <x v="12"/>
    <x v="5"/>
    <x v="23"/>
    <x v="25"/>
  </r>
  <r>
    <n v="208"/>
    <x v="8"/>
    <n v="1"/>
    <n v="0"/>
    <n v="1"/>
    <x v="0"/>
    <x v="22"/>
    <x v="0"/>
    <n v="0"/>
    <x v="1"/>
    <x v="1"/>
    <n v="1"/>
    <x v="0"/>
    <x v="14"/>
    <n v="0.1212"/>
    <x v="15"/>
    <x v="4"/>
    <x v="2"/>
    <x v="3"/>
    <x v="93"/>
  </r>
  <r>
    <n v="209"/>
    <x v="8"/>
    <n v="1"/>
    <n v="0"/>
    <n v="1"/>
    <x v="0"/>
    <x v="23"/>
    <x v="0"/>
    <n v="0"/>
    <x v="1"/>
    <x v="1"/>
    <n v="1"/>
    <x v="0"/>
    <x v="16"/>
    <n v="0.13639999999999999"/>
    <x v="20"/>
    <x v="5"/>
    <x v="3"/>
    <x v="8"/>
    <x v="24"/>
  </r>
  <r>
    <n v="210"/>
    <x v="9"/>
    <n v="1"/>
    <n v="0"/>
    <n v="1"/>
    <x v="0"/>
    <x v="0"/>
    <x v="0"/>
    <n v="1"/>
    <x v="2"/>
    <x v="1"/>
    <n v="1"/>
    <x v="0"/>
    <x v="16"/>
    <n v="0.1212"/>
    <x v="20"/>
    <x v="3"/>
    <x v="4"/>
    <x v="35"/>
    <x v="36"/>
  </r>
  <r>
    <n v="211"/>
    <x v="9"/>
    <n v="1"/>
    <n v="0"/>
    <n v="1"/>
    <x v="0"/>
    <x v="1"/>
    <x v="0"/>
    <n v="1"/>
    <x v="2"/>
    <x v="1"/>
    <n v="1"/>
    <x v="0"/>
    <x v="16"/>
    <n v="0.1212"/>
    <x v="20"/>
    <x v="3"/>
    <x v="5"/>
    <x v="5"/>
    <x v="4"/>
  </r>
  <r>
    <n v="212"/>
    <x v="9"/>
    <n v="1"/>
    <n v="0"/>
    <n v="1"/>
    <x v="0"/>
    <x v="2"/>
    <x v="0"/>
    <n v="1"/>
    <x v="2"/>
    <x v="1"/>
    <n v="1"/>
    <x v="0"/>
    <x v="16"/>
    <n v="0.1212"/>
    <x v="20"/>
    <x v="6"/>
    <x v="3"/>
    <x v="35"/>
    <x v="6"/>
  </r>
  <r>
    <n v="213"/>
    <x v="9"/>
    <n v="1"/>
    <n v="0"/>
    <n v="1"/>
    <x v="0"/>
    <x v="3"/>
    <x v="0"/>
    <n v="1"/>
    <x v="2"/>
    <x v="1"/>
    <n v="1"/>
    <x v="0"/>
    <x v="16"/>
    <n v="0.1212"/>
    <x v="20"/>
    <x v="6"/>
    <x v="3"/>
    <x v="4"/>
    <x v="4"/>
  </r>
  <r>
    <n v="214"/>
    <x v="9"/>
    <n v="1"/>
    <n v="0"/>
    <n v="1"/>
    <x v="0"/>
    <x v="4"/>
    <x v="0"/>
    <n v="1"/>
    <x v="2"/>
    <x v="1"/>
    <n v="1"/>
    <x v="0"/>
    <x v="18"/>
    <n v="0.1212"/>
    <x v="47"/>
    <x v="7"/>
    <x v="5"/>
    <x v="6"/>
    <x v="6"/>
  </r>
  <r>
    <n v="215"/>
    <x v="9"/>
    <n v="1"/>
    <n v="0"/>
    <n v="1"/>
    <x v="0"/>
    <x v="5"/>
    <x v="0"/>
    <n v="1"/>
    <x v="2"/>
    <x v="1"/>
    <n v="1"/>
    <x v="0"/>
    <x v="18"/>
    <n v="0.1061"/>
    <x v="47"/>
    <x v="2"/>
    <x v="3"/>
    <x v="35"/>
    <x v="6"/>
  </r>
  <r>
    <n v="216"/>
    <x v="9"/>
    <n v="1"/>
    <n v="0"/>
    <n v="1"/>
    <x v="0"/>
    <x v="6"/>
    <x v="0"/>
    <n v="1"/>
    <x v="2"/>
    <x v="1"/>
    <n v="1"/>
    <x v="0"/>
    <x v="16"/>
    <n v="0.1212"/>
    <x v="20"/>
    <x v="3"/>
    <x v="3"/>
    <x v="17"/>
    <x v="35"/>
  </r>
  <r>
    <n v="217"/>
    <x v="9"/>
    <n v="1"/>
    <n v="0"/>
    <n v="1"/>
    <x v="0"/>
    <x v="7"/>
    <x v="0"/>
    <n v="1"/>
    <x v="2"/>
    <x v="1"/>
    <n v="1"/>
    <x v="0"/>
    <x v="16"/>
    <n v="0.1212"/>
    <x v="20"/>
    <x v="6"/>
    <x v="4"/>
    <x v="102"/>
    <x v="43"/>
  </r>
  <r>
    <n v="218"/>
    <x v="9"/>
    <n v="1"/>
    <n v="0"/>
    <n v="1"/>
    <x v="0"/>
    <x v="8"/>
    <x v="0"/>
    <n v="1"/>
    <x v="2"/>
    <x v="1"/>
    <n v="2"/>
    <x v="1"/>
    <x v="16"/>
    <n v="0.1212"/>
    <x v="20"/>
    <x v="3"/>
    <x v="17"/>
    <x v="103"/>
    <x v="104"/>
  </r>
  <r>
    <n v="219"/>
    <x v="9"/>
    <n v="1"/>
    <n v="0"/>
    <n v="1"/>
    <x v="0"/>
    <x v="9"/>
    <x v="0"/>
    <n v="1"/>
    <x v="2"/>
    <x v="1"/>
    <n v="2"/>
    <x v="1"/>
    <x v="14"/>
    <n v="0.1212"/>
    <x v="20"/>
    <x v="2"/>
    <x v="4"/>
    <x v="50"/>
    <x v="12"/>
  </r>
  <r>
    <n v="220"/>
    <x v="9"/>
    <n v="1"/>
    <n v="0"/>
    <n v="1"/>
    <x v="0"/>
    <x v="10"/>
    <x v="0"/>
    <n v="1"/>
    <x v="2"/>
    <x v="1"/>
    <n v="2"/>
    <x v="1"/>
    <x v="14"/>
    <n v="0.1212"/>
    <x v="20"/>
    <x v="4"/>
    <x v="3"/>
    <x v="17"/>
    <x v="35"/>
  </r>
  <r>
    <n v="221"/>
    <x v="9"/>
    <n v="1"/>
    <n v="0"/>
    <n v="1"/>
    <x v="0"/>
    <x v="11"/>
    <x v="0"/>
    <n v="1"/>
    <x v="2"/>
    <x v="1"/>
    <n v="2"/>
    <x v="1"/>
    <x v="13"/>
    <n v="0.13639999999999999"/>
    <x v="19"/>
    <x v="3"/>
    <x v="4"/>
    <x v="95"/>
    <x v="33"/>
  </r>
  <r>
    <n v="222"/>
    <x v="9"/>
    <n v="1"/>
    <n v="0"/>
    <n v="1"/>
    <x v="0"/>
    <x v="12"/>
    <x v="0"/>
    <n v="1"/>
    <x v="2"/>
    <x v="1"/>
    <n v="2"/>
    <x v="1"/>
    <x v="2"/>
    <n v="0.18179999999999999"/>
    <x v="22"/>
    <x v="3"/>
    <x v="2"/>
    <x v="12"/>
    <x v="46"/>
  </r>
  <r>
    <n v="223"/>
    <x v="9"/>
    <n v="1"/>
    <n v="0"/>
    <n v="1"/>
    <x v="0"/>
    <x v="13"/>
    <x v="0"/>
    <n v="1"/>
    <x v="2"/>
    <x v="1"/>
    <n v="2"/>
    <x v="1"/>
    <x v="2"/>
    <n v="0.18179999999999999"/>
    <x v="22"/>
    <x v="3"/>
    <x v="17"/>
    <x v="54"/>
    <x v="60"/>
  </r>
  <r>
    <n v="224"/>
    <x v="9"/>
    <n v="1"/>
    <n v="0"/>
    <n v="1"/>
    <x v="0"/>
    <x v="14"/>
    <x v="0"/>
    <n v="1"/>
    <x v="2"/>
    <x v="1"/>
    <n v="2"/>
    <x v="1"/>
    <x v="2"/>
    <n v="0.19700000000000001"/>
    <x v="22"/>
    <x v="6"/>
    <x v="3"/>
    <x v="12"/>
    <x v="105"/>
  </r>
  <r>
    <n v="225"/>
    <x v="9"/>
    <n v="1"/>
    <n v="0"/>
    <n v="1"/>
    <x v="0"/>
    <x v="15"/>
    <x v="0"/>
    <n v="1"/>
    <x v="2"/>
    <x v="1"/>
    <n v="2"/>
    <x v="1"/>
    <x v="2"/>
    <n v="0.19700000000000001"/>
    <x v="22"/>
    <x v="6"/>
    <x v="4"/>
    <x v="30"/>
    <x v="79"/>
  </r>
  <r>
    <n v="226"/>
    <x v="9"/>
    <n v="1"/>
    <n v="0"/>
    <n v="1"/>
    <x v="0"/>
    <x v="16"/>
    <x v="0"/>
    <n v="1"/>
    <x v="2"/>
    <x v="1"/>
    <n v="1"/>
    <x v="0"/>
    <x v="2"/>
    <n v="0.21210000000000001"/>
    <x v="22"/>
    <x v="7"/>
    <x v="17"/>
    <x v="14"/>
    <x v="30"/>
  </r>
  <r>
    <n v="227"/>
    <x v="9"/>
    <n v="1"/>
    <n v="0"/>
    <n v="1"/>
    <x v="0"/>
    <x v="17"/>
    <x v="0"/>
    <n v="1"/>
    <x v="2"/>
    <x v="1"/>
    <n v="1"/>
    <x v="0"/>
    <x v="2"/>
    <n v="0.2273"/>
    <x v="22"/>
    <x v="14"/>
    <x v="17"/>
    <x v="104"/>
    <x v="106"/>
  </r>
  <r>
    <n v="228"/>
    <x v="9"/>
    <n v="1"/>
    <n v="0"/>
    <n v="1"/>
    <x v="0"/>
    <x v="18"/>
    <x v="0"/>
    <n v="1"/>
    <x v="2"/>
    <x v="1"/>
    <n v="1"/>
    <x v="0"/>
    <x v="2"/>
    <n v="0.19700000000000001"/>
    <x v="22"/>
    <x v="6"/>
    <x v="5"/>
    <x v="105"/>
    <x v="107"/>
  </r>
  <r>
    <n v="229"/>
    <x v="9"/>
    <n v="1"/>
    <n v="0"/>
    <n v="1"/>
    <x v="0"/>
    <x v="19"/>
    <x v="0"/>
    <n v="1"/>
    <x v="2"/>
    <x v="1"/>
    <n v="1"/>
    <x v="0"/>
    <x v="13"/>
    <n v="0.16669999999999999"/>
    <x v="19"/>
    <x v="8"/>
    <x v="0"/>
    <x v="50"/>
    <x v="76"/>
  </r>
  <r>
    <n v="230"/>
    <x v="9"/>
    <n v="1"/>
    <n v="0"/>
    <n v="1"/>
    <x v="0"/>
    <x v="20"/>
    <x v="0"/>
    <n v="1"/>
    <x v="2"/>
    <x v="1"/>
    <n v="1"/>
    <x v="0"/>
    <x v="13"/>
    <n v="0.16669999999999999"/>
    <x v="20"/>
    <x v="8"/>
    <x v="5"/>
    <x v="26"/>
    <x v="30"/>
  </r>
  <r>
    <n v="231"/>
    <x v="9"/>
    <n v="1"/>
    <n v="0"/>
    <n v="1"/>
    <x v="0"/>
    <x v="21"/>
    <x v="0"/>
    <n v="1"/>
    <x v="2"/>
    <x v="1"/>
    <n v="1"/>
    <x v="0"/>
    <x v="14"/>
    <n v="0.13639999999999999"/>
    <x v="29"/>
    <x v="5"/>
    <x v="5"/>
    <x v="53"/>
    <x v="103"/>
  </r>
  <r>
    <n v="232"/>
    <x v="9"/>
    <n v="1"/>
    <n v="0"/>
    <n v="1"/>
    <x v="0"/>
    <x v="22"/>
    <x v="0"/>
    <n v="1"/>
    <x v="2"/>
    <x v="1"/>
    <n v="1"/>
    <x v="0"/>
    <x v="14"/>
    <n v="0.1515"/>
    <x v="29"/>
    <x v="8"/>
    <x v="4"/>
    <x v="97"/>
    <x v="108"/>
  </r>
  <r>
    <n v="233"/>
    <x v="9"/>
    <n v="1"/>
    <n v="0"/>
    <n v="1"/>
    <x v="0"/>
    <x v="23"/>
    <x v="0"/>
    <n v="1"/>
    <x v="2"/>
    <x v="1"/>
    <n v="1"/>
    <x v="0"/>
    <x v="14"/>
    <n v="0.1515"/>
    <x v="29"/>
    <x v="8"/>
    <x v="3"/>
    <x v="72"/>
    <x v="109"/>
  </r>
  <r>
    <n v="234"/>
    <x v="10"/>
    <n v="1"/>
    <n v="0"/>
    <n v="1"/>
    <x v="0"/>
    <x v="0"/>
    <x v="0"/>
    <n v="2"/>
    <x v="3"/>
    <x v="0"/>
    <n v="1"/>
    <x v="0"/>
    <x v="14"/>
    <n v="0.16669999999999999"/>
    <x v="29"/>
    <x v="14"/>
    <x v="4"/>
    <x v="3"/>
    <x v="47"/>
  </r>
  <r>
    <n v="235"/>
    <x v="10"/>
    <n v="1"/>
    <n v="0"/>
    <n v="1"/>
    <x v="0"/>
    <x v="1"/>
    <x v="0"/>
    <n v="2"/>
    <x v="3"/>
    <x v="0"/>
    <n v="1"/>
    <x v="0"/>
    <x v="14"/>
    <n v="0.1515"/>
    <x v="29"/>
    <x v="8"/>
    <x v="3"/>
    <x v="35"/>
    <x v="6"/>
  </r>
  <r>
    <n v="236"/>
    <x v="10"/>
    <n v="1"/>
    <n v="0"/>
    <n v="1"/>
    <x v="0"/>
    <x v="2"/>
    <x v="0"/>
    <n v="2"/>
    <x v="3"/>
    <x v="0"/>
    <n v="2"/>
    <x v="1"/>
    <x v="13"/>
    <n v="0.1515"/>
    <x v="28"/>
    <x v="5"/>
    <x v="3"/>
    <x v="35"/>
    <x v="6"/>
  </r>
  <r>
    <n v="237"/>
    <x v="10"/>
    <n v="1"/>
    <n v="0"/>
    <n v="1"/>
    <x v="0"/>
    <x v="5"/>
    <x v="0"/>
    <n v="2"/>
    <x v="3"/>
    <x v="0"/>
    <n v="2"/>
    <x v="1"/>
    <x v="13"/>
    <n v="0.18179999999999999"/>
    <x v="28"/>
    <x v="7"/>
    <x v="3"/>
    <x v="8"/>
    <x v="24"/>
  </r>
  <r>
    <n v="238"/>
    <x v="10"/>
    <n v="1"/>
    <n v="0"/>
    <n v="1"/>
    <x v="0"/>
    <x v="6"/>
    <x v="0"/>
    <n v="2"/>
    <x v="3"/>
    <x v="0"/>
    <n v="2"/>
    <x v="1"/>
    <x v="13"/>
    <n v="0.18179999999999999"/>
    <x v="28"/>
    <x v="7"/>
    <x v="3"/>
    <x v="2"/>
    <x v="110"/>
  </r>
  <r>
    <n v="239"/>
    <x v="10"/>
    <n v="1"/>
    <n v="0"/>
    <n v="1"/>
    <x v="0"/>
    <x v="7"/>
    <x v="0"/>
    <n v="2"/>
    <x v="3"/>
    <x v="0"/>
    <n v="2"/>
    <x v="1"/>
    <x v="13"/>
    <n v="0.2273"/>
    <x v="28"/>
    <x v="0"/>
    <x v="4"/>
    <x v="106"/>
    <x v="111"/>
  </r>
  <r>
    <n v="240"/>
    <x v="10"/>
    <n v="1"/>
    <n v="0"/>
    <n v="1"/>
    <x v="0"/>
    <x v="8"/>
    <x v="0"/>
    <n v="2"/>
    <x v="3"/>
    <x v="0"/>
    <n v="2"/>
    <x v="1"/>
    <x v="15"/>
    <n v="0.21210000000000001"/>
    <x v="33"/>
    <x v="1"/>
    <x v="0"/>
    <x v="107"/>
    <x v="112"/>
  </r>
  <r>
    <n v="241"/>
    <x v="10"/>
    <n v="1"/>
    <n v="0"/>
    <n v="1"/>
    <x v="0"/>
    <x v="9"/>
    <x v="0"/>
    <n v="2"/>
    <x v="3"/>
    <x v="0"/>
    <n v="2"/>
    <x v="1"/>
    <x v="15"/>
    <n v="0.19700000000000001"/>
    <x v="33"/>
    <x v="8"/>
    <x v="0"/>
    <x v="69"/>
    <x v="113"/>
  </r>
  <r>
    <n v="242"/>
    <x v="10"/>
    <n v="1"/>
    <n v="0"/>
    <n v="1"/>
    <x v="0"/>
    <x v="10"/>
    <x v="0"/>
    <n v="2"/>
    <x v="3"/>
    <x v="0"/>
    <n v="2"/>
    <x v="1"/>
    <x v="2"/>
    <n v="0.21210000000000001"/>
    <x v="33"/>
    <x v="8"/>
    <x v="0"/>
    <x v="82"/>
    <x v="60"/>
  </r>
  <r>
    <n v="243"/>
    <x v="10"/>
    <n v="1"/>
    <n v="0"/>
    <n v="1"/>
    <x v="0"/>
    <x v="11"/>
    <x v="0"/>
    <n v="2"/>
    <x v="3"/>
    <x v="0"/>
    <n v="2"/>
    <x v="1"/>
    <x v="2"/>
    <n v="0.21210000000000001"/>
    <x v="19"/>
    <x v="7"/>
    <x v="17"/>
    <x v="17"/>
    <x v="17"/>
  </r>
  <r>
    <n v="244"/>
    <x v="10"/>
    <n v="1"/>
    <n v="0"/>
    <n v="1"/>
    <x v="0"/>
    <x v="12"/>
    <x v="0"/>
    <n v="2"/>
    <x v="3"/>
    <x v="0"/>
    <n v="2"/>
    <x v="1"/>
    <x v="2"/>
    <n v="0.2273"/>
    <x v="33"/>
    <x v="14"/>
    <x v="4"/>
    <x v="11"/>
    <x v="52"/>
  </r>
  <r>
    <n v="245"/>
    <x v="10"/>
    <n v="1"/>
    <n v="0"/>
    <n v="1"/>
    <x v="0"/>
    <x v="13"/>
    <x v="0"/>
    <n v="2"/>
    <x v="3"/>
    <x v="0"/>
    <n v="2"/>
    <x v="1"/>
    <x v="2"/>
    <n v="0.2273"/>
    <x v="29"/>
    <x v="1"/>
    <x v="15"/>
    <x v="24"/>
    <x v="46"/>
  </r>
  <r>
    <n v="246"/>
    <x v="10"/>
    <n v="1"/>
    <n v="0"/>
    <n v="1"/>
    <x v="0"/>
    <x v="14"/>
    <x v="0"/>
    <n v="2"/>
    <x v="3"/>
    <x v="0"/>
    <n v="2"/>
    <x v="1"/>
    <x v="2"/>
    <n v="0.2273"/>
    <x v="29"/>
    <x v="1"/>
    <x v="0"/>
    <x v="91"/>
    <x v="55"/>
  </r>
  <r>
    <n v="247"/>
    <x v="10"/>
    <n v="1"/>
    <n v="0"/>
    <n v="1"/>
    <x v="0"/>
    <x v="15"/>
    <x v="0"/>
    <n v="2"/>
    <x v="3"/>
    <x v="0"/>
    <n v="2"/>
    <x v="1"/>
    <x v="13"/>
    <n v="0.19700000000000001"/>
    <x v="1"/>
    <x v="1"/>
    <x v="4"/>
    <x v="108"/>
    <x v="105"/>
  </r>
  <r>
    <n v="248"/>
    <x v="10"/>
    <n v="1"/>
    <n v="0"/>
    <n v="1"/>
    <x v="0"/>
    <x v="16"/>
    <x v="0"/>
    <n v="2"/>
    <x v="3"/>
    <x v="0"/>
    <n v="2"/>
    <x v="1"/>
    <x v="13"/>
    <n v="0.1515"/>
    <x v="3"/>
    <x v="6"/>
    <x v="17"/>
    <x v="109"/>
    <x v="31"/>
  </r>
  <r>
    <n v="249"/>
    <x v="10"/>
    <n v="1"/>
    <n v="0"/>
    <n v="1"/>
    <x v="0"/>
    <x v="17"/>
    <x v="0"/>
    <n v="2"/>
    <x v="3"/>
    <x v="0"/>
    <n v="2"/>
    <x v="1"/>
    <x v="13"/>
    <n v="0.1515"/>
    <x v="3"/>
    <x v="6"/>
    <x v="15"/>
    <x v="110"/>
    <x v="114"/>
  </r>
  <r>
    <n v="250"/>
    <x v="10"/>
    <n v="1"/>
    <n v="0"/>
    <n v="1"/>
    <x v="0"/>
    <x v="18"/>
    <x v="0"/>
    <n v="2"/>
    <x v="3"/>
    <x v="0"/>
    <n v="3"/>
    <x v="2"/>
    <x v="13"/>
    <n v="0.18179999999999999"/>
    <x v="43"/>
    <x v="14"/>
    <x v="5"/>
    <x v="111"/>
    <x v="76"/>
  </r>
  <r>
    <n v="251"/>
    <x v="10"/>
    <n v="1"/>
    <n v="0"/>
    <n v="1"/>
    <x v="0"/>
    <x v="19"/>
    <x v="0"/>
    <n v="2"/>
    <x v="3"/>
    <x v="0"/>
    <n v="3"/>
    <x v="2"/>
    <x v="13"/>
    <n v="0.2273"/>
    <x v="43"/>
    <x v="0"/>
    <x v="3"/>
    <x v="82"/>
    <x v="41"/>
  </r>
  <r>
    <n v="252"/>
    <x v="10"/>
    <n v="1"/>
    <n v="0"/>
    <n v="1"/>
    <x v="0"/>
    <x v="20"/>
    <x v="0"/>
    <n v="2"/>
    <x v="3"/>
    <x v="0"/>
    <n v="3"/>
    <x v="2"/>
    <x v="13"/>
    <n v="0.1515"/>
    <x v="43"/>
    <x v="5"/>
    <x v="3"/>
    <x v="1"/>
    <x v="2"/>
  </r>
  <r>
    <n v="253"/>
    <x v="10"/>
    <n v="1"/>
    <n v="0"/>
    <n v="1"/>
    <x v="0"/>
    <x v="21"/>
    <x v="0"/>
    <n v="2"/>
    <x v="3"/>
    <x v="0"/>
    <n v="3"/>
    <x v="2"/>
    <x v="13"/>
    <n v="0.19700000000000001"/>
    <x v="3"/>
    <x v="1"/>
    <x v="3"/>
    <x v="32"/>
    <x v="25"/>
  </r>
  <r>
    <n v="254"/>
    <x v="10"/>
    <n v="1"/>
    <n v="0"/>
    <n v="1"/>
    <x v="0"/>
    <x v="22"/>
    <x v="0"/>
    <n v="2"/>
    <x v="3"/>
    <x v="0"/>
    <n v="3"/>
    <x v="2"/>
    <x v="13"/>
    <n v="0.18179999999999999"/>
    <x v="43"/>
    <x v="14"/>
    <x v="5"/>
    <x v="95"/>
    <x v="115"/>
  </r>
  <r>
    <n v="255"/>
    <x v="10"/>
    <n v="1"/>
    <n v="0"/>
    <n v="1"/>
    <x v="0"/>
    <x v="23"/>
    <x v="0"/>
    <n v="2"/>
    <x v="3"/>
    <x v="0"/>
    <n v="3"/>
    <x v="2"/>
    <x v="13"/>
    <n v="0.19700000000000001"/>
    <x v="43"/>
    <x v="1"/>
    <x v="5"/>
    <x v="72"/>
    <x v="75"/>
  </r>
  <r>
    <n v="256"/>
    <x v="11"/>
    <n v="1"/>
    <n v="0"/>
    <n v="1"/>
    <x v="0"/>
    <x v="0"/>
    <x v="0"/>
    <n v="3"/>
    <x v="4"/>
    <x v="0"/>
    <n v="2"/>
    <x v="1"/>
    <x v="13"/>
    <n v="0.19700000000000001"/>
    <x v="3"/>
    <x v="1"/>
    <x v="3"/>
    <x v="7"/>
    <x v="85"/>
  </r>
  <r>
    <n v="257"/>
    <x v="11"/>
    <n v="1"/>
    <n v="0"/>
    <n v="1"/>
    <x v="0"/>
    <x v="1"/>
    <x v="0"/>
    <n v="3"/>
    <x v="4"/>
    <x v="0"/>
    <n v="2"/>
    <x v="1"/>
    <x v="13"/>
    <n v="0.18179999999999999"/>
    <x v="3"/>
    <x v="14"/>
    <x v="3"/>
    <x v="8"/>
    <x v="24"/>
  </r>
  <r>
    <n v="258"/>
    <x v="11"/>
    <n v="1"/>
    <n v="0"/>
    <n v="1"/>
    <x v="0"/>
    <x v="2"/>
    <x v="0"/>
    <n v="3"/>
    <x v="4"/>
    <x v="0"/>
    <n v="1"/>
    <x v="0"/>
    <x v="14"/>
    <n v="0.1515"/>
    <x v="3"/>
    <x v="7"/>
    <x v="3"/>
    <x v="4"/>
    <x v="4"/>
  </r>
  <r>
    <n v="259"/>
    <x v="11"/>
    <n v="1"/>
    <n v="0"/>
    <n v="1"/>
    <x v="0"/>
    <x v="5"/>
    <x v="0"/>
    <n v="3"/>
    <x v="4"/>
    <x v="0"/>
    <n v="1"/>
    <x v="0"/>
    <x v="14"/>
    <n v="0.1515"/>
    <x v="3"/>
    <x v="8"/>
    <x v="3"/>
    <x v="34"/>
    <x v="36"/>
  </r>
  <r>
    <n v="260"/>
    <x v="11"/>
    <n v="1"/>
    <n v="0"/>
    <n v="1"/>
    <x v="0"/>
    <x v="6"/>
    <x v="0"/>
    <n v="3"/>
    <x v="4"/>
    <x v="0"/>
    <n v="1"/>
    <x v="0"/>
    <x v="16"/>
    <n v="0.1515"/>
    <x v="43"/>
    <x v="7"/>
    <x v="3"/>
    <x v="20"/>
    <x v="0"/>
  </r>
  <r>
    <n v="261"/>
    <x v="11"/>
    <n v="1"/>
    <n v="0"/>
    <n v="1"/>
    <x v="0"/>
    <x v="7"/>
    <x v="0"/>
    <n v="3"/>
    <x v="4"/>
    <x v="0"/>
    <n v="1"/>
    <x v="0"/>
    <x v="14"/>
    <n v="0.1515"/>
    <x v="27"/>
    <x v="7"/>
    <x v="3"/>
    <x v="25"/>
    <x v="60"/>
  </r>
  <r>
    <n v="262"/>
    <x v="11"/>
    <n v="1"/>
    <n v="0"/>
    <n v="1"/>
    <x v="0"/>
    <x v="8"/>
    <x v="0"/>
    <n v="3"/>
    <x v="4"/>
    <x v="0"/>
    <n v="1"/>
    <x v="0"/>
    <x v="13"/>
    <n v="0.16669999999999999"/>
    <x v="29"/>
    <x v="8"/>
    <x v="0"/>
    <x v="85"/>
    <x v="116"/>
  </r>
  <r>
    <n v="263"/>
    <x v="11"/>
    <n v="1"/>
    <n v="0"/>
    <n v="1"/>
    <x v="0"/>
    <x v="9"/>
    <x v="0"/>
    <n v="3"/>
    <x v="4"/>
    <x v="0"/>
    <n v="1"/>
    <x v="0"/>
    <x v="13"/>
    <n v="0.13639999999999999"/>
    <x v="29"/>
    <x v="9"/>
    <x v="0"/>
    <x v="78"/>
    <x v="117"/>
  </r>
  <r>
    <n v="264"/>
    <x v="11"/>
    <n v="1"/>
    <n v="0"/>
    <n v="1"/>
    <x v="0"/>
    <x v="10"/>
    <x v="0"/>
    <n v="3"/>
    <x v="4"/>
    <x v="0"/>
    <n v="1"/>
    <x v="0"/>
    <x v="15"/>
    <n v="0.18179999999999999"/>
    <x v="28"/>
    <x v="6"/>
    <x v="3"/>
    <x v="87"/>
    <x v="21"/>
  </r>
  <r>
    <n v="265"/>
    <x v="11"/>
    <n v="1"/>
    <n v="0"/>
    <n v="1"/>
    <x v="0"/>
    <x v="11"/>
    <x v="0"/>
    <n v="3"/>
    <x v="4"/>
    <x v="0"/>
    <n v="1"/>
    <x v="0"/>
    <x v="2"/>
    <n v="0.18179999999999999"/>
    <x v="33"/>
    <x v="13"/>
    <x v="0"/>
    <x v="1"/>
    <x v="17"/>
  </r>
  <r>
    <n v="266"/>
    <x v="11"/>
    <n v="1"/>
    <n v="0"/>
    <n v="1"/>
    <x v="0"/>
    <x v="12"/>
    <x v="0"/>
    <n v="3"/>
    <x v="4"/>
    <x v="0"/>
    <n v="1"/>
    <x v="0"/>
    <x v="2"/>
    <n v="0.1515"/>
    <x v="19"/>
    <x v="19"/>
    <x v="0"/>
    <x v="15"/>
    <x v="97"/>
  </r>
  <r>
    <n v="267"/>
    <x v="11"/>
    <n v="1"/>
    <n v="0"/>
    <n v="1"/>
    <x v="0"/>
    <x v="13"/>
    <x v="0"/>
    <n v="3"/>
    <x v="4"/>
    <x v="0"/>
    <n v="1"/>
    <x v="0"/>
    <x v="1"/>
    <n v="0.19700000000000001"/>
    <x v="18"/>
    <x v="11"/>
    <x v="3"/>
    <x v="47"/>
    <x v="99"/>
  </r>
  <r>
    <n v="268"/>
    <x v="11"/>
    <n v="1"/>
    <n v="0"/>
    <n v="1"/>
    <x v="0"/>
    <x v="14"/>
    <x v="0"/>
    <n v="3"/>
    <x v="4"/>
    <x v="0"/>
    <n v="1"/>
    <x v="0"/>
    <x v="2"/>
    <n v="0.18179999999999999"/>
    <x v="19"/>
    <x v="9"/>
    <x v="3"/>
    <x v="100"/>
    <x v="40"/>
  </r>
  <r>
    <n v="269"/>
    <x v="11"/>
    <n v="1"/>
    <n v="0"/>
    <n v="1"/>
    <x v="0"/>
    <x v="15"/>
    <x v="0"/>
    <n v="3"/>
    <x v="4"/>
    <x v="0"/>
    <n v="1"/>
    <x v="0"/>
    <x v="2"/>
    <n v="0.16669999999999999"/>
    <x v="19"/>
    <x v="12"/>
    <x v="5"/>
    <x v="41"/>
    <x v="99"/>
  </r>
  <r>
    <n v="270"/>
    <x v="11"/>
    <n v="1"/>
    <n v="0"/>
    <n v="1"/>
    <x v="0"/>
    <x v="16"/>
    <x v="0"/>
    <n v="3"/>
    <x v="4"/>
    <x v="0"/>
    <n v="1"/>
    <x v="0"/>
    <x v="1"/>
    <n v="0.19700000000000001"/>
    <x v="18"/>
    <x v="9"/>
    <x v="2"/>
    <x v="36"/>
    <x v="118"/>
  </r>
  <r>
    <n v="271"/>
    <x v="11"/>
    <n v="1"/>
    <n v="0"/>
    <n v="1"/>
    <x v="0"/>
    <x v="17"/>
    <x v="0"/>
    <n v="3"/>
    <x v="4"/>
    <x v="0"/>
    <n v="1"/>
    <x v="0"/>
    <x v="2"/>
    <n v="0.18179999999999999"/>
    <x v="19"/>
    <x v="11"/>
    <x v="3"/>
    <x v="112"/>
    <x v="119"/>
  </r>
  <r>
    <n v="272"/>
    <x v="11"/>
    <n v="1"/>
    <n v="0"/>
    <n v="1"/>
    <x v="0"/>
    <x v="18"/>
    <x v="0"/>
    <n v="3"/>
    <x v="4"/>
    <x v="0"/>
    <n v="1"/>
    <x v="0"/>
    <x v="2"/>
    <n v="0.1515"/>
    <x v="19"/>
    <x v="18"/>
    <x v="4"/>
    <x v="113"/>
    <x v="120"/>
  </r>
  <r>
    <n v="273"/>
    <x v="11"/>
    <n v="1"/>
    <n v="0"/>
    <n v="1"/>
    <x v="0"/>
    <x v="19"/>
    <x v="0"/>
    <n v="3"/>
    <x v="4"/>
    <x v="0"/>
    <n v="1"/>
    <x v="0"/>
    <x v="15"/>
    <n v="0.1515"/>
    <x v="19"/>
    <x v="12"/>
    <x v="5"/>
    <x v="70"/>
    <x v="56"/>
  </r>
  <r>
    <n v="274"/>
    <x v="11"/>
    <n v="1"/>
    <n v="0"/>
    <n v="1"/>
    <x v="0"/>
    <x v="20"/>
    <x v="0"/>
    <n v="3"/>
    <x v="4"/>
    <x v="0"/>
    <n v="1"/>
    <x v="0"/>
    <x v="13"/>
    <n v="0.13639999999999999"/>
    <x v="20"/>
    <x v="9"/>
    <x v="4"/>
    <x v="25"/>
    <x v="10"/>
  </r>
  <r>
    <n v="275"/>
    <x v="11"/>
    <n v="1"/>
    <n v="0"/>
    <n v="1"/>
    <x v="0"/>
    <x v="21"/>
    <x v="0"/>
    <n v="3"/>
    <x v="4"/>
    <x v="0"/>
    <n v="1"/>
    <x v="0"/>
    <x v="13"/>
    <n v="0.13639999999999999"/>
    <x v="28"/>
    <x v="9"/>
    <x v="3"/>
    <x v="77"/>
    <x v="52"/>
  </r>
  <r>
    <n v="276"/>
    <x v="11"/>
    <n v="1"/>
    <n v="0"/>
    <n v="1"/>
    <x v="0"/>
    <x v="22"/>
    <x v="0"/>
    <n v="3"/>
    <x v="4"/>
    <x v="0"/>
    <n v="1"/>
    <x v="0"/>
    <x v="13"/>
    <n v="0.1212"/>
    <x v="28"/>
    <x v="10"/>
    <x v="5"/>
    <x v="1"/>
    <x v="63"/>
  </r>
  <r>
    <n v="277"/>
    <x v="11"/>
    <n v="1"/>
    <n v="0"/>
    <n v="1"/>
    <x v="0"/>
    <x v="23"/>
    <x v="0"/>
    <n v="3"/>
    <x v="4"/>
    <x v="0"/>
    <n v="1"/>
    <x v="0"/>
    <x v="14"/>
    <n v="0.1061"/>
    <x v="29"/>
    <x v="12"/>
    <x v="5"/>
    <x v="23"/>
    <x v="25"/>
  </r>
  <r>
    <n v="278"/>
    <x v="12"/>
    <n v="1"/>
    <n v="0"/>
    <n v="1"/>
    <x v="0"/>
    <x v="0"/>
    <x v="0"/>
    <n v="4"/>
    <x v="5"/>
    <x v="0"/>
    <n v="1"/>
    <x v="0"/>
    <x v="14"/>
    <n v="0.1212"/>
    <x v="29"/>
    <x v="3"/>
    <x v="5"/>
    <x v="8"/>
    <x v="85"/>
  </r>
  <r>
    <n v="279"/>
    <x v="12"/>
    <n v="1"/>
    <n v="0"/>
    <n v="1"/>
    <x v="0"/>
    <x v="1"/>
    <x v="0"/>
    <n v="4"/>
    <x v="5"/>
    <x v="0"/>
    <n v="1"/>
    <x v="0"/>
    <x v="14"/>
    <n v="0.1212"/>
    <x v="20"/>
    <x v="3"/>
    <x v="3"/>
    <x v="6"/>
    <x v="5"/>
  </r>
  <r>
    <n v="280"/>
    <x v="12"/>
    <n v="1"/>
    <n v="0"/>
    <n v="1"/>
    <x v="0"/>
    <x v="2"/>
    <x v="0"/>
    <n v="4"/>
    <x v="5"/>
    <x v="0"/>
    <n v="1"/>
    <x v="0"/>
    <x v="14"/>
    <n v="0.1212"/>
    <x v="20"/>
    <x v="11"/>
    <x v="3"/>
    <x v="6"/>
    <x v="5"/>
  </r>
  <r>
    <n v="281"/>
    <x v="12"/>
    <n v="1"/>
    <n v="0"/>
    <n v="1"/>
    <x v="0"/>
    <x v="3"/>
    <x v="0"/>
    <n v="4"/>
    <x v="5"/>
    <x v="0"/>
    <n v="1"/>
    <x v="0"/>
    <x v="14"/>
    <n v="0.1212"/>
    <x v="20"/>
    <x v="9"/>
    <x v="3"/>
    <x v="35"/>
    <x v="6"/>
  </r>
  <r>
    <n v="282"/>
    <x v="12"/>
    <n v="1"/>
    <n v="0"/>
    <n v="1"/>
    <x v="0"/>
    <x v="4"/>
    <x v="0"/>
    <n v="4"/>
    <x v="5"/>
    <x v="0"/>
    <n v="1"/>
    <x v="0"/>
    <x v="14"/>
    <n v="0.1212"/>
    <x v="20"/>
    <x v="2"/>
    <x v="3"/>
    <x v="22"/>
    <x v="48"/>
  </r>
  <r>
    <n v="283"/>
    <x v="12"/>
    <n v="1"/>
    <n v="0"/>
    <n v="1"/>
    <x v="0"/>
    <x v="5"/>
    <x v="0"/>
    <n v="4"/>
    <x v="5"/>
    <x v="0"/>
    <n v="1"/>
    <x v="0"/>
    <x v="14"/>
    <n v="0.1212"/>
    <x v="20"/>
    <x v="4"/>
    <x v="3"/>
    <x v="35"/>
    <x v="6"/>
  </r>
  <r>
    <n v="284"/>
    <x v="12"/>
    <n v="1"/>
    <n v="0"/>
    <n v="1"/>
    <x v="0"/>
    <x v="6"/>
    <x v="0"/>
    <n v="4"/>
    <x v="5"/>
    <x v="0"/>
    <n v="1"/>
    <x v="0"/>
    <x v="16"/>
    <n v="0.1515"/>
    <x v="47"/>
    <x v="7"/>
    <x v="3"/>
    <x v="95"/>
    <x v="20"/>
  </r>
  <r>
    <n v="285"/>
    <x v="12"/>
    <n v="1"/>
    <n v="0"/>
    <n v="1"/>
    <x v="0"/>
    <x v="7"/>
    <x v="0"/>
    <n v="4"/>
    <x v="5"/>
    <x v="0"/>
    <n v="1"/>
    <x v="0"/>
    <x v="16"/>
    <n v="0.1515"/>
    <x v="47"/>
    <x v="7"/>
    <x v="3"/>
    <x v="109"/>
    <x v="44"/>
  </r>
  <r>
    <n v="286"/>
    <x v="12"/>
    <n v="1"/>
    <n v="0"/>
    <n v="1"/>
    <x v="0"/>
    <x v="8"/>
    <x v="0"/>
    <n v="4"/>
    <x v="5"/>
    <x v="0"/>
    <n v="1"/>
    <x v="0"/>
    <x v="14"/>
    <n v="0.13639999999999999"/>
    <x v="20"/>
    <x v="5"/>
    <x v="2"/>
    <x v="114"/>
    <x v="121"/>
  </r>
  <r>
    <n v="287"/>
    <x v="12"/>
    <n v="1"/>
    <n v="0"/>
    <n v="1"/>
    <x v="0"/>
    <x v="9"/>
    <x v="0"/>
    <n v="4"/>
    <x v="5"/>
    <x v="0"/>
    <n v="1"/>
    <x v="0"/>
    <x v="14"/>
    <n v="0.1212"/>
    <x v="20"/>
    <x v="9"/>
    <x v="4"/>
    <x v="115"/>
    <x v="119"/>
  </r>
  <r>
    <n v="288"/>
    <x v="12"/>
    <n v="1"/>
    <n v="0"/>
    <n v="1"/>
    <x v="0"/>
    <x v="10"/>
    <x v="0"/>
    <n v="4"/>
    <x v="5"/>
    <x v="0"/>
    <n v="2"/>
    <x v="1"/>
    <x v="13"/>
    <n v="0.13639999999999999"/>
    <x v="20"/>
    <x v="11"/>
    <x v="4"/>
    <x v="49"/>
    <x v="103"/>
  </r>
  <r>
    <n v="289"/>
    <x v="12"/>
    <n v="1"/>
    <n v="0"/>
    <n v="1"/>
    <x v="0"/>
    <x v="11"/>
    <x v="0"/>
    <n v="4"/>
    <x v="5"/>
    <x v="0"/>
    <n v="2"/>
    <x v="1"/>
    <x v="2"/>
    <n v="0.16669999999999999"/>
    <x v="18"/>
    <x v="10"/>
    <x v="17"/>
    <x v="39"/>
    <x v="18"/>
  </r>
  <r>
    <n v="290"/>
    <x v="12"/>
    <n v="1"/>
    <n v="0"/>
    <n v="1"/>
    <x v="0"/>
    <x v="12"/>
    <x v="0"/>
    <n v="4"/>
    <x v="5"/>
    <x v="0"/>
    <n v="1"/>
    <x v="0"/>
    <x v="2"/>
    <n v="0.16669999999999999"/>
    <x v="18"/>
    <x v="12"/>
    <x v="0"/>
    <x v="47"/>
    <x v="46"/>
  </r>
  <r>
    <n v="291"/>
    <x v="12"/>
    <n v="1"/>
    <n v="0"/>
    <n v="1"/>
    <x v="0"/>
    <x v="13"/>
    <x v="0"/>
    <n v="4"/>
    <x v="5"/>
    <x v="0"/>
    <n v="1"/>
    <x v="0"/>
    <x v="1"/>
    <n v="0.19700000000000001"/>
    <x v="48"/>
    <x v="10"/>
    <x v="4"/>
    <x v="38"/>
    <x v="56"/>
  </r>
  <r>
    <n v="292"/>
    <x v="12"/>
    <n v="1"/>
    <n v="0"/>
    <n v="1"/>
    <x v="0"/>
    <x v="14"/>
    <x v="0"/>
    <n v="4"/>
    <x v="5"/>
    <x v="0"/>
    <n v="1"/>
    <x v="0"/>
    <x v="1"/>
    <n v="0.19700000000000001"/>
    <x v="48"/>
    <x v="13"/>
    <x v="0"/>
    <x v="87"/>
    <x v="51"/>
  </r>
  <r>
    <n v="293"/>
    <x v="12"/>
    <n v="1"/>
    <n v="0"/>
    <n v="1"/>
    <x v="0"/>
    <x v="15"/>
    <x v="0"/>
    <n v="4"/>
    <x v="5"/>
    <x v="0"/>
    <n v="1"/>
    <x v="0"/>
    <x v="0"/>
    <n v="0.21210000000000001"/>
    <x v="41"/>
    <x v="4"/>
    <x v="2"/>
    <x v="11"/>
    <x v="122"/>
  </r>
  <r>
    <n v="294"/>
    <x v="12"/>
    <n v="1"/>
    <n v="0"/>
    <n v="1"/>
    <x v="0"/>
    <x v="16"/>
    <x v="0"/>
    <n v="4"/>
    <x v="5"/>
    <x v="0"/>
    <n v="1"/>
    <x v="0"/>
    <x v="0"/>
    <n v="0.21210000000000001"/>
    <x v="41"/>
    <x v="11"/>
    <x v="4"/>
    <x v="83"/>
    <x v="53"/>
  </r>
  <r>
    <n v="295"/>
    <x v="12"/>
    <n v="1"/>
    <n v="0"/>
    <n v="1"/>
    <x v="0"/>
    <x v="17"/>
    <x v="0"/>
    <n v="4"/>
    <x v="5"/>
    <x v="0"/>
    <n v="1"/>
    <x v="0"/>
    <x v="2"/>
    <n v="0.18179999999999999"/>
    <x v="22"/>
    <x v="3"/>
    <x v="17"/>
    <x v="81"/>
    <x v="123"/>
  </r>
  <r>
    <n v="296"/>
    <x v="12"/>
    <n v="1"/>
    <n v="0"/>
    <n v="1"/>
    <x v="0"/>
    <x v="18"/>
    <x v="0"/>
    <n v="4"/>
    <x v="5"/>
    <x v="0"/>
    <n v="1"/>
    <x v="0"/>
    <x v="2"/>
    <n v="0.18179999999999999"/>
    <x v="22"/>
    <x v="9"/>
    <x v="0"/>
    <x v="116"/>
    <x v="124"/>
  </r>
  <r>
    <n v="297"/>
    <x v="12"/>
    <n v="1"/>
    <n v="0"/>
    <n v="1"/>
    <x v="0"/>
    <x v="19"/>
    <x v="0"/>
    <n v="4"/>
    <x v="5"/>
    <x v="0"/>
    <n v="1"/>
    <x v="0"/>
    <x v="13"/>
    <n v="0.1515"/>
    <x v="19"/>
    <x v="2"/>
    <x v="5"/>
    <x v="52"/>
    <x v="111"/>
  </r>
  <r>
    <n v="298"/>
    <x v="12"/>
    <n v="1"/>
    <n v="0"/>
    <n v="1"/>
    <x v="0"/>
    <x v="20"/>
    <x v="0"/>
    <n v="4"/>
    <x v="5"/>
    <x v="0"/>
    <n v="1"/>
    <x v="0"/>
    <x v="13"/>
    <n v="0.1515"/>
    <x v="19"/>
    <x v="6"/>
    <x v="3"/>
    <x v="27"/>
    <x v="37"/>
  </r>
  <r>
    <n v="299"/>
    <x v="12"/>
    <n v="1"/>
    <n v="0"/>
    <n v="1"/>
    <x v="0"/>
    <x v="21"/>
    <x v="0"/>
    <n v="4"/>
    <x v="5"/>
    <x v="0"/>
    <n v="1"/>
    <x v="0"/>
    <x v="14"/>
    <n v="0.1212"/>
    <x v="15"/>
    <x v="4"/>
    <x v="3"/>
    <x v="71"/>
    <x v="1"/>
  </r>
  <r>
    <n v="300"/>
    <x v="12"/>
    <n v="1"/>
    <n v="0"/>
    <n v="1"/>
    <x v="0"/>
    <x v="22"/>
    <x v="0"/>
    <n v="4"/>
    <x v="5"/>
    <x v="0"/>
    <n v="1"/>
    <x v="0"/>
    <x v="14"/>
    <n v="0.1212"/>
    <x v="15"/>
    <x v="9"/>
    <x v="3"/>
    <x v="10"/>
    <x v="33"/>
  </r>
  <r>
    <n v="301"/>
    <x v="12"/>
    <n v="1"/>
    <n v="0"/>
    <n v="1"/>
    <x v="0"/>
    <x v="23"/>
    <x v="0"/>
    <n v="4"/>
    <x v="5"/>
    <x v="0"/>
    <n v="1"/>
    <x v="0"/>
    <x v="16"/>
    <n v="0.13639999999999999"/>
    <x v="20"/>
    <x v="5"/>
    <x v="5"/>
    <x v="88"/>
    <x v="93"/>
  </r>
  <r>
    <n v="302"/>
    <x v="13"/>
    <n v="1"/>
    <n v="0"/>
    <n v="1"/>
    <x v="0"/>
    <x v="0"/>
    <x v="0"/>
    <n v="5"/>
    <x v="6"/>
    <x v="0"/>
    <n v="1"/>
    <x v="0"/>
    <x v="16"/>
    <n v="0.13639999999999999"/>
    <x v="20"/>
    <x v="5"/>
    <x v="3"/>
    <x v="88"/>
    <x v="8"/>
  </r>
  <r>
    <n v="303"/>
    <x v="13"/>
    <n v="1"/>
    <n v="0"/>
    <n v="1"/>
    <x v="0"/>
    <x v="1"/>
    <x v="0"/>
    <n v="5"/>
    <x v="6"/>
    <x v="0"/>
    <n v="1"/>
    <x v="0"/>
    <x v="18"/>
    <n v="0.1212"/>
    <x v="47"/>
    <x v="8"/>
    <x v="3"/>
    <x v="34"/>
    <x v="36"/>
  </r>
  <r>
    <n v="304"/>
    <x v="13"/>
    <n v="1"/>
    <n v="0"/>
    <n v="1"/>
    <x v="0"/>
    <x v="2"/>
    <x v="0"/>
    <n v="5"/>
    <x v="6"/>
    <x v="0"/>
    <n v="1"/>
    <x v="0"/>
    <x v="18"/>
    <n v="0.1212"/>
    <x v="47"/>
    <x v="7"/>
    <x v="3"/>
    <x v="4"/>
    <x v="4"/>
  </r>
  <r>
    <n v="305"/>
    <x v="13"/>
    <n v="1"/>
    <n v="0"/>
    <n v="1"/>
    <x v="0"/>
    <x v="3"/>
    <x v="0"/>
    <n v="5"/>
    <x v="6"/>
    <x v="0"/>
    <n v="1"/>
    <x v="0"/>
    <x v="18"/>
    <n v="0.13639999999999999"/>
    <x v="47"/>
    <x v="14"/>
    <x v="3"/>
    <x v="4"/>
    <x v="4"/>
  </r>
  <r>
    <n v="306"/>
    <x v="13"/>
    <n v="1"/>
    <n v="0"/>
    <n v="1"/>
    <x v="0"/>
    <x v="5"/>
    <x v="0"/>
    <n v="5"/>
    <x v="6"/>
    <x v="0"/>
    <n v="1"/>
    <x v="0"/>
    <x v="18"/>
    <n v="0.13639999999999999"/>
    <x v="47"/>
    <x v="1"/>
    <x v="3"/>
    <x v="21"/>
    <x v="7"/>
  </r>
  <r>
    <n v="307"/>
    <x v="13"/>
    <n v="1"/>
    <n v="0"/>
    <n v="1"/>
    <x v="0"/>
    <x v="6"/>
    <x v="0"/>
    <n v="5"/>
    <x v="6"/>
    <x v="0"/>
    <n v="1"/>
    <x v="0"/>
    <x v="18"/>
    <n v="0.18179999999999999"/>
    <x v="47"/>
    <x v="0"/>
    <x v="3"/>
    <x v="19"/>
    <x v="22"/>
  </r>
  <r>
    <n v="308"/>
    <x v="13"/>
    <n v="1"/>
    <n v="0"/>
    <n v="1"/>
    <x v="0"/>
    <x v="7"/>
    <x v="0"/>
    <n v="5"/>
    <x v="6"/>
    <x v="0"/>
    <n v="1"/>
    <x v="0"/>
    <x v="18"/>
    <n v="0.1212"/>
    <x v="32"/>
    <x v="8"/>
    <x v="3"/>
    <x v="14"/>
    <x v="27"/>
  </r>
  <r>
    <n v="309"/>
    <x v="13"/>
    <n v="1"/>
    <n v="0"/>
    <n v="1"/>
    <x v="0"/>
    <x v="8"/>
    <x v="0"/>
    <n v="5"/>
    <x v="6"/>
    <x v="0"/>
    <n v="1"/>
    <x v="0"/>
    <x v="16"/>
    <n v="0.16669999999999999"/>
    <x v="31"/>
    <x v="0"/>
    <x v="4"/>
    <x v="117"/>
    <x v="125"/>
  </r>
  <r>
    <n v="310"/>
    <x v="13"/>
    <n v="1"/>
    <n v="0"/>
    <n v="1"/>
    <x v="0"/>
    <x v="9"/>
    <x v="0"/>
    <n v="5"/>
    <x v="6"/>
    <x v="0"/>
    <n v="1"/>
    <x v="0"/>
    <x v="14"/>
    <n v="0.1515"/>
    <x v="27"/>
    <x v="7"/>
    <x v="3"/>
    <x v="118"/>
    <x v="126"/>
  </r>
  <r>
    <n v="311"/>
    <x v="13"/>
    <n v="1"/>
    <n v="0"/>
    <n v="1"/>
    <x v="0"/>
    <x v="10"/>
    <x v="0"/>
    <n v="5"/>
    <x v="6"/>
    <x v="0"/>
    <n v="1"/>
    <x v="0"/>
    <x v="15"/>
    <n v="0.18179999999999999"/>
    <x v="28"/>
    <x v="5"/>
    <x v="17"/>
    <x v="71"/>
    <x v="40"/>
  </r>
  <r>
    <n v="312"/>
    <x v="13"/>
    <n v="1"/>
    <n v="0"/>
    <n v="1"/>
    <x v="0"/>
    <x v="11"/>
    <x v="0"/>
    <n v="5"/>
    <x v="6"/>
    <x v="0"/>
    <n v="1"/>
    <x v="0"/>
    <x v="15"/>
    <n v="0.16669999999999999"/>
    <x v="33"/>
    <x v="3"/>
    <x v="15"/>
    <x v="12"/>
    <x v="26"/>
  </r>
  <r>
    <n v="313"/>
    <x v="13"/>
    <n v="1"/>
    <n v="0"/>
    <n v="1"/>
    <x v="0"/>
    <x v="12"/>
    <x v="0"/>
    <n v="5"/>
    <x v="6"/>
    <x v="0"/>
    <n v="1"/>
    <x v="0"/>
    <x v="2"/>
    <n v="0.19700000000000001"/>
    <x v="18"/>
    <x v="2"/>
    <x v="4"/>
    <x v="79"/>
    <x v="42"/>
  </r>
  <r>
    <n v="314"/>
    <x v="13"/>
    <n v="1"/>
    <n v="0"/>
    <n v="1"/>
    <x v="0"/>
    <x v="13"/>
    <x v="0"/>
    <n v="5"/>
    <x v="6"/>
    <x v="0"/>
    <n v="1"/>
    <x v="0"/>
    <x v="1"/>
    <n v="0.19700000000000001"/>
    <x v="38"/>
    <x v="13"/>
    <x v="17"/>
    <x v="26"/>
    <x v="43"/>
  </r>
  <r>
    <n v="315"/>
    <x v="13"/>
    <n v="1"/>
    <n v="0"/>
    <n v="1"/>
    <x v="0"/>
    <x v="14"/>
    <x v="0"/>
    <n v="5"/>
    <x v="6"/>
    <x v="0"/>
    <n v="1"/>
    <x v="0"/>
    <x v="1"/>
    <n v="0.21210000000000001"/>
    <x v="48"/>
    <x v="3"/>
    <x v="2"/>
    <x v="79"/>
    <x v="37"/>
  </r>
  <r>
    <n v="316"/>
    <x v="13"/>
    <n v="1"/>
    <n v="0"/>
    <n v="1"/>
    <x v="0"/>
    <x v="15"/>
    <x v="0"/>
    <n v="5"/>
    <x v="6"/>
    <x v="0"/>
    <n v="1"/>
    <x v="0"/>
    <x v="0"/>
    <n v="0.2424"/>
    <x v="41"/>
    <x v="8"/>
    <x v="14"/>
    <x v="79"/>
    <x v="118"/>
  </r>
  <r>
    <n v="317"/>
    <x v="13"/>
    <n v="1"/>
    <n v="0"/>
    <n v="1"/>
    <x v="0"/>
    <x v="16"/>
    <x v="0"/>
    <n v="5"/>
    <x v="6"/>
    <x v="0"/>
    <n v="1"/>
    <x v="0"/>
    <x v="1"/>
    <n v="0.2424"/>
    <x v="48"/>
    <x v="14"/>
    <x v="0"/>
    <x v="61"/>
    <x v="127"/>
  </r>
  <r>
    <n v="318"/>
    <x v="13"/>
    <n v="1"/>
    <n v="0"/>
    <n v="1"/>
    <x v="0"/>
    <x v="17"/>
    <x v="0"/>
    <n v="5"/>
    <x v="6"/>
    <x v="0"/>
    <n v="1"/>
    <x v="0"/>
    <x v="1"/>
    <n v="0.2273"/>
    <x v="48"/>
    <x v="8"/>
    <x v="17"/>
    <x v="119"/>
    <x v="128"/>
  </r>
  <r>
    <n v="319"/>
    <x v="13"/>
    <n v="1"/>
    <n v="0"/>
    <n v="1"/>
    <x v="0"/>
    <x v="18"/>
    <x v="0"/>
    <n v="5"/>
    <x v="6"/>
    <x v="0"/>
    <n v="1"/>
    <x v="0"/>
    <x v="2"/>
    <n v="0.2576"/>
    <x v="19"/>
    <x v="0"/>
    <x v="2"/>
    <x v="120"/>
    <x v="119"/>
  </r>
  <r>
    <n v="320"/>
    <x v="13"/>
    <n v="1"/>
    <n v="0"/>
    <n v="1"/>
    <x v="0"/>
    <x v="19"/>
    <x v="0"/>
    <n v="5"/>
    <x v="6"/>
    <x v="0"/>
    <n v="1"/>
    <x v="0"/>
    <x v="13"/>
    <n v="0.19700000000000001"/>
    <x v="29"/>
    <x v="1"/>
    <x v="0"/>
    <x v="121"/>
    <x v="101"/>
  </r>
  <r>
    <n v="321"/>
    <x v="13"/>
    <n v="1"/>
    <n v="0"/>
    <n v="1"/>
    <x v="0"/>
    <x v="20"/>
    <x v="0"/>
    <n v="5"/>
    <x v="6"/>
    <x v="0"/>
    <n v="1"/>
    <x v="0"/>
    <x v="15"/>
    <n v="0.2424"/>
    <x v="29"/>
    <x v="0"/>
    <x v="3"/>
    <x v="56"/>
    <x v="118"/>
  </r>
  <r>
    <n v="322"/>
    <x v="13"/>
    <n v="1"/>
    <n v="0"/>
    <n v="1"/>
    <x v="0"/>
    <x v="21"/>
    <x v="0"/>
    <n v="5"/>
    <x v="6"/>
    <x v="0"/>
    <n v="1"/>
    <x v="0"/>
    <x v="13"/>
    <n v="0.2273"/>
    <x v="27"/>
    <x v="0"/>
    <x v="17"/>
    <x v="41"/>
    <x v="46"/>
  </r>
  <r>
    <n v="323"/>
    <x v="13"/>
    <n v="1"/>
    <n v="0"/>
    <n v="1"/>
    <x v="0"/>
    <x v="22"/>
    <x v="0"/>
    <n v="5"/>
    <x v="6"/>
    <x v="0"/>
    <n v="2"/>
    <x v="1"/>
    <x v="13"/>
    <n v="0.2273"/>
    <x v="27"/>
    <x v="0"/>
    <x v="4"/>
    <x v="60"/>
    <x v="9"/>
  </r>
  <r>
    <n v="324"/>
    <x v="13"/>
    <n v="1"/>
    <n v="0"/>
    <n v="1"/>
    <x v="0"/>
    <x v="23"/>
    <x v="0"/>
    <n v="5"/>
    <x v="6"/>
    <x v="0"/>
    <n v="2"/>
    <x v="1"/>
    <x v="15"/>
    <n v="0.2424"/>
    <x v="28"/>
    <x v="0"/>
    <x v="5"/>
    <x v="16"/>
    <x v="110"/>
  </r>
  <r>
    <n v="325"/>
    <x v="14"/>
    <n v="1"/>
    <n v="0"/>
    <n v="1"/>
    <x v="0"/>
    <x v="0"/>
    <x v="0"/>
    <n v="6"/>
    <x v="0"/>
    <x v="0"/>
    <n v="1"/>
    <x v="0"/>
    <x v="15"/>
    <n v="0.2424"/>
    <x v="28"/>
    <x v="0"/>
    <x v="0"/>
    <x v="18"/>
    <x v="20"/>
  </r>
  <r>
    <n v="326"/>
    <x v="14"/>
    <n v="1"/>
    <n v="0"/>
    <n v="1"/>
    <x v="0"/>
    <x v="1"/>
    <x v="0"/>
    <n v="6"/>
    <x v="0"/>
    <x v="0"/>
    <n v="2"/>
    <x v="1"/>
    <x v="13"/>
    <n v="0.19700000000000001"/>
    <x v="29"/>
    <x v="1"/>
    <x v="4"/>
    <x v="72"/>
    <x v="25"/>
  </r>
  <r>
    <n v="327"/>
    <x v="14"/>
    <n v="1"/>
    <n v="0"/>
    <n v="1"/>
    <x v="0"/>
    <x v="2"/>
    <x v="0"/>
    <n v="6"/>
    <x v="0"/>
    <x v="0"/>
    <n v="2"/>
    <x v="1"/>
    <x v="13"/>
    <n v="0.19700000000000001"/>
    <x v="29"/>
    <x v="1"/>
    <x v="3"/>
    <x v="98"/>
    <x v="47"/>
  </r>
  <r>
    <n v="328"/>
    <x v="14"/>
    <n v="1"/>
    <n v="0"/>
    <n v="1"/>
    <x v="0"/>
    <x v="3"/>
    <x v="0"/>
    <n v="6"/>
    <x v="0"/>
    <x v="0"/>
    <n v="2"/>
    <x v="1"/>
    <x v="13"/>
    <n v="0.2273"/>
    <x v="29"/>
    <x v="0"/>
    <x v="5"/>
    <x v="7"/>
    <x v="7"/>
  </r>
  <r>
    <n v="329"/>
    <x v="14"/>
    <n v="1"/>
    <n v="0"/>
    <n v="1"/>
    <x v="0"/>
    <x v="4"/>
    <x v="0"/>
    <n v="6"/>
    <x v="0"/>
    <x v="0"/>
    <n v="2"/>
    <x v="1"/>
    <x v="13"/>
    <n v="0.2273"/>
    <x v="29"/>
    <x v="0"/>
    <x v="3"/>
    <x v="34"/>
    <x v="36"/>
  </r>
  <r>
    <n v="330"/>
    <x v="14"/>
    <n v="1"/>
    <n v="0"/>
    <n v="1"/>
    <x v="0"/>
    <x v="5"/>
    <x v="0"/>
    <n v="6"/>
    <x v="0"/>
    <x v="0"/>
    <n v="1"/>
    <x v="0"/>
    <x v="13"/>
    <n v="0.2273"/>
    <x v="29"/>
    <x v="0"/>
    <x v="3"/>
    <x v="4"/>
    <x v="4"/>
  </r>
  <r>
    <n v="331"/>
    <x v="14"/>
    <n v="1"/>
    <n v="0"/>
    <n v="1"/>
    <x v="0"/>
    <x v="6"/>
    <x v="0"/>
    <n v="6"/>
    <x v="0"/>
    <x v="0"/>
    <n v="1"/>
    <x v="0"/>
    <x v="14"/>
    <n v="0.16669999999999999"/>
    <x v="30"/>
    <x v="14"/>
    <x v="5"/>
    <x v="6"/>
    <x v="6"/>
  </r>
  <r>
    <n v="332"/>
    <x v="14"/>
    <n v="1"/>
    <n v="0"/>
    <n v="1"/>
    <x v="0"/>
    <x v="7"/>
    <x v="0"/>
    <n v="6"/>
    <x v="0"/>
    <x v="0"/>
    <n v="1"/>
    <x v="0"/>
    <x v="14"/>
    <n v="0.21210000000000001"/>
    <x v="30"/>
    <x v="0"/>
    <x v="5"/>
    <x v="33"/>
    <x v="98"/>
  </r>
  <r>
    <n v="333"/>
    <x v="14"/>
    <n v="1"/>
    <n v="0"/>
    <n v="1"/>
    <x v="0"/>
    <x v="8"/>
    <x v="0"/>
    <n v="6"/>
    <x v="0"/>
    <x v="0"/>
    <n v="1"/>
    <x v="0"/>
    <x v="14"/>
    <n v="0.1515"/>
    <x v="30"/>
    <x v="7"/>
    <x v="5"/>
    <x v="97"/>
    <x v="84"/>
  </r>
  <r>
    <n v="334"/>
    <x v="14"/>
    <n v="1"/>
    <n v="0"/>
    <n v="1"/>
    <x v="0"/>
    <x v="9"/>
    <x v="0"/>
    <n v="6"/>
    <x v="0"/>
    <x v="0"/>
    <n v="1"/>
    <x v="0"/>
    <x v="13"/>
    <n v="0.18179999999999999"/>
    <x v="26"/>
    <x v="7"/>
    <x v="4"/>
    <x v="17"/>
    <x v="63"/>
  </r>
  <r>
    <n v="335"/>
    <x v="14"/>
    <n v="1"/>
    <n v="0"/>
    <n v="1"/>
    <x v="0"/>
    <x v="10"/>
    <x v="0"/>
    <n v="6"/>
    <x v="0"/>
    <x v="0"/>
    <n v="1"/>
    <x v="0"/>
    <x v="15"/>
    <n v="0.19700000000000001"/>
    <x v="29"/>
    <x v="8"/>
    <x v="4"/>
    <x v="77"/>
    <x v="29"/>
  </r>
  <r>
    <n v="336"/>
    <x v="14"/>
    <n v="1"/>
    <n v="0"/>
    <n v="1"/>
    <x v="0"/>
    <x v="11"/>
    <x v="0"/>
    <n v="6"/>
    <x v="0"/>
    <x v="0"/>
    <n v="1"/>
    <x v="0"/>
    <x v="2"/>
    <n v="0.19700000000000001"/>
    <x v="28"/>
    <x v="6"/>
    <x v="25"/>
    <x v="25"/>
    <x v="44"/>
  </r>
  <r>
    <n v="337"/>
    <x v="14"/>
    <n v="1"/>
    <n v="0"/>
    <n v="1"/>
    <x v="0"/>
    <x v="12"/>
    <x v="0"/>
    <n v="6"/>
    <x v="0"/>
    <x v="0"/>
    <n v="1"/>
    <x v="0"/>
    <x v="0"/>
    <n v="0.2273"/>
    <x v="37"/>
    <x v="6"/>
    <x v="13"/>
    <x v="64"/>
    <x v="70"/>
  </r>
  <r>
    <n v="338"/>
    <x v="14"/>
    <n v="1"/>
    <n v="0"/>
    <n v="1"/>
    <x v="0"/>
    <x v="13"/>
    <x v="0"/>
    <n v="6"/>
    <x v="0"/>
    <x v="0"/>
    <n v="1"/>
    <x v="0"/>
    <x v="17"/>
    <n v="0.2576"/>
    <x v="41"/>
    <x v="4"/>
    <x v="27"/>
    <x v="122"/>
    <x v="129"/>
  </r>
  <r>
    <n v="339"/>
    <x v="14"/>
    <n v="1"/>
    <n v="0"/>
    <n v="1"/>
    <x v="0"/>
    <x v="14"/>
    <x v="0"/>
    <n v="6"/>
    <x v="0"/>
    <x v="0"/>
    <n v="1"/>
    <x v="0"/>
    <x v="11"/>
    <n v="0.28789999999999999"/>
    <x v="17"/>
    <x v="3"/>
    <x v="7"/>
    <x v="50"/>
    <x v="130"/>
  </r>
  <r>
    <n v="340"/>
    <x v="14"/>
    <n v="1"/>
    <n v="0"/>
    <n v="1"/>
    <x v="0"/>
    <x v="15"/>
    <x v="0"/>
    <n v="6"/>
    <x v="0"/>
    <x v="0"/>
    <n v="2"/>
    <x v="1"/>
    <x v="3"/>
    <n v="0.31819999999999998"/>
    <x v="42"/>
    <x v="5"/>
    <x v="27"/>
    <x v="123"/>
    <x v="131"/>
  </r>
  <r>
    <n v="341"/>
    <x v="14"/>
    <n v="1"/>
    <n v="0"/>
    <n v="1"/>
    <x v="0"/>
    <x v="16"/>
    <x v="0"/>
    <n v="6"/>
    <x v="0"/>
    <x v="0"/>
    <n v="2"/>
    <x v="1"/>
    <x v="10"/>
    <n v="0.33329999999999999"/>
    <x v="46"/>
    <x v="5"/>
    <x v="28"/>
    <x v="73"/>
    <x v="116"/>
  </r>
  <r>
    <n v="342"/>
    <x v="14"/>
    <n v="1"/>
    <n v="0"/>
    <n v="1"/>
    <x v="0"/>
    <x v="17"/>
    <x v="0"/>
    <n v="6"/>
    <x v="0"/>
    <x v="0"/>
    <n v="2"/>
    <x v="1"/>
    <x v="3"/>
    <n v="0.30299999999999999"/>
    <x v="42"/>
    <x v="3"/>
    <x v="8"/>
    <x v="25"/>
    <x v="56"/>
  </r>
  <r>
    <n v="343"/>
    <x v="14"/>
    <n v="1"/>
    <n v="0"/>
    <n v="1"/>
    <x v="0"/>
    <x v="18"/>
    <x v="0"/>
    <n v="6"/>
    <x v="0"/>
    <x v="0"/>
    <n v="2"/>
    <x v="1"/>
    <x v="11"/>
    <n v="0.28789999999999999"/>
    <x v="49"/>
    <x v="2"/>
    <x v="13"/>
    <x v="94"/>
    <x v="11"/>
  </r>
  <r>
    <n v="344"/>
    <x v="14"/>
    <n v="1"/>
    <n v="0"/>
    <n v="1"/>
    <x v="0"/>
    <x v="19"/>
    <x v="0"/>
    <n v="6"/>
    <x v="0"/>
    <x v="0"/>
    <n v="2"/>
    <x v="1"/>
    <x v="3"/>
    <n v="0.30299999999999999"/>
    <x v="17"/>
    <x v="2"/>
    <x v="24"/>
    <x v="91"/>
    <x v="30"/>
  </r>
  <r>
    <n v="345"/>
    <x v="14"/>
    <n v="1"/>
    <n v="0"/>
    <n v="1"/>
    <x v="0"/>
    <x v="20"/>
    <x v="0"/>
    <n v="6"/>
    <x v="0"/>
    <x v="0"/>
    <n v="2"/>
    <x v="1"/>
    <x v="3"/>
    <n v="0.30299999999999999"/>
    <x v="17"/>
    <x v="2"/>
    <x v="15"/>
    <x v="96"/>
    <x v="102"/>
  </r>
  <r>
    <n v="346"/>
    <x v="14"/>
    <n v="1"/>
    <n v="0"/>
    <n v="1"/>
    <x v="0"/>
    <x v="21"/>
    <x v="0"/>
    <n v="6"/>
    <x v="0"/>
    <x v="0"/>
    <n v="2"/>
    <x v="1"/>
    <x v="3"/>
    <n v="0.30299999999999999"/>
    <x v="17"/>
    <x v="6"/>
    <x v="15"/>
    <x v="82"/>
    <x v="52"/>
  </r>
  <r>
    <n v="347"/>
    <x v="14"/>
    <n v="1"/>
    <n v="0"/>
    <n v="1"/>
    <x v="0"/>
    <x v="22"/>
    <x v="0"/>
    <n v="6"/>
    <x v="0"/>
    <x v="0"/>
    <n v="2"/>
    <x v="1"/>
    <x v="11"/>
    <n v="0.31819999999999998"/>
    <x v="16"/>
    <x v="14"/>
    <x v="3"/>
    <x v="16"/>
    <x v="132"/>
  </r>
  <r>
    <n v="348"/>
    <x v="14"/>
    <n v="1"/>
    <n v="0"/>
    <n v="1"/>
    <x v="0"/>
    <x v="23"/>
    <x v="0"/>
    <n v="6"/>
    <x v="0"/>
    <x v="0"/>
    <n v="1"/>
    <x v="0"/>
    <x v="11"/>
    <n v="0.28789999999999999"/>
    <x v="49"/>
    <x v="3"/>
    <x v="2"/>
    <x v="87"/>
    <x v="40"/>
  </r>
  <r>
    <n v="349"/>
    <x v="15"/>
    <n v="1"/>
    <n v="0"/>
    <n v="1"/>
    <x v="0"/>
    <x v="0"/>
    <x v="0"/>
    <n v="0"/>
    <x v="1"/>
    <x v="1"/>
    <n v="1"/>
    <x v="0"/>
    <x v="12"/>
    <n v="0.30299999999999999"/>
    <x v="34"/>
    <x v="0"/>
    <x v="15"/>
    <x v="39"/>
    <x v="21"/>
  </r>
  <r>
    <n v="350"/>
    <x v="15"/>
    <n v="1"/>
    <n v="0"/>
    <n v="1"/>
    <x v="0"/>
    <x v="1"/>
    <x v="0"/>
    <n v="0"/>
    <x v="1"/>
    <x v="1"/>
    <n v="1"/>
    <x v="0"/>
    <x v="12"/>
    <n v="0.2727"/>
    <x v="34"/>
    <x v="7"/>
    <x v="17"/>
    <x v="23"/>
    <x v="84"/>
  </r>
  <r>
    <n v="351"/>
    <x v="15"/>
    <n v="1"/>
    <n v="0"/>
    <n v="1"/>
    <x v="0"/>
    <x v="2"/>
    <x v="0"/>
    <n v="0"/>
    <x v="1"/>
    <x v="1"/>
    <n v="1"/>
    <x v="0"/>
    <x v="12"/>
    <n v="0.28789999999999999"/>
    <x v="34"/>
    <x v="1"/>
    <x v="0"/>
    <x v="0"/>
    <x v="0"/>
  </r>
  <r>
    <n v="352"/>
    <x v="15"/>
    <n v="1"/>
    <n v="0"/>
    <n v="1"/>
    <x v="0"/>
    <x v="3"/>
    <x v="0"/>
    <n v="0"/>
    <x v="1"/>
    <x v="1"/>
    <n v="1"/>
    <x v="0"/>
    <x v="1"/>
    <n v="0.2727"/>
    <x v="27"/>
    <x v="0"/>
    <x v="14"/>
    <x v="8"/>
    <x v="93"/>
  </r>
  <r>
    <n v="353"/>
    <x v="15"/>
    <n v="1"/>
    <n v="0"/>
    <n v="1"/>
    <x v="0"/>
    <x v="4"/>
    <x v="0"/>
    <n v="0"/>
    <x v="1"/>
    <x v="1"/>
    <n v="1"/>
    <x v="0"/>
    <x v="12"/>
    <n v="0.2576"/>
    <x v="34"/>
    <x v="8"/>
    <x v="3"/>
    <x v="4"/>
    <x v="4"/>
  </r>
  <r>
    <n v="354"/>
    <x v="15"/>
    <n v="1"/>
    <n v="0"/>
    <n v="1"/>
    <x v="0"/>
    <x v="5"/>
    <x v="0"/>
    <n v="0"/>
    <x v="1"/>
    <x v="1"/>
    <n v="2"/>
    <x v="1"/>
    <x v="12"/>
    <n v="0.2576"/>
    <x v="34"/>
    <x v="8"/>
    <x v="5"/>
    <x v="4"/>
    <x v="5"/>
  </r>
  <r>
    <n v="355"/>
    <x v="15"/>
    <n v="1"/>
    <n v="0"/>
    <n v="1"/>
    <x v="0"/>
    <x v="6"/>
    <x v="0"/>
    <n v="0"/>
    <x v="1"/>
    <x v="1"/>
    <n v="2"/>
    <x v="1"/>
    <x v="12"/>
    <n v="0.2576"/>
    <x v="34"/>
    <x v="8"/>
    <x v="3"/>
    <x v="4"/>
    <x v="4"/>
  </r>
  <r>
    <n v="356"/>
    <x v="15"/>
    <n v="1"/>
    <n v="0"/>
    <n v="1"/>
    <x v="0"/>
    <x v="7"/>
    <x v="0"/>
    <n v="0"/>
    <x v="1"/>
    <x v="1"/>
    <n v="2"/>
    <x v="1"/>
    <x v="0"/>
    <n v="0.21210000000000001"/>
    <x v="34"/>
    <x v="4"/>
    <x v="3"/>
    <x v="35"/>
    <x v="6"/>
  </r>
  <r>
    <n v="357"/>
    <x v="15"/>
    <n v="1"/>
    <n v="0"/>
    <n v="1"/>
    <x v="0"/>
    <x v="8"/>
    <x v="0"/>
    <n v="0"/>
    <x v="1"/>
    <x v="1"/>
    <n v="1"/>
    <x v="0"/>
    <x v="1"/>
    <n v="0.21210000000000001"/>
    <x v="28"/>
    <x v="3"/>
    <x v="3"/>
    <x v="72"/>
    <x v="109"/>
  </r>
  <r>
    <n v="358"/>
    <x v="15"/>
    <n v="1"/>
    <n v="0"/>
    <n v="1"/>
    <x v="0"/>
    <x v="9"/>
    <x v="0"/>
    <n v="0"/>
    <x v="1"/>
    <x v="1"/>
    <n v="1"/>
    <x v="0"/>
    <x v="1"/>
    <n v="0.21210000000000001"/>
    <x v="33"/>
    <x v="2"/>
    <x v="0"/>
    <x v="31"/>
    <x v="2"/>
  </r>
  <r>
    <n v="359"/>
    <x v="15"/>
    <n v="1"/>
    <n v="0"/>
    <n v="1"/>
    <x v="0"/>
    <x v="10"/>
    <x v="0"/>
    <n v="0"/>
    <x v="1"/>
    <x v="1"/>
    <n v="1"/>
    <x v="0"/>
    <x v="1"/>
    <n v="0.21210000000000001"/>
    <x v="33"/>
    <x v="3"/>
    <x v="1"/>
    <x v="13"/>
    <x v="67"/>
  </r>
  <r>
    <n v="360"/>
    <x v="15"/>
    <n v="1"/>
    <n v="0"/>
    <n v="1"/>
    <x v="0"/>
    <x v="11"/>
    <x v="0"/>
    <n v="0"/>
    <x v="1"/>
    <x v="1"/>
    <n v="1"/>
    <x v="0"/>
    <x v="0"/>
    <n v="0.2273"/>
    <x v="18"/>
    <x v="2"/>
    <x v="29"/>
    <x v="14"/>
    <x v="15"/>
  </r>
  <r>
    <n v="361"/>
    <x v="15"/>
    <n v="1"/>
    <n v="0"/>
    <n v="1"/>
    <x v="0"/>
    <x v="12"/>
    <x v="0"/>
    <n v="0"/>
    <x v="1"/>
    <x v="1"/>
    <n v="1"/>
    <x v="0"/>
    <x v="0"/>
    <n v="0.21210000000000001"/>
    <x v="48"/>
    <x v="3"/>
    <x v="8"/>
    <x v="102"/>
    <x v="133"/>
  </r>
  <r>
    <n v="362"/>
    <x v="15"/>
    <n v="1"/>
    <n v="0"/>
    <n v="1"/>
    <x v="0"/>
    <x v="13"/>
    <x v="0"/>
    <n v="0"/>
    <x v="1"/>
    <x v="1"/>
    <n v="1"/>
    <x v="0"/>
    <x v="12"/>
    <n v="0.2273"/>
    <x v="23"/>
    <x v="4"/>
    <x v="29"/>
    <x v="73"/>
    <x v="130"/>
  </r>
  <r>
    <n v="363"/>
    <x v="15"/>
    <n v="1"/>
    <n v="0"/>
    <n v="1"/>
    <x v="0"/>
    <x v="14"/>
    <x v="0"/>
    <n v="0"/>
    <x v="1"/>
    <x v="1"/>
    <n v="1"/>
    <x v="0"/>
    <x v="17"/>
    <n v="0.2727"/>
    <x v="42"/>
    <x v="2"/>
    <x v="30"/>
    <x v="94"/>
    <x v="134"/>
  </r>
  <r>
    <n v="364"/>
    <x v="15"/>
    <n v="1"/>
    <n v="0"/>
    <n v="1"/>
    <x v="0"/>
    <x v="15"/>
    <x v="0"/>
    <n v="0"/>
    <x v="1"/>
    <x v="1"/>
    <n v="1"/>
    <x v="0"/>
    <x v="12"/>
    <n v="0.2424"/>
    <x v="41"/>
    <x v="2"/>
    <x v="10"/>
    <x v="78"/>
    <x v="135"/>
  </r>
  <r>
    <n v="365"/>
    <x v="15"/>
    <n v="1"/>
    <n v="0"/>
    <n v="1"/>
    <x v="0"/>
    <x v="16"/>
    <x v="0"/>
    <n v="0"/>
    <x v="1"/>
    <x v="1"/>
    <n v="1"/>
    <x v="0"/>
    <x v="0"/>
    <n v="0.2273"/>
    <x v="41"/>
    <x v="6"/>
    <x v="30"/>
    <x v="99"/>
    <x v="111"/>
  </r>
  <r>
    <n v="366"/>
    <x v="15"/>
    <n v="1"/>
    <n v="0"/>
    <n v="1"/>
    <x v="0"/>
    <x v="17"/>
    <x v="0"/>
    <n v="0"/>
    <x v="1"/>
    <x v="1"/>
    <n v="1"/>
    <x v="0"/>
    <x v="1"/>
    <n v="0.21210000000000001"/>
    <x v="38"/>
    <x v="2"/>
    <x v="29"/>
    <x v="70"/>
    <x v="136"/>
  </r>
  <r>
    <n v="367"/>
    <x v="15"/>
    <n v="1"/>
    <n v="0"/>
    <n v="1"/>
    <x v="0"/>
    <x v="18"/>
    <x v="0"/>
    <n v="0"/>
    <x v="1"/>
    <x v="1"/>
    <n v="1"/>
    <x v="0"/>
    <x v="2"/>
    <n v="0.21210000000000001"/>
    <x v="22"/>
    <x v="8"/>
    <x v="16"/>
    <x v="90"/>
    <x v="16"/>
  </r>
  <r>
    <n v="368"/>
    <x v="15"/>
    <n v="1"/>
    <n v="0"/>
    <n v="1"/>
    <x v="0"/>
    <x v="19"/>
    <x v="0"/>
    <n v="0"/>
    <x v="1"/>
    <x v="1"/>
    <n v="1"/>
    <x v="0"/>
    <x v="15"/>
    <n v="0.19700000000000001"/>
    <x v="19"/>
    <x v="7"/>
    <x v="24"/>
    <x v="12"/>
    <x v="42"/>
  </r>
  <r>
    <n v="369"/>
    <x v="15"/>
    <n v="1"/>
    <n v="0"/>
    <n v="1"/>
    <x v="0"/>
    <x v="20"/>
    <x v="0"/>
    <n v="0"/>
    <x v="1"/>
    <x v="1"/>
    <n v="1"/>
    <x v="0"/>
    <x v="15"/>
    <n v="0.19700000000000001"/>
    <x v="19"/>
    <x v="8"/>
    <x v="18"/>
    <x v="54"/>
    <x v="52"/>
  </r>
  <r>
    <n v="370"/>
    <x v="15"/>
    <n v="1"/>
    <n v="0"/>
    <n v="1"/>
    <x v="0"/>
    <x v="21"/>
    <x v="0"/>
    <n v="0"/>
    <x v="1"/>
    <x v="1"/>
    <n v="1"/>
    <x v="0"/>
    <x v="15"/>
    <n v="0.19700000000000001"/>
    <x v="33"/>
    <x v="8"/>
    <x v="15"/>
    <x v="97"/>
    <x v="20"/>
  </r>
  <r>
    <n v="371"/>
    <x v="15"/>
    <n v="1"/>
    <n v="0"/>
    <n v="1"/>
    <x v="0"/>
    <x v="22"/>
    <x v="0"/>
    <n v="0"/>
    <x v="1"/>
    <x v="1"/>
    <n v="2"/>
    <x v="1"/>
    <x v="2"/>
    <n v="0.21210000000000001"/>
    <x v="36"/>
    <x v="7"/>
    <x v="4"/>
    <x v="23"/>
    <x v="137"/>
  </r>
  <r>
    <n v="372"/>
    <x v="15"/>
    <n v="1"/>
    <n v="0"/>
    <n v="1"/>
    <x v="0"/>
    <x v="23"/>
    <x v="0"/>
    <n v="0"/>
    <x v="1"/>
    <x v="1"/>
    <n v="2"/>
    <x v="1"/>
    <x v="2"/>
    <n v="0.2273"/>
    <x v="22"/>
    <x v="14"/>
    <x v="3"/>
    <x v="72"/>
    <x v="109"/>
  </r>
  <r>
    <n v="373"/>
    <x v="16"/>
    <n v="1"/>
    <n v="0"/>
    <n v="1"/>
    <x v="0"/>
    <x v="0"/>
    <x v="1"/>
    <n v="1"/>
    <x v="2"/>
    <x v="1"/>
    <n v="2"/>
    <x v="1"/>
    <x v="2"/>
    <n v="0.19700000000000001"/>
    <x v="19"/>
    <x v="6"/>
    <x v="5"/>
    <x v="20"/>
    <x v="22"/>
  </r>
  <r>
    <n v="374"/>
    <x v="16"/>
    <n v="1"/>
    <n v="0"/>
    <n v="1"/>
    <x v="0"/>
    <x v="1"/>
    <x v="1"/>
    <n v="1"/>
    <x v="2"/>
    <x v="1"/>
    <n v="2"/>
    <x v="1"/>
    <x v="2"/>
    <n v="0.19700000000000001"/>
    <x v="18"/>
    <x v="5"/>
    <x v="5"/>
    <x v="89"/>
    <x v="0"/>
  </r>
  <r>
    <n v="375"/>
    <x v="16"/>
    <n v="1"/>
    <n v="0"/>
    <n v="1"/>
    <x v="0"/>
    <x v="2"/>
    <x v="1"/>
    <n v="1"/>
    <x v="2"/>
    <x v="1"/>
    <n v="2"/>
    <x v="1"/>
    <x v="15"/>
    <n v="0.16669999999999999"/>
    <x v="21"/>
    <x v="2"/>
    <x v="3"/>
    <x v="21"/>
    <x v="7"/>
  </r>
  <r>
    <n v="376"/>
    <x v="16"/>
    <n v="1"/>
    <n v="0"/>
    <n v="1"/>
    <x v="0"/>
    <x v="3"/>
    <x v="1"/>
    <n v="1"/>
    <x v="2"/>
    <x v="1"/>
    <n v="2"/>
    <x v="1"/>
    <x v="15"/>
    <n v="0.18179999999999999"/>
    <x v="21"/>
    <x v="5"/>
    <x v="3"/>
    <x v="6"/>
    <x v="5"/>
  </r>
  <r>
    <n v="377"/>
    <x v="16"/>
    <n v="1"/>
    <n v="0"/>
    <n v="1"/>
    <x v="0"/>
    <x v="4"/>
    <x v="1"/>
    <n v="1"/>
    <x v="2"/>
    <x v="1"/>
    <n v="2"/>
    <x v="1"/>
    <x v="15"/>
    <n v="0.19700000000000001"/>
    <x v="21"/>
    <x v="7"/>
    <x v="5"/>
    <x v="6"/>
    <x v="6"/>
  </r>
  <r>
    <n v="378"/>
    <x v="16"/>
    <n v="1"/>
    <n v="0"/>
    <n v="1"/>
    <x v="0"/>
    <x v="5"/>
    <x v="1"/>
    <n v="1"/>
    <x v="2"/>
    <x v="1"/>
    <n v="2"/>
    <x v="1"/>
    <x v="15"/>
    <n v="0.19700000000000001"/>
    <x v="21"/>
    <x v="8"/>
    <x v="3"/>
    <x v="4"/>
    <x v="4"/>
  </r>
  <r>
    <n v="379"/>
    <x v="16"/>
    <n v="1"/>
    <n v="0"/>
    <n v="1"/>
    <x v="0"/>
    <x v="6"/>
    <x v="1"/>
    <n v="1"/>
    <x v="2"/>
    <x v="1"/>
    <n v="2"/>
    <x v="1"/>
    <x v="15"/>
    <n v="0.18179999999999999"/>
    <x v="21"/>
    <x v="5"/>
    <x v="3"/>
    <x v="34"/>
    <x v="36"/>
  </r>
  <r>
    <n v="380"/>
    <x v="16"/>
    <n v="1"/>
    <n v="0"/>
    <n v="1"/>
    <x v="0"/>
    <x v="7"/>
    <x v="1"/>
    <n v="1"/>
    <x v="2"/>
    <x v="1"/>
    <n v="2"/>
    <x v="1"/>
    <x v="13"/>
    <n v="0.18179999999999999"/>
    <x v="20"/>
    <x v="7"/>
    <x v="17"/>
    <x v="33"/>
    <x v="3"/>
  </r>
  <r>
    <n v="381"/>
    <x v="16"/>
    <n v="1"/>
    <n v="0"/>
    <n v="1"/>
    <x v="0"/>
    <x v="8"/>
    <x v="1"/>
    <n v="1"/>
    <x v="2"/>
    <x v="1"/>
    <n v="2"/>
    <x v="1"/>
    <x v="13"/>
    <n v="0.1515"/>
    <x v="19"/>
    <x v="6"/>
    <x v="0"/>
    <x v="10"/>
    <x v="63"/>
  </r>
  <r>
    <n v="382"/>
    <x v="16"/>
    <n v="1"/>
    <n v="0"/>
    <n v="1"/>
    <x v="0"/>
    <x v="9"/>
    <x v="1"/>
    <n v="1"/>
    <x v="2"/>
    <x v="1"/>
    <n v="2"/>
    <x v="1"/>
    <x v="13"/>
    <n v="0.1515"/>
    <x v="19"/>
    <x v="6"/>
    <x v="1"/>
    <x v="87"/>
    <x v="105"/>
  </r>
  <r>
    <n v="383"/>
    <x v="16"/>
    <n v="1"/>
    <n v="0"/>
    <n v="1"/>
    <x v="0"/>
    <x v="10"/>
    <x v="1"/>
    <n v="1"/>
    <x v="2"/>
    <x v="1"/>
    <n v="2"/>
    <x v="1"/>
    <x v="13"/>
    <n v="0.1515"/>
    <x v="20"/>
    <x v="2"/>
    <x v="18"/>
    <x v="54"/>
    <x v="52"/>
  </r>
  <r>
    <n v="384"/>
    <x v="16"/>
    <n v="1"/>
    <n v="0"/>
    <n v="1"/>
    <x v="0"/>
    <x v="11"/>
    <x v="1"/>
    <n v="1"/>
    <x v="2"/>
    <x v="1"/>
    <n v="2"/>
    <x v="1"/>
    <x v="13"/>
    <n v="0.1515"/>
    <x v="28"/>
    <x v="5"/>
    <x v="14"/>
    <x v="11"/>
    <x v="37"/>
  </r>
  <r>
    <n v="385"/>
    <x v="16"/>
    <n v="1"/>
    <n v="0"/>
    <n v="1"/>
    <x v="0"/>
    <x v="12"/>
    <x v="1"/>
    <n v="1"/>
    <x v="2"/>
    <x v="1"/>
    <n v="2"/>
    <x v="1"/>
    <x v="15"/>
    <n v="0.19700000000000001"/>
    <x v="19"/>
    <x v="7"/>
    <x v="22"/>
    <x v="14"/>
    <x v="138"/>
  </r>
  <r>
    <n v="386"/>
    <x v="16"/>
    <n v="1"/>
    <n v="0"/>
    <n v="1"/>
    <x v="0"/>
    <x v="13"/>
    <x v="1"/>
    <n v="1"/>
    <x v="2"/>
    <x v="1"/>
    <n v="2"/>
    <x v="1"/>
    <x v="15"/>
    <n v="0.19700000000000001"/>
    <x v="19"/>
    <x v="7"/>
    <x v="23"/>
    <x v="122"/>
    <x v="15"/>
  </r>
  <r>
    <n v="387"/>
    <x v="16"/>
    <n v="1"/>
    <n v="0"/>
    <n v="1"/>
    <x v="0"/>
    <x v="14"/>
    <x v="1"/>
    <n v="1"/>
    <x v="2"/>
    <x v="1"/>
    <n v="2"/>
    <x v="1"/>
    <x v="15"/>
    <n v="0.21210000000000001"/>
    <x v="21"/>
    <x v="14"/>
    <x v="6"/>
    <x v="64"/>
    <x v="80"/>
  </r>
  <r>
    <n v="388"/>
    <x v="16"/>
    <n v="1"/>
    <n v="0"/>
    <n v="1"/>
    <x v="0"/>
    <x v="15"/>
    <x v="1"/>
    <n v="1"/>
    <x v="2"/>
    <x v="1"/>
    <n v="2"/>
    <x v="1"/>
    <x v="2"/>
    <n v="0.21210000000000001"/>
    <x v="19"/>
    <x v="8"/>
    <x v="27"/>
    <x v="109"/>
    <x v="15"/>
  </r>
  <r>
    <n v="389"/>
    <x v="16"/>
    <n v="1"/>
    <n v="0"/>
    <n v="1"/>
    <x v="0"/>
    <x v="16"/>
    <x v="1"/>
    <n v="1"/>
    <x v="2"/>
    <x v="1"/>
    <n v="2"/>
    <x v="1"/>
    <x v="2"/>
    <n v="0.21210000000000001"/>
    <x v="19"/>
    <x v="8"/>
    <x v="15"/>
    <x v="83"/>
    <x v="100"/>
  </r>
  <r>
    <n v="390"/>
    <x v="16"/>
    <n v="1"/>
    <n v="0"/>
    <n v="1"/>
    <x v="0"/>
    <x v="17"/>
    <x v="1"/>
    <n v="1"/>
    <x v="2"/>
    <x v="1"/>
    <n v="1"/>
    <x v="0"/>
    <x v="2"/>
    <n v="0.19700000000000001"/>
    <x v="33"/>
    <x v="5"/>
    <x v="17"/>
    <x v="28"/>
    <x v="68"/>
  </r>
  <r>
    <n v="391"/>
    <x v="16"/>
    <n v="1"/>
    <n v="0"/>
    <n v="1"/>
    <x v="0"/>
    <x v="18"/>
    <x v="1"/>
    <n v="1"/>
    <x v="2"/>
    <x v="1"/>
    <n v="2"/>
    <x v="1"/>
    <x v="15"/>
    <n v="0.16669999999999999"/>
    <x v="28"/>
    <x v="2"/>
    <x v="18"/>
    <x v="66"/>
    <x v="101"/>
  </r>
  <r>
    <n v="392"/>
    <x v="16"/>
    <n v="1"/>
    <n v="0"/>
    <n v="1"/>
    <x v="0"/>
    <x v="19"/>
    <x v="1"/>
    <n v="1"/>
    <x v="2"/>
    <x v="1"/>
    <n v="3"/>
    <x v="2"/>
    <x v="15"/>
    <n v="0.18179999999999999"/>
    <x v="29"/>
    <x v="5"/>
    <x v="4"/>
    <x v="29"/>
    <x v="122"/>
  </r>
  <r>
    <n v="393"/>
    <x v="16"/>
    <n v="1"/>
    <n v="0"/>
    <n v="1"/>
    <x v="0"/>
    <x v="20"/>
    <x v="1"/>
    <n v="1"/>
    <x v="2"/>
    <x v="1"/>
    <n v="3"/>
    <x v="2"/>
    <x v="13"/>
    <n v="0.1515"/>
    <x v="1"/>
    <x v="5"/>
    <x v="17"/>
    <x v="31"/>
    <x v="63"/>
  </r>
  <r>
    <n v="394"/>
    <x v="16"/>
    <n v="1"/>
    <n v="0"/>
    <n v="1"/>
    <x v="0"/>
    <x v="21"/>
    <x v="1"/>
    <n v="1"/>
    <x v="2"/>
    <x v="1"/>
    <n v="3"/>
    <x v="2"/>
    <x v="13"/>
    <n v="0.1515"/>
    <x v="1"/>
    <x v="5"/>
    <x v="0"/>
    <x v="9"/>
    <x v="110"/>
  </r>
  <r>
    <n v="395"/>
    <x v="16"/>
    <n v="1"/>
    <n v="0"/>
    <n v="1"/>
    <x v="0"/>
    <x v="22"/>
    <x v="1"/>
    <n v="1"/>
    <x v="2"/>
    <x v="1"/>
    <n v="3"/>
    <x v="2"/>
    <x v="14"/>
    <n v="0.1212"/>
    <x v="43"/>
    <x v="2"/>
    <x v="3"/>
    <x v="0"/>
    <x v="3"/>
  </r>
  <r>
    <n v="396"/>
    <x v="16"/>
    <n v="1"/>
    <n v="0"/>
    <n v="1"/>
    <x v="0"/>
    <x v="23"/>
    <x v="1"/>
    <n v="1"/>
    <x v="2"/>
    <x v="1"/>
    <n v="3"/>
    <x v="2"/>
    <x v="13"/>
    <n v="0.13639999999999999"/>
    <x v="3"/>
    <x v="3"/>
    <x v="5"/>
    <x v="35"/>
    <x v="48"/>
  </r>
  <r>
    <n v="397"/>
    <x v="17"/>
    <n v="1"/>
    <n v="0"/>
    <n v="1"/>
    <x v="0"/>
    <x v="12"/>
    <x v="0"/>
    <n v="2"/>
    <x v="3"/>
    <x v="0"/>
    <n v="2"/>
    <x v="1"/>
    <x v="2"/>
    <n v="0.18179999999999999"/>
    <x v="3"/>
    <x v="9"/>
    <x v="3"/>
    <x v="35"/>
    <x v="6"/>
  </r>
  <r>
    <n v="398"/>
    <x v="17"/>
    <n v="1"/>
    <n v="0"/>
    <n v="1"/>
    <x v="0"/>
    <x v="13"/>
    <x v="0"/>
    <n v="2"/>
    <x v="3"/>
    <x v="0"/>
    <n v="2"/>
    <x v="1"/>
    <x v="2"/>
    <n v="0.19700000000000001"/>
    <x v="3"/>
    <x v="6"/>
    <x v="3"/>
    <x v="97"/>
    <x v="34"/>
  </r>
  <r>
    <n v="399"/>
    <x v="17"/>
    <n v="1"/>
    <n v="0"/>
    <n v="1"/>
    <x v="0"/>
    <x v="14"/>
    <x v="0"/>
    <n v="2"/>
    <x v="3"/>
    <x v="0"/>
    <n v="2"/>
    <x v="1"/>
    <x v="1"/>
    <n v="0.2273"/>
    <x v="1"/>
    <x v="8"/>
    <x v="4"/>
    <x v="16"/>
    <x v="20"/>
  </r>
  <r>
    <n v="400"/>
    <x v="17"/>
    <n v="1"/>
    <n v="0"/>
    <n v="1"/>
    <x v="0"/>
    <x v="15"/>
    <x v="0"/>
    <n v="2"/>
    <x v="3"/>
    <x v="0"/>
    <n v="2"/>
    <x v="1"/>
    <x v="1"/>
    <n v="0.2273"/>
    <x v="9"/>
    <x v="8"/>
    <x v="0"/>
    <x v="1"/>
    <x v="17"/>
  </r>
  <r>
    <n v="401"/>
    <x v="17"/>
    <n v="1"/>
    <n v="0"/>
    <n v="1"/>
    <x v="0"/>
    <x v="16"/>
    <x v="0"/>
    <n v="2"/>
    <x v="3"/>
    <x v="0"/>
    <n v="2"/>
    <x v="1"/>
    <x v="1"/>
    <n v="0.2273"/>
    <x v="9"/>
    <x v="5"/>
    <x v="3"/>
    <x v="124"/>
    <x v="42"/>
  </r>
  <r>
    <n v="402"/>
    <x v="17"/>
    <n v="1"/>
    <n v="0"/>
    <n v="1"/>
    <x v="0"/>
    <x v="17"/>
    <x v="0"/>
    <n v="2"/>
    <x v="3"/>
    <x v="0"/>
    <n v="2"/>
    <x v="1"/>
    <x v="1"/>
    <n v="0.2273"/>
    <x v="7"/>
    <x v="5"/>
    <x v="5"/>
    <x v="125"/>
    <x v="139"/>
  </r>
  <r>
    <n v="403"/>
    <x v="17"/>
    <n v="1"/>
    <n v="0"/>
    <n v="1"/>
    <x v="0"/>
    <x v="18"/>
    <x v="0"/>
    <n v="2"/>
    <x v="3"/>
    <x v="0"/>
    <n v="2"/>
    <x v="1"/>
    <x v="1"/>
    <n v="0.2273"/>
    <x v="1"/>
    <x v="8"/>
    <x v="5"/>
    <x v="126"/>
    <x v="140"/>
  </r>
  <r>
    <n v="404"/>
    <x v="17"/>
    <n v="1"/>
    <n v="0"/>
    <n v="1"/>
    <x v="0"/>
    <x v="19"/>
    <x v="0"/>
    <n v="2"/>
    <x v="3"/>
    <x v="0"/>
    <n v="2"/>
    <x v="1"/>
    <x v="1"/>
    <n v="0.2273"/>
    <x v="1"/>
    <x v="7"/>
    <x v="5"/>
    <x v="52"/>
    <x v="111"/>
  </r>
  <r>
    <n v="405"/>
    <x v="17"/>
    <n v="1"/>
    <n v="0"/>
    <n v="1"/>
    <x v="0"/>
    <x v="20"/>
    <x v="0"/>
    <n v="2"/>
    <x v="3"/>
    <x v="0"/>
    <n v="2"/>
    <x v="1"/>
    <x v="1"/>
    <n v="0.2727"/>
    <x v="9"/>
    <x v="0"/>
    <x v="3"/>
    <x v="93"/>
    <x v="56"/>
  </r>
  <r>
    <n v="406"/>
    <x v="17"/>
    <n v="1"/>
    <n v="0"/>
    <n v="1"/>
    <x v="0"/>
    <x v="21"/>
    <x v="0"/>
    <n v="2"/>
    <x v="3"/>
    <x v="0"/>
    <n v="2"/>
    <x v="1"/>
    <x v="1"/>
    <n v="0.2424"/>
    <x v="43"/>
    <x v="14"/>
    <x v="3"/>
    <x v="40"/>
    <x v="102"/>
  </r>
  <r>
    <n v="407"/>
    <x v="17"/>
    <n v="1"/>
    <n v="0"/>
    <n v="1"/>
    <x v="0"/>
    <x v="22"/>
    <x v="0"/>
    <n v="2"/>
    <x v="3"/>
    <x v="0"/>
    <n v="2"/>
    <x v="1"/>
    <x v="1"/>
    <n v="0.2576"/>
    <x v="43"/>
    <x v="1"/>
    <x v="3"/>
    <x v="39"/>
    <x v="63"/>
  </r>
  <r>
    <n v="408"/>
    <x v="17"/>
    <n v="1"/>
    <n v="0"/>
    <n v="1"/>
    <x v="0"/>
    <x v="23"/>
    <x v="0"/>
    <n v="2"/>
    <x v="3"/>
    <x v="0"/>
    <n v="2"/>
    <x v="1"/>
    <x v="1"/>
    <n v="0.2727"/>
    <x v="43"/>
    <x v="0"/>
    <x v="5"/>
    <x v="23"/>
    <x v="25"/>
  </r>
  <r>
    <n v="409"/>
    <x v="18"/>
    <n v="1"/>
    <n v="0"/>
    <n v="1"/>
    <x v="0"/>
    <x v="0"/>
    <x v="0"/>
    <n v="3"/>
    <x v="4"/>
    <x v="0"/>
    <n v="2"/>
    <x v="1"/>
    <x v="1"/>
    <n v="0.2727"/>
    <x v="43"/>
    <x v="0"/>
    <x v="3"/>
    <x v="35"/>
    <x v="6"/>
  </r>
  <r>
    <n v="410"/>
    <x v="18"/>
    <n v="1"/>
    <n v="0"/>
    <n v="1"/>
    <x v="0"/>
    <x v="1"/>
    <x v="0"/>
    <n v="3"/>
    <x v="4"/>
    <x v="0"/>
    <n v="3"/>
    <x v="2"/>
    <x v="1"/>
    <n v="0.2273"/>
    <x v="43"/>
    <x v="7"/>
    <x v="5"/>
    <x v="8"/>
    <x v="85"/>
  </r>
  <r>
    <n v="411"/>
    <x v="18"/>
    <n v="1"/>
    <n v="0"/>
    <n v="1"/>
    <x v="0"/>
    <x v="2"/>
    <x v="0"/>
    <n v="3"/>
    <x v="4"/>
    <x v="0"/>
    <n v="3"/>
    <x v="2"/>
    <x v="1"/>
    <n v="0.2273"/>
    <x v="43"/>
    <x v="7"/>
    <x v="3"/>
    <x v="35"/>
    <x v="6"/>
  </r>
  <r>
    <n v="412"/>
    <x v="18"/>
    <n v="1"/>
    <n v="0"/>
    <n v="1"/>
    <x v="0"/>
    <x v="4"/>
    <x v="0"/>
    <n v="3"/>
    <x v="4"/>
    <x v="0"/>
    <n v="3"/>
    <x v="2"/>
    <x v="1"/>
    <n v="0.2273"/>
    <x v="43"/>
    <x v="7"/>
    <x v="5"/>
    <x v="4"/>
    <x v="5"/>
  </r>
  <r>
    <n v="413"/>
    <x v="18"/>
    <n v="1"/>
    <n v="0"/>
    <n v="1"/>
    <x v="0"/>
    <x v="5"/>
    <x v="0"/>
    <n v="3"/>
    <x v="4"/>
    <x v="0"/>
    <n v="2"/>
    <x v="1"/>
    <x v="1"/>
    <n v="0.2576"/>
    <x v="43"/>
    <x v="1"/>
    <x v="3"/>
    <x v="7"/>
    <x v="85"/>
  </r>
  <r>
    <n v="414"/>
    <x v="18"/>
    <n v="1"/>
    <n v="0"/>
    <n v="1"/>
    <x v="0"/>
    <x v="6"/>
    <x v="0"/>
    <n v="3"/>
    <x v="4"/>
    <x v="0"/>
    <n v="2"/>
    <x v="1"/>
    <x v="1"/>
    <n v="0.2576"/>
    <x v="43"/>
    <x v="1"/>
    <x v="3"/>
    <x v="1"/>
    <x v="2"/>
  </r>
  <r>
    <n v="415"/>
    <x v="18"/>
    <n v="1"/>
    <n v="0"/>
    <n v="1"/>
    <x v="0"/>
    <x v="7"/>
    <x v="0"/>
    <n v="3"/>
    <x v="4"/>
    <x v="0"/>
    <n v="2"/>
    <x v="1"/>
    <x v="0"/>
    <n v="0.2576"/>
    <x v="50"/>
    <x v="14"/>
    <x v="5"/>
    <x v="121"/>
    <x v="127"/>
  </r>
  <r>
    <n v="416"/>
    <x v="18"/>
    <n v="1"/>
    <n v="0"/>
    <n v="1"/>
    <x v="0"/>
    <x v="8"/>
    <x v="0"/>
    <n v="3"/>
    <x v="4"/>
    <x v="0"/>
    <n v="2"/>
    <x v="1"/>
    <x v="0"/>
    <n v="0.2576"/>
    <x v="43"/>
    <x v="14"/>
    <x v="5"/>
    <x v="127"/>
    <x v="141"/>
  </r>
  <r>
    <n v="417"/>
    <x v="18"/>
    <n v="1"/>
    <n v="0"/>
    <n v="1"/>
    <x v="0"/>
    <x v="9"/>
    <x v="0"/>
    <n v="3"/>
    <x v="4"/>
    <x v="0"/>
    <n v="2"/>
    <x v="1"/>
    <x v="0"/>
    <n v="0.2576"/>
    <x v="43"/>
    <x v="14"/>
    <x v="4"/>
    <x v="128"/>
    <x v="142"/>
  </r>
  <r>
    <n v="418"/>
    <x v="18"/>
    <n v="1"/>
    <n v="0"/>
    <n v="1"/>
    <x v="0"/>
    <x v="10"/>
    <x v="0"/>
    <n v="3"/>
    <x v="4"/>
    <x v="0"/>
    <n v="2"/>
    <x v="1"/>
    <x v="12"/>
    <n v="0.2727"/>
    <x v="43"/>
    <x v="7"/>
    <x v="5"/>
    <x v="24"/>
    <x v="105"/>
  </r>
  <r>
    <n v="419"/>
    <x v="18"/>
    <n v="1"/>
    <n v="0"/>
    <n v="1"/>
    <x v="0"/>
    <x v="11"/>
    <x v="0"/>
    <n v="3"/>
    <x v="4"/>
    <x v="0"/>
    <n v="2"/>
    <x v="1"/>
    <x v="17"/>
    <n v="0.30299999999999999"/>
    <x v="9"/>
    <x v="1"/>
    <x v="2"/>
    <x v="12"/>
    <x v="46"/>
  </r>
  <r>
    <n v="420"/>
    <x v="18"/>
    <n v="1"/>
    <n v="0"/>
    <n v="1"/>
    <x v="0"/>
    <x v="12"/>
    <x v="0"/>
    <n v="3"/>
    <x v="4"/>
    <x v="0"/>
    <n v="2"/>
    <x v="1"/>
    <x v="11"/>
    <n v="0.31819999999999998"/>
    <x v="0"/>
    <x v="1"/>
    <x v="2"/>
    <x v="65"/>
    <x v="27"/>
  </r>
  <r>
    <n v="421"/>
    <x v="18"/>
    <n v="1"/>
    <n v="0"/>
    <n v="1"/>
    <x v="0"/>
    <x v="13"/>
    <x v="0"/>
    <n v="3"/>
    <x v="4"/>
    <x v="0"/>
    <n v="1"/>
    <x v="0"/>
    <x v="9"/>
    <n v="0.40910000000000002"/>
    <x v="51"/>
    <x v="3"/>
    <x v="16"/>
    <x v="28"/>
    <x v="53"/>
  </r>
  <r>
    <n v="422"/>
    <x v="18"/>
    <n v="1"/>
    <n v="0"/>
    <n v="1"/>
    <x v="0"/>
    <x v="14"/>
    <x v="0"/>
    <n v="3"/>
    <x v="4"/>
    <x v="0"/>
    <n v="1"/>
    <x v="0"/>
    <x v="9"/>
    <n v="0.40910000000000002"/>
    <x v="52"/>
    <x v="2"/>
    <x v="18"/>
    <x v="56"/>
    <x v="28"/>
  </r>
  <r>
    <n v="423"/>
    <x v="18"/>
    <n v="1"/>
    <n v="0"/>
    <n v="1"/>
    <x v="0"/>
    <x v="15"/>
    <x v="0"/>
    <n v="3"/>
    <x v="4"/>
    <x v="0"/>
    <n v="1"/>
    <x v="0"/>
    <x v="9"/>
    <n v="0.40910000000000002"/>
    <x v="47"/>
    <x v="3"/>
    <x v="17"/>
    <x v="78"/>
    <x v="100"/>
  </r>
  <r>
    <n v="424"/>
    <x v="18"/>
    <n v="1"/>
    <n v="0"/>
    <n v="1"/>
    <x v="0"/>
    <x v="16"/>
    <x v="0"/>
    <n v="3"/>
    <x v="4"/>
    <x v="0"/>
    <n v="1"/>
    <x v="0"/>
    <x v="4"/>
    <n v="0.39389999999999997"/>
    <x v="52"/>
    <x v="13"/>
    <x v="22"/>
    <x v="111"/>
    <x v="133"/>
  </r>
  <r>
    <n v="425"/>
    <x v="18"/>
    <n v="1"/>
    <n v="0"/>
    <n v="1"/>
    <x v="0"/>
    <x v="17"/>
    <x v="0"/>
    <n v="3"/>
    <x v="4"/>
    <x v="0"/>
    <n v="1"/>
    <x v="0"/>
    <x v="5"/>
    <n v="0.33329999999999999"/>
    <x v="14"/>
    <x v="9"/>
    <x v="18"/>
    <x v="84"/>
    <x v="141"/>
  </r>
  <r>
    <n v="426"/>
    <x v="18"/>
    <n v="1"/>
    <n v="0"/>
    <n v="1"/>
    <x v="0"/>
    <x v="18"/>
    <x v="0"/>
    <n v="3"/>
    <x v="4"/>
    <x v="0"/>
    <n v="1"/>
    <x v="0"/>
    <x v="10"/>
    <n v="0.31819999999999998"/>
    <x v="53"/>
    <x v="3"/>
    <x v="2"/>
    <x v="117"/>
    <x v="143"/>
  </r>
  <r>
    <n v="427"/>
    <x v="18"/>
    <n v="1"/>
    <n v="0"/>
    <n v="1"/>
    <x v="0"/>
    <x v="19"/>
    <x v="0"/>
    <n v="3"/>
    <x v="4"/>
    <x v="0"/>
    <n v="1"/>
    <x v="0"/>
    <x v="3"/>
    <n v="0.28789999999999999"/>
    <x v="14"/>
    <x v="12"/>
    <x v="17"/>
    <x v="123"/>
    <x v="59"/>
  </r>
  <r>
    <n v="428"/>
    <x v="18"/>
    <n v="1"/>
    <n v="0"/>
    <n v="1"/>
    <x v="0"/>
    <x v="20"/>
    <x v="0"/>
    <n v="3"/>
    <x v="4"/>
    <x v="0"/>
    <n v="1"/>
    <x v="0"/>
    <x v="3"/>
    <n v="0.30299999999999999"/>
    <x v="36"/>
    <x v="4"/>
    <x v="4"/>
    <x v="64"/>
    <x v="31"/>
  </r>
  <r>
    <n v="429"/>
    <x v="18"/>
    <n v="1"/>
    <n v="0"/>
    <n v="1"/>
    <x v="0"/>
    <x v="21"/>
    <x v="0"/>
    <n v="3"/>
    <x v="4"/>
    <x v="0"/>
    <n v="1"/>
    <x v="0"/>
    <x v="3"/>
    <n v="0.28789999999999999"/>
    <x v="36"/>
    <x v="12"/>
    <x v="17"/>
    <x v="11"/>
    <x v="29"/>
  </r>
  <r>
    <n v="430"/>
    <x v="18"/>
    <n v="1"/>
    <n v="0"/>
    <n v="1"/>
    <x v="0"/>
    <x v="22"/>
    <x v="0"/>
    <n v="3"/>
    <x v="4"/>
    <x v="0"/>
    <n v="1"/>
    <x v="0"/>
    <x v="11"/>
    <n v="0.30299999999999999"/>
    <x v="35"/>
    <x v="8"/>
    <x v="15"/>
    <x v="42"/>
    <x v="29"/>
  </r>
  <r>
    <n v="431"/>
    <x v="18"/>
    <n v="1"/>
    <n v="0"/>
    <n v="1"/>
    <x v="0"/>
    <x v="23"/>
    <x v="0"/>
    <n v="3"/>
    <x v="4"/>
    <x v="0"/>
    <n v="1"/>
    <x v="0"/>
    <x v="11"/>
    <n v="0.2727"/>
    <x v="35"/>
    <x v="17"/>
    <x v="5"/>
    <x v="2"/>
    <x v="20"/>
  </r>
  <r>
    <n v="432"/>
    <x v="19"/>
    <n v="1"/>
    <n v="0"/>
    <n v="1"/>
    <x v="0"/>
    <x v="0"/>
    <x v="0"/>
    <n v="4"/>
    <x v="5"/>
    <x v="0"/>
    <n v="1"/>
    <x v="0"/>
    <x v="12"/>
    <n v="0.2273"/>
    <x v="34"/>
    <x v="13"/>
    <x v="2"/>
    <x v="21"/>
    <x v="3"/>
  </r>
  <r>
    <n v="433"/>
    <x v="19"/>
    <n v="1"/>
    <n v="0"/>
    <n v="1"/>
    <x v="0"/>
    <x v="1"/>
    <x v="0"/>
    <n v="4"/>
    <x v="5"/>
    <x v="0"/>
    <n v="1"/>
    <x v="0"/>
    <x v="12"/>
    <n v="0.2727"/>
    <x v="34"/>
    <x v="0"/>
    <x v="4"/>
    <x v="35"/>
    <x v="36"/>
  </r>
  <r>
    <n v="434"/>
    <x v="19"/>
    <n v="1"/>
    <n v="0"/>
    <n v="1"/>
    <x v="0"/>
    <x v="2"/>
    <x v="0"/>
    <n v="4"/>
    <x v="5"/>
    <x v="0"/>
    <n v="1"/>
    <x v="0"/>
    <x v="12"/>
    <n v="0.2727"/>
    <x v="34"/>
    <x v="0"/>
    <x v="3"/>
    <x v="6"/>
    <x v="5"/>
  </r>
  <r>
    <n v="435"/>
    <x v="19"/>
    <n v="1"/>
    <n v="0"/>
    <n v="1"/>
    <x v="0"/>
    <x v="3"/>
    <x v="0"/>
    <n v="4"/>
    <x v="5"/>
    <x v="0"/>
    <n v="1"/>
    <x v="0"/>
    <x v="12"/>
    <n v="0.2576"/>
    <x v="34"/>
    <x v="8"/>
    <x v="3"/>
    <x v="4"/>
    <x v="4"/>
  </r>
  <r>
    <n v="436"/>
    <x v="19"/>
    <n v="1"/>
    <n v="0"/>
    <n v="1"/>
    <x v="0"/>
    <x v="4"/>
    <x v="0"/>
    <n v="4"/>
    <x v="5"/>
    <x v="0"/>
    <n v="1"/>
    <x v="0"/>
    <x v="12"/>
    <n v="0.2576"/>
    <x v="34"/>
    <x v="8"/>
    <x v="3"/>
    <x v="4"/>
    <x v="4"/>
  </r>
  <r>
    <n v="437"/>
    <x v="19"/>
    <n v="1"/>
    <n v="0"/>
    <n v="1"/>
    <x v="0"/>
    <x v="5"/>
    <x v="0"/>
    <n v="4"/>
    <x v="5"/>
    <x v="0"/>
    <n v="1"/>
    <x v="0"/>
    <x v="0"/>
    <n v="0.2273"/>
    <x v="54"/>
    <x v="6"/>
    <x v="3"/>
    <x v="8"/>
    <x v="24"/>
  </r>
  <r>
    <n v="438"/>
    <x v="19"/>
    <n v="1"/>
    <n v="0"/>
    <n v="1"/>
    <x v="0"/>
    <x v="6"/>
    <x v="0"/>
    <n v="4"/>
    <x v="5"/>
    <x v="0"/>
    <n v="1"/>
    <x v="0"/>
    <x v="1"/>
    <n v="0.21210000000000001"/>
    <x v="54"/>
    <x v="6"/>
    <x v="3"/>
    <x v="96"/>
    <x v="17"/>
  </r>
  <r>
    <n v="439"/>
    <x v="19"/>
    <n v="1"/>
    <n v="0"/>
    <n v="1"/>
    <x v="0"/>
    <x v="7"/>
    <x v="0"/>
    <n v="4"/>
    <x v="5"/>
    <x v="0"/>
    <n v="1"/>
    <x v="0"/>
    <x v="1"/>
    <n v="0.21210000000000001"/>
    <x v="28"/>
    <x v="6"/>
    <x v="5"/>
    <x v="129"/>
    <x v="129"/>
  </r>
  <r>
    <n v="440"/>
    <x v="19"/>
    <n v="1"/>
    <n v="0"/>
    <n v="1"/>
    <x v="0"/>
    <x v="8"/>
    <x v="0"/>
    <n v="4"/>
    <x v="5"/>
    <x v="0"/>
    <n v="1"/>
    <x v="0"/>
    <x v="1"/>
    <n v="0.21210000000000001"/>
    <x v="28"/>
    <x v="3"/>
    <x v="4"/>
    <x v="130"/>
    <x v="144"/>
  </r>
  <r>
    <n v="441"/>
    <x v="19"/>
    <n v="1"/>
    <n v="0"/>
    <n v="1"/>
    <x v="0"/>
    <x v="9"/>
    <x v="0"/>
    <n v="4"/>
    <x v="5"/>
    <x v="0"/>
    <n v="2"/>
    <x v="1"/>
    <x v="0"/>
    <n v="0.2273"/>
    <x v="35"/>
    <x v="6"/>
    <x v="0"/>
    <x v="131"/>
    <x v="145"/>
  </r>
  <r>
    <n v="442"/>
    <x v="19"/>
    <n v="1"/>
    <n v="0"/>
    <n v="1"/>
    <x v="0"/>
    <x v="10"/>
    <x v="0"/>
    <n v="4"/>
    <x v="5"/>
    <x v="0"/>
    <n v="1"/>
    <x v="0"/>
    <x v="12"/>
    <n v="0.2273"/>
    <x v="37"/>
    <x v="4"/>
    <x v="5"/>
    <x v="90"/>
    <x v="52"/>
  </r>
  <r>
    <n v="443"/>
    <x v="19"/>
    <n v="1"/>
    <n v="0"/>
    <n v="1"/>
    <x v="0"/>
    <x v="11"/>
    <x v="0"/>
    <n v="4"/>
    <x v="5"/>
    <x v="0"/>
    <n v="2"/>
    <x v="1"/>
    <x v="17"/>
    <n v="0.2727"/>
    <x v="49"/>
    <x v="8"/>
    <x v="2"/>
    <x v="36"/>
    <x v="118"/>
  </r>
  <r>
    <n v="444"/>
    <x v="19"/>
    <n v="1"/>
    <n v="0"/>
    <n v="1"/>
    <x v="0"/>
    <x v="12"/>
    <x v="0"/>
    <n v="4"/>
    <x v="5"/>
    <x v="0"/>
    <n v="2"/>
    <x v="1"/>
    <x v="11"/>
    <n v="0.33329999999999999"/>
    <x v="16"/>
    <x v="0"/>
    <x v="18"/>
    <x v="99"/>
    <x v="11"/>
  </r>
  <r>
    <n v="445"/>
    <x v="19"/>
    <n v="1"/>
    <n v="0"/>
    <n v="1"/>
    <x v="0"/>
    <x v="13"/>
    <x v="0"/>
    <n v="4"/>
    <x v="5"/>
    <x v="0"/>
    <n v="2"/>
    <x v="1"/>
    <x v="17"/>
    <n v="0.28789999999999999"/>
    <x v="49"/>
    <x v="14"/>
    <x v="6"/>
    <x v="132"/>
    <x v="95"/>
  </r>
  <r>
    <n v="446"/>
    <x v="19"/>
    <n v="1"/>
    <n v="0"/>
    <n v="1"/>
    <x v="0"/>
    <x v="14"/>
    <x v="0"/>
    <n v="4"/>
    <x v="5"/>
    <x v="0"/>
    <n v="2"/>
    <x v="1"/>
    <x v="11"/>
    <n v="0.30299999999999999"/>
    <x v="49"/>
    <x v="7"/>
    <x v="15"/>
    <x v="102"/>
    <x v="117"/>
  </r>
  <r>
    <n v="447"/>
    <x v="19"/>
    <n v="1"/>
    <n v="0"/>
    <n v="1"/>
    <x v="0"/>
    <x v="15"/>
    <x v="0"/>
    <n v="4"/>
    <x v="5"/>
    <x v="0"/>
    <n v="2"/>
    <x v="1"/>
    <x v="3"/>
    <n v="0.31819999999999998"/>
    <x v="49"/>
    <x v="5"/>
    <x v="1"/>
    <x v="133"/>
    <x v="27"/>
  </r>
  <r>
    <n v="448"/>
    <x v="19"/>
    <n v="1"/>
    <n v="0"/>
    <n v="1"/>
    <x v="0"/>
    <x v="16"/>
    <x v="0"/>
    <n v="4"/>
    <x v="5"/>
    <x v="0"/>
    <n v="2"/>
    <x v="1"/>
    <x v="11"/>
    <n v="0.30299999999999999"/>
    <x v="36"/>
    <x v="7"/>
    <x v="1"/>
    <x v="93"/>
    <x v="134"/>
  </r>
  <r>
    <n v="449"/>
    <x v="19"/>
    <n v="1"/>
    <n v="0"/>
    <n v="1"/>
    <x v="0"/>
    <x v="17"/>
    <x v="0"/>
    <n v="4"/>
    <x v="5"/>
    <x v="0"/>
    <n v="2"/>
    <x v="1"/>
    <x v="11"/>
    <n v="0.31819999999999998"/>
    <x v="36"/>
    <x v="14"/>
    <x v="1"/>
    <x v="134"/>
    <x v="146"/>
  </r>
  <r>
    <n v="450"/>
    <x v="19"/>
    <n v="1"/>
    <n v="0"/>
    <n v="1"/>
    <x v="0"/>
    <x v="18"/>
    <x v="0"/>
    <n v="4"/>
    <x v="5"/>
    <x v="0"/>
    <n v="2"/>
    <x v="1"/>
    <x v="12"/>
    <n v="0.2576"/>
    <x v="34"/>
    <x v="5"/>
    <x v="5"/>
    <x v="103"/>
    <x v="147"/>
  </r>
  <r>
    <n v="451"/>
    <x v="19"/>
    <n v="1"/>
    <n v="0"/>
    <n v="1"/>
    <x v="0"/>
    <x v="19"/>
    <x v="0"/>
    <n v="4"/>
    <x v="5"/>
    <x v="0"/>
    <n v="1"/>
    <x v="0"/>
    <x v="12"/>
    <n v="0.2273"/>
    <x v="34"/>
    <x v="9"/>
    <x v="15"/>
    <x v="44"/>
    <x v="148"/>
  </r>
  <r>
    <n v="452"/>
    <x v="19"/>
    <n v="1"/>
    <n v="0"/>
    <n v="1"/>
    <x v="0"/>
    <x v="20"/>
    <x v="0"/>
    <n v="4"/>
    <x v="5"/>
    <x v="0"/>
    <n v="2"/>
    <x v="1"/>
    <x v="12"/>
    <n v="0.2424"/>
    <x v="54"/>
    <x v="3"/>
    <x v="4"/>
    <x v="125"/>
    <x v="149"/>
  </r>
  <r>
    <n v="453"/>
    <x v="19"/>
    <n v="1"/>
    <n v="0"/>
    <n v="1"/>
    <x v="0"/>
    <x v="21"/>
    <x v="0"/>
    <n v="4"/>
    <x v="5"/>
    <x v="0"/>
    <n v="2"/>
    <x v="1"/>
    <x v="0"/>
    <n v="0.2273"/>
    <x v="54"/>
    <x v="2"/>
    <x v="0"/>
    <x v="25"/>
    <x v="52"/>
  </r>
  <r>
    <n v="454"/>
    <x v="19"/>
    <n v="1"/>
    <n v="0"/>
    <n v="1"/>
    <x v="0"/>
    <x v="22"/>
    <x v="0"/>
    <n v="4"/>
    <x v="5"/>
    <x v="0"/>
    <n v="2"/>
    <x v="1"/>
    <x v="0"/>
    <n v="0.21210000000000001"/>
    <x v="55"/>
    <x v="3"/>
    <x v="3"/>
    <x v="90"/>
    <x v="10"/>
  </r>
  <r>
    <n v="455"/>
    <x v="19"/>
    <n v="1"/>
    <n v="0"/>
    <n v="1"/>
    <x v="0"/>
    <x v="23"/>
    <x v="0"/>
    <n v="4"/>
    <x v="5"/>
    <x v="0"/>
    <n v="2"/>
    <x v="1"/>
    <x v="0"/>
    <n v="0.21210000000000001"/>
    <x v="55"/>
    <x v="9"/>
    <x v="0"/>
    <x v="95"/>
    <x v="35"/>
  </r>
  <r>
    <n v="456"/>
    <x v="20"/>
    <n v="1"/>
    <n v="0"/>
    <n v="1"/>
    <x v="0"/>
    <x v="0"/>
    <x v="0"/>
    <n v="5"/>
    <x v="6"/>
    <x v="0"/>
    <n v="2"/>
    <x v="1"/>
    <x v="0"/>
    <n v="0.2273"/>
    <x v="56"/>
    <x v="2"/>
    <x v="5"/>
    <x v="32"/>
    <x v="137"/>
  </r>
  <r>
    <n v="457"/>
    <x v="20"/>
    <n v="1"/>
    <n v="0"/>
    <n v="1"/>
    <x v="0"/>
    <x v="1"/>
    <x v="0"/>
    <n v="5"/>
    <x v="6"/>
    <x v="0"/>
    <n v="2"/>
    <x v="1"/>
    <x v="0"/>
    <n v="0.2273"/>
    <x v="56"/>
    <x v="2"/>
    <x v="3"/>
    <x v="8"/>
    <x v="24"/>
  </r>
  <r>
    <n v="458"/>
    <x v="20"/>
    <n v="1"/>
    <n v="0"/>
    <n v="1"/>
    <x v="0"/>
    <x v="2"/>
    <x v="0"/>
    <n v="5"/>
    <x v="6"/>
    <x v="0"/>
    <n v="3"/>
    <x v="2"/>
    <x v="0"/>
    <n v="0.2424"/>
    <x v="2"/>
    <x v="8"/>
    <x v="3"/>
    <x v="6"/>
    <x v="5"/>
  </r>
  <r>
    <n v="459"/>
    <x v="20"/>
    <n v="1"/>
    <n v="0"/>
    <n v="1"/>
    <x v="0"/>
    <x v="3"/>
    <x v="0"/>
    <n v="5"/>
    <x v="6"/>
    <x v="0"/>
    <n v="3"/>
    <x v="2"/>
    <x v="1"/>
    <n v="0.21210000000000001"/>
    <x v="1"/>
    <x v="4"/>
    <x v="3"/>
    <x v="4"/>
    <x v="4"/>
  </r>
  <r>
    <n v="460"/>
    <x v="20"/>
    <n v="1"/>
    <n v="0"/>
    <n v="1"/>
    <x v="0"/>
    <x v="4"/>
    <x v="0"/>
    <n v="5"/>
    <x v="6"/>
    <x v="0"/>
    <n v="2"/>
    <x v="1"/>
    <x v="1"/>
    <n v="0.2576"/>
    <x v="9"/>
    <x v="1"/>
    <x v="3"/>
    <x v="4"/>
    <x v="4"/>
  </r>
  <r>
    <n v="461"/>
    <x v="20"/>
    <n v="1"/>
    <n v="0"/>
    <n v="1"/>
    <x v="0"/>
    <x v="5"/>
    <x v="0"/>
    <n v="5"/>
    <x v="6"/>
    <x v="0"/>
    <n v="1"/>
    <x v="0"/>
    <x v="0"/>
    <n v="0.19700000000000001"/>
    <x v="54"/>
    <x v="12"/>
    <x v="5"/>
    <x v="22"/>
    <x v="36"/>
  </r>
  <r>
    <n v="462"/>
    <x v="20"/>
    <n v="1"/>
    <n v="0"/>
    <n v="1"/>
    <x v="0"/>
    <x v="6"/>
    <x v="0"/>
    <n v="5"/>
    <x v="6"/>
    <x v="0"/>
    <n v="1"/>
    <x v="0"/>
    <x v="1"/>
    <n v="0.21210000000000001"/>
    <x v="28"/>
    <x v="2"/>
    <x v="3"/>
    <x v="2"/>
    <x v="110"/>
  </r>
  <r>
    <n v="463"/>
    <x v="20"/>
    <n v="1"/>
    <n v="0"/>
    <n v="1"/>
    <x v="0"/>
    <x v="7"/>
    <x v="0"/>
    <n v="5"/>
    <x v="6"/>
    <x v="0"/>
    <n v="1"/>
    <x v="0"/>
    <x v="2"/>
    <n v="0.18179999999999999"/>
    <x v="33"/>
    <x v="3"/>
    <x v="4"/>
    <x v="43"/>
    <x v="118"/>
  </r>
  <r>
    <n v="464"/>
    <x v="20"/>
    <n v="1"/>
    <n v="0"/>
    <n v="1"/>
    <x v="0"/>
    <x v="8"/>
    <x v="0"/>
    <n v="5"/>
    <x v="6"/>
    <x v="0"/>
    <n v="1"/>
    <x v="0"/>
    <x v="2"/>
    <n v="0.18179999999999999"/>
    <x v="19"/>
    <x v="9"/>
    <x v="18"/>
    <x v="135"/>
    <x v="112"/>
  </r>
  <r>
    <n v="465"/>
    <x v="20"/>
    <n v="1"/>
    <n v="0"/>
    <n v="1"/>
    <x v="0"/>
    <x v="9"/>
    <x v="0"/>
    <n v="5"/>
    <x v="6"/>
    <x v="0"/>
    <n v="1"/>
    <x v="0"/>
    <x v="2"/>
    <n v="0.18179999999999999"/>
    <x v="33"/>
    <x v="11"/>
    <x v="18"/>
    <x v="136"/>
    <x v="150"/>
  </r>
  <r>
    <n v="466"/>
    <x v="20"/>
    <n v="1"/>
    <n v="0"/>
    <n v="1"/>
    <x v="0"/>
    <x v="10"/>
    <x v="0"/>
    <n v="5"/>
    <x v="6"/>
    <x v="0"/>
    <n v="1"/>
    <x v="0"/>
    <x v="2"/>
    <n v="0.16669999999999999"/>
    <x v="19"/>
    <x v="17"/>
    <x v="15"/>
    <x v="77"/>
    <x v="55"/>
  </r>
  <r>
    <n v="467"/>
    <x v="20"/>
    <n v="1"/>
    <n v="0"/>
    <n v="1"/>
    <x v="0"/>
    <x v="11"/>
    <x v="0"/>
    <n v="5"/>
    <x v="6"/>
    <x v="0"/>
    <n v="1"/>
    <x v="0"/>
    <x v="1"/>
    <n v="0.18179999999999999"/>
    <x v="48"/>
    <x v="17"/>
    <x v="15"/>
    <x v="42"/>
    <x v="29"/>
  </r>
  <r>
    <n v="468"/>
    <x v="20"/>
    <n v="1"/>
    <n v="0"/>
    <n v="1"/>
    <x v="0"/>
    <x v="12"/>
    <x v="0"/>
    <n v="5"/>
    <x v="6"/>
    <x v="0"/>
    <n v="1"/>
    <x v="0"/>
    <x v="1"/>
    <n v="0.18179999999999999"/>
    <x v="57"/>
    <x v="19"/>
    <x v="16"/>
    <x v="28"/>
    <x v="53"/>
  </r>
  <r>
    <n v="469"/>
    <x v="20"/>
    <n v="1"/>
    <n v="0"/>
    <n v="1"/>
    <x v="0"/>
    <x v="13"/>
    <x v="0"/>
    <n v="5"/>
    <x v="6"/>
    <x v="0"/>
    <n v="1"/>
    <x v="0"/>
    <x v="2"/>
    <n v="0.1515"/>
    <x v="58"/>
    <x v="19"/>
    <x v="1"/>
    <x v="65"/>
    <x v="88"/>
  </r>
  <r>
    <n v="470"/>
    <x v="20"/>
    <n v="1"/>
    <n v="0"/>
    <n v="1"/>
    <x v="0"/>
    <x v="14"/>
    <x v="0"/>
    <n v="5"/>
    <x v="6"/>
    <x v="0"/>
    <n v="1"/>
    <x v="0"/>
    <x v="2"/>
    <n v="0.1515"/>
    <x v="59"/>
    <x v="18"/>
    <x v="15"/>
    <x v="90"/>
    <x v="69"/>
  </r>
  <r>
    <n v="471"/>
    <x v="20"/>
    <n v="1"/>
    <n v="0"/>
    <n v="1"/>
    <x v="0"/>
    <x v="15"/>
    <x v="0"/>
    <n v="5"/>
    <x v="6"/>
    <x v="0"/>
    <n v="1"/>
    <x v="0"/>
    <x v="13"/>
    <n v="0.1212"/>
    <x v="60"/>
    <x v="10"/>
    <x v="17"/>
    <x v="124"/>
    <x v="32"/>
  </r>
  <r>
    <n v="472"/>
    <x v="20"/>
    <n v="1"/>
    <n v="0"/>
    <n v="1"/>
    <x v="0"/>
    <x v="16"/>
    <x v="0"/>
    <n v="5"/>
    <x v="6"/>
    <x v="0"/>
    <n v="1"/>
    <x v="0"/>
    <x v="13"/>
    <n v="0.13639999999999999"/>
    <x v="60"/>
    <x v="11"/>
    <x v="3"/>
    <x v="106"/>
    <x v="54"/>
  </r>
  <r>
    <n v="473"/>
    <x v="20"/>
    <n v="1"/>
    <n v="0"/>
    <n v="1"/>
    <x v="0"/>
    <x v="17"/>
    <x v="0"/>
    <n v="5"/>
    <x v="6"/>
    <x v="0"/>
    <n v="1"/>
    <x v="0"/>
    <x v="14"/>
    <n v="0.1212"/>
    <x v="40"/>
    <x v="11"/>
    <x v="22"/>
    <x v="137"/>
    <x v="143"/>
  </r>
  <r>
    <n v="474"/>
    <x v="20"/>
    <n v="1"/>
    <n v="0"/>
    <n v="1"/>
    <x v="0"/>
    <x v="18"/>
    <x v="0"/>
    <n v="5"/>
    <x v="6"/>
    <x v="0"/>
    <n v="1"/>
    <x v="0"/>
    <x v="16"/>
    <n v="0.1212"/>
    <x v="24"/>
    <x v="2"/>
    <x v="5"/>
    <x v="138"/>
    <x v="151"/>
  </r>
  <r>
    <n v="475"/>
    <x v="20"/>
    <n v="1"/>
    <n v="0"/>
    <n v="1"/>
    <x v="0"/>
    <x v="19"/>
    <x v="0"/>
    <n v="5"/>
    <x v="6"/>
    <x v="0"/>
    <n v="1"/>
    <x v="0"/>
    <x v="16"/>
    <n v="0.1061"/>
    <x v="24"/>
    <x v="9"/>
    <x v="0"/>
    <x v="139"/>
    <x v="152"/>
  </r>
  <r>
    <n v="476"/>
    <x v="20"/>
    <n v="1"/>
    <n v="0"/>
    <n v="1"/>
    <x v="0"/>
    <x v="20"/>
    <x v="0"/>
    <n v="5"/>
    <x v="6"/>
    <x v="0"/>
    <n v="1"/>
    <x v="0"/>
    <x v="18"/>
    <n v="7.5800000000000006E-2"/>
    <x v="39"/>
    <x v="12"/>
    <x v="5"/>
    <x v="15"/>
    <x v="26"/>
  </r>
  <r>
    <n v="477"/>
    <x v="20"/>
    <n v="1"/>
    <n v="0"/>
    <n v="1"/>
    <x v="0"/>
    <x v="21"/>
    <x v="0"/>
    <n v="5"/>
    <x v="6"/>
    <x v="0"/>
    <n v="1"/>
    <x v="0"/>
    <x v="19"/>
    <n v="7.5800000000000006E-2"/>
    <x v="41"/>
    <x v="3"/>
    <x v="3"/>
    <x v="40"/>
    <x v="102"/>
  </r>
  <r>
    <n v="478"/>
    <x v="20"/>
    <n v="1"/>
    <n v="0"/>
    <n v="1"/>
    <x v="0"/>
    <x v="22"/>
    <x v="0"/>
    <n v="5"/>
    <x v="6"/>
    <x v="0"/>
    <n v="1"/>
    <x v="0"/>
    <x v="20"/>
    <n v="3.0300000000000001E-2"/>
    <x v="48"/>
    <x v="13"/>
    <x v="5"/>
    <x v="39"/>
    <x v="19"/>
  </r>
  <r>
    <n v="479"/>
    <x v="20"/>
    <n v="1"/>
    <n v="0"/>
    <n v="1"/>
    <x v="0"/>
    <x v="23"/>
    <x v="0"/>
    <n v="5"/>
    <x v="6"/>
    <x v="0"/>
    <n v="1"/>
    <x v="0"/>
    <x v="20"/>
    <n v="4.5499999999999999E-2"/>
    <x v="41"/>
    <x v="9"/>
    <x v="3"/>
    <x v="2"/>
    <x v="110"/>
  </r>
  <r>
    <n v="480"/>
    <x v="21"/>
    <n v="1"/>
    <n v="0"/>
    <n v="1"/>
    <x v="0"/>
    <x v="0"/>
    <x v="0"/>
    <n v="6"/>
    <x v="0"/>
    <x v="0"/>
    <n v="1"/>
    <x v="0"/>
    <x v="21"/>
    <n v="3.0300000000000001E-2"/>
    <x v="49"/>
    <x v="2"/>
    <x v="3"/>
    <x v="0"/>
    <x v="3"/>
  </r>
  <r>
    <n v="481"/>
    <x v="21"/>
    <n v="1"/>
    <n v="0"/>
    <n v="1"/>
    <x v="0"/>
    <x v="1"/>
    <x v="0"/>
    <n v="6"/>
    <x v="0"/>
    <x v="0"/>
    <n v="2"/>
    <x v="1"/>
    <x v="21"/>
    <n v="0"/>
    <x v="48"/>
    <x v="13"/>
    <x v="0"/>
    <x v="33"/>
    <x v="47"/>
  </r>
  <r>
    <n v="482"/>
    <x v="21"/>
    <n v="1"/>
    <n v="0"/>
    <n v="1"/>
    <x v="0"/>
    <x v="2"/>
    <x v="0"/>
    <n v="6"/>
    <x v="0"/>
    <x v="0"/>
    <n v="2"/>
    <x v="1"/>
    <x v="21"/>
    <n v="3.0300000000000001E-2"/>
    <x v="48"/>
    <x v="2"/>
    <x v="3"/>
    <x v="48"/>
    <x v="62"/>
  </r>
  <r>
    <n v="483"/>
    <x v="21"/>
    <n v="1"/>
    <n v="0"/>
    <n v="1"/>
    <x v="0"/>
    <x v="3"/>
    <x v="0"/>
    <n v="6"/>
    <x v="0"/>
    <x v="0"/>
    <n v="2"/>
    <x v="1"/>
    <x v="21"/>
    <n v="3.0300000000000001E-2"/>
    <x v="48"/>
    <x v="3"/>
    <x v="5"/>
    <x v="8"/>
    <x v="85"/>
  </r>
  <r>
    <n v="484"/>
    <x v="21"/>
    <n v="1"/>
    <n v="0"/>
    <n v="1"/>
    <x v="0"/>
    <x v="4"/>
    <x v="0"/>
    <n v="6"/>
    <x v="0"/>
    <x v="0"/>
    <n v="2"/>
    <x v="1"/>
    <x v="22"/>
    <n v="1.52E-2"/>
    <x v="37"/>
    <x v="4"/>
    <x v="3"/>
    <x v="35"/>
    <x v="6"/>
  </r>
  <r>
    <n v="485"/>
    <x v="21"/>
    <n v="1"/>
    <n v="0"/>
    <n v="1"/>
    <x v="0"/>
    <x v="6"/>
    <x v="0"/>
    <n v="6"/>
    <x v="0"/>
    <x v="0"/>
    <n v="2"/>
    <x v="1"/>
    <x v="22"/>
    <n v="3.0300000000000001E-2"/>
    <x v="18"/>
    <x v="6"/>
    <x v="3"/>
    <x v="6"/>
    <x v="5"/>
  </r>
  <r>
    <n v="486"/>
    <x v="21"/>
    <n v="1"/>
    <n v="0"/>
    <n v="1"/>
    <x v="0"/>
    <x v="7"/>
    <x v="0"/>
    <n v="6"/>
    <x v="0"/>
    <x v="0"/>
    <n v="1"/>
    <x v="0"/>
    <x v="22"/>
    <n v="1.52E-2"/>
    <x v="18"/>
    <x v="3"/>
    <x v="3"/>
    <x v="21"/>
    <x v="7"/>
  </r>
  <r>
    <n v="487"/>
    <x v="21"/>
    <n v="1"/>
    <n v="0"/>
    <n v="1"/>
    <x v="0"/>
    <x v="8"/>
    <x v="0"/>
    <n v="6"/>
    <x v="0"/>
    <x v="0"/>
    <n v="1"/>
    <x v="0"/>
    <x v="22"/>
    <n v="0"/>
    <x v="18"/>
    <x v="9"/>
    <x v="5"/>
    <x v="16"/>
    <x v="110"/>
  </r>
  <r>
    <n v="488"/>
    <x v="21"/>
    <n v="1"/>
    <n v="0"/>
    <n v="1"/>
    <x v="0"/>
    <x v="9"/>
    <x v="0"/>
    <n v="6"/>
    <x v="0"/>
    <x v="0"/>
    <n v="1"/>
    <x v="0"/>
    <x v="21"/>
    <n v="3.0300000000000001E-2"/>
    <x v="48"/>
    <x v="2"/>
    <x v="0"/>
    <x v="53"/>
    <x v="1"/>
  </r>
  <r>
    <n v="489"/>
    <x v="21"/>
    <n v="1"/>
    <n v="0"/>
    <n v="1"/>
    <x v="0"/>
    <x v="10"/>
    <x v="0"/>
    <n v="6"/>
    <x v="0"/>
    <x v="0"/>
    <n v="2"/>
    <x v="1"/>
    <x v="21"/>
    <n v="6.0600000000000001E-2"/>
    <x v="48"/>
    <x v="8"/>
    <x v="0"/>
    <x v="54"/>
    <x v="26"/>
  </r>
  <r>
    <n v="490"/>
    <x v="21"/>
    <n v="1"/>
    <n v="0"/>
    <n v="1"/>
    <x v="0"/>
    <x v="11"/>
    <x v="0"/>
    <n v="6"/>
    <x v="0"/>
    <x v="0"/>
    <n v="2"/>
    <x v="1"/>
    <x v="20"/>
    <n v="7.5800000000000006E-2"/>
    <x v="41"/>
    <x v="7"/>
    <x v="17"/>
    <x v="79"/>
    <x v="55"/>
  </r>
  <r>
    <n v="491"/>
    <x v="21"/>
    <n v="1"/>
    <n v="0"/>
    <n v="1"/>
    <x v="0"/>
    <x v="12"/>
    <x v="0"/>
    <n v="6"/>
    <x v="0"/>
    <x v="0"/>
    <n v="2"/>
    <x v="1"/>
    <x v="20"/>
    <n v="0.1061"/>
    <x v="41"/>
    <x v="14"/>
    <x v="22"/>
    <x v="91"/>
    <x v="27"/>
  </r>
  <r>
    <n v="492"/>
    <x v="21"/>
    <n v="1"/>
    <n v="0"/>
    <n v="1"/>
    <x v="0"/>
    <x v="13"/>
    <x v="0"/>
    <n v="6"/>
    <x v="0"/>
    <x v="0"/>
    <n v="1"/>
    <x v="0"/>
    <x v="19"/>
    <n v="0.16669999999999999"/>
    <x v="23"/>
    <x v="0"/>
    <x v="6"/>
    <x v="109"/>
    <x v="11"/>
  </r>
  <r>
    <n v="493"/>
    <x v="21"/>
    <n v="1"/>
    <n v="0"/>
    <n v="1"/>
    <x v="0"/>
    <x v="14"/>
    <x v="0"/>
    <n v="6"/>
    <x v="0"/>
    <x v="0"/>
    <n v="1"/>
    <x v="0"/>
    <x v="18"/>
    <n v="0.13639999999999999"/>
    <x v="39"/>
    <x v="14"/>
    <x v="16"/>
    <x v="27"/>
    <x v="28"/>
  </r>
  <r>
    <n v="494"/>
    <x v="21"/>
    <n v="1"/>
    <n v="0"/>
    <n v="1"/>
    <x v="0"/>
    <x v="15"/>
    <x v="0"/>
    <n v="6"/>
    <x v="0"/>
    <x v="0"/>
    <n v="1"/>
    <x v="0"/>
    <x v="16"/>
    <n v="0.1515"/>
    <x v="40"/>
    <x v="0"/>
    <x v="22"/>
    <x v="139"/>
    <x v="153"/>
  </r>
  <r>
    <n v="495"/>
    <x v="21"/>
    <n v="1"/>
    <n v="0"/>
    <n v="1"/>
    <x v="0"/>
    <x v="16"/>
    <x v="0"/>
    <n v="6"/>
    <x v="0"/>
    <x v="0"/>
    <n v="1"/>
    <x v="0"/>
    <x v="16"/>
    <n v="0.13639999999999999"/>
    <x v="40"/>
    <x v="5"/>
    <x v="16"/>
    <x v="109"/>
    <x v="56"/>
  </r>
  <r>
    <n v="496"/>
    <x v="21"/>
    <n v="1"/>
    <n v="0"/>
    <n v="1"/>
    <x v="0"/>
    <x v="17"/>
    <x v="0"/>
    <n v="6"/>
    <x v="0"/>
    <x v="0"/>
    <n v="1"/>
    <x v="0"/>
    <x v="16"/>
    <n v="0.19700000000000001"/>
    <x v="40"/>
    <x v="0"/>
    <x v="1"/>
    <x v="79"/>
    <x v="16"/>
  </r>
  <r>
    <n v="497"/>
    <x v="21"/>
    <n v="1"/>
    <n v="0"/>
    <n v="1"/>
    <x v="0"/>
    <x v="18"/>
    <x v="0"/>
    <n v="6"/>
    <x v="0"/>
    <x v="0"/>
    <n v="1"/>
    <x v="0"/>
    <x v="19"/>
    <n v="9.0899999999999995E-2"/>
    <x v="23"/>
    <x v="5"/>
    <x v="3"/>
    <x v="25"/>
    <x v="60"/>
  </r>
  <r>
    <n v="498"/>
    <x v="21"/>
    <n v="1"/>
    <n v="0"/>
    <n v="1"/>
    <x v="0"/>
    <x v="19"/>
    <x v="0"/>
    <n v="6"/>
    <x v="0"/>
    <x v="0"/>
    <n v="1"/>
    <x v="0"/>
    <x v="19"/>
    <n v="0.1061"/>
    <x v="23"/>
    <x v="7"/>
    <x v="15"/>
    <x v="42"/>
    <x v="29"/>
  </r>
  <r>
    <n v="499"/>
    <x v="21"/>
    <n v="1"/>
    <n v="0"/>
    <n v="1"/>
    <x v="0"/>
    <x v="20"/>
    <x v="0"/>
    <n v="6"/>
    <x v="0"/>
    <x v="0"/>
    <n v="1"/>
    <x v="0"/>
    <x v="20"/>
    <n v="7.5800000000000006E-2"/>
    <x v="49"/>
    <x v="8"/>
    <x v="5"/>
    <x v="100"/>
    <x v="79"/>
  </r>
  <r>
    <n v="500"/>
    <x v="21"/>
    <n v="1"/>
    <n v="0"/>
    <n v="1"/>
    <x v="0"/>
    <x v="21"/>
    <x v="0"/>
    <n v="6"/>
    <x v="0"/>
    <x v="0"/>
    <n v="1"/>
    <x v="0"/>
    <x v="20"/>
    <n v="0.1061"/>
    <x v="48"/>
    <x v="1"/>
    <x v="3"/>
    <x v="87"/>
    <x v="21"/>
  </r>
  <r>
    <n v="501"/>
    <x v="21"/>
    <n v="1"/>
    <n v="0"/>
    <n v="1"/>
    <x v="0"/>
    <x v="22"/>
    <x v="0"/>
    <n v="6"/>
    <x v="0"/>
    <x v="0"/>
    <n v="1"/>
    <x v="0"/>
    <x v="20"/>
    <n v="0.1515"/>
    <x v="36"/>
    <x v="0"/>
    <x v="18"/>
    <x v="140"/>
    <x v="33"/>
  </r>
  <r>
    <n v="502"/>
    <x v="21"/>
    <n v="1"/>
    <n v="0"/>
    <n v="1"/>
    <x v="0"/>
    <x v="23"/>
    <x v="0"/>
    <n v="6"/>
    <x v="0"/>
    <x v="0"/>
    <n v="1"/>
    <x v="0"/>
    <x v="21"/>
    <n v="7.5800000000000006E-2"/>
    <x v="14"/>
    <x v="14"/>
    <x v="4"/>
    <x v="17"/>
    <x v="63"/>
  </r>
  <r>
    <n v="503"/>
    <x v="22"/>
    <n v="1"/>
    <n v="0"/>
    <n v="1"/>
    <x v="0"/>
    <x v="0"/>
    <x v="0"/>
    <n v="0"/>
    <x v="1"/>
    <x v="1"/>
    <n v="1"/>
    <x v="0"/>
    <x v="21"/>
    <n v="7.5800000000000006E-2"/>
    <x v="14"/>
    <x v="14"/>
    <x v="4"/>
    <x v="32"/>
    <x v="34"/>
  </r>
  <r>
    <n v="504"/>
    <x v="22"/>
    <n v="1"/>
    <n v="0"/>
    <n v="1"/>
    <x v="0"/>
    <x v="1"/>
    <x v="0"/>
    <n v="0"/>
    <x v="1"/>
    <x v="1"/>
    <n v="1"/>
    <x v="0"/>
    <x v="21"/>
    <n v="7.5800000000000006E-2"/>
    <x v="14"/>
    <x v="14"/>
    <x v="5"/>
    <x v="98"/>
    <x v="3"/>
  </r>
  <r>
    <n v="505"/>
    <x v="22"/>
    <n v="1"/>
    <n v="0"/>
    <n v="1"/>
    <x v="0"/>
    <x v="2"/>
    <x v="0"/>
    <n v="0"/>
    <x v="1"/>
    <x v="1"/>
    <n v="1"/>
    <x v="0"/>
    <x v="22"/>
    <n v="6.0600000000000001E-2"/>
    <x v="51"/>
    <x v="7"/>
    <x v="0"/>
    <x v="89"/>
    <x v="109"/>
  </r>
  <r>
    <n v="506"/>
    <x v="22"/>
    <n v="1"/>
    <n v="0"/>
    <n v="1"/>
    <x v="0"/>
    <x v="3"/>
    <x v="0"/>
    <n v="0"/>
    <x v="1"/>
    <x v="1"/>
    <n v="1"/>
    <x v="0"/>
    <x v="22"/>
    <n v="6.0600000000000001E-2"/>
    <x v="51"/>
    <x v="7"/>
    <x v="5"/>
    <x v="22"/>
    <x v="36"/>
  </r>
  <r>
    <n v="507"/>
    <x v="22"/>
    <n v="1"/>
    <n v="0"/>
    <n v="1"/>
    <x v="0"/>
    <x v="5"/>
    <x v="0"/>
    <n v="0"/>
    <x v="1"/>
    <x v="1"/>
    <n v="2"/>
    <x v="1"/>
    <x v="21"/>
    <n v="7.5800000000000006E-2"/>
    <x v="14"/>
    <x v="14"/>
    <x v="3"/>
    <x v="35"/>
    <x v="6"/>
  </r>
  <r>
    <n v="508"/>
    <x v="22"/>
    <n v="1"/>
    <n v="0"/>
    <n v="1"/>
    <x v="0"/>
    <x v="6"/>
    <x v="0"/>
    <n v="0"/>
    <x v="1"/>
    <x v="1"/>
    <n v="2"/>
    <x v="1"/>
    <x v="21"/>
    <n v="7.5800000000000006E-2"/>
    <x v="14"/>
    <x v="14"/>
    <x v="3"/>
    <x v="4"/>
    <x v="4"/>
  </r>
  <r>
    <n v="509"/>
    <x v="22"/>
    <n v="1"/>
    <n v="0"/>
    <n v="1"/>
    <x v="0"/>
    <x v="7"/>
    <x v="0"/>
    <n v="0"/>
    <x v="1"/>
    <x v="1"/>
    <n v="1"/>
    <x v="0"/>
    <x v="19"/>
    <n v="0.1061"/>
    <x v="52"/>
    <x v="8"/>
    <x v="5"/>
    <x v="4"/>
    <x v="5"/>
  </r>
  <r>
    <n v="510"/>
    <x v="22"/>
    <n v="1"/>
    <n v="0"/>
    <n v="1"/>
    <x v="0"/>
    <x v="8"/>
    <x v="0"/>
    <n v="0"/>
    <x v="1"/>
    <x v="1"/>
    <n v="1"/>
    <x v="0"/>
    <x v="20"/>
    <n v="7.5800000000000006E-2"/>
    <x v="51"/>
    <x v="8"/>
    <x v="4"/>
    <x v="19"/>
    <x v="75"/>
  </r>
  <r>
    <n v="511"/>
    <x v="22"/>
    <n v="1"/>
    <n v="0"/>
    <n v="1"/>
    <x v="0"/>
    <x v="9"/>
    <x v="0"/>
    <n v="0"/>
    <x v="1"/>
    <x v="1"/>
    <n v="1"/>
    <x v="0"/>
    <x v="18"/>
    <n v="7.5800000000000006E-2"/>
    <x v="47"/>
    <x v="11"/>
    <x v="0"/>
    <x v="18"/>
    <x v="20"/>
  </r>
  <r>
    <n v="512"/>
    <x v="22"/>
    <n v="1"/>
    <n v="0"/>
    <n v="1"/>
    <x v="0"/>
    <x v="10"/>
    <x v="0"/>
    <n v="0"/>
    <x v="1"/>
    <x v="1"/>
    <n v="1"/>
    <x v="0"/>
    <x v="14"/>
    <n v="0.1061"/>
    <x v="15"/>
    <x v="13"/>
    <x v="18"/>
    <x v="82"/>
    <x v="154"/>
  </r>
  <r>
    <n v="513"/>
    <x v="22"/>
    <n v="1"/>
    <n v="0"/>
    <n v="1"/>
    <x v="0"/>
    <x v="11"/>
    <x v="0"/>
    <n v="0"/>
    <x v="1"/>
    <x v="1"/>
    <n v="1"/>
    <x v="0"/>
    <x v="14"/>
    <n v="0.13639999999999999"/>
    <x v="21"/>
    <x v="6"/>
    <x v="30"/>
    <x v="99"/>
    <x v="111"/>
  </r>
  <r>
    <n v="514"/>
    <x v="22"/>
    <n v="1"/>
    <n v="0"/>
    <n v="1"/>
    <x v="0"/>
    <x v="12"/>
    <x v="0"/>
    <n v="0"/>
    <x v="1"/>
    <x v="1"/>
    <n v="1"/>
    <x v="0"/>
    <x v="13"/>
    <n v="0.1212"/>
    <x v="38"/>
    <x v="17"/>
    <x v="31"/>
    <x v="50"/>
    <x v="155"/>
  </r>
  <r>
    <n v="515"/>
    <x v="22"/>
    <n v="1"/>
    <n v="0"/>
    <n v="1"/>
    <x v="0"/>
    <x v="13"/>
    <x v="0"/>
    <n v="0"/>
    <x v="1"/>
    <x v="1"/>
    <n v="1"/>
    <x v="0"/>
    <x v="14"/>
    <n v="0.1061"/>
    <x v="39"/>
    <x v="13"/>
    <x v="6"/>
    <x v="102"/>
    <x v="90"/>
  </r>
  <r>
    <n v="516"/>
    <x v="22"/>
    <n v="1"/>
    <n v="0"/>
    <n v="1"/>
    <x v="0"/>
    <x v="14"/>
    <x v="0"/>
    <n v="0"/>
    <x v="1"/>
    <x v="1"/>
    <n v="1"/>
    <x v="0"/>
    <x v="13"/>
    <n v="0.13639999999999999"/>
    <x v="40"/>
    <x v="11"/>
    <x v="26"/>
    <x v="139"/>
    <x v="14"/>
  </r>
  <r>
    <n v="517"/>
    <x v="22"/>
    <n v="1"/>
    <n v="0"/>
    <n v="1"/>
    <x v="0"/>
    <x v="15"/>
    <x v="0"/>
    <n v="0"/>
    <x v="1"/>
    <x v="1"/>
    <n v="1"/>
    <x v="0"/>
    <x v="13"/>
    <n v="0.13639999999999999"/>
    <x v="40"/>
    <x v="11"/>
    <x v="23"/>
    <x v="27"/>
    <x v="43"/>
  </r>
  <r>
    <n v="518"/>
    <x v="22"/>
    <n v="1"/>
    <n v="0"/>
    <n v="1"/>
    <x v="0"/>
    <x v="16"/>
    <x v="0"/>
    <n v="0"/>
    <x v="1"/>
    <x v="1"/>
    <n v="1"/>
    <x v="0"/>
    <x v="13"/>
    <n v="0.13639999999999999"/>
    <x v="60"/>
    <x v="9"/>
    <x v="14"/>
    <x v="90"/>
    <x v="32"/>
  </r>
  <r>
    <n v="519"/>
    <x v="22"/>
    <n v="1"/>
    <n v="0"/>
    <n v="1"/>
    <x v="0"/>
    <x v="17"/>
    <x v="0"/>
    <n v="0"/>
    <x v="1"/>
    <x v="1"/>
    <n v="1"/>
    <x v="0"/>
    <x v="14"/>
    <n v="0.1061"/>
    <x v="60"/>
    <x v="13"/>
    <x v="2"/>
    <x v="54"/>
    <x v="97"/>
  </r>
  <r>
    <n v="520"/>
    <x v="22"/>
    <n v="1"/>
    <n v="0"/>
    <n v="1"/>
    <x v="0"/>
    <x v="18"/>
    <x v="0"/>
    <n v="0"/>
    <x v="1"/>
    <x v="1"/>
    <n v="1"/>
    <x v="0"/>
    <x v="16"/>
    <n v="0.1212"/>
    <x v="24"/>
    <x v="2"/>
    <x v="2"/>
    <x v="100"/>
    <x v="99"/>
  </r>
  <r>
    <n v="521"/>
    <x v="22"/>
    <n v="1"/>
    <n v="0"/>
    <n v="1"/>
    <x v="0"/>
    <x v="19"/>
    <x v="0"/>
    <n v="0"/>
    <x v="1"/>
    <x v="1"/>
    <n v="1"/>
    <x v="0"/>
    <x v="16"/>
    <n v="0.1212"/>
    <x v="24"/>
    <x v="3"/>
    <x v="2"/>
    <x v="108"/>
    <x v="89"/>
  </r>
  <r>
    <n v="522"/>
    <x v="22"/>
    <n v="1"/>
    <n v="0"/>
    <n v="1"/>
    <x v="0"/>
    <x v="20"/>
    <x v="0"/>
    <n v="0"/>
    <x v="1"/>
    <x v="1"/>
    <n v="1"/>
    <x v="0"/>
    <x v="18"/>
    <n v="0.1061"/>
    <x v="42"/>
    <x v="2"/>
    <x v="17"/>
    <x v="17"/>
    <x v="17"/>
  </r>
  <r>
    <n v="523"/>
    <x v="22"/>
    <n v="1"/>
    <n v="0"/>
    <n v="1"/>
    <x v="0"/>
    <x v="21"/>
    <x v="0"/>
    <n v="0"/>
    <x v="1"/>
    <x v="1"/>
    <n v="1"/>
    <x v="0"/>
    <x v="18"/>
    <n v="0.1061"/>
    <x v="42"/>
    <x v="5"/>
    <x v="2"/>
    <x v="32"/>
    <x v="94"/>
  </r>
  <r>
    <n v="524"/>
    <x v="22"/>
    <n v="1"/>
    <n v="0"/>
    <n v="1"/>
    <x v="0"/>
    <x v="22"/>
    <x v="0"/>
    <n v="0"/>
    <x v="1"/>
    <x v="1"/>
    <n v="1"/>
    <x v="0"/>
    <x v="19"/>
    <n v="9.0899999999999995E-2"/>
    <x v="41"/>
    <x v="5"/>
    <x v="2"/>
    <x v="140"/>
    <x v="20"/>
  </r>
  <r>
    <n v="525"/>
    <x v="22"/>
    <n v="1"/>
    <n v="0"/>
    <n v="1"/>
    <x v="0"/>
    <x v="23"/>
    <x v="0"/>
    <n v="0"/>
    <x v="1"/>
    <x v="1"/>
    <n v="1"/>
    <x v="0"/>
    <x v="20"/>
    <n v="6.0600000000000001E-2"/>
    <x v="48"/>
    <x v="6"/>
    <x v="17"/>
    <x v="19"/>
    <x v="137"/>
  </r>
  <r>
    <n v="526"/>
    <x v="23"/>
    <n v="1"/>
    <n v="0"/>
    <n v="1"/>
    <x v="0"/>
    <x v="0"/>
    <x v="0"/>
    <n v="1"/>
    <x v="2"/>
    <x v="1"/>
    <n v="1"/>
    <x v="0"/>
    <x v="20"/>
    <n v="6.0600000000000001E-2"/>
    <x v="48"/>
    <x v="5"/>
    <x v="3"/>
    <x v="7"/>
    <x v="85"/>
  </r>
  <r>
    <n v="527"/>
    <x v="23"/>
    <n v="1"/>
    <n v="0"/>
    <n v="1"/>
    <x v="0"/>
    <x v="1"/>
    <x v="0"/>
    <n v="1"/>
    <x v="2"/>
    <x v="1"/>
    <n v="1"/>
    <x v="0"/>
    <x v="21"/>
    <n v="4.5499999999999999E-2"/>
    <x v="49"/>
    <x v="5"/>
    <x v="3"/>
    <x v="4"/>
    <x v="4"/>
  </r>
  <r>
    <n v="528"/>
    <x v="23"/>
    <n v="1"/>
    <n v="0"/>
    <n v="1"/>
    <x v="0"/>
    <x v="3"/>
    <x v="0"/>
    <n v="1"/>
    <x v="2"/>
    <x v="1"/>
    <n v="1"/>
    <x v="0"/>
    <x v="21"/>
    <n v="3.0300000000000001E-2"/>
    <x v="49"/>
    <x v="2"/>
    <x v="3"/>
    <x v="4"/>
    <x v="4"/>
  </r>
  <r>
    <n v="529"/>
    <x v="23"/>
    <n v="1"/>
    <n v="0"/>
    <n v="1"/>
    <x v="0"/>
    <x v="4"/>
    <x v="0"/>
    <n v="1"/>
    <x v="2"/>
    <x v="1"/>
    <n v="1"/>
    <x v="0"/>
    <x v="22"/>
    <n v="6.0600000000000001E-2"/>
    <x v="37"/>
    <x v="7"/>
    <x v="3"/>
    <x v="4"/>
    <x v="4"/>
  </r>
  <r>
    <n v="530"/>
    <x v="23"/>
    <n v="1"/>
    <n v="0"/>
    <n v="1"/>
    <x v="0"/>
    <x v="5"/>
    <x v="0"/>
    <n v="1"/>
    <x v="2"/>
    <x v="1"/>
    <n v="1"/>
    <x v="0"/>
    <x v="22"/>
    <n v="6.0600000000000001E-2"/>
    <x v="37"/>
    <x v="7"/>
    <x v="3"/>
    <x v="34"/>
    <x v="36"/>
  </r>
  <r>
    <n v="531"/>
    <x v="23"/>
    <n v="1"/>
    <n v="0"/>
    <n v="1"/>
    <x v="0"/>
    <x v="6"/>
    <x v="0"/>
    <n v="1"/>
    <x v="2"/>
    <x v="1"/>
    <n v="1"/>
    <x v="0"/>
    <x v="22"/>
    <n v="7.5800000000000006E-2"/>
    <x v="37"/>
    <x v="1"/>
    <x v="3"/>
    <x v="89"/>
    <x v="93"/>
  </r>
  <r>
    <n v="532"/>
    <x v="23"/>
    <n v="1"/>
    <n v="0"/>
    <n v="1"/>
    <x v="0"/>
    <x v="7"/>
    <x v="0"/>
    <n v="1"/>
    <x v="2"/>
    <x v="1"/>
    <n v="1"/>
    <x v="0"/>
    <x v="22"/>
    <n v="0.1212"/>
    <x v="37"/>
    <x v="0"/>
    <x v="2"/>
    <x v="55"/>
    <x v="11"/>
  </r>
  <r>
    <n v="533"/>
    <x v="23"/>
    <n v="1"/>
    <n v="0"/>
    <n v="1"/>
    <x v="0"/>
    <x v="8"/>
    <x v="0"/>
    <n v="1"/>
    <x v="2"/>
    <x v="1"/>
    <n v="1"/>
    <x v="0"/>
    <x v="21"/>
    <n v="0.13639999999999999"/>
    <x v="36"/>
    <x v="0"/>
    <x v="15"/>
    <x v="141"/>
    <x v="156"/>
  </r>
  <r>
    <n v="534"/>
    <x v="23"/>
    <n v="1"/>
    <n v="0"/>
    <n v="1"/>
    <x v="0"/>
    <x v="9"/>
    <x v="0"/>
    <n v="1"/>
    <x v="2"/>
    <x v="1"/>
    <n v="1"/>
    <x v="0"/>
    <x v="20"/>
    <n v="0.1515"/>
    <x v="48"/>
    <x v="0"/>
    <x v="17"/>
    <x v="52"/>
    <x v="96"/>
  </r>
  <r>
    <n v="535"/>
    <x v="23"/>
    <n v="1"/>
    <n v="0"/>
    <n v="1"/>
    <x v="0"/>
    <x v="10"/>
    <x v="0"/>
    <n v="1"/>
    <x v="2"/>
    <x v="1"/>
    <n v="1"/>
    <x v="0"/>
    <x v="18"/>
    <n v="0.13639999999999999"/>
    <x v="16"/>
    <x v="0"/>
    <x v="15"/>
    <x v="60"/>
    <x v="1"/>
  </r>
  <r>
    <n v="536"/>
    <x v="23"/>
    <n v="1"/>
    <n v="0"/>
    <n v="1"/>
    <x v="0"/>
    <x v="11"/>
    <x v="0"/>
    <n v="1"/>
    <x v="2"/>
    <x v="1"/>
    <n v="1"/>
    <x v="0"/>
    <x v="18"/>
    <n v="0.1212"/>
    <x v="15"/>
    <x v="7"/>
    <x v="0"/>
    <x v="30"/>
    <x v="66"/>
  </r>
  <r>
    <n v="537"/>
    <x v="23"/>
    <n v="1"/>
    <n v="0"/>
    <n v="1"/>
    <x v="0"/>
    <x v="12"/>
    <x v="0"/>
    <n v="1"/>
    <x v="2"/>
    <x v="1"/>
    <n v="2"/>
    <x v="1"/>
    <x v="16"/>
    <n v="0.13639999999999999"/>
    <x v="16"/>
    <x v="5"/>
    <x v="16"/>
    <x v="15"/>
    <x v="55"/>
  </r>
  <r>
    <n v="538"/>
    <x v="23"/>
    <n v="1"/>
    <n v="0"/>
    <n v="1"/>
    <x v="0"/>
    <x v="13"/>
    <x v="0"/>
    <n v="1"/>
    <x v="2"/>
    <x v="1"/>
    <n v="2"/>
    <x v="1"/>
    <x v="14"/>
    <n v="0.13639999999999999"/>
    <x v="21"/>
    <x v="6"/>
    <x v="15"/>
    <x v="25"/>
    <x v="122"/>
  </r>
  <r>
    <n v="539"/>
    <x v="23"/>
    <n v="1"/>
    <n v="0"/>
    <n v="1"/>
    <x v="0"/>
    <x v="14"/>
    <x v="0"/>
    <n v="1"/>
    <x v="2"/>
    <x v="1"/>
    <n v="2"/>
    <x v="1"/>
    <x v="14"/>
    <n v="0.13639999999999999"/>
    <x v="15"/>
    <x v="6"/>
    <x v="4"/>
    <x v="30"/>
    <x v="79"/>
  </r>
  <r>
    <n v="540"/>
    <x v="23"/>
    <n v="1"/>
    <n v="0"/>
    <n v="1"/>
    <x v="0"/>
    <x v="15"/>
    <x v="0"/>
    <n v="1"/>
    <x v="2"/>
    <x v="1"/>
    <n v="1"/>
    <x v="0"/>
    <x v="13"/>
    <n v="0.16669999999999999"/>
    <x v="22"/>
    <x v="8"/>
    <x v="18"/>
    <x v="54"/>
    <x v="52"/>
  </r>
  <r>
    <n v="541"/>
    <x v="23"/>
    <n v="1"/>
    <n v="0"/>
    <n v="1"/>
    <x v="0"/>
    <x v="16"/>
    <x v="0"/>
    <n v="1"/>
    <x v="2"/>
    <x v="1"/>
    <n v="1"/>
    <x v="0"/>
    <x v="13"/>
    <n v="0.1515"/>
    <x v="19"/>
    <x v="2"/>
    <x v="17"/>
    <x v="43"/>
    <x v="27"/>
  </r>
  <r>
    <n v="542"/>
    <x v="23"/>
    <n v="1"/>
    <n v="0"/>
    <n v="1"/>
    <x v="0"/>
    <x v="17"/>
    <x v="0"/>
    <n v="1"/>
    <x v="2"/>
    <x v="1"/>
    <n v="1"/>
    <x v="0"/>
    <x v="14"/>
    <n v="0.1212"/>
    <x v="20"/>
    <x v="2"/>
    <x v="15"/>
    <x v="86"/>
    <x v="157"/>
  </r>
  <r>
    <n v="543"/>
    <x v="23"/>
    <n v="1"/>
    <n v="0"/>
    <n v="1"/>
    <x v="0"/>
    <x v="18"/>
    <x v="0"/>
    <n v="1"/>
    <x v="2"/>
    <x v="1"/>
    <n v="1"/>
    <x v="0"/>
    <x v="14"/>
    <n v="0.13639999999999999"/>
    <x v="29"/>
    <x v="5"/>
    <x v="1"/>
    <x v="142"/>
    <x v="158"/>
  </r>
  <r>
    <n v="544"/>
    <x v="23"/>
    <n v="1"/>
    <n v="0"/>
    <n v="1"/>
    <x v="0"/>
    <x v="19"/>
    <x v="0"/>
    <n v="1"/>
    <x v="2"/>
    <x v="1"/>
    <n v="1"/>
    <x v="0"/>
    <x v="14"/>
    <n v="0.1515"/>
    <x v="47"/>
    <x v="8"/>
    <x v="2"/>
    <x v="143"/>
    <x v="13"/>
  </r>
  <r>
    <n v="545"/>
    <x v="23"/>
    <n v="1"/>
    <n v="0"/>
    <n v="1"/>
    <x v="0"/>
    <x v="20"/>
    <x v="0"/>
    <n v="1"/>
    <x v="2"/>
    <x v="1"/>
    <n v="1"/>
    <x v="0"/>
    <x v="14"/>
    <n v="0.13639999999999999"/>
    <x v="29"/>
    <x v="5"/>
    <x v="5"/>
    <x v="122"/>
    <x v="117"/>
  </r>
  <r>
    <n v="546"/>
    <x v="23"/>
    <n v="1"/>
    <n v="0"/>
    <n v="1"/>
    <x v="0"/>
    <x v="21"/>
    <x v="0"/>
    <n v="1"/>
    <x v="2"/>
    <x v="1"/>
    <n v="1"/>
    <x v="0"/>
    <x v="14"/>
    <n v="0.1515"/>
    <x v="30"/>
    <x v="8"/>
    <x v="15"/>
    <x v="42"/>
    <x v="29"/>
  </r>
  <r>
    <n v="547"/>
    <x v="23"/>
    <n v="1"/>
    <n v="0"/>
    <n v="1"/>
    <x v="0"/>
    <x v="22"/>
    <x v="0"/>
    <n v="1"/>
    <x v="2"/>
    <x v="1"/>
    <n v="2"/>
    <x v="1"/>
    <x v="14"/>
    <n v="0.13639999999999999"/>
    <x v="30"/>
    <x v="6"/>
    <x v="0"/>
    <x v="1"/>
    <x v="17"/>
  </r>
  <r>
    <n v="548"/>
    <x v="23"/>
    <n v="1"/>
    <n v="0"/>
    <n v="1"/>
    <x v="0"/>
    <x v="23"/>
    <x v="0"/>
    <n v="1"/>
    <x v="2"/>
    <x v="1"/>
    <n v="2"/>
    <x v="1"/>
    <x v="13"/>
    <n v="0.1515"/>
    <x v="26"/>
    <x v="2"/>
    <x v="0"/>
    <x v="144"/>
    <x v="108"/>
  </r>
  <r>
    <n v="549"/>
    <x v="24"/>
    <n v="1"/>
    <n v="0"/>
    <n v="1"/>
    <x v="0"/>
    <x v="0"/>
    <x v="0"/>
    <n v="2"/>
    <x v="3"/>
    <x v="0"/>
    <n v="2"/>
    <x v="1"/>
    <x v="13"/>
    <n v="0.13639999999999999"/>
    <x v="27"/>
    <x v="3"/>
    <x v="0"/>
    <x v="8"/>
    <x v="23"/>
  </r>
  <r>
    <n v="550"/>
    <x v="24"/>
    <n v="1"/>
    <n v="0"/>
    <n v="1"/>
    <x v="0"/>
    <x v="1"/>
    <x v="0"/>
    <n v="2"/>
    <x v="3"/>
    <x v="0"/>
    <n v="2"/>
    <x v="1"/>
    <x v="13"/>
    <n v="0.16669999999999999"/>
    <x v="27"/>
    <x v="8"/>
    <x v="3"/>
    <x v="34"/>
    <x v="36"/>
  </r>
  <r>
    <n v="551"/>
    <x v="24"/>
    <n v="1"/>
    <n v="0"/>
    <n v="1"/>
    <x v="0"/>
    <x v="2"/>
    <x v="0"/>
    <n v="2"/>
    <x v="3"/>
    <x v="0"/>
    <n v="1"/>
    <x v="0"/>
    <x v="13"/>
    <n v="0.1515"/>
    <x v="27"/>
    <x v="6"/>
    <x v="3"/>
    <x v="6"/>
    <x v="5"/>
  </r>
  <r>
    <n v="552"/>
    <x v="24"/>
    <n v="1"/>
    <n v="0"/>
    <n v="1"/>
    <x v="0"/>
    <x v="4"/>
    <x v="0"/>
    <n v="2"/>
    <x v="3"/>
    <x v="0"/>
    <n v="1"/>
    <x v="0"/>
    <x v="14"/>
    <n v="0.16669999999999999"/>
    <x v="32"/>
    <x v="14"/>
    <x v="3"/>
    <x v="4"/>
    <x v="4"/>
  </r>
  <r>
    <n v="553"/>
    <x v="24"/>
    <n v="1"/>
    <n v="0"/>
    <n v="1"/>
    <x v="0"/>
    <x v="5"/>
    <x v="0"/>
    <n v="2"/>
    <x v="3"/>
    <x v="0"/>
    <n v="1"/>
    <x v="0"/>
    <x v="14"/>
    <n v="0.13639999999999999"/>
    <x v="32"/>
    <x v="6"/>
    <x v="3"/>
    <x v="33"/>
    <x v="23"/>
  </r>
  <r>
    <n v="554"/>
    <x v="24"/>
    <n v="1"/>
    <n v="0"/>
    <n v="1"/>
    <x v="0"/>
    <x v="6"/>
    <x v="0"/>
    <n v="2"/>
    <x v="3"/>
    <x v="0"/>
    <n v="1"/>
    <x v="0"/>
    <x v="13"/>
    <n v="0.18179999999999999"/>
    <x v="32"/>
    <x v="14"/>
    <x v="5"/>
    <x v="96"/>
    <x v="9"/>
  </r>
  <r>
    <n v="555"/>
    <x v="24"/>
    <n v="1"/>
    <n v="0"/>
    <n v="1"/>
    <x v="0"/>
    <x v="7"/>
    <x v="0"/>
    <n v="2"/>
    <x v="3"/>
    <x v="0"/>
    <n v="1"/>
    <x v="0"/>
    <x v="13"/>
    <n v="0.1515"/>
    <x v="32"/>
    <x v="6"/>
    <x v="2"/>
    <x v="145"/>
    <x v="159"/>
  </r>
  <r>
    <n v="556"/>
    <x v="24"/>
    <n v="1"/>
    <n v="0"/>
    <n v="1"/>
    <x v="0"/>
    <x v="8"/>
    <x v="0"/>
    <n v="2"/>
    <x v="3"/>
    <x v="0"/>
    <n v="2"/>
    <x v="1"/>
    <x v="13"/>
    <n v="0.18179999999999999"/>
    <x v="32"/>
    <x v="7"/>
    <x v="2"/>
    <x v="146"/>
    <x v="160"/>
  </r>
  <r>
    <n v="557"/>
    <x v="24"/>
    <n v="1"/>
    <n v="0"/>
    <n v="1"/>
    <x v="0"/>
    <x v="9"/>
    <x v="0"/>
    <n v="2"/>
    <x v="3"/>
    <x v="0"/>
    <n v="2"/>
    <x v="1"/>
    <x v="2"/>
    <n v="0.2273"/>
    <x v="26"/>
    <x v="1"/>
    <x v="22"/>
    <x v="120"/>
    <x v="124"/>
  </r>
  <r>
    <n v="558"/>
    <x v="24"/>
    <n v="1"/>
    <n v="0"/>
    <n v="1"/>
    <x v="0"/>
    <x v="10"/>
    <x v="0"/>
    <n v="2"/>
    <x v="3"/>
    <x v="0"/>
    <n v="2"/>
    <x v="1"/>
    <x v="1"/>
    <n v="0.2424"/>
    <x v="54"/>
    <x v="14"/>
    <x v="15"/>
    <x v="47"/>
    <x v="97"/>
  </r>
  <r>
    <n v="559"/>
    <x v="24"/>
    <n v="1"/>
    <n v="0"/>
    <n v="1"/>
    <x v="0"/>
    <x v="11"/>
    <x v="0"/>
    <n v="2"/>
    <x v="3"/>
    <x v="0"/>
    <n v="2"/>
    <x v="1"/>
    <x v="0"/>
    <n v="0.2424"/>
    <x v="54"/>
    <x v="7"/>
    <x v="15"/>
    <x v="11"/>
    <x v="42"/>
  </r>
  <r>
    <n v="560"/>
    <x v="24"/>
    <n v="1"/>
    <n v="0"/>
    <n v="1"/>
    <x v="0"/>
    <x v="12"/>
    <x v="0"/>
    <n v="2"/>
    <x v="3"/>
    <x v="0"/>
    <n v="2"/>
    <x v="1"/>
    <x v="12"/>
    <n v="0.28789999999999999"/>
    <x v="34"/>
    <x v="1"/>
    <x v="27"/>
    <x v="66"/>
    <x v="13"/>
  </r>
  <r>
    <n v="561"/>
    <x v="24"/>
    <n v="1"/>
    <n v="0"/>
    <n v="1"/>
    <x v="0"/>
    <x v="13"/>
    <x v="0"/>
    <n v="2"/>
    <x v="3"/>
    <x v="0"/>
    <n v="2"/>
    <x v="1"/>
    <x v="12"/>
    <n v="0.2727"/>
    <x v="34"/>
    <x v="7"/>
    <x v="27"/>
    <x v="109"/>
    <x v="15"/>
  </r>
  <r>
    <n v="562"/>
    <x v="24"/>
    <n v="1"/>
    <n v="0"/>
    <n v="1"/>
    <x v="0"/>
    <x v="14"/>
    <x v="0"/>
    <n v="2"/>
    <x v="3"/>
    <x v="0"/>
    <n v="2"/>
    <x v="1"/>
    <x v="11"/>
    <n v="0.33329999999999999"/>
    <x v="49"/>
    <x v="0"/>
    <x v="16"/>
    <x v="77"/>
    <x v="118"/>
  </r>
  <r>
    <n v="563"/>
    <x v="24"/>
    <n v="1"/>
    <n v="0"/>
    <n v="1"/>
    <x v="0"/>
    <x v="15"/>
    <x v="0"/>
    <n v="2"/>
    <x v="3"/>
    <x v="0"/>
    <n v="2"/>
    <x v="1"/>
    <x v="3"/>
    <n v="0.34849999999999998"/>
    <x v="16"/>
    <x v="0"/>
    <x v="27"/>
    <x v="36"/>
    <x v="11"/>
  </r>
  <r>
    <n v="564"/>
    <x v="24"/>
    <n v="1"/>
    <n v="0"/>
    <n v="1"/>
    <x v="0"/>
    <x v="16"/>
    <x v="0"/>
    <n v="2"/>
    <x v="3"/>
    <x v="0"/>
    <n v="2"/>
    <x v="1"/>
    <x v="3"/>
    <n v="0.34849999999999998"/>
    <x v="16"/>
    <x v="0"/>
    <x v="24"/>
    <x v="46"/>
    <x v="155"/>
  </r>
  <r>
    <n v="565"/>
    <x v="24"/>
    <n v="1"/>
    <n v="0"/>
    <n v="1"/>
    <x v="0"/>
    <x v="17"/>
    <x v="0"/>
    <n v="2"/>
    <x v="3"/>
    <x v="0"/>
    <n v="1"/>
    <x v="0"/>
    <x v="11"/>
    <n v="0.33329999999999999"/>
    <x v="49"/>
    <x v="0"/>
    <x v="24"/>
    <x v="147"/>
    <x v="161"/>
  </r>
  <r>
    <n v="566"/>
    <x v="24"/>
    <n v="1"/>
    <n v="0"/>
    <n v="1"/>
    <x v="0"/>
    <x v="18"/>
    <x v="0"/>
    <n v="2"/>
    <x v="3"/>
    <x v="0"/>
    <n v="2"/>
    <x v="1"/>
    <x v="11"/>
    <n v="0.31819999999999998"/>
    <x v="36"/>
    <x v="1"/>
    <x v="18"/>
    <x v="148"/>
    <x v="162"/>
  </r>
  <r>
    <n v="567"/>
    <x v="24"/>
    <n v="1"/>
    <n v="0"/>
    <n v="1"/>
    <x v="0"/>
    <x v="19"/>
    <x v="0"/>
    <n v="2"/>
    <x v="3"/>
    <x v="0"/>
    <n v="2"/>
    <x v="1"/>
    <x v="12"/>
    <n v="0.2576"/>
    <x v="55"/>
    <x v="8"/>
    <x v="23"/>
    <x v="149"/>
    <x v="163"/>
  </r>
  <r>
    <n v="568"/>
    <x v="24"/>
    <n v="1"/>
    <n v="0"/>
    <n v="1"/>
    <x v="0"/>
    <x v="20"/>
    <x v="0"/>
    <n v="2"/>
    <x v="3"/>
    <x v="0"/>
    <n v="1"/>
    <x v="0"/>
    <x v="0"/>
    <n v="0.2273"/>
    <x v="55"/>
    <x v="5"/>
    <x v="19"/>
    <x v="145"/>
    <x v="164"/>
  </r>
  <r>
    <n v="569"/>
    <x v="24"/>
    <n v="1"/>
    <n v="0"/>
    <n v="1"/>
    <x v="0"/>
    <x v="21"/>
    <x v="0"/>
    <n v="2"/>
    <x v="3"/>
    <x v="0"/>
    <n v="1"/>
    <x v="0"/>
    <x v="0"/>
    <n v="0.2273"/>
    <x v="55"/>
    <x v="5"/>
    <x v="2"/>
    <x v="71"/>
    <x v="79"/>
  </r>
  <r>
    <n v="570"/>
    <x v="24"/>
    <n v="1"/>
    <n v="0"/>
    <n v="1"/>
    <x v="0"/>
    <x v="22"/>
    <x v="0"/>
    <n v="2"/>
    <x v="3"/>
    <x v="0"/>
    <n v="1"/>
    <x v="0"/>
    <x v="1"/>
    <n v="0.2273"/>
    <x v="26"/>
    <x v="8"/>
    <x v="17"/>
    <x v="47"/>
    <x v="26"/>
  </r>
  <r>
    <n v="571"/>
    <x v="24"/>
    <n v="1"/>
    <n v="0"/>
    <n v="1"/>
    <x v="0"/>
    <x v="23"/>
    <x v="0"/>
    <n v="2"/>
    <x v="3"/>
    <x v="0"/>
    <n v="2"/>
    <x v="1"/>
    <x v="1"/>
    <n v="0.2273"/>
    <x v="26"/>
    <x v="8"/>
    <x v="0"/>
    <x v="53"/>
    <x v="1"/>
  </r>
  <r>
    <n v="572"/>
    <x v="25"/>
    <n v="1"/>
    <n v="0"/>
    <n v="1"/>
    <x v="0"/>
    <x v="0"/>
    <x v="0"/>
    <n v="3"/>
    <x v="4"/>
    <x v="0"/>
    <n v="2"/>
    <x v="1"/>
    <x v="1"/>
    <n v="0.2273"/>
    <x v="27"/>
    <x v="7"/>
    <x v="0"/>
    <x v="88"/>
    <x v="22"/>
  </r>
  <r>
    <n v="573"/>
    <x v="25"/>
    <n v="1"/>
    <n v="0"/>
    <n v="1"/>
    <x v="0"/>
    <x v="1"/>
    <x v="0"/>
    <n v="3"/>
    <x v="4"/>
    <x v="0"/>
    <n v="2"/>
    <x v="1"/>
    <x v="0"/>
    <n v="0.2424"/>
    <x v="55"/>
    <x v="7"/>
    <x v="3"/>
    <x v="34"/>
    <x v="36"/>
  </r>
  <r>
    <n v="574"/>
    <x v="25"/>
    <n v="1"/>
    <n v="0"/>
    <n v="1"/>
    <x v="0"/>
    <x v="2"/>
    <x v="0"/>
    <n v="3"/>
    <x v="4"/>
    <x v="0"/>
    <n v="3"/>
    <x v="2"/>
    <x v="1"/>
    <n v="0.2273"/>
    <x v="27"/>
    <x v="5"/>
    <x v="0"/>
    <x v="7"/>
    <x v="98"/>
  </r>
  <r>
    <n v="575"/>
    <x v="25"/>
    <n v="1"/>
    <n v="0"/>
    <n v="1"/>
    <x v="0"/>
    <x v="5"/>
    <x v="0"/>
    <n v="3"/>
    <x v="4"/>
    <x v="0"/>
    <n v="3"/>
    <x v="2"/>
    <x v="2"/>
    <n v="0.18179999999999999"/>
    <x v="3"/>
    <x v="3"/>
    <x v="3"/>
    <x v="4"/>
    <x v="4"/>
  </r>
  <r>
    <n v="576"/>
    <x v="25"/>
    <n v="1"/>
    <n v="0"/>
    <n v="1"/>
    <x v="0"/>
    <x v="6"/>
    <x v="0"/>
    <n v="3"/>
    <x v="4"/>
    <x v="0"/>
    <n v="3"/>
    <x v="2"/>
    <x v="2"/>
    <n v="0.18179999999999999"/>
    <x v="3"/>
    <x v="3"/>
    <x v="3"/>
    <x v="21"/>
    <x v="7"/>
  </r>
  <r>
    <n v="577"/>
    <x v="25"/>
    <n v="1"/>
    <n v="0"/>
    <n v="1"/>
    <x v="0"/>
    <x v="7"/>
    <x v="0"/>
    <n v="3"/>
    <x v="4"/>
    <x v="0"/>
    <n v="3"/>
    <x v="2"/>
    <x v="1"/>
    <n v="0.21210000000000001"/>
    <x v="9"/>
    <x v="4"/>
    <x v="5"/>
    <x v="31"/>
    <x v="33"/>
  </r>
  <r>
    <n v="578"/>
    <x v="25"/>
    <n v="1"/>
    <n v="0"/>
    <n v="1"/>
    <x v="0"/>
    <x v="8"/>
    <x v="0"/>
    <n v="3"/>
    <x v="4"/>
    <x v="0"/>
    <n v="3"/>
    <x v="2"/>
    <x v="1"/>
    <n v="0.21210000000000001"/>
    <x v="9"/>
    <x v="4"/>
    <x v="0"/>
    <x v="94"/>
    <x v="44"/>
  </r>
  <r>
    <n v="579"/>
    <x v="25"/>
    <n v="1"/>
    <n v="0"/>
    <n v="1"/>
    <x v="0"/>
    <x v="9"/>
    <x v="0"/>
    <n v="3"/>
    <x v="4"/>
    <x v="0"/>
    <n v="3"/>
    <x v="2"/>
    <x v="1"/>
    <n v="0.21210000000000001"/>
    <x v="9"/>
    <x v="4"/>
    <x v="0"/>
    <x v="11"/>
    <x v="154"/>
  </r>
  <r>
    <n v="580"/>
    <x v="25"/>
    <n v="1"/>
    <n v="0"/>
    <n v="1"/>
    <x v="0"/>
    <x v="10"/>
    <x v="0"/>
    <n v="3"/>
    <x v="4"/>
    <x v="0"/>
    <n v="3"/>
    <x v="2"/>
    <x v="1"/>
    <n v="0.21210000000000001"/>
    <x v="43"/>
    <x v="3"/>
    <x v="4"/>
    <x v="16"/>
    <x v="20"/>
  </r>
  <r>
    <n v="581"/>
    <x v="25"/>
    <n v="1"/>
    <n v="0"/>
    <n v="1"/>
    <x v="0"/>
    <x v="11"/>
    <x v="0"/>
    <n v="3"/>
    <x v="4"/>
    <x v="0"/>
    <n v="3"/>
    <x v="2"/>
    <x v="1"/>
    <n v="0.19700000000000001"/>
    <x v="43"/>
    <x v="9"/>
    <x v="15"/>
    <x v="96"/>
    <x v="102"/>
  </r>
  <r>
    <n v="582"/>
    <x v="25"/>
    <n v="1"/>
    <n v="0"/>
    <n v="1"/>
    <x v="0"/>
    <x v="12"/>
    <x v="0"/>
    <n v="3"/>
    <x v="4"/>
    <x v="0"/>
    <n v="3"/>
    <x v="2"/>
    <x v="1"/>
    <n v="0.19700000000000001"/>
    <x v="43"/>
    <x v="9"/>
    <x v="18"/>
    <x v="40"/>
    <x v="61"/>
  </r>
  <r>
    <n v="583"/>
    <x v="25"/>
    <n v="1"/>
    <n v="0"/>
    <n v="1"/>
    <x v="0"/>
    <x v="13"/>
    <x v="0"/>
    <n v="3"/>
    <x v="4"/>
    <x v="0"/>
    <n v="3"/>
    <x v="2"/>
    <x v="1"/>
    <n v="0.19700000000000001"/>
    <x v="43"/>
    <x v="9"/>
    <x v="17"/>
    <x v="30"/>
    <x v="105"/>
  </r>
  <r>
    <n v="584"/>
    <x v="25"/>
    <n v="1"/>
    <n v="0"/>
    <n v="1"/>
    <x v="0"/>
    <x v="14"/>
    <x v="0"/>
    <n v="3"/>
    <x v="4"/>
    <x v="0"/>
    <n v="3"/>
    <x v="2"/>
    <x v="1"/>
    <n v="0.19700000000000001"/>
    <x v="43"/>
    <x v="11"/>
    <x v="3"/>
    <x v="49"/>
    <x v="9"/>
  </r>
  <r>
    <n v="585"/>
    <x v="25"/>
    <n v="1"/>
    <n v="0"/>
    <n v="1"/>
    <x v="0"/>
    <x v="15"/>
    <x v="0"/>
    <n v="3"/>
    <x v="4"/>
    <x v="0"/>
    <n v="3"/>
    <x v="2"/>
    <x v="1"/>
    <n v="0.18179999999999999"/>
    <x v="43"/>
    <x v="17"/>
    <x v="5"/>
    <x v="76"/>
    <x v="74"/>
  </r>
  <r>
    <n v="586"/>
    <x v="25"/>
    <n v="1"/>
    <n v="0"/>
    <n v="1"/>
    <x v="0"/>
    <x v="16"/>
    <x v="0"/>
    <n v="3"/>
    <x v="4"/>
    <x v="0"/>
    <n v="4"/>
    <x v="3"/>
    <x v="1"/>
    <n v="0.19700000000000001"/>
    <x v="43"/>
    <x v="9"/>
    <x v="5"/>
    <x v="96"/>
    <x v="9"/>
  </r>
  <r>
    <n v="587"/>
    <x v="25"/>
    <n v="1"/>
    <n v="0"/>
    <n v="1"/>
    <x v="0"/>
    <x v="17"/>
    <x v="0"/>
    <n v="3"/>
    <x v="4"/>
    <x v="0"/>
    <n v="3"/>
    <x v="2"/>
    <x v="2"/>
    <n v="0.18179999999999999"/>
    <x v="43"/>
    <x v="11"/>
    <x v="3"/>
    <x v="16"/>
    <x v="132"/>
  </r>
  <r>
    <n v="588"/>
    <x v="26"/>
    <n v="1"/>
    <n v="0"/>
    <n v="1"/>
    <x v="0"/>
    <x v="16"/>
    <x v="0"/>
    <n v="4"/>
    <x v="5"/>
    <x v="0"/>
    <n v="1"/>
    <x v="0"/>
    <x v="1"/>
    <n v="0.2273"/>
    <x v="28"/>
    <x v="5"/>
    <x v="5"/>
    <x v="140"/>
    <x v="108"/>
  </r>
  <r>
    <n v="589"/>
    <x v="26"/>
    <n v="1"/>
    <n v="0"/>
    <n v="1"/>
    <x v="0"/>
    <x v="17"/>
    <x v="0"/>
    <n v="4"/>
    <x v="5"/>
    <x v="0"/>
    <n v="1"/>
    <x v="0"/>
    <x v="1"/>
    <n v="0.2424"/>
    <x v="28"/>
    <x v="14"/>
    <x v="4"/>
    <x v="70"/>
    <x v="11"/>
  </r>
  <r>
    <n v="590"/>
    <x v="26"/>
    <n v="1"/>
    <n v="0"/>
    <n v="1"/>
    <x v="0"/>
    <x v="18"/>
    <x v="0"/>
    <n v="4"/>
    <x v="5"/>
    <x v="0"/>
    <n v="1"/>
    <x v="0"/>
    <x v="2"/>
    <n v="0.2273"/>
    <x v="27"/>
    <x v="1"/>
    <x v="0"/>
    <x v="143"/>
    <x v="133"/>
  </r>
  <r>
    <n v="591"/>
    <x v="26"/>
    <n v="1"/>
    <n v="0"/>
    <n v="1"/>
    <x v="0"/>
    <x v="19"/>
    <x v="0"/>
    <n v="4"/>
    <x v="5"/>
    <x v="0"/>
    <n v="1"/>
    <x v="0"/>
    <x v="2"/>
    <n v="0.2273"/>
    <x v="27"/>
    <x v="1"/>
    <x v="0"/>
    <x v="83"/>
    <x v="67"/>
  </r>
  <r>
    <n v="592"/>
    <x v="26"/>
    <n v="1"/>
    <n v="0"/>
    <n v="1"/>
    <x v="0"/>
    <x v="20"/>
    <x v="0"/>
    <n v="4"/>
    <x v="5"/>
    <x v="0"/>
    <n v="1"/>
    <x v="0"/>
    <x v="15"/>
    <n v="0.21210000000000001"/>
    <x v="32"/>
    <x v="1"/>
    <x v="17"/>
    <x v="11"/>
    <x v="29"/>
  </r>
  <r>
    <n v="593"/>
    <x v="26"/>
    <n v="1"/>
    <n v="0"/>
    <n v="1"/>
    <x v="0"/>
    <x v="21"/>
    <x v="0"/>
    <n v="4"/>
    <x v="5"/>
    <x v="0"/>
    <n v="1"/>
    <x v="0"/>
    <x v="15"/>
    <n v="0.21210000000000001"/>
    <x v="32"/>
    <x v="1"/>
    <x v="4"/>
    <x v="49"/>
    <x v="103"/>
  </r>
  <r>
    <n v="594"/>
    <x v="26"/>
    <n v="1"/>
    <n v="0"/>
    <n v="1"/>
    <x v="0"/>
    <x v="22"/>
    <x v="0"/>
    <n v="4"/>
    <x v="5"/>
    <x v="0"/>
    <n v="1"/>
    <x v="0"/>
    <x v="15"/>
    <n v="0.21210000000000001"/>
    <x v="32"/>
    <x v="1"/>
    <x v="3"/>
    <x v="2"/>
    <x v="110"/>
  </r>
  <r>
    <n v="595"/>
    <x v="26"/>
    <n v="1"/>
    <n v="0"/>
    <n v="1"/>
    <x v="0"/>
    <x v="23"/>
    <x v="0"/>
    <n v="4"/>
    <x v="5"/>
    <x v="0"/>
    <n v="1"/>
    <x v="0"/>
    <x v="15"/>
    <n v="0.19700000000000001"/>
    <x v="1"/>
    <x v="8"/>
    <x v="3"/>
    <x v="20"/>
    <x v="0"/>
  </r>
  <r>
    <n v="596"/>
    <x v="27"/>
    <n v="1"/>
    <n v="0"/>
    <n v="1"/>
    <x v="0"/>
    <x v="0"/>
    <x v="0"/>
    <n v="5"/>
    <x v="6"/>
    <x v="0"/>
    <n v="2"/>
    <x v="1"/>
    <x v="2"/>
    <n v="0.21210000000000001"/>
    <x v="2"/>
    <x v="7"/>
    <x v="3"/>
    <x v="33"/>
    <x v="23"/>
  </r>
  <r>
    <n v="597"/>
    <x v="27"/>
    <n v="1"/>
    <n v="0"/>
    <n v="1"/>
    <x v="0"/>
    <x v="1"/>
    <x v="0"/>
    <n v="5"/>
    <x v="6"/>
    <x v="0"/>
    <n v="2"/>
    <x v="1"/>
    <x v="2"/>
    <n v="0.21210000000000001"/>
    <x v="2"/>
    <x v="7"/>
    <x v="5"/>
    <x v="6"/>
    <x v="6"/>
  </r>
  <r>
    <n v="598"/>
    <x v="27"/>
    <n v="1"/>
    <n v="0"/>
    <n v="1"/>
    <x v="0"/>
    <x v="2"/>
    <x v="0"/>
    <n v="5"/>
    <x v="6"/>
    <x v="0"/>
    <n v="2"/>
    <x v="1"/>
    <x v="2"/>
    <n v="0.21210000000000001"/>
    <x v="2"/>
    <x v="8"/>
    <x v="3"/>
    <x v="6"/>
    <x v="5"/>
  </r>
  <r>
    <n v="599"/>
    <x v="27"/>
    <n v="1"/>
    <n v="0"/>
    <n v="1"/>
    <x v="0"/>
    <x v="3"/>
    <x v="0"/>
    <n v="5"/>
    <x v="6"/>
    <x v="0"/>
    <n v="2"/>
    <x v="1"/>
    <x v="2"/>
    <n v="0.2273"/>
    <x v="2"/>
    <x v="14"/>
    <x v="5"/>
    <x v="5"/>
    <x v="4"/>
  </r>
  <r>
    <n v="600"/>
    <x v="27"/>
    <n v="1"/>
    <n v="0"/>
    <n v="1"/>
    <x v="0"/>
    <x v="5"/>
    <x v="0"/>
    <n v="5"/>
    <x v="6"/>
    <x v="0"/>
    <n v="2"/>
    <x v="1"/>
    <x v="15"/>
    <n v="0.21210000000000001"/>
    <x v="1"/>
    <x v="14"/>
    <x v="3"/>
    <x v="22"/>
    <x v="48"/>
  </r>
  <r>
    <n v="601"/>
    <x v="27"/>
    <n v="1"/>
    <n v="0"/>
    <n v="1"/>
    <x v="0"/>
    <x v="6"/>
    <x v="0"/>
    <n v="5"/>
    <x v="6"/>
    <x v="0"/>
    <n v="2"/>
    <x v="1"/>
    <x v="15"/>
    <n v="0.19700000000000001"/>
    <x v="1"/>
    <x v="7"/>
    <x v="3"/>
    <x v="20"/>
    <x v="0"/>
  </r>
  <r>
    <n v="602"/>
    <x v="27"/>
    <n v="1"/>
    <n v="0"/>
    <n v="1"/>
    <x v="0"/>
    <x v="7"/>
    <x v="0"/>
    <n v="5"/>
    <x v="6"/>
    <x v="0"/>
    <n v="2"/>
    <x v="1"/>
    <x v="13"/>
    <n v="0.19700000000000001"/>
    <x v="3"/>
    <x v="1"/>
    <x v="4"/>
    <x v="29"/>
    <x v="122"/>
  </r>
  <r>
    <n v="603"/>
    <x v="27"/>
    <n v="1"/>
    <n v="0"/>
    <n v="1"/>
    <x v="0"/>
    <x v="8"/>
    <x v="0"/>
    <n v="5"/>
    <x v="6"/>
    <x v="0"/>
    <n v="2"/>
    <x v="1"/>
    <x v="13"/>
    <n v="0.19700000000000001"/>
    <x v="3"/>
    <x v="1"/>
    <x v="4"/>
    <x v="119"/>
    <x v="45"/>
  </r>
  <r>
    <n v="604"/>
    <x v="27"/>
    <n v="1"/>
    <n v="0"/>
    <n v="1"/>
    <x v="0"/>
    <x v="9"/>
    <x v="0"/>
    <n v="5"/>
    <x v="6"/>
    <x v="0"/>
    <n v="3"/>
    <x v="2"/>
    <x v="15"/>
    <n v="0.21210000000000001"/>
    <x v="3"/>
    <x v="1"/>
    <x v="15"/>
    <x v="73"/>
    <x v="129"/>
  </r>
  <r>
    <n v="605"/>
    <x v="27"/>
    <n v="1"/>
    <n v="0"/>
    <n v="1"/>
    <x v="0"/>
    <x v="10"/>
    <x v="0"/>
    <n v="5"/>
    <x v="6"/>
    <x v="0"/>
    <n v="3"/>
    <x v="2"/>
    <x v="15"/>
    <n v="0.21210000000000001"/>
    <x v="3"/>
    <x v="14"/>
    <x v="3"/>
    <x v="47"/>
    <x v="99"/>
  </r>
  <r>
    <n v="606"/>
    <x v="27"/>
    <n v="1"/>
    <n v="0"/>
    <n v="1"/>
    <x v="0"/>
    <x v="11"/>
    <x v="0"/>
    <n v="5"/>
    <x v="6"/>
    <x v="0"/>
    <n v="3"/>
    <x v="2"/>
    <x v="15"/>
    <n v="0.21210000000000001"/>
    <x v="43"/>
    <x v="14"/>
    <x v="3"/>
    <x v="10"/>
    <x v="33"/>
  </r>
  <r>
    <n v="607"/>
    <x v="27"/>
    <n v="1"/>
    <n v="0"/>
    <n v="1"/>
    <x v="0"/>
    <x v="12"/>
    <x v="0"/>
    <n v="5"/>
    <x v="6"/>
    <x v="0"/>
    <n v="3"/>
    <x v="2"/>
    <x v="15"/>
    <n v="0.21210000000000001"/>
    <x v="43"/>
    <x v="14"/>
    <x v="5"/>
    <x v="95"/>
    <x v="115"/>
  </r>
  <r>
    <n v="608"/>
    <x v="27"/>
    <n v="1"/>
    <n v="0"/>
    <n v="1"/>
    <x v="0"/>
    <x v="13"/>
    <x v="0"/>
    <n v="5"/>
    <x v="6"/>
    <x v="0"/>
    <n v="3"/>
    <x v="2"/>
    <x v="15"/>
    <n v="0.21210000000000001"/>
    <x v="43"/>
    <x v="14"/>
    <x v="3"/>
    <x v="17"/>
    <x v="35"/>
  </r>
  <r>
    <n v="609"/>
    <x v="27"/>
    <n v="1"/>
    <n v="0"/>
    <n v="1"/>
    <x v="0"/>
    <x v="14"/>
    <x v="0"/>
    <n v="5"/>
    <x v="6"/>
    <x v="0"/>
    <n v="3"/>
    <x v="2"/>
    <x v="1"/>
    <n v="0.2727"/>
    <x v="1"/>
    <x v="0"/>
    <x v="4"/>
    <x v="49"/>
    <x v="103"/>
  </r>
  <r>
    <n v="610"/>
    <x v="27"/>
    <n v="1"/>
    <n v="0"/>
    <n v="1"/>
    <x v="0"/>
    <x v="15"/>
    <x v="0"/>
    <n v="5"/>
    <x v="6"/>
    <x v="0"/>
    <n v="2"/>
    <x v="1"/>
    <x v="2"/>
    <n v="0.2576"/>
    <x v="3"/>
    <x v="0"/>
    <x v="5"/>
    <x v="71"/>
    <x v="102"/>
  </r>
  <r>
    <n v="611"/>
    <x v="27"/>
    <n v="1"/>
    <n v="0"/>
    <n v="1"/>
    <x v="0"/>
    <x v="16"/>
    <x v="0"/>
    <n v="5"/>
    <x v="6"/>
    <x v="0"/>
    <n v="1"/>
    <x v="0"/>
    <x v="1"/>
    <n v="0.2727"/>
    <x v="1"/>
    <x v="0"/>
    <x v="22"/>
    <x v="14"/>
    <x v="138"/>
  </r>
  <r>
    <n v="612"/>
    <x v="27"/>
    <n v="1"/>
    <n v="0"/>
    <n v="1"/>
    <x v="0"/>
    <x v="17"/>
    <x v="0"/>
    <n v="5"/>
    <x v="6"/>
    <x v="0"/>
    <n v="1"/>
    <x v="0"/>
    <x v="0"/>
    <n v="0.2424"/>
    <x v="2"/>
    <x v="7"/>
    <x v="4"/>
    <x v="150"/>
    <x v="165"/>
  </r>
  <r>
    <n v="613"/>
    <x v="27"/>
    <n v="1"/>
    <n v="0"/>
    <n v="1"/>
    <x v="0"/>
    <x v="18"/>
    <x v="0"/>
    <n v="5"/>
    <x v="6"/>
    <x v="0"/>
    <n v="1"/>
    <x v="0"/>
    <x v="0"/>
    <n v="0.2273"/>
    <x v="2"/>
    <x v="5"/>
    <x v="4"/>
    <x v="128"/>
    <x v="142"/>
  </r>
  <r>
    <n v="614"/>
    <x v="27"/>
    <n v="1"/>
    <n v="0"/>
    <n v="1"/>
    <x v="0"/>
    <x v="19"/>
    <x v="0"/>
    <n v="5"/>
    <x v="6"/>
    <x v="0"/>
    <n v="2"/>
    <x v="1"/>
    <x v="0"/>
    <n v="0.2424"/>
    <x v="2"/>
    <x v="7"/>
    <x v="2"/>
    <x v="151"/>
    <x v="70"/>
  </r>
  <r>
    <n v="615"/>
    <x v="27"/>
    <n v="1"/>
    <n v="0"/>
    <n v="1"/>
    <x v="0"/>
    <x v="20"/>
    <x v="0"/>
    <n v="5"/>
    <x v="6"/>
    <x v="0"/>
    <n v="2"/>
    <x v="1"/>
    <x v="0"/>
    <n v="0.2273"/>
    <x v="56"/>
    <x v="5"/>
    <x v="5"/>
    <x v="124"/>
    <x v="69"/>
  </r>
  <r>
    <n v="616"/>
    <x v="27"/>
    <n v="1"/>
    <n v="0"/>
    <n v="1"/>
    <x v="0"/>
    <x v="21"/>
    <x v="0"/>
    <n v="5"/>
    <x v="6"/>
    <x v="0"/>
    <n v="2"/>
    <x v="1"/>
    <x v="1"/>
    <n v="0.2273"/>
    <x v="2"/>
    <x v="7"/>
    <x v="5"/>
    <x v="77"/>
    <x v="154"/>
  </r>
  <r>
    <n v="617"/>
    <x v="27"/>
    <n v="1"/>
    <n v="0"/>
    <n v="1"/>
    <x v="0"/>
    <x v="22"/>
    <x v="0"/>
    <n v="5"/>
    <x v="6"/>
    <x v="0"/>
    <n v="1"/>
    <x v="0"/>
    <x v="0"/>
    <n v="0.21210000000000001"/>
    <x v="55"/>
    <x v="11"/>
    <x v="3"/>
    <x v="16"/>
    <x v="132"/>
  </r>
  <r>
    <n v="618"/>
    <x v="27"/>
    <n v="1"/>
    <n v="0"/>
    <n v="1"/>
    <x v="0"/>
    <x v="23"/>
    <x v="0"/>
    <n v="5"/>
    <x v="6"/>
    <x v="0"/>
    <n v="1"/>
    <x v="0"/>
    <x v="0"/>
    <n v="0.2273"/>
    <x v="54"/>
    <x v="6"/>
    <x v="5"/>
    <x v="97"/>
    <x v="84"/>
  </r>
  <r>
    <n v="619"/>
    <x v="28"/>
    <n v="1"/>
    <n v="0"/>
    <n v="1"/>
    <x v="0"/>
    <x v="0"/>
    <x v="0"/>
    <n v="6"/>
    <x v="0"/>
    <x v="0"/>
    <n v="1"/>
    <x v="0"/>
    <x v="1"/>
    <n v="0.19700000000000001"/>
    <x v="26"/>
    <x v="11"/>
    <x v="4"/>
    <x v="16"/>
    <x v="20"/>
  </r>
  <r>
    <n v="620"/>
    <x v="28"/>
    <n v="1"/>
    <n v="0"/>
    <n v="1"/>
    <x v="0"/>
    <x v="1"/>
    <x v="0"/>
    <n v="6"/>
    <x v="0"/>
    <x v="0"/>
    <n v="1"/>
    <x v="0"/>
    <x v="1"/>
    <n v="0.2273"/>
    <x v="26"/>
    <x v="5"/>
    <x v="3"/>
    <x v="32"/>
    <x v="25"/>
  </r>
  <r>
    <n v="621"/>
    <x v="28"/>
    <n v="1"/>
    <n v="0"/>
    <n v="1"/>
    <x v="0"/>
    <x v="2"/>
    <x v="0"/>
    <n v="6"/>
    <x v="0"/>
    <x v="0"/>
    <n v="1"/>
    <x v="0"/>
    <x v="1"/>
    <n v="0.2273"/>
    <x v="26"/>
    <x v="8"/>
    <x v="3"/>
    <x v="89"/>
    <x v="93"/>
  </r>
  <r>
    <n v="622"/>
    <x v="28"/>
    <n v="1"/>
    <n v="0"/>
    <n v="1"/>
    <x v="0"/>
    <x v="3"/>
    <x v="0"/>
    <n v="6"/>
    <x v="0"/>
    <x v="0"/>
    <n v="1"/>
    <x v="0"/>
    <x v="2"/>
    <n v="0.21210000000000001"/>
    <x v="26"/>
    <x v="7"/>
    <x v="0"/>
    <x v="34"/>
    <x v="7"/>
  </r>
  <r>
    <n v="623"/>
    <x v="28"/>
    <n v="1"/>
    <n v="0"/>
    <n v="1"/>
    <x v="0"/>
    <x v="4"/>
    <x v="0"/>
    <n v="6"/>
    <x v="0"/>
    <x v="0"/>
    <n v="1"/>
    <x v="0"/>
    <x v="13"/>
    <n v="0.18179999999999999"/>
    <x v="27"/>
    <x v="14"/>
    <x v="5"/>
    <x v="6"/>
    <x v="6"/>
  </r>
  <r>
    <n v="624"/>
    <x v="28"/>
    <n v="1"/>
    <n v="0"/>
    <n v="1"/>
    <x v="0"/>
    <x v="6"/>
    <x v="0"/>
    <n v="6"/>
    <x v="0"/>
    <x v="0"/>
    <n v="1"/>
    <x v="0"/>
    <x v="13"/>
    <n v="0.18179999999999999"/>
    <x v="26"/>
    <x v="7"/>
    <x v="3"/>
    <x v="6"/>
    <x v="5"/>
  </r>
  <r>
    <n v="625"/>
    <x v="28"/>
    <n v="1"/>
    <n v="0"/>
    <n v="1"/>
    <x v="0"/>
    <x v="7"/>
    <x v="0"/>
    <n v="6"/>
    <x v="0"/>
    <x v="0"/>
    <n v="1"/>
    <x v="0"/>
    <x v="13"/>
    <n v="0.18179999999999999"/>
    <x v="29"/>
    <x v="14"/>
    <x v="5"/>
    <x v="22"/>
    <x v="36"/>
  </r>
  <r>
    <n v="626"/>
    <x v="28"/>
    <n v="1"/>
    <n v="0"/>
    <n v="1"/>
    <x v="0"/>
    <x v="8"/>
    <x v="0"/>
    <n v="6"/>
    <x v="0"/>
    <x v="0"/>
    <n v="1"/>
    <x v="0"/>
    <x v="15"/>
    <n v="0.19700000000000001"/>
    <x v="28"/>
    <x v="8"/>
    <x v="0"/>
    <x v="17"/>
    <x v="19"/>
  </r>
  <r>
    <n v="627"/>
    <x v="28"/>
    <n v="1"/>
    <n v="0"/>
    <n v="1"/>
    <x v="0"/>
    <x v="9"/>
    <x v="0"/>
    <n v="6"/>
    <x v="0"/>
    <x v="0"/>
    <n v="1"/>
    <x v="0"/>
    <x v="15"/>
    <n v="0.21210000000000001"/>
    <x v="29"/>
    <x v="1"/>
    <x v="3"/>
    <x v="60"/>
    <x v="19"/>
  </r>
  <r>
    <n v="628"/>
    <x v="28"/>
    <n v="1"/>
    <n v="0"/>
    <n v="1"/>
    <x v="0"/>
    <x v="10"/>
    <x v="0"/>
    <n v="6"/>
    <x v="0"/>
    <x v="0"/>
    <n v="2"/>
    <x v="1"/>
    <x v="15"/>
    <n v="0.21210000000000001"/>
    <x v="26"/>
    <x v="14"/>
    <x v="17"/>
    <x v="82"/>
    <x v="97"/>
  </r>
  <r>
    <n v="629"/>
    <x v="28"/>
    <n v="1"/>
    <n v="0"/>
    <n v="1"/>
    <x v="0"/>
    <x v="11"/>
    <x v="0"/>
    <n v="6"/>
    <x v="0"/>
    <x v="0"/>
    <n v="2"/>
    <x v="1"/>
    <x v="15"/>
    <n v="0.19700000000000001"/>
    <x v="26"/>
    <x v="7"/>
    <x v="17"/>
    <x v="91"/>
    <x v="37"/>
  </r>
  <r>
    <n v="630"/>
    <x v="28"/>
    <n v="1"/>
    <n v="0"/>
    <n v="1"/>
    <x v="0"/>
    <x v="12"/>
    <x v="0"/>
    <n v="6"/>
    <x v="0"/>
    <x v="0"/>
    <n v="2"/>
    <x v="1"/>
    <x v="2"/>
    <n v="0.19700000000000001"/>
    <x v="29"/>
    <x v="5"/>
    <x v="6"/>
    <x v="43"/>
    <x v="53"/>
  </r>
  <r>
    <n v="631"/>
    <x v="28"/>
    <n v="1"/>
    <n v="0"/>
    <n v="1"/>
    <x v="0"/>
    <x v="13"/>
    <x v="0"/>
    <n v="6"/>
    <x v="0"/>
    <x v="0"/>
    <n v="2"/>
    <x v="1"/>
    <x v="1"/>
    <n v="0.2273"/>
    <x v="28"/>
    <x v="8"/>
    <x v="14"/>
    <x v="90"/>
    <x v="32"/>
  </r>
  <r>
    <n v="632"/>
    <x v="28"/>
    <n v="1"/>
    <n v="0"/>
    <n v="1"/>
    <x v="0"/>
    <x v="14"/>
    <x v="0"/>
    <n v="6"/>
    <x v="0"/>
    <x v="0"/>
    <n v="2"/>
    <x v="1"/>
    <x v="1"/>
    <n v="0.2273"/>
    <x v="54"/>
    <x v="7"/>
    <x v="22"/>
    <x v="121"/>
    <x v="111"/>
  </r>
  <r>
    <n v="633"/>
    <x v="28"/>
    <n v="1"/>
    <n v="0"/>
    <n v="1"/>
    <x v="0"/>
    <x v="15"/>
    <x v="0"/>
    <n v="6"/>
    <x v="0"/>
    <x v="0"/>
    <n v="1"/>
    <x v="0"/>
    <x v="1"/>
    <n v="0.21210000000000001"/>
    <x v="27"/>
    <x v="2"/>
    <x v="30"/>
    <x v="52"/>
    <x v="151"/>
  </r>
  <r>
    <n v="634"/>
    <x v="28"/>
    <n v="1"/>
    <n v="0"/>
    <n v="1"/>
    <x v="0"/>
    <x v="16"/>
    <x v="0"/>
    <n v="6"/>
    <x v="0"/>
    <x v="0"/>
    <n v="1"/>
    <x v="0"/>
    <x v="0"/>
    <n v="0.2424"/>
    <x v="54"/>
    <x v="8"/>
    <x v="21"/>
    <x v="152"/>
    <x v="166"/>
  </r>
  <r>
    <n v="635"/>
    <x v="28"/>
    <n v="1"/>
    <n v="0"/>
    <n v="1"/>
    <x v="0"/>
    <x v="17"/>
    <x v="0"/>
    <n v="6"/>
    <x v="0"/>
    <x v="0"/>
    <n v="1"/>
    <x v="0"/>
    <x v="0"/>
    <n v="0.28789999999999999"/>
    <x v="54"/>
    <x v="0"/>
    <x v="14"/>
    <x v="70"/>
    <x v="134"/>
  </r>
  <r>
    <n v="636"/>
    <x v="28"/>
    <n v="1"/>
    <n v="0"/>
    <n v="1"/>
    <x v="0"/>
    <x v="18"/>
    <x v="0"/>
    <n v="6"/>
    <x v="0"/>
    <x v="0"/>
    <n v="1"/>
    <x v="0"/>
    <x v="1"/>
    <n v="0.2273"/>
    <x v="27"/>
    <x v="7"/>
    <x v="14"/>
    <x v="79"/>
    <x v="118"/>
  </r>
  <r>
    <n v="637"/>
    <x v="28"/>
    <n v="1"/>
    <n v="0"/>
    <n v="1"/>
    <x v="0"/>
    <x v="19"/>
    <x v="0"/>
    <n v="6"/>
    <x v="0"/>
    <x v="0"/>
    <n v="2"/>
    <x v="1"/>
    <x v="1"/>
    <n v="0.21210000000000001"/>
    <x v="27"/>
    <x v="2"/>
    <x v="15"/>
    <x v="15"/>
    <x v="154"/>
  </r>
  <r>
    <n v="638"/>
    <x v="28"/>
    <n v="1"/>
    <n v="0"/>
    <n v="1"/>
    <x v="0"/>
    <x v="20"/>
    <x v="0"/>
    <n v="6"/>
    <x v="0"/>
    <x v="0"/>
    <n v="1"/>
    <x v="0"/>
    <x v="15"/>
    <n v="0.21210000000000001"/>
    <x v="32"/>
    <x v="1"/>
    <x v="5"/>
    <x v="76"/>
    <x v="74"/>
  </r>
  <r>
    <n v="639"/>
    <x v="28"/>
    <n v="1"/>
    <n v="0"/>
    <n v="1"/>
    <x v="0"/>
    <x v="21"/>
    <x v="0"/>
    <n v="6"/>
    <x v="0"/>
    <x v="0"/>
    <n v="1"/>
    <x v="0"/>
    <x v="15"/>
    <n v="0.21210000000000001"/>
    <x v="32"/>
    <x v="1"/>
    <x v="5"/>
    <x v="96"/>
    <x v="9"/>
  </r>
  <r>
    <n v="640"/>
    <x v="28"/>
    <n v="1"/>
    <n v="0"/>
    <n v="1"/>
    <x v="0"/>
    <x v="22"/>
    <x v="0"/>
    <n v="6"/>
    <x v="0"/>
    <x v="0"/>
    <n v="1"/>
    <x v="0"/>
    <x v="13"/>
    <n v="0.19700000000000001"/>
    <x v="1"/>
    <x v="1"/>
    <x v="17"/>
    <x v="95"/>
    <x v="2"/>
  </r>
  <r>
    <n v="641"/>
    <x v="28"/>
    <n v="1"/>
    <n v="0"/>
    <n v="1"/>
    <x v="0"/>
    <x v="23"/>
    <x v="0"/>
    <n v="6"/>
    <x v="0"/>
    <x v="0"/>
    <n v="1"/>
    <x v="0"/>
    <x v="13"/>
    <n v="0.19700000000000001"/>
    <x v="1"/>
    <x v="1"/>
    <x v="0"/>
    <x v="10"/>
    <x v="63"/>
  </r>
  <r>
    <n v="642"/>
    <x v="29"/>
    <n v="1"/>
    <n v="0"/>
    <n v="1"/>
    <x v="0"/>
    <x v="0"/>
    <x v="0"/>
    <n v="0"/>
    <x v="1"/>
    <x v="1"/>
    <n v="1"/>
    <x v="0"/>
    <x v="13"/>
    <n v="0.18179999999999999"/>
    <x v="1"/>
    <x v="14"/>
    <x v="3"/>
    <x v="39"/>
    <x v="63"/>
  </r>
  <r>
    <n v="643"/>
    <x v="29"/>
    <n v="1"/>
    <n v="0"/>
    <n v="1"/>
    <x v="0"/>
    <x v="1"/>
    <x v="0"/>
    <n v="0"/>
    <x v="1"/>
    <x v="1"/>
    <n v="1"/>
    <x v="0"/>
    <x v="14"/>
    <n v="0.21210000000000001"/>
    <x v="1"/>
    <x v="0"/>
    <x v="18"/>
    <x v="97"/>
    <x v="115"/>
  </r>
  <r>
    <n v="644"/>
    <x v="29"/>
    <n v="1"/>
    <n v="0"/>
    <n v="1"/>
    <x v="0"/>
    <x v="2"/>
    <x v="0"/>
    <n v="0"/>
    <x v="1"/>
    <x v="1"/>
    <n v="1"/>
    <x v="0"/>
    <x v="13"/>
    <n v="0.2273"/>
    <x v="1"/>
    <x v="0"/>
    <x v="5"/>
    <x v="3"/>
    <x v="62"/>
  </r>
  <r>
    <n v="645"/>
    <x v="29"/>
    <n v="1"/>
    <n v="0"/>
    <n v="1"/>
    <x v="0"/>
    <x v="3"/>
    <x v="0"/>
    <n v="0"/>
    <x v="1"/>
    <x v="1"/>
    <n v="1"/>
    <x v="0"/>
    <x v="14"/>
    <n v="0.21210000000000001"/>
    <x v="43"/>
    <x v="0"/>
    <x v="5"/>
    <x v="7"/>
    <x v="7"/>
  </r>
  <r>
    <n v="646"/>
    <x v="29"/>
    <n v="1"/>
    <n v="0"/>
    <n v="1"/>
    <x v="0"/>
    <x v="4"/>
    <x v="0"/>
    <n v="0"/>
    <x v="1"/>
    <x v="1"/>
    <n v="1"/>
    <x v="0"/>
    <x v="14"/>
    <n v="0.21210000000000001"/>
    <x v="43"/>
    <x v="0"/>
    <x v="3"/>
    <x v="4"/>
    <x v="4"/>
  </r>
  <r>
    <n v="647"/>
    <x v="29"/>
    <n v="1"/>
    <n v="0"/>
    <n v="1"/>
    <x v="0"/>
    <x v="5"/>
    <x v="0"/>
    <n v="0"/>
    <x v="1"/>
    <x v="1"/>
    <n v="1"/>
    <x v="0"/>
    <x v="14"/>
    <n v="0.21210000000000001"/>
    <x v="3"/>
    <x v="0"/>
    <x v="3"/>
    <x v="35"/>
    <x v="6"/>
  </r>
  <r>
    <n v="648"/>
    <x v="29"/>
    <n v="1"/>
    <n v="0"/>
    <n v="1"/>
    <x v="0"/>
    <x v="7"/>
    <x v="0"/>
    <n v="0"/>
    <x v="1"/>
    <x v="1"/>
    <n v="1"/>
    <x v="0"/>
    <x v="14"/>
    <n v="0.21210000000000001"/>
    <x v="3"/>
    <x v="0"/>
    <x v="3"/>
    <x v="35"/>
    <x v="6"/>
  </r>
  <r>
    <n v="649"/>
    <x v="29"/>
    <n v="1"/>
    <n v="0"/>
    <n v="1"/>
    <x v="0"/>
    <x v="8"/>
    <x v="0"/>
    <n v="0"/>
    <x v="1"/>
    <x v="1"/>
    <n v="2"/>
    <x v="1"/>
    <x v="14"/>
    <n v="0.21210000000000001"/>
    <x v="3"/>
    <x v="0"/>
    <x v="5"/>
    <x v="48"/>
    <x v="47"/>
  </r>
  <r>
    <n v="650"/>
    <x v="29"/>
    <n v="1"/>
    <n v="0"/>
    <n v="1"/>
    <x v="0"/>
    <x v="9"/>
    <x v="0"/>
    <n v="0"/>
    <x v="1"/>
    <x v="1"/>
    <n v="2"/>
    <x v="1"/>
    <x v="13"/>
    <n v="0.2273"/>
    <x v="1"/>
    <x v="0"/>
    <x v="17"/>
    <x v="60"/>
    <x v="103"/>
  </r>
  <r>
    <n v="651"/>
    <x v="29"/>
    <n v="1"/>
    <n v="0"/>
    <n v="1"/>
    <x v="0"/>
    <x v="10"/>
    <x v="0"/>
    <n v="0"/>
    <x v="1"/>
    <x v="1"/>
    <n v="2"/>
    <x v="1"/>
    <x v="15"/>
    <n v="0.2424"/>
    <x v="1"/>
    <x v="0"/>
    <x v="18"/>
    <x v="77"/>
    <x v="37"/>
  </r>
  <r>
    <n v="652"/>
    <x v="29"/>
    <n v="1"/>
    <n v="0"/>
    <n v="1"/>
    <x v="0"/>
    <x v="11"/>
    <x v="0"/>
    <n v="0"/>
    <x v="1"/>
    <x v="1"/>
    <n v="1"/>
    <x v="0"/>
    <x v="1"/>
    <n v="0.2727"/>
    <x v="2"/>
    <x v="0"/>
    <x v="14"/>
    <x v="54"/>
    <x v="29"/>
  </r>
  <r>
    <n v="653"/>
    <x v="29"/>
    <n v="1"/>
    <n v="0"/>
    <n v="1"/>
    <x v="0"/>
    <x v="12"/>
    <x v="0"/>
    <n v="0"/>
    <x v="1"/>
    <x v="1"/>
    <n v="1"/>
    <x v="0"/>
    <x v="11"/>
    <n v="0.31819999999999998"/>
    <x v="35"/>
    <x v="14"/>
    <x v="22"/>
    <x v="61"/>
    <x v="54"/>
  </r>
  <r>
    <n v="654"/>
    <x v="29"/>
    <n v="1"/>
    <n v="0"/>
    <n v="1"/>
    <x v="0"/>
    <x v="13"/>
    <x v="0"/>
    <n v="0"/>
    <x v="1"/>
    <x v="1"/>
    <n v="1"/>
    <x v="0"/>
    <x v="17"/>
    <n v="0.28789999999999999"/>
    <x v="53"/>
    <x v="14"/>
    <x v="23"/>
    <x v="13"/>
    <x v="11"/>
  </r>
  <r>
    <n v="655"/>
    <x v="29"/>
    <n v="1"/>
    <n v="0"/>
    <n v="1"/>
    <x v="0"/>
    <x v="14"/>
    <x v="0"/>
    <n v="0"/>
    <x v="1"/>
    <x v="1"/>
    <n v="1"/>
    <x v="0"/>
    <x v="17"/>
    <n v="0.30299999999999999"/>
    <x v="53"/>
    <x v="1"/>
    <x v="25"/>
    <x v="153"/>
    <x v="78"/>
  </r>
  <r>
    <n v="656"/>
    <x v="29"/>
    <n v="1"/>
    <n v="0"/>
    <n v="1"/>
    <x v="0"/>
    <x v="15"/>
    <x v="0"/>
    <n v="0"/>
    <x v="1"/>
    <x v="1"/>
    <n v="1"/>
    <x v="0"/>
    <x v="11"/>
    <n v="0.33329999999999999"/>
    <x v="34"/>
    <x v="0"/>
    <x v="24"/>
    <x v="73"/>
    <x v="142"/>
  </r>
  <r>
    <n v="657"/>
    <x v="29"/>
    <n v="1"/>
    <n v="0"/>
    <n v="1"/>
    <x v="0"/>
    <x v="16"/>
    <x v="0"/>
    <n v="0"/>
    <x v="1"/>
    <x v="1"/>
    <n v="1"/>
    <x v="0"/>
    <x v="11"/>
    <n v="0.33329999999999999"/>
    <x v="34"/>
    <x v="0"/>
    <x v="21"/>
    <x v="153"/>
    <x v="92"/>
  </r>
  <r>
    <n v="658"/>
    <x v="29"/>
    <n v="1"/>
    <n v="0"/>
    <n v="1"/>
    <x v="0"/>
    <x v="17"/>
    <x v="0"/>
    <n v="0"/>
    <x v="1"/>
    <x v="1"/>
    <n v="1"/>
    <x v="0"/>
    <x v="11"/>
    <n v="0.28789999999999999"/>
    <x v="34"/>
    <x v="5"/>
    <x v="15"/>
    <x v="13"/>
    <x v="43"/>
  </r>
  <r>
    <n v="659"/>
    <x v="29"/>
    <n v="1"/>
    <n v="0"/>
    <n v="1"/>
    <x v="0"/>
    <x v="18"/>
    <x v="0"/>
    <n v="0"/>
    <x v="1"/>
    <x v="1"/>
    <n v="1"/>
    <x v="0"/>
    <x v="12"/>
    <n v="0.2576"/>
    <x v="55"/>
    <x v="8"/>
    <x v="1"/>
    <x v="77"/>
    <x v="32"/>
  </r>
  <r>
    <n v="660"/>
    <x v="29"/>
    <n v="1"/>
    <n v="0"/>
    <n v="1"/>
    <x v="0"/>
    <x v="19"/>
    <x v="0"/>
    <n v="0"/>
    <x v="1"/>
    <x v="1"/>
    <n v="1"/>
    <x v="0"/>
    <x v="12"/>
    <n v="0.2576"/>
    <x v="55"/>
    <x v="5"/>
    <x v="14"/>
    <x v="24"/>
    <x v="97"/>
  </r>
  <r>
    <n v="661"/>
    <x v="29"/>
    <n v="1"/>
    <n v="0"/>
    <n v="1"/>
    <x v="0"/>
    <x v="20"/>
    <x v="0"/>
    <n v="0"/>
    <x v="1"/>
    <x v="1"/>
    <n v="2"/>
    <x v="1"/>
    <x v="12"/>
    <n v="0.2727"/>
    <x v="55"/>
    <x v="14"/>
    <x v="0"/>
    <x v="10"/>
    <x v="63"/>
  </r>
  <r>
    <n v="662"/>
    <x v="29"/>
    <n v="1"/>
    <n v="0"/>
    <n v="1"/>
    <x v="0"/>
    <x v="21"/>
    <x v="0"/>
    <n v="0"/>
    <x v="1"/>
    <x v="1"/>
    <n v="2"/>
    <x v="1"/>
    <x v="0"/>
    <n v="0.2424"/>
    <x v="56"/>
    <x v="8"/>
    <x v="0"/>
    <x v="18"/>
    <x v="20"/>
  </r>
  <r>
    <n v="663"/>
    <x v="29"/>
    <n v="1"/>
    <n v="0"/>
    <n v="1"/>
    <x v="0"/>
    <x v="22"/>
    <x v="0"/>
    <n v="0"/>
    <x v="1"/>
    <x v="1"/>
    <n v="2"/>
    <x v="1"/>
    <x v="0"/>
    <n v="0.2273"/>
    <x v="56"/>
    <x v="5"/>
    <x v="4"/>
    <x v="23"/>
    <x v="137"/>
  </r>
  <r>
    <n v="664"/>
    <x v="29"/>
    <n v="1"/>
    <n v="0"/>
    <n v="1"/>
    <x v="0"/>
    <x v="23"/>
    <x v="0"/>
    <n v="0"/>
    <x v="1"/>
    <x v="1"/>
    <n v="2"/>
    <x v="1"/>
    <x v="0"/>
    <n v="0.21210000000000001"/>
    <x v="55"/>
    <x v="3"/>
    <x v="2"/>
    <x v="20"/>
    <x v="137"/>
  </r>
  <r>
    <n v="665"/>
    <x v="30"/>
    <n v="1"/>
    <n v="0"/>
    <n v="1"/>
    <x v="0"/>
    <x v="0"/>
    <x v="0"/>
    <n v="1"/>
    <x v="2"/>
    <x v="1"/>
    <n v="2"/>
    <x v="1"/>
    <x v="0"/>
    <n v="0.2273"/>
    <x v="55"/>
    <x v="6"/>
    <x v="5"/>
    <x v="8"/>
    <x v="85"/>
  </r>
  <r>
    <n v="666"/>
    <x v="30"/>
    <n v="1"/>
    <n v="0"/>
    <n v="1"/>
    <x v="0"/>
    <x v="1"/>
    <x v="0"/>
    <n v="1"/>
    <x v="2"/>
    <x v="1"/>
    <n v="1"/>
    <x v="0"/>
    <x v="1"/>
    <n v="0.21210000000000001"/>
    <x v="26"/>
    <x v="2"/>
    <x v="4"/>
    <x v="34"/>
    <x v="85"/>
  </r>
  <r>
    <n v="667"/>
    <x v="30"/>
    <n v="1"/>
    <n v="0"/>
    <n v="1"/>
    <x v="0"/>
    <x v="2"/>
    <x v="0"/>
    <n v="1"/>
    <x v="2"/>
    <x v="1"/>
    <n v="1"/>
    <x v="0"/>
    <x v="1"/>
    <n v="0.2273"/>
    <x v="26"/>
    <x v="5"/>
    <x v="3"/>
    <x v="4"/>
    <x v="4"/>
  </r>
  <r>
    <n v="668"/>
    <x v="30"/>
    <n v="1"/>
    <n v="0"/>
    <n v="1"/>
    <x v="0"/>
    <x v="3"/>
    <x v="0"/>
    <n v="1"/>
    <x v="2"/>
    <x v="1"/>
    <n v="1"/>
    <x v="0"/>
    <x v="1"/>
    <n v="0.2273"/>
    <x v="26"/>
    <x v="5"/>
    <x v="3"/>
    <x v="6"/>
    <x v="5"/>
  </r>
  <r>
    <n v="669"/>
    <x v="30"/>
    <n v="1"/>
    <n v="0"/>
    <n v="1"/>
    <x v="0"/>
    <x v="4"/>
    <x v="0"/>
    <n v="1"/>
    <x v="2"/>
    <x v="1"/>
    <n v="1"/>
    <x v="0"/>
    <x v="2"/>
    <n v="0.19700000000000001"/>
    <x v="29"/>
    <x v="6"/>
    <x v="3"/>
    <x v="6"/>
    <x v="5"/>
  </r>
  <r>
    <n v="670"/>
    <x v="30"/>
    <n v="1"/>
    <n v="0"/>
    <n v="1"/>
    <x v="0"/>
    <x v="5"/>
    <x v="0"/>
    <n v="1"/>
    <x v="2"/>
    <x v="1"/>
    <n v="1"/>
    <x v="0"/>
    <x v="15"/>
    <n v="0.16669999999999999"/>
    <x v="26"/>
    <x v="3"/>
    <x v="3"/>
    <x v="21"/>
    <x v="7"/>
  </r>
  <r>
    <n v="671"/>
    <x v="30"/>
    <n v="1"/>
    <n v="0"/>
    <n v="1"/>
    <x v="0"/>
    <x v="6"/>
    <x v="0"/>
    <n v="1"/>
    <x v="2"/>
    <x v="1"/>
    <n v="1"/>
    <x v="0"/>
    <x v="13"/>
    <n v="0.13639999999999999"/>
    <x v="27"/>
    <x v="9"/>
    <x v="3"/>
    <x v="53"/>
    <x v="18"/>
  </r>
  <r>
    <n v="672"/>
    <x v="30"/>
    <n v="1"/>
    <n v="0"/>
    <n v="1"/>
    <x v="0"/>
    <x v="7"/>
    <x v="0"/>
    <n v="1"/>
    <x v="2"/>
    <x v="1"/>
    <n v="2"/>
    <x v="1"/>
    <x v="13"/>
    <n v="0.13639999999999999"/>
    <x v="26"/>
    <x v="3"/>
    <x v="5"/>
    <x v="13"/>
    <x v="44"/>
  </r>
  <r>
    <n v="673"/>
    <x v="30"/>
    <n v="1"/>
    <n v="0"/>
    <n v="1"/>
    <x v="0"/>
    <x v="8"/>
    <x v="0"/>
    <n v="1"/>
    <x v="2"/>
    <x v="1"/>
    <n v="2"/>
    <x v="1"/>
    <x v="13"/>
    <n v="0.13639999999999999"/>
    <x v="29"/>
    <x v="3"/>
    <x v="0"/>
    <x v="154"/>
    <x v="147"/>
  </r>
  <r>
    <n v="674"/>
    <x v="30"/>
    <n v="1"/>
    <n v="0"/>
    <n v="1"/>
    <x v="0"/>
    <x v="9"/>
    <x v="0"/>
    <n v="1"/>
    <x v="2"/>
    <x v="1"/>
    <n v="2"/>
    <x v="1"/>
    <x v="13"/>
    <n v="0.13639999999999999"/>
    <x v="29"/>
    <x v="4"/>
    <x v="3"/>
    <x v="155"/>
    <x v="59"/>
  </r>
  <r>
    <n v="675"/>
    <x v="30"/>
    <n v="1"/>
    <n v="0"/>
    <n v="1"/>
    <x v="0"/>
    <x v="10"/>
    <x v="0"/>
    <n v="1"/>
    <x v="2"/>
    <x v="1"/>
    <n v="2"/>
    <x v="1"/>
    <x v="13"/>
    <n v="0.1515"/>
    <x v="29"/>
    <x v="5"/>
    <x v="5"/>
    <x v="56"/>
    <x v="83"/>
  </r>
  <r>
    <n v="676"/>
    <x v="30"/>
    <n v="1"/>
    <n v="0"/>
    <n v="1"/>
    <x v="0"/>
    <x v="11"/>
    <x v="0"/>
    <n v="1"/>
    <x v="2"/>
    <x v="1"/>
    <n v="2"/>
    <x v="1"/>
    <x v="13"/>
    <n v="0.1515"/>
    <x v="29"/>
    <x v="5"/>
    <x v="4"/>
    <x v="24"/>
    <x v="61"/>
  </r>
  <r>
    <n v="677"/>
    <x v="30"/>
    <n v="1"/>
    <n v="0"/>
    <n v="1"/>
    <x v="0"/>
    <x v="12"/>
    <x v="0"/>
    <n v="1"/>
    <x v="2"/>
    <x v="1"/>
    <n v="2"/>
    <x v="1"/>
    <x v="15"/>
    <n v="0.21210000000000001"/>
    <x v="28"/>
    <x v="14"/>
    <x v="15"/>
    <x v="133"/>
    <x v="118"/>
  </r>
  <r>
    <n v="678"/>
    <x v="30"/>
    <n v="1"/>
    <n v="0"/>
    <n v="1"/>
    <x v="0"/>
    <x v="13"/>
    <x v="0"/>
    <n v="1"/>
    <x v="2"/>
    <x v="1"/>
    <n v="2"/>
    <x v="1"/>
    <x v="13"/>
    <n v="0.2273"/>
    <x v="29"/>
    <x v="0"/>
    <x v="4"/>
    <x v="15"/>
    <x v="60"/>
  </r>
  <r>
    <n v="679"/>
    <x v="30"/>
    <n v="1"/>
    <n v="0"/>
    <n v="1"/>
    <x v="0"/>
    <x v="14"/>
    <x v="0"/>
    <n v="1"/>
    <x v="2"/>
    <x v="1"/>
    <n v="2"/>
    <x v="1"/>
    <x v="15"/>
    <n v="0.19700000000000001"/>
    <x v="28"/>
    <x v="7"/>
    <x v="5"/>
    <x v="66"/>
    <x v="80"/>
  </r>
  <r>
    <n v="680"/>
    <x v="30"/>
    <n v="1"/>
    <n v="0"/>
    <n v="1"/>
    <x v="0"/>
    <x v="15"/>
    <x v="0"/>
    <n v="1"/>
    <x v="2"/>
    <x v="1"/>
    <n v="2"/>
    <x v="1"/>
    <x v="13"/>
    <n v="0.18179999999999999"/>
    <x v="29"/>
    <x v="7"/>
    <x v="0"/>
    <x v="40"/>
    <x v="40"/>
  </r>
  <r>
    <n v="681"/>
    <x v="30"/>
    <n v="1"/>
    <n v="0"/>
    <n v="1"/>
    <x v="0"/>
    <x v="16"/>
    <x v="0"/>
    <n v="1"/>
    <x v="2"/>
    <x v="1"/>
    <n v="2"/>
    <x v="1"/>
    <x v="13"/>
    <n v="0.18179999999999999"/>
    <x v="34"/>
    <x v="5"/>
    <x v="0"/>
    <x v="93"/>
    <x v="80"/>
  </r>
  <r>
    <n v="682"/>
    <x v="30"/>
    <n v="1"/>
    <n v="0"/>
    <n v="1"/>
    <x v="0"/>
    <x v="17"/>
    <x v="0"/>
    <n v="1"/>
    <x v="2"/>
    <x v="1"/>
    <n v="2"/>
    <x v="1"/>
    <x v="13"/>
    <n v="0.1515"/>
    <x v="29"/>
    <x v="5"/>
    <x v="15"/>
    <x v="119"/>
    <x v="143"/>
  </r>
  <r>
    <n v="683"/>
    <x v="30"/>
    <n v="1"/>
    <n v="0"/>
    <n v="1"/>
    <x v="0"/>
    <x v="18"/>
    <x v="0"/>
    <n v="1"/>
    <x v="2"/>
    <x v="1"/>
    <n v="2"/>
    <x v="1"/>
    <x v="13"/>
    <n v="0.1515"/>
    <x v="28"/>
    <x v="6"/>
    <x v="0"/>
    <x v="37"/>
    <x v="167"/>
  </r>
  <r>
    <n v="684"/>
    <x v="30"/>
    <n v="1"/>
    <n v="0"/>
    <n v="1"/>
    <x v="0"/>
    <x v="19"/>
    <x v="0"/>
    <n v="1"/>
    <x v="2"/>
    <x v="1"/>
    <n v="1"/>
    <x v="0"/>
    <x v="11"/>
    <n v="0.31819999999999998"/>
    <x v="53"/>
    <x v="14"/>
    <x v="0"/>
    <x v="123"/>
    <x v="168"/>
  </r>
  <r>
    <n v="685"/>
    <x v="30"/>
    <n v="1"/>
    <n v="0"/>
    <n v="1"/>
    <x v="0"/>
    <x v="20"/>
    <x v="0"/>
    <n v="1"/>
    <x v="2"/>
    <x v="1"/>
    <n v="3"/>
    <x v="2"/>
    <x v="13"/>
    <n v="0.16669999999999999"/>
    <x v="29"/>
    <x v="8"/>
    <x v="3"/>
    <x v="78"/>
    <x v="53"/>
  </r>
  <r>
    <n v="686"/>
    <x v="30"/>
    <n v="1"/>
    <n v="0"/>
    <n v="1"/>
    <x v="0"/>
    <x v="21"/>
    <x v="0"/>
    <n v="1"/>
    <x v="2"/>
    <x v="1"/>
    <n v="3"/>
    <x v="2"/>
    <x v="13"/>
    <n v="0.19700000000000001"/>
    <x v="29"/>
    <x v="1"/>
    <x v="0"/>
    <x v="42"/>
    <x v="10"/>
  </r>
  <r>
    <n v="687"/>
    <x v="30"/>
    <n v="1"/>
    <n v="0"/>
    <n v="1"/>
    <x v="0"/>
    <x v="22"/>
    <x v="0"/>
    <n v="1"/>
    <x v="2"/>
    <x v="1"/>
    <n v="2"/>
    <x v="1"/>
    <x v="13"/>
    <n v="0.18179999999999999"/>
    <x v="29"/>
    <x v="14"/>
    <x v="3"/>
    <x v="60"/>
    <x v="19"/>
  </r>
  <r>
    <n v="688"/>
    <x v="30"/>
    <n v="1"/>
    <n v="0"/>
    <n v="1"/>
    <x v="0"/>
    <x v="23"/>
    <x v="0"/>
    <n v="1"/>
    <x v="2"/>
    <x v="1"/>
    <n v="2"/>
    <x v="1"/>
    <x v="13"/>
    <n v="0.19700000000000001"/>
    <x v="26"/>
    <x v="1"/>
    <x v="4"/>
    <x v="89"/>
    <x v="22"/>
  </r>
  <r>
    <n v="689"/>
    <x v="31"/>
    <n v="1"/>
    <n v="0"/>
    <n v="2"/>
    <x v="1"/>
    <x v="0"/>
    <x v="0"/>
    <n v="2"/>
    <x v="3"/>
    <x v="0"/>
    <n v="2"/>
    <x v="1"/>
    <x v="13"/>
    <n v="0.18179999999999999"/>
    <x v="26"/>
    <x v="14"/>
    <x v="4"/>
    <x v="8"/>
    <x v="7"/>
  </r>
  <r>
    <n v="690"/>
    <x v="31"/>
    <n v="1"/>
    <n v="0"/>
    <n v="2"/>
    <x v="1"/>
    <x v="1"/>
    <x v="0"/>
    <n v="2"/>
    <x v="3"/>
    <x v="0"/>
    <n v="2"/>
    <x v="1"/>
    <x v="13"/>
    <n v="0.18179999999999999"/>
    <x v="27"/>
    <x v="14"/>
    <x v="3"/>
    <x v="35"/>
    <x v="6"/>
  </r>
  <r>
    <n v="691"/>
    <x v="31"/>
    <n v="1"/>
    <n v="0"/>
    <n v="2"/>
    <x v="1"/>
    <x v="2"/>
    <x v="0"/>
    <n v="2"/>
    <x v="3"/>
    <x v="0"/>
    <n v="2"/>
    <x v="1"/>
    <x v="13"/>
    <n v="0.2273"/>
    <x v="27"/>
    <x v="0"/>
    <x v="3"/>
    <x v="6"/>
    <x v="5"/>
  </r>
  <r>
    <n v="692"/>
    <x v="31"/>
    <n v="1"/>
    <n v="0"/>
    <n v="2"/>
    <x v="1"/>
    <x v="3"/>
    <x v="0"/>
    <n v="2"/>
    <x v="3"/>
    <x v="0"/>
    <n v="2"/>
    <x v="1"/>
    <x v="13"/>
    <n v="0.2273"/>
    <x v="27"/>
    <x v="0"/>
    <x v="3"/>
    <x v="6"/>
    <x v="5"/>
  </r>
  <r>
    <n v="693"/>
    <x v="31"/>
    <n v="1"/>
    <n v="0"/>
    <n v="2"/>
    <x v="1"/>
    <x v="5"/>
    <x v="0"/>
    <n v="2"/>
    <x v="3"/>
    <x v="0"/>
    <n v="3"/>
    <x v="2"/>
    <x v="14"/>
    <n v="0.21210000000000001"/>
    <x v="43"/>
    <x v="0"/>
    <x v="3"/>
    <x v="35"/>
    <x v="6"/>
  </r>
  <r>
    <n v="694"/>
    <x v="31"/>
    <n v="1"/>
    <n v="0"/>
    <n v="2"/>
    <x v="1"/>
    <x v="6"/>
    <x v="0"/>
    <n v="2"/>
    <x v="3"/>
    <x v="0"/>
    <n v="3"/>
    <x v="2"/>
    <x v="14"/>
    <n v="0.21210000000000001"/>
    <x v="43"/>
    <x v="0"/>
    <x v="3"/>
    <x v="97"/>
    <x v="34"/>
  </r>
  <r>
    <n v="695"/>
    <x v="31"/>
    <n v="1"/>
    <n v="0"/>
    <n v="2"/>
    <x v="1"/>
    <x v="7"/>
    <x v="0"/>
    <n v="2"/>
    <x v="3"/>
    <x v="0"/>
    <n v="3"/>
    <x v="2"/>
    <x v="13"/>
    <n v="0.2273"/>
    <x v="43"/>
    <x v="0"/>
    <x v="3"/>
    <x v="15"/>
    <x v="46"/>
  </r>
  <r>
    <n v="696"/>
    <x v="31"/>
    <n v="1"/>
    <n v="0"/>
    <n v="2"/>
    <x v="1"/>
    <x v="8"/>
    <x v="0"/>
    <n v="2"/>
    <x v="3"/>
    <x v="0"/>
    <n v="3"/>
    <x v="2"/>
    <x v="13"/>
    <n v="0.2273"/>
    <x v="43"/>
    <x v="0"/>
    <x v="0"/>
    <x v="126"/>
    <x v="169"/>
  </r>
  <r>
    <n v="697"/>
    <x v="31"/>
    <n v="1"/>
    <n v="0"/>
    <n v="2"/>
    <x v="1"/>
    <x v="9"/>
    <x v="0"/>
    <n v="2"/>
    <x v="3"/>
    <x v="0"/>
    <n v="2"/>
    <x v="1"/>
    <x v="13"/>
    <n v="0.2273"/>
    <x v="43"/>
    <x v="0"/>
    <x v="4"/>
    <x v="156"/>
    <x v="155"/>
  </r>
  <r>
    <n v="698"/>
    <x v="31"/>
    <n v="1"/>
    <n v="0"/>
    <n v="2"/>
    <x v="1"/>
    <x v="10"/>
    <x v="0"/>
    <n v="2"/>
    <x v="3"/>
    <x v="0"/>
    <n v="2"/>
    <x v="1"/>
    <x v="13"/>
    <n v="0.2273"/>
    <x v="43"/>
    <x v="0"/>
    <x v="3"/>
    <x v="12"/>
    <x v="105"/>
  </r>
  <r>
    <n v="699"/>
    <x v="31"/>
    <n v="1"/>
    <n v="0"/>
    <n v="2"/>
    <x v="1"/>
    <x v="11"/>
    <x v="0"/>
    <n v="2"/>
    <x v="3"/>
    <x v="0"/>
    <n v="2"/>
    <x v="1"/>
    <x v="15"/>
    <n v="0.2424"/>
    <x v="3"/>
    <x v="0"/>
    <x v="4"/>
    <x v="47"/>
    <x v="41"/>
  </r>
  <r>
    <n v="700"/>
    <x v="31"/>
    <n v="1"/>
    <n v="0"/>
    <n v="2"/>
    <x v="1"/>
    <x v="12"/>
    <x v="0"/>
    <n v="2"/>
    <x v="3"/>
    <x v="0"/>
    <n v="2"/>
    <x v="1"/>
    <x v="2"/>
    <n v="0.2576"/>
    <x v="3"/>
    <x v="0"/>
    <x v="4"/>
    <x v="42"/>
    <x v="97"/>
  </r>
  <r>
    <n v="701"/>
    <x v="31"/>
    <n v="1"/>
    <n v="0"/>
    <n v="2"/>
    <x v="1"/>
    <x v="13"/>
    <x v="0"/>
    <n v="2"/>
    <x v="3"/>
    <x v="0"/>
    <n v="2"/>
    <x v="1"/>
    <x v="2"/>
    <n v="0.2576"/>
    <x v="3"/>
    <x v="0"/>
    <x v="0"/>
    <x v="47"/>
    <x v="46"/>
  </r>
  <r>
    <n v="702"/>
    <x v="31"/>
    <n v="1"/>
    <n v="0"/>
    <n v="2"/>
    <x v="1"/>
    <x v="14"/>
    <x v="0"/>
    <n v="2"/>
    <x v="3"/>
    <x v="0"/>
    <n v="2"/>
    <x v="1"/>
    <x v="1"/>
    <n v="0.2576"/>
    <x v="1"/>
    <x v="1"/>
    <x v="2"/>
    <x v="47"/>
    <x v="60"/>
  </r>
  <r>
    <n v="703"/>
    <x v="31"/>
    <n v="1"/>
    <n v="0"/>
    <n v="2"/>
    <x v="1"/>
    <x v="15"/>
    <x v="0"/>
    <n v="2"/>
    <x v="3"/>
    <x v="0"/>
    <n v="2"/>
    <x v="1"/>
    <x v="0"/>
    <n v="0.28789999999999999"/>
    <x v="2"/>
    <x v="0"/>
    <x v="18"/>
    <x v="108"/>
    <x v="46"/>
  </r>
  <r>
    <n v="704"/>
    <x v="31"/>
    <n v="1"/>
    <n v="0"/>
    <n v="2"/>
    <x v="1"/>
    <x v="16"/>
    <x v="0"/>
    <n v="2"/>
    <x v="3"/>
    <x v="0"/>
    <n v="2"/>
    <x v="1"/>
    <x v="0"/>
    <n v="0.2424"/>
    <x v="2"/>
    <x v="7"/>
    <x v="0"/>
    <x v="124"/>
    <x v="37"/>
  </r>
  <r>
    <n v="705"/>
    <x v="31"/>
    <n v="1"/>
    <n v="0"/>
    <n v="2"/>
    <x v="1"/>
    <x v="17"/>
    <x v="0"/>
    <n v="2"/>
    <x v="3"/>
    <x v="0"/>
    <n v="2"/>
    <x v="1"/>
    <x v="0"/>
    <n v="0.28789999999999999"/>
    <x v="2"/>
    <x v="0"/>
    <x v="17"/>
    <x v="157"/>
    <x v="170"/>
  </r>
  <r>
    <n v="706"/>
    <x v="31"/>
    <n v="1"/>
    <n v="0"/>
    <n v="2"/>
    <x v="1"/>
    <x v="18"/>
    <x v="0"/>
    <n v="2"/>
    <x v="3"/>
    <x v="0"/>
    <n v="2"/>
    <x v="1"/>
    <x v="0"/>
    <n v="0.2576"/>
    <x v="0"/>
    <x v="14"/>
    <x v="0"/>
    <x v="158"/>
    <x v="171"/>
  </r>
  <r>
    <n v="707"/>
    <x v="31"/>
    <n v="1"/>
    <n v="0"/>
    <n v="2"/>
    <x v="1"/>
    <x v="19"/>
    <x v="0"/>
    <n v="2"/>
    <x v="3"/>
    <x v="0"/>
    <n v="2"/>
    <x v="1"/>
    <x v="0"/>
    <n v="0.2424"/>
    <x v="0"/>
    <x v="7"/>
    <x v="0"/>
    <x v="159"/>
    <x v="159"/>
  </r>
  <r>
    <n v="708"/>
    <x v="31"/>
    <n v="1"/>
    <n v="0"/>
    <n v="2"/>
    <x v="1"/>
    <x v="20"/>
    <x v="0"/>
    <n v="2"/>
    <x v="3"/>
    <x v="0"/>
    <n v="2"/>
    <x v="1"/>
    <x v="1"/>
    <n v="0.2273"/>
    <x v="9"/>
    <x v="7"/>
    <x v="2"/>
    <x v="94"/>
    <x v="30"/>
  </r>
  <r>
    <n v="709"/>
    <x v="31"/>
    <n v="1"/>
    <n v="0"/>
    <n v="2"/>
    <x v="1"/>
    <x v="21"/>
    <x v="0"/>
    <n v="2"/>
    <x v="3"/>
    <x v="0"/>
    <n v="2"/>
    <x v="1"/>
    <x v="1"/>
    <n v="0.2273"/>
    <x v="9"/>
    <x v="7"/>
    <x v="3"/>
    <x v="27"/>
    <x v="37"/>
  </r>
  <r>
    <n v="710"/>
    <x v="31"/>
    <n v="1"/>
    <n v="0"/>
    <n v="2"/>
    <x v="1"/>
    <x v="22"/>
    <x v="0"/>
    <n v="2"/>
    <x v="3"/>
    <x v="0"/>
    <n v="2"/>
    <x v="1"/>
    <x v="1"/>
    <n v="0.2576"/>
    <x v="9"/>
    <x v="1"/>
    <x v="4"/>
    <x v="60"/>
    <x v="9"/>
  </r>
  <r>
    <n v="711"/>
    <x v="31"/>
    <n v="1"/>
    <n v="0"/>
    <n v="2"/>
    <x v="1"/>
    <x v="23"/>
    <x v="0"/>
    <n v="2"/>
    <x v="3"/>
    <x v="0"/>
    <n v="3"/>
    <x v="2"/>
    <x v="2"/>
    <n v="0.19700000000000001"/>
    <x v="43"/>
    <x v="5"/>
    <x v="5"/>
    <x v="89"/>
    <x v="0"/>
  </r>
  <r>
    <n v="712"/>
    <x v="32"/>
    <n v="1"/>
    <n v="0"/>
    <n v="2"/>
    <x v="1"/>
    <x v="0"/>
    <x v="0"/>
    <n v="3"/>
    <x v="4"/>
    <x v="0"/>
    <n v="3"/>
    <x v="2"/>
    <x v="1"/>
    <n v="0.2424"/>
    <x v="43"/>
    <x v="14"/>
    <x v="3"/>
    <x v="6"/>
    <x v="5"/>
  </r>
  <r>
    <n v="713"/>
    <x v="32"/>
    <n v="1"/>
    <n v="0"/>
    <n v="2"/>
    <x v="1"/>
    <x v="1"/>
    <x v="0"/>
    <n v="3"/>
    <x v="4"/>
    <x v="0"/>
    <n v="3"/>
    <x v="2"/>
    <x v="1"/>
    <n v="0.2273"/>
    <x v="43"/>
    <x v="5"/>
    <x v="3"/>
    <x v="35"/>
    <x v="6"/>
  </r>
  <r>
    <n v="714"/>
    <x v="32"/>
    <n v="1"/>
    <n v="0"/>
    <n v="2"/>
    <x v="1"/>
    <x v="2"/>
    <x v="0"/>
    <n v="3"/>
    <x v="4"/>
    <x v="0"/>
    <n v="3"/>
    <x v="2"/>
    <x v="1"/>
    <n v="0.2273"/>
    <x v="43"/>
    <x v="7"/>
    <x v="17"/>
    <x v="5"/>
    <x v="48"/>
  </r>
  <r>
    <n v="715"/>
    <x v="32"/>
    <n v="1"/>
    <n v="0"/>
    <n v="2"/>
    <x v="1"/>
    <x v="3"/>
    <x v="0"/>
    <n v="3"/>
    <x v="4"/>
    <x v="0"/>
    <n v="3"/>
    <x v="2"/>
    <x v="1"/>
    <n v="0.2273"/>
    <x v="43"/>
    <x v="7"/>
    <x v="3"/>
    <x v="4"/>
    <x v="4"/>
  </r>
  <r>
    <n v="716"/>
    <x v="32"/>
    <n v="1"/>
    <n v="0"/>
    <n v="2"/>
    <x v="1"/>
    <x v="4"/>
    <x v="0"/>
    <n v="3"/>
    <x v="4"/>
    <x v="0"/>
    <n v="3"/>
    <x v="2"/>
    <x v="1"/>
    <n v="0.21210000000000001"/>
    <x v="43"/>
    <x v="3"/>
    <x v="3"/>
    <x v="4"/>
    <x v="4"/>
  </r>
  <r>
    <n v="717"/>
    <x v="32"/>
    <n v="1"/>
    <n v="0"/>
    <n v="2"/>
    <x v="1"/>
    <x v="5"/>
    <x v="0"/>
    <n v="3"/>
    <x v="4"/>
    <x v="0"/>
    <n v="3"/>
    <x v="2"/>
    <x v="1"/>
    <n v="0.2424"/>
    <x v="43"/>
    <x v="14"/>
    <x v="3"/>
    <x v="35"/>
    <x v="6"/>
  </r>
  <r>
    <n v="718"/>
    <x v="32"/>
    <n v="1"/>
    <n v="0"/>
    <n v="2"/>
    <x v="1"/>
    <x v="6"/>
    <x v="0"/>
    <n v="3"/>
    <x v="4"/>
    <x v="0"/>
    <n v="3"/>
    <x v="2"/>
    <x v="1"/>
    <n v="0.2424"/>
    <x v="43"/>
    <x v="14"/>
    <x v="5"/>
    <x v="19"/>
    <x v="109"/>
  </r>
  <r>
    <n v="719"/>
    <x v="32"/>
    <n v="1"/>
    <n v="0"/>
    <n v="2"/>
    <x v="1"/>
    <x v="7"/>
    <x v="0"/>
    <n v="3"/>
    <x v="4"/>
    <x v="0"/>
    <n v="3"/>
    <x v="2"/>
    <x v="1"/>
    <n v="0.21210000000000001"/>
    <x v="43"/>
    <x v="6"/>
    <x v="5"/>
    <x v="41"/>
    <x v="99"/>
  </r>
  <r>
    <n v="720"/>
    <x v="32"/>
    <n v="1"/>
    <n v="0"/>
    <n v="2"/>
    <x v="1"/>
    <x v="8"/>
    <x v="0"/>
    <n v="3"/>
    <x v="4"/>
    <x v="0"/>
    <n v="3"/>
    <x v="2"/>
    <x v="1"/>
    <n v="0.21210000000000001"/>
    <x v="43"/>
    <x v="6"/>
    <x v="5"/>
    <x v="105"/>
    <x v="107"/>
  </r>
  <r>
    <n v="721"/>
    <x v="32"/>
    <n v="1"/>
    <n v="0"/>
    <n v="2"/>
    <x v="1"/>
    <x v="9"/>
    <x v="0"/>
    <n v="3"/>
    <x v="4"/>
    <x v="0"/>
    <n v="2"/>
    <x v="1"/>
    <x v="0"/>
    <n v="0.2576"/>
    <x v="43"/>
    <x v="1"/>
    <x v="17"/>
    <x v="138"/>
    <x v="92"/>
  </r>
  <r>
    <n v="722"/>
    <x v="32"/>
    <n v="1"/>
    <n v="0"/>
    <n v="2"/>
    <x v="1"/>
    <x v="10"/>
    <x v="0"/>
    <n v="3"/>
    <x v="4"/>
    <x v="0"/>
    <n v="2"/>
    <x v="1"/>
    <x v="1"/>
    <n v="0.2727"/>
    <x v="11"/>
    <x v="0"/>
    <x v="4"/>
    <x v="79"/>
    <x v="42"/>
  </r>
  <r>
    <n v="723"/>
    <x v="32"/>
    <n v="1"/>
    <n v="0"/>
    <n v="2"/>
    <x v="1"/>
    <x v="11"/>
    <x v="0"/>
    <n v="3"/>
    <x v="4"/>
    <x v="0"/>
    <n v="2"/>
    <x v="1"/>
    <x v="0"/>
    <n v="0.2273"/>
    <x v="43"/>
    <x v="5"/>
    <x v="2"/>
    <x v="12"/>
    <x v="46"/>
  </r>
  <r>
    <n v="724"/>
    <x v="32"/>
    <n v="1"/>
    <n v="0"/>
    <n v="2"/>
    <x v="1"/>
    <x v="12"/>
    <x v="0"/>
    <n v="3"/>
    <x v="4"/>
    <x v="0"/>
    <n v="2"/>
    <x v="1"/>
    <x v="0"/>
    <n v="0.2273"/>
    <x v="43"/>
    <x v="6"/>
    <x v="0"/>
    <x v="124"/>
    <x v="37"/>
  </r>
  <r>
    <n v="725"/>
    <x v="32"/>
    <n v="1"/>
    <n v="0"/>
    <n v="2"/>
    <x v="1"/>
    <x v="13"/>
    <x v="0"/>
    <n v="3"/>
    <x v="4"/>
    <x v="0"/>
    <n v="1"/>
    <x v="0"/>
    <x v="10"/>
    <n v="0.33329999999999999"/>
    <x v="43"/>
    <x v="8"/>
    <x v="5"/>
    <x v="64"/>
    <x v="28"/>
  </r>
  <r>
    <n v="726"/>
    <x v="32"/>
    <n v="1"/>
    <n v="0"/>
    <n v="2"/>
    <x v="1"/>
    <x v="14"/>
    <x v="0"/>
    <n v="3"/>
    <x v="4"/>
    <x v="0"/>
    <n v="1"/>
    <x v="0"/>
    <x v="4"/>
    <n v="0.39389999999999997"/>
    <x v="7"/>
    <x v="13"/>
    <x v="4"/>
    <x v="124"/>
    <x v="55"/>
  </r>
  <r>
    <n v="727"/>
    <x v="32"/>
    <n v="1"/>
    <n v="0"/>
    <n v="2"/>
    <x v="1"/>
    <x v="15"/>
    <x v="0"/>
    <n v="3"/>
    <x v="4"/>
    <x v="0"/>
    <n v="1"/>
    <x v="0"/>
    <x v="4"/>
    <n v="0.39389999999999997"/>
    <x v="4"/>
    <x v="9"/>
    <x v="22"/>
    <x v="43"/>
    <x v="31"/>
  </r>
  <r>
    <n v="728"/>
    <x v="32"/>
    <n v="1"/>
    <n v="0"/>
    <n v="2"/>
    <x v="1"/>
    <x v="16"/>
    <x v="0"/>
    <n v="3"/>
    <x v="4"/>
    <x v="0"/>
    <n v="1"/>
    <x v="0"/>
    <x v="5"/>
    <n v="0.33329999999999999"/>
    <x v="12"/>
    <x v="4"/>
    <x v="1"/>
    <x v="73"/>
    <x v="153"/>
  </r>
  <r>
    <n v="729"/>
    <x v="32"/>
    <n v="1"/>
    <n v="0"/>
    <n v="2"/>
    <x v="1"/>
    <x v="17"/>
    <x v="0"/>
    <n v="3"/>
    <x v="4"/>
    <x v="0"/>
    <n v="1"/>
    <x v="0"/>
    <x v="5"/>
    <n v="0.31819999999999998"/>
    <x v="45"/>
    <x v="18"/>
    <x v="18"/>
    <x v="160"/>
    <x v="71"/>
  </r>
  <r>
    <n v="730"/>
    <x v="32"/>
    <n v="1"/>
    <n v="0"/>
    <n v="2"/>
    <x v="1"/>
    <x v="18"/>
    <x v="0"/>
    <n v="3"/>
    <x v="4"/>
    <x v="0"/>
    <n v="1"/>
    <x v="0"/>
    <x v="10"/>
    <n v="0.28789999999999999"/>
    <x v="16"/>
    <x v="16"/>
    <x v="18"/>
    <x v="161"/>
    <x v="58"/>
  </r>
  <r>
    <n v="731"/>
    <x v="32"/>
    <n v="1"/>
    <n v="0"/>
    <n v="2"/>
    <x v="1"/>
    <x v="19"/>
    <x v="0"/>
    <n v="3"/>
    <x v="4"/>
    <x v="0"/>
    <n v="1"/>
    <x v="0"/>
    <x v="17"/>
    <n v="0.2424"/>
    <x v="49"/>
    <x v="15"/>
    <x v="0"/>
    <x v="152"/>
    <x v="134"/>
  </r>
  <r>
    <n v="732"/>
    <x v="32"/>
    <n v="1"/>
    <n v="0"/>
    <n v="2"/>
    <x v="1"/>
    <x v="20"/>
    <x v="0"/>
    <n v="3"/>
    <x v="4"/>
    <x v="0"/>
    <n v="1"/>
    <x v="0"/>
    <x v="0"/>
    <n v="0.19700000000000001"/>
    <x v="37"/>
    <x v="16"/>
    <x v="17"/>
    <x v="13"/>
    <x v="28"/>
  </r>
  <r>
    <n v="733"/>
    <x v="32"/>
    <n v="1"/>
    <n v="0"/>
    <n v="2"/>
    <x v="1"/>
    <x v="21"/>
    <x v="0"/>
    <n v="3"/>
    <x v="4"/>
    <x v="0"/>
    <n v="1"/>
    <x v="0"/>
    <x v="1"/>
    <n v="0.19700000000000001"/>
    <x v="19"/>
    <x v="9"/>
    <x v="5"/>
    <x v="133"/>
    <x v="55"/>
  </r>
  <r>
    <n v="734"/>
    <x v="32"/>
    <n v="1"/>
    <n v="0"/>
    <n v="2"/>
    <x v="1"/>
    <x v="22"/>
    <x v="0"/>
    <n v="3"/>
    <x v="4"/>
    <x v="0"/>
    <n v="1"/>
    <x v="0"/>
    <x v="1"/>
    <n v="0.21210000000000001"/>
    <x v="18"/>
    <x v="2"/>
    <x v="2"/>
    <x v="96"/>
    <x v="1"/>
  </r>
  <r>
    <n v="735"/>
    <x v="32"/>
    <n v="1"/>
    <n v="0"/>
    <n v="2"/>
    <x v="1"/>
    <x v="23"/>
    <x v="0"/>
    <n v="3"/>
    <x v="4"/>
    <x v="0"/>
    <n v="1"/>
    <x v="0"/>
    <x v="2"/>
    <n v="0.16669999999999999"/>
    <x v="18"/>
    <x v="10"/>
    <x v="0"/>
    <x v="31"/>
    <x v="2"/>
  </r>
  <r>
    <n v="736"/>
    <x v="33"/>
    <n v="1"/>
    <n v="0"/>
    <n v="2"/>
    <x v="1"/>
    <x v="0"/>
    <x v="0"/>
    <n v="4"/>
    <x v="5"/>
    <x v="0"/>
    <n v="1"/>
    <x v="0"/>
    <x v="2"/>
    <n v="0.16669999999999999"/>
    <x v="22"/>
    <x v="10"/>
    <x v="5"/>
    <x v="48"/>
    <x v="47"/>
  </r>
  <r>
    <n v="737"/>
    <x v="33"/>
    <n v="1"/>
    <n v="0"/>
    <n v="2"/>
    <x v="1"/>
    <x v="1"/>
    <x v="0"/>
    <n v="4"/>
    <x v="5"/>
    <x v="0"/>
    <n v="1"/>
    <x v="0"/>
    <x v="2"/>
    <n v="0.1515"/>
    <x v="18"/>
    <x v="18"/>
    <x v="3"/>
    <x v="34"/>
    <x v="36"/>
  </r>
  <r>
    <n v="738"/>
    <x v="33"/>
    <n v="1"/>
    <n v="0"/>
    <n v="2"/>
    <x v="1"/>
    <x v="2"/>
    <x v="0"/>
    <n v="4"/>
    <x v="5"/>
    <x v="0"/>
    <n v="1"/>
    <x v="0"/>
    <x v="15"/>
    <n v="0.16669999999999999"/>
    <x v="21"/>
    <x v="2"/>
    <x v="3"/>
    <x v="6"/>
    <x v="5"/>
  </r>
  <r>
    <n v="739"/>
    <x v="33"/>
    <n v="1"/>
    <n v="0"/>
    <n v="2"/>
    <x v="1"/>
    <x v="3"/>
    <x v="0"/>
    <n v="4"/>
    <x v="5"/>
    <x v="0"/>
    <n v="1"/>
    <x v="0"/>
    <x v="15"/>
    <n v="0.16669999999999999"/>
    <x v="21"/>
    <x v="2"/>
    <x v="3"/>
    <x v="4"/>
    <x v="4"/>
  </r>
  <r>
    <n v="740"/>
    <x v="33"/>
    <n v="1"/>
    <n v="0"/>
    <n v="2"/>
    <x v="1"/>
    <x v="5"/>
    <x v="0"/>
    <n v="4"/>
    <x v="5"/>
    <x v="0"/>
    <n v="1"/>
    <x v="0"/>
    <x v="13"/>
    <n v="0.13639999999999999"/>
    <x v="20"/>
    <x v="4"/>
    <x v="3"/>
    <x v="6"/>
    <x v="5"/>
  </r>
  <r>
    <n v="741"/>
    <x v="33"/>
    <n v="1"/>
    <n v="0"/>
    <n v="2"/>
    <x v="1"/>
    <x v="6"/>
    <x v="0"/>
    <n v="4"/>
    <x v="5"/>
    <x v="0"/>
    <n v="1"/>
    <x v="0"/>
    <x v="13"/>
    <n v="0.13639999999999999"/>
    <x v="21"/>
    <x v="11"/>
    <x v="3"/>
    <x v="87"/>
    <x v="21"/>
  </r>
  <r>
    <n v="742"/>
    <x v="33"/>
    <n v="1"/>
    <n v="0"/>
    <n v="2"/>
    <x v="1"/>
    <x v="7"/>
    <x v="0"/>
    <n v="4"/>
    <x v="5"/>
    <x v="0"/>
    <n v="1"/>
    <x v="0"/>
    <x v="14"/>
    <n v="0.1212"/>
    <x v="20"/>
    <x v="9"/>
    <x v="5"/>
    <x v="132"/>
    <x v="90"/>
  </r>
  <r>
    <n v="743"/>
    <x v="33"/>
    <n v="1"/>
    <n v="0"/>
    <n v="2"/>
    <x v="1"/>
    <x v="8"/>
    <x v="0"/>
    <n v="4"/>
    <x v="5"/>
    <x v="0"/>
    <n v="1"/>
    <x v="0"/>
    <x v="14"/>
    <n v="0.1212"/>
    <x v="20"/>
    <x v="11"/>
    <x v="17"/>
    <x v="103"/>
    <x v="104"/>
  </r>
  <r>
    <n v="744"/>
    <x v="33"/>
    <n v="1"/>
    <n v="0"/>
    <n v="2"/>
    <x v="1"/>
    <x v="9"/>
    <x v="0"/>
    <n v="4"/>
    <x v="5"/>
    <x v="0"/>
    <n v="1"/>
    <x v="0"/>
    <x v="13"/>
    <n v="0.13639999999999999"/>
    <x v="19"/>
    <x v="4"/>
    <x v="15"/>
    <x v="69"/>
    <x v="140"/>
  </r>
  <r>
    <n v="745"/>
    <x v="33"/>
    <n v="1"/>
    <n v="0"/>
    <n v="2"/>
    <x v="1"/>
    <x v="10"/>
    <x v="0"/>
    <n v="4"/>
    <x v="5"/>
    <x v="0"/>
    <n v="1"/>
    <x v="0"/>
    <x v="15"/>
    <n v="0.1515"/>
    <x v="21"/>
    <x v="9"/>
    <x v="4"/>
    <x v="54"/>
    <x v="46"/>
  </r>
  <r>
    <n v="746"/>
    <x v="33"/>
    <n v="1"/>
    <n v="0"/>
    <n v="2"/>
    <x v="1"/>
    <x v="11"/>
    <x v="0"/>
    <n v="4"/>
    <x v="5"/>
    <x v="0"/>
    <n v="1"/>
    <x v="0"/>
    <x v="15"/>
    <n v="0.13639999999999999"/>
    <x v="21"/>
    <x v="10"/>
    <x v="14"/>
    <x v="11"/>
    <x v="37"/>
  </r>
  <r>
    <n v="747"/>
    <x v="33"/>
    <n v="1"/>
    <n v="0"/>
    <n v="2"/>
    <x v="1"/>
    <x v="12"/>
    <x v="0"/>
    <n v="4"/>
    <x v="5"/>
    <x v="0"/>
    <n v="1"/>
    <x v="0"/>
    <x v="2"/>
    <n v="0.18179999999999999"/>
    <x v="22"/>
    <x v="11"/>
    <x v="4"/>
    <x v="28"/>
    <x v="83"/>
  </r>
  <r>
    <n v="748"/>
    <x v="33"/>
    <n v="1"/>
    <n v="0"/>
    <n v="2"/>
    <x v="1"/>
    <x v="13"/>
    <x v="0"/>
    <n v="4"/>
    <x v="5"/>
    <x v="0"/>
    <n v="1"/>
    <x v="0"/>
    <x v="2"/>
    <n v="0.16669999999999999"/>
    <x v="22"/>
    <x v="12"/>
    <x v="17"/>
    <x v="12"/>
    <x v="41"/>
  </r>
  <r>
    <n v="749"/>
    <x v="33"/>
    <n v="1"/>
    <n v="0"/>
    <n v="2"/>
    <x v="1"/>
    <x v="14"/>
    <x v="0"/>
    <n v="4"/>
    <x v="5"/>
    <x v="0"/>
    <n v="1"/>
    <x v="0"/>
    <x v="1"/>
    <n v="0.19700000000000001"/>
    <x v="38"/>
    <x v="13"/>
    <x v="17"/>
    <x v="30"/>
    <x v="105"/>
  </r>
  <r>
    <n v="750"/>
    <x v="33"/>
    <n v="1"/>
    <n v="0"/>
    <n v="2"/>
    <x v="1"/>
    <x v="15"/>
    <x v="0"/>
    <n v="4"/>
    <x v="5"/>
    <x v="0"/>
    <n v="1"/>
    <x v="0"/>
    <x v="1"/>
    <n v="0.19700000000000001"/>
    <x v="38"/>
    <x v="9"/>
    <x v="17"/>
    <x v="90"/>
    <x v="122"/>
  </r>
  <r>
    <n v="751"/>
    <x v="33"/>
    <n v="1"/>
    <n v="0"/>
    <n v="2"/>
    <x v="1"/>
    <x v="16"/>
    <x v="0"/>
    <n v="4"/>
    <x v="5"/>
    <x v="0"/>
    <n v="1"/>
    <x v="0"/>
    <x v="1"/>
    <n v="0.21210000000000001"/>
    <x v="38"/>
    <x v="2"/>
    <x v="2"/>
    <x v="26"/>
    <x v="53"/>
  </r>
  <r>
    <n v="752"/>
    <x v="33"/>
    <n v="1"/>
    <n v="0"/>
    <n v="2"/>
    <x v="1"/>
    <x v="17"/>
    <x v="0"/>
    <n v="4"/>
    <x v="5"/>
    <x v="0"/>
    <n v="1"/>
    <x v="0"/>
    <x v="2"/>
    <n v="0.19700000000000001"/>
    <x v="22"/>
    <x v="5"/>
    <x v="2"/>
    <x v="162"/>
    <x v="172"/>
  </r>
  <r>
    <n v="753"/>
    <x v="33"/>
    <n v="1"/>
    <n v="0"/>
    <n v="2"/>
    <x v="1"/>
    <x v="18"/>
    <x v="0"/>
    <n v="4"/>
    <x v="5"/>
    <x v="0"/>
    <n v="1"/>
    <x v="0"/>
    <x v="2"/>
    <n v="0.21210000000000001"/>
    <x v="22"/>
    <x v="8"/>
    <x v="4"/>
    <x v="142"/>
    <x v="173"/>
  </r>
  <r>
    <n v="754"/>
    <x v="33"/>
    <n v="1"/>
    <n v="0"/>
    <n v="2"/>
    <x v="1"/>
    <x v="19"/>
    <x v="0"/>
    <n v="4"/>
    <x v="5"/>
    <x v="0"/>
    <n v="1"/>
    <x v="0"/>
    <x v="2"/>
    <n v="0.2576"/>
    <x v="22"/>
    <x v="0"/>
    <x v="17"/>
    <x v="50"/>
    <x v="152"/>
  </r>
  <r>
    <n v="755"/>
    <x v="33"/>
    <n v="1"/>
    <n v="0"/>
    <n v="2"/>
    <x v="1"/>
    <x v="20"/>
    <x v="0"/>
    <n v="4"/>
    <x v="5"/>
    <x v="0"/>
    <n v="1"/>
    <x v="0"/>
    <x v="2"/>
    <n v="0.2273"/>
    <x v="19"/>
    <x v="1"/>
    <x v="5"/>
    <x v="123"/>
    <x v="142"/>
  </r>
  <r>
    <n v="756"/>
    <x v="33"/>
    <n v="1"/>
    <n v="0"/>
    <n v="2"/>
    <x v="1"/>
    <x v="21"/>
    <x v="0"/>
    <n v="4"/>
    <x v="5"/>
    <x v="0"/>
    <n v="1"/>
    <x v="0"/>
    <x v="15"/>
    <n v="0.21210000000000001"/>
    <x v="28"/>
    <x v="14"/>
    <x v="5"/>
    <x v="42"/>
    <x v="60"/>
  </r>
  <r>
    <n v="757"/>
    <x v="33"/>
    <n v="1"/>
    <n v="0"/>
    <n v="2"/>
    <x v="1"/>
    <x v="22"/>
    <x v="0"/>
    <n v="4"/>
    <x v="5"/>
    <x v="0"/>
    <n v="1"/>
    <x v="0"/>
    <x v="15"/>
    <n v="0.21210000000000001"/>
    <x v="33"/>
    <x v="1"/>
    <x v="4"/>
    <x v="87"/>
    <x v="102"/>
  </r>
  <r>
    <n v="758"/>
    <x v="33"/>
    <n v="1"/>
    <n v="0"/>
    <n v="2"/>
    <x v="1"/>
    <x v="23"/>
    <x v="0"/>
    <n v="4"/>
    <x v="5"/>
    <x v="0"/>
    <n v="1"/>
    <x v="0"/>
    <x v="2"/>
    <n v="0.2273"/>
    <x v="19"/>
    <x v="14"/>
    <x v="17"/>
    <x v="60"/>
    <x v="103"/>
  </r>
  <r>
    <n v="759"/>
    <x v="34"/>
    <n v="1"/>
    <n v="0"/>
    <n v="2"/>
    <x v="1"/>
    <x v="0"/>
    <x v="0"/>
    <n v="5"/>
    <x v="6"/>
    <x v="0"/>
    <n v="2"/>
    <x v="1"/>
    <x v="2"/>
    <n v="0.2576"/>
    <x v="18"/>
    <x v="0"/>
    <x v="0"/>
    <x v="3"/>
    <x v="3"/>
  </r>
  <r>
    <n v="760"/>
    <x v="34"/>
    <n v="1"/>
    <n v="0"/>
    <n v="2"/>
    <x v="1"/>
    <x v="1"/>
    <x v="0"/>
    <n v="5"/>
    <x v="6"/>
    <x v="0"/>
    <n v="2"/>
    <x v="1"/>
    <x v="13"/>
    <n v="0.2273"/>
    <x v="29"/>
    <x v="0"/>
    <x v="3"/>
    <x v="7"/>
    <x v="85"/>
  </r>
  <r>
    <n v="761"/>
    <x v="34"/>
    <n v="1"/>
    <n v="0"/>
    <n v="2"/>
    <x v="1"/>
    <x v="2"/>
    <x v="0"/>
    <n v="5"/>
    <x v="6"/>
    <x v="0"/>
    <n v="2"/>
    <x v="1"/>
    <x v="14"/>
    <n v="0.16669999999999999"/>
    <x v="30"/>
    <x v="14"/>
    <x v="3"/>
    <x v="4"/>
    <x v="4"/>
  </r>
  <r>
    <n v="762"/>
    <x v="34"/>
    <n v="1"/>
    <n v="0"/>
    <n v="2"/>
    <x v="1"/>
    <x v="3"/>
    <x v="0"/>
    <n v="5"/>
    <x v="6"/>
    <x v="0"/>
    <n v="2"/>
    <x v="1"/>
    <x v="14"/>
    <n v="0.16669999999999999"/>
    <x v="30"/>
    <x v="14"/>
    <x v="3"/>
    <x v="4"/>
    <x v="4"/>
  </r>
  <r>
    <n v="763"/>
    <x v="34"/>
    <n v="1"/>
    <n v="0"/>
    <n v="2"/>
    <x v="1"/>
    <x v="5"/>
    <x v="0"/>
    <n v="5"/>
    <x v="6"/>
    <x v="0"/>
    <n v="2"/>
    <x v="1"/>
    <x v="14"/>
    <n v="0.1515"/>
    <x v="30"/>
    <x v="7"/>
    <x v="3"/>
    <x v="7"/>
    <x v="85"/>
  </r>
  <r>
    <n v="764"/>
    <x v="34"/>
    <n v="1"/>
    <n v="0"/>
    <n v="2"/>
    <x v="1"/>
    <x v="6"/>
    <x v="0"/>
    <n v="5"/>
    <x v="6"/>
    <x v="0"/>
    <n v="2"/>
    <x v="1"/>
    <x v="13"/>
    <n v="0.2273"/>
    <x v="28"/>
    <x v="0"/>
    <x v="4"/>
    <x v="16"/>
    <x v="20"/>
  </r>
  <r>
    <n v="765"/>
    <x v="34"/>
    <n v="1"/>
    <n v="0"/>
    <n v="2"/>
    <x v="1"/>
    <x v="7"/>
    <x v="0"/>
    <n v="5"/>
    <x v="6"/>
    <x v="0"/>
    <n v="1"/>
    <x v="0"/>
    <x v="14"/>
    <n v="0.21210000000000001"/>
    <x v="29"/>
    <x v="0"/>
    <x v="3"/>
    <x v="61"/>
    <x v="90"/>
  </r>
  <r>
    <n v="766"/>
    <x v="34"/>
    <n v="1"/>
    <n v="0"/>
    <n v="2"/>
    <x v="1"/>
    <x v="8"/>
    <x v="0"/>
    <n v="5"/>
    <x v="6"/>
    <x v="0"/>
    <n v="1"/>
    <x v="0"/>
    <x v="14"/>
    <n v="0.1515"/>
    <x v="32"/>
    <x v="7"/>
    <x v="0"/>
    <x v="163"/>
    <x v="174"/>
  </r>
  <r>
    <n v="767"/>
    <x v="34"/>
    <n v="1"/>
    <n v="0"/>
    <n v="2"/>
    <x v="1"/>
    <x v="9"/>
    <x v="0"/>
    <n v="5"/>
    <x v="6"/>
    <x v="0"/>
    <n v="2"/>
    <x v="1"/>
    <x v="13"/>
    <n v="0.18179999999999999"/>
    <x v="1"/>
    <x v="7"/>
    <x v="0"/>
    <x v="125"/>
    <x v="175"/>
  </r>
  <r>
    <n v="768"/>
    <x v="34"/>
    <n v="1"/>
    <n v="0"/>
    <n v="2"/>
    <x v="1"/>
    <x v="10"/>
    <x v="0"/>
    <n v="5"/>
    <x v="6"/>
    <x v="0"/>
    <n v="2"/>
    <x v="1"/>
    <x v="2"/>
    <n v="0.21210000000000001"/>
    <x v="33"/>
    <x v="7"/>
    <x v="2"/>
    <x v="24"/>
    <x v="41"/>
  </r>
  <r>
    <n v="769"/>
    <x v="34"/>
    <n v="1"/>
    <n v="0"/>
    <n v="2"/>
    <x v="1"/>
    <x v="11"/>
    <x v="0"/>
    <n v="5"/>
    <x v="6"/>
    <x v="0"/>
    <n v="1"/>
    <x v="0"/>
    <x v="1"/>
    <n v="0.2273"/>
    <x v="33"/>
    <x v="8"/>
    <x v="0"/>
    <x v="124"/>
    <x v="37"/>
  </r>
  <r>
    <n v="770"/>
    <x v="34"/>
    <n v="1"/>
    <n v="0"/>
    <n v="2"/>
    <x v="1"/>
    <x v="12"/>
    <x v="0"/>
    <n v="5"/>
    <x v="6"/>
    <x v="0"/>
    <n v="2"/>
    <x v="1"/>
    <x v="0"/>
    <n v="0.2424"/>
    <x v="37"/>
    <x v="8"/>
    <x v="1"/>
    <x v="78"/>
    <x v="80"/>
  </r>
  <r>
    <n v="771"/>
    <x v="34"/>
    <n v="1"/>
    <n v="0"/>
    <n v="2"/>
    <x v="1"/>
    <x v="13"/>
    <x v="0"/>
    <n v="5"/>
    <x v="6"/>
    <x v="0"/>
    <n v="2"/>
    <x v="1"/>
    <x v="12"/>
    <n v="0.2576"/>
    <x v="20"/>
    <x v="6"/>
    <x v="14"/>
    <x v="26"/>
    <x v="100"/>
  </r>
  <r>
    <n v="772"/>
    <x v="34"/>
    <n v="1"/>
    <n v="0"/>
    <n v="2"/>
    <x v="1"/>
    <x v="14"/>
    <x v="0"/>
    <n v="5"/>
    <x v="6"/>
    <x v="0"/>
    <n v="2"/>
    <x v="1"/>
    <x v="17"/>
    <n v="0.2727"/>
    <x v="49"/>
    <x v="8"/>
    <x v="13"/>
    <x v="83"/>
    <x v="134"/>
  </r>
  <r>
    <n v="773"/>
    <x v="34"/>
    <n v="1"/>
    <n v="0"/>
    <n v="2"/>
    <x v="1"/>
    <x v="15"/>
    <x v="0"/>
    <n v="5"/>
    <x v="6"/>
    <x v="0"/>
    <n v="2"/>
    <x v="1"/>
    <x v="17"/>
    <n v="0.2727"/>
    <x v="37"/>
    <x v="2"/>
    <x v="14"/>
    <x v="38"/>
    <x v="127"/>
  </r>
  <r>
    <n v="774"/>
    <x v="34"/>
    <n v="1"/>
    <n v="0"/>
    <n v="2"/>
    <x v="1"/>
    <x v="16"/>
    <x v="0"/>
    <n v="5"/>
    <x v="6"/>
    <x v="0"/>
    <n v="2"/>
    <x v="1"/>
    <x v="11"/>
    <n v="0.28789999999999999"/>
    <x v="16"/>
    <x v="6"/>
    <x v="1"/>
    <x v="164"/>
    <x v="111"/>
  </r>
  <r>
    <n v="775"/>
    <x v="34"/>
    <n v="1"/>
    <n v="0"/>
    <n v="2"/>
    <x v="1"/>
    <x v="17"/>
    <x v="0"/>
    <n v="5"/>
    <x v="6"/>
    <x v="0"/>
    <n v="2"/>
    <x v="1"/>
    <x v="12"/>
    <n v="0.2727"/>
    <x v="34"/>
    <x v="7"/>
    <x v="22"/>
    <x v="165"/>
    <x v="176"/>
  </r>
  <r>
    <n v="776"/>
    <x v="34"/>
    <n v="1"/>
    <n v="0"/>
    <n v="2"/>
    <x v="1"/>
    <x v="18"/>
    <x v="0"/>
    <n v="5"/>
    <x v="6"/>
    <x v="0"/>
    <n v="2"/>
    <x v="1"/>
    <x v="0"/>
    <n v="0.2576"/>
    <x v="54"/>
    <x v="14"/>
    <x v="0"/>
    <x v="166"/>
    <x v="107"/>
  </r>
  <r>
    <n v="777"/>
    <x v="34"/>
    <n v="1"/>
    <n v="0"/>
    <n v="2"/>
    <x v="1"/>
    <x v="19"/>
    <x v="0"/>
    <n v="5"/>
    <x v="6"/>
    <x v="0"/>
    <n v="2"/>
    <x v="1"/>
    <x v="0"/>
    <n v="0.2424"/>
    <x v="55"/>
    <x v="7"/>
    <x v="5"/>
    <x v="46"/>
    <x v="153"/>
  </r>
  <r>
    <n v="778"/>
    <x v="34"/>
    <n v="1"/>
    <n v="0"/>
    <n v="2"/>
    <x v="1"/>
    <x v="20"/>
    <x v="0"/>
    <n v="5"/>
    <x v="6"/>
    <x v="0"/>
    <n v="2"/>
    <x v="1"/>
    <x v="0"/>
    <n v="0.2424"/>
    <x v="55"/>
    <x v="8"/>
    <x v="4"/>
    <x v="94"/>
    <x v="68"/>
  </r>
  <r>
    <n v="779"/>
    <x v="34"/>
    <n v="1"/>
    <n v="0"/>
    <n v="2"/>
    <x v="1"/>
    <x v="21"/>
    <x v="0"/>
    <n v="5"/>
    <x v="6"/>
    <x v="0"/>
    <n v="2"/>
    <x v="1"/>
    <x v="0"/>
    <n v="0.2424"/>
    <x v="56"/>
    <x v="8"/>
    <x v="4"/>
    <x v="40"/>
    <x v="74"/>
  </r>
  <r>
    <n v="780"/>
    <x v="34"/>
    <n v="1"/>
    <n v="0"/>
    <n v="2"/>
    <x v="1"/>
    <x v="22"/>
    <x v="0"/>
    <n v="5"/>
    <x v="6"/>
    <x v="0"/>
    <n v="2"/>
    <x v="1"/>
    <x v="0"/>
    <n v="0.2424"/>
    <x v="55"/>
    <x v="8"/>
    <x v="5"/>
    <x v="108"/>
    <x v="66"/>
  </r>
  <r>
    <n v="781"/>
    <x v="34"/>
    <n v="1"/>
    <n v="0"/>
    <n v="2"/>
    <x v="1"/>
    <x v="23"/>
    <x v="0"/>
    <n v="5"/>
    <x v="6"/>
    <x v="0"/>
    <n v="2"/>
    <x v="1"/>
    <x v="0"/>
    <n v="0.2424"/>
    <x v="56"/>
    <x v="7"/>
    <x v="5"/>
    <x v="10"/>
    <x v="35"/>
  </r>
  <r>
    <n v="782"/>
    <x v="35"/>
    <n v="1"/>
    <n v="0"/>
    <n v="2"/>
    <x v="1"/>
    <x v="0"/>
    <x v="0"/>
    <n v="6"/>
    <x v="0"/>
    <x v="0"/>
    <n v="2"/>
    <x v="1"/>
    <x v="0"/>
    <n v="0.2424"/>
    <x v="56"/>
    <x v="8"/>
    <x v="0"/>
    <x v="49"/>
    <x v="21"/>
  </r>
  <r>
    <n v="783"/>
    <x v="35"/>
    <n v="1"/>
    <n v="0"/>
    <n v="2"/>
    <x v="1"/>
    <x v="1"/>
    <x v="0"/>
    <n v="6"/>
    <x v="0"/>
    <x v="0"/>
    <n v="2"/>
    <x v="1"/>
    <x v="0"/>
    <n v="0.2424"/>
    <x v="55"/>
    <x v="8"/>
    <x v="5"/>
    <x v="19"/>
    <x v="109"/>
  </r>
  <r>
    <n v="784"/>
    <x v="35"/>
    <n v="1"/>
    <n v="0"/>
    <n v="2"/>
    <x v="1"/>
    <x v="2"/>
    <x v="0"/>
    <n v="6"/>
    <x v="0"/>
    <x v="0"/>
    <n v="2"/>
    <x v="1"/>
    <x v="0"/>
    <n v="0.2424"/>
    <x v="2"/>
    <x v="8"/>
    <x v="2"/>
    <x v="98"/>
    <x v="22"/>
  </r>
  <r>
    <n v="785"/>
    <x v="35"/>
    <n v="1"/>
    <n v="0"/>
    <n v="2"/>
    <x v="1"/>
    <x v="3"/>
    <x v="0"/>
    <n v="6"/>
    <x v="0"/>
    <x v="0"/>
    <n v="2"/>
    <x v="1"/>
    <x v="0"/>
    <n v="0.2424"/>
    <x v="2"/>
    <x v="8"/>
    <x v="5"/>
    <x v="3"/>
    <x v="62"/>
  </r>
  <r>
    <n v="786"/>
    <x v="35"/>
    <n v="1"/>
    <n v="0"/>
    <n v="2"/>
    <x v="1"/>
    <x v="4"/>
    <x v="0"/>
    <n v="6"/>
    <x v="0"/>
    <x v="0"/>
    <n v="3"/>
    <x v="2"/>
    <x v="1"/>
    <n v="0.2273"/>
    <x v="43"/>
    <x v="7"/>
    <x v="3"/>
    <x v="21"/>
    <x v="7"/>
  </r>
  <r>
    <n v="787"/>
    <x v="35"/>
    <n v="1"/>
    <n v="0"/>
    <n v="2"/>
    <x v="1"/>
    <x v="5"/>
    <x v="0"/>
    <n v="6"/>
    <x v="0"/>
    <x v="0"/>
    <n v="3"/>
    <x v="2"/>
    <x v="2"/>
    <n v="0.2273"/>
    <x v="11"/>
    <x v="1"/>
    <x v="3"/>
    <x v="33"/>
    <x v="23"/>
  </r>
  <r>
    <n v="788"/>
    <x v="35"/>
    <n v="1"/>
    <n v="0"/>
    <n v="2"/>
    <x v="1"/>
    <x v="6"/>
    <x v="0"/>
    <n v="6"/>
    <x v="0"/>
    <x v="0"/>
    <n v="3"/>
    <x v="2"/>
    <x v="2"/>
    <n v="0.2576"/>
    <x v="11"/>
    <x v="0"/>
    <x v="3"/>
    <x v="22"/>
    <x v="48"/>
  </r>
  <r>
    <n v="789"/>
    <x v="35"/>
    <n v="1"/>
    <n v="0"/>
    <n v="2"/>
    <x v="1"/>
    <x v="7"/>
    <x v="0"/>
    <n v="6"/>
    <x v="0"/>
    <x v="0"/>
    <n v="3"/>
    <x v="2"/>
    <x v="1"/>
    <n v="0.2576"/>
    <x v="43"/>
    <x v="1"/>
    <x v="3"/>
    <x v="22"/>
    <x v="48"/>
  </r>
  <r>
    <n v="790"/>
    <x v="35"/>
    <n v="1"/>
    <n v="0"/>
    <n v="2"/>
    <x v="1"/>
    <x v="8"/>
    <x v="0"/>
    <n v="6"/>
    <x v="0"/>
    <x v="0"/>
    <n v="3"/>
    <x v="2"/>
    <x v="2"/>
    <n v="0.2273"/>
    <x v="11"/>
    <x v="1"/>
    <x v="3"/>
    <x v="3"/>
    <x v="98"/>
  </r>
  <r>
    <n v="791"/>
    <x v="35"/>
    <n v="1"/>
    <n v="0"/>
    <n v="2"/>
    <x v="1"/>
    <x v="9"/>
    <x v="0"/>
    <n v="6"/>
    <x v="0"/>
    <x v="0"/>
    <n v="3"/>
    <x v="2"/>
    <x v="2"/>
    <n v="0.2273"/>
    <x v="11"/>
    <x v="1"/>
    <x v="0"/>
    <x v="19"/>
    <x v="25"/>
  </r>
  <r>
    <n v="792"/>
    <x v="35"/>
    <n v="1"/>
    <n v="0"/>
    <n v="2"/>
    <x v="1"/>
    <x v="10"/>
    <x v="0"/>
    <n v="6"/>
    <x v="0"/>
    <x v="0"/>
    <n v="3"/>
    <x v="2"/>
    <x v="2"/>
    <n v="0.21210000000000001"/>
    <x v="11"/>
    <x v="7"/>
    <x v="0"/>
    <x v="17"/>
    <x v="19"/>
  </r>
  <r>
    <n v="793"/>
    <x v="35"/>
    <n v="1"/>
    <n v="0"/>
    <n v="2"/>
    <x v="1"/>
    <x v="11"/>
    <x v="0"/>
    <n v="6"/>
    <x v="0"/>
    <x v="0"/>
    <n v="3"/>
    <x v="2"/>
    <x v="1"/>
    <n v="0.2273"/>
    <x v="11"/>
    <x v="7"/>
    <x v="5"/>
    <x v="24"/>
    <x v="105"/>
  </r>
  <r>
    <n v="794"/>
    <x v="35"/>
    <n v="1"/>
    <n v="0"/>
    <n v="2"/>
    <x v="1"/>
    <x v="12"/>
    <x v="0"/>
    <n v="6"/>
    <x v="0"/>
    <x v="0"/>
    <n v="3"/>
    <x v="2"/>
    <x v="1"/>
    <n v="0.2273"/>
    <x v="11"/>
    <x v="8"/>
    <x v="22"/>
    <x v="76"/>
    <x v="46"/>
  </r>
  <r>
    <n v="795"/>
    <x v="35"/>
    <n v="1"/>
    <n v="0"/>
    <n v="2"/>
    <x v="1"/>
    <x v="13"/>
    <x v="0"/>
    <n v="6"/>
    <x v="0"/>
    <x v="0"/>
    <n v="3"/>
    <x v="2"/>
    <x v="1"/>
    <n v="0.2273"/>
    <x v="11"/>
    <x v="8"/>
    <x v="22"/>
    <x v="133"/>
    <x v="44"/>
  </r>
  <r>
    <n v="796"/>
    <x v="35"/>
    <n v="1"/>
    <n v="0"/>
    <n v="2"/>
    <x v="1"/>
    <x v="14"/>
    <x v="0"/>
    <n v="6"/>
    <x v="0"/>
    <x v="0"/>
    <n v="3"/>
    <x v="2"/>
    <x v="1"/>
    <n v="0.2727"/>
    <x v="11"/>
    <x v="0"/>
    <x v="2"/>
    <x v="54"/>
    <x v="97"/>
  </r>
  <r>
    <n v="797"/>
    <x v="35"/>
    <n v="1"/>
    <n v="0"/>
    <n v="2"/>
    <x v="1"/>
    <x v="15"/>
    <x v="0"/>
    <n v="6"/>
    <x v="0"/>
    <x v="0"/>
    <n v="3"/>
    <x v="2"/>
    <x v="1"/>
    <n v="0.2727"/>
    <x v="11"/>
    <x v="0"/>
    <x v="16"/>
    <x v="47"/>
    <x v="122"/>
  </r>
  <r>
    <n v="798"/>
    <x v="35"/>
    <n v="1"/>
    <n v="0"/>
    <n v="2"/>
    <x v="1"/>
    <x v="16"/>
    <x v="0"/>
    <n v="6"/>
    <x v="0"/>
    <x v="0"/>
    <n v="3"/>
    <x v="2"/>
    <x v="1"/>
    <n v="0.2273"/>
    <x v="11"/>
    <x v="7"/>
    <x v="1"/>
    <x v="36"/>
    <x v="68"/>
  </r>
  <r>
    <n v="799"/>
    <x v="35"/>
    <n v="1"/>
    <n v="0"/>
    <n v="2"/>
    <x v="1"/>
    <x v="17"/>
    <x v="0"/>
    <n v="6"/>
    <x v="0"/>
    <x v="0"/>
    <n v="2"/>
    <x v="1"/>
    <x v="0"/>
    <n v="0.21210000000000001"/>
    <x v="11"/>
    <x v="3"/>
    <x v="24"/>
    <x v="27"/>
    <x v="53"/>
  </r>
  <r>
    <n v="800"/>
    <x v="35"/>
    <n v="1"/>
    <n v="0"/>
    <n v="2"/>
    <x v="1"/>
    <x v="18"/>
    <x v="0"/>
    <n v="6"/>
    <x v="0"/>
    <x v="0"/>
    <n v="2"/>
    <x v="1"/>
    <x v="17"/>
    <n v="0.2424"/>
    <x v="43"/>
    <x v="10"/>
    <x v="4"/>
    <x v="38"/>
    <x v="56"/>
  </r>
  <r>
    <n v="801"/>
    <x v="35"/>
    <n v="1"/>
    <n v="0"/>
    <n v="2"/>
    <x v="1"/>
    <x v="19"/>
    <x v="0"/>
    <n v="6"/>
    <x v="0"/>
    <x v="0"/>
    <n v="2"/>
    <x v="1"/>
    <x v="17"/>
    <n v="0.2424"/>
    <x v="43"/>
    <x v="10"/>
    <x v="15"/>
    <x v="78"/>
    <x v="11"/>
  </r>
  <r>
    <n v="802"/>
    <x v="35"/>
    <n v="1"/>
    <n v="0"/>
    <n v="2"/>
    <x v="1"/>
    <x v="20"/>
    <x v="0"/>
    <n v="6"/>
    <x v="0"/>
    <x v="0"/>
    <n v="1"/>
    <x v="0"/>
    <x v="11"/>
    <n v="0.28789999999999999"/>
    <x v="9"/>
    <x v="2"/>
    <x v="2"/>
    <x v="27"/>
    <x v="83"/>
  </r>
  <r>
    <n v="803"/>
    <x v="35"/>
    <n v="1"/>
    <n v="0"/>
    <n v="2"/>
    <x v="1"/>
    <x v="21"/>
    <x v="0"/>
    <n v="6"/>
    <x v="0"/>
    <x v="0"/>
    <n v="1"/>
    <x v="0"/>
    <x v="12"/>
    <n v="0.2576"/>
    <x v="11"/>
    <x v="5"/>
    <x v="0"/>
    <x v="42"/>
    <x v="10"/>
  </r>
  <r>
    <n v="804"/>
    <x v="35"/>
    <n v="1"/>
    <n v="0"/>
    <n v="2"/>
    <x v="1"/>
    <x v="22"/>
    <x v="0"/>
    <n v="6"/>
    <x v="0"/>
    <x v="0"/>
    <n v="1"/>
    <x v="0"/>
    <x v="12"/>
    <n v="0.2727"/>
    <x v="43"/>
    <x v="7"/>
    <x v="4"/>
    <x v="30"/>
    <x v="79"/>
  </r>
  <r>
    <n v="805"/>
    <x v="35"/>
    <n v="1"/>
    <n v="0"/>
    <n v="2"/>
    <x v="1"/>
    <x v="23"/>
    <x v="0"/>
    <n v="6"/>
    <x v="0"/>
    <x v="0"/>
    <n v="1"/>
    <x v="0"/>
    <x v="12"/>
    <n v="0.2576"/>
    <x v="43"/>
    <x v="6"/>
    <x v="18"/>
    <x v="15"/>
    <x v="29"/>
  </r>
  <r>
    <n v="806"/>
    <x v="36"/>
    <n v="1"/>
    <n v="0"/>
    <n v="2"/>
    <x v="1"/>
    <x v="0"/>
    <x v="0"/>
    <n v="0"/>
    <x v="1"/>
    <x v="1"/>
    <n v="1"/>
    <x v="0"/>
    <x v="12"/>
    <n v="0.2576"/>
    <x v="56"/>
    <x v="5"/>
    <x v="4"/>
    <x v="53"/>
    <x v="21"/>
  </r>
  <r>
    <n v="807"/>
    <x v="36"/>
    <n v="1"/>
    <n v="0"/>
    <n v="2"/>
    <x v="1"/>
    <x v="1"/>
    <x v="0"/>
    <n v="0"/>
    <x v="1"/>
    <x v="1"/>
    <n v="1"/>
    <x v="0"/>
    <x v="12"/>
    <n v="0.2273"/>
    <x v="55"/>
    <x v="12"/>
    <x v="17"/>
    <x v="71"/>
    <x v="40"/>
  </r>
  <r>
    <n v="808"/>
    <x v="36"/>
    <n v="1"/>
    <n v="0"/>
    <n v="2"/>
    <x v="1"/>
    <x v="2"/>
    <x v="0"/>
    <n v="0"/>
    <x v="1"/>
    <x v="1"/>
    <n v="1"/>
    <x v="0"/>
    <x v="12"/>
    <n v="0.2273"/>
    <x v="54"/>
    <x v="9"/>
    <x v="3"/>
    <x v="32"/>
    <x v="25"/>
  </r>
  <r>
    <n v="809"/>
    <x v="36"/>
    <n v="1"/>
    <n v="0"/>
    <n v="2"/>
    <x v="1"/>
    <x v="3"/>
    <x v="0"/>
    <n v="0"/>
    <x v="1"/>
    <x v="1"/>
    <n v="1"/>
    <x v="0"/>
    <x v="12"/>
    <n v="0.28789999999999999"/>
    <x v="54"/>
    <x v="1"/>
    <x v="0"/>
    <x v="3"/>
    <x v="3"/>
  </r>
  <r>
    <n v="810"/>
    <x v="36"/>
    <n v="1"/>
    <n v="0"/>
    <n v="2"/>
    <x v="1"/>
    <x v="4"/>
    <x v="0"/>
    <n v="0"/>
    <x v="1"/>
    <x v="1"/>
    <n v="1"/>
    <x v="0"/>
    <x v="12"/>
    <n v="0.2273"/>
    <x v="54"/>
    <x v="11"/>
    <x v="3"/>
    <x v="6"/>
    <x v="5"/>
  </r>
  <r>
    <n v="811"/>
    <x v="36"/>
    <n v="1"/>
    <n v="0"/>
    <n v="2"/>
    <x v="1"/>
    <x v="5"/>
    <x v="0"/>
    <n v="0"/>
    <x v="1"/>
    <x v="1"/>
    <n v="1"/>
    <x v="0"/>
    <x v="12"/>
    <n v="0.2576"/>
    <x v="54"/>
    <x v="6"/>
    <x v="3"/>
    <x v="4"/>
    <x v="4"/>
  </r>
  <r>
    <n v="812"/>
    <x v="36"/>
    <n v="1"/>
    <n v="0"/>
    <n v="2"/>
    <x v="1"/>
    <x v="6"/>
    <x v="0"/>
    <n v="0"/>
    <x v="1"/>
    <x v="1"/>
    <n v="1"/>
    <x v="0"/>
    <x v="12"/>
    <n v="0.2576"/>
    <x v="54"/>
    <x v="6"/>
    <x v="3"/>
    <x v="4"/>
    <x v="4"/>
  </r>
  <r>
    <n v="813"/>
    <x v="36"/>
    <n v="1"/>
    <n v="0"/>
    <n v="2"/>
    <x v="1"/>
    <x v="7"/>
    <x v="0"/>
    <n v="0"/>
    <x v="1"/>
    <x v="1"/>
    <n v="1"/>
    <x v="0"/>
    <x v="0"/>
    <n v="0.2424"/>
    <x v="55"/>
    <x v="8"/>
    <x v="3"/>
    <x v="21"/>
    <x v="7"/>
  </r>
  <r>
    <n v="814"/>
    <x v="36"/>
    <n v="1"/>
    <n v="0"/>
    <n v="2"/>
    <x v="1"/>
    <x v="8"/>
    <x v="0"/>
    <n v="0"/>
    <x v="1"/>
    <x v="1"/>
    <n v="1"/>
    <x v="0"/>
    <x v="0"/>
    <n v="0.2576"/>
    <x v="55"/>
    <x v="14"/>
    <x v="4"/>
    <x v="144"/>
    <x v="84"/>
  </r>
  <r>
    <n v="815"/>
    <x v="36"/>
    <n v="1"/>
    <n v="0"/>
    <n v="2"/>
    <x v="1"/>
    <x v="9"/>
    <x v="0"/>
    <n v="0"/>
    <x v="1"/>
    <x v="1"/>
    <n v="1"/>
    <x v="0"/>
    <x v="17"/>
    <n v="0.28789999999999999"/>
    <x v="34"/>
    <x v="14"/>
    <x v="18"/>
    <x v="101"/>
    <x v="79"/>
  </r>
  <r>
    <n v="816"/>
    <x v="36"/>
    <n v="1"/>
    <n v="0"/>
    <n v="2"/>
    <x v="1"/>
    <x v="10"/>
    <x v="0"/>
    <n v="0"/>
    <x v="1"/>
    <x v="1"/>
    <n v="1"/>
    <x v="0"/>
    <x v="11"/>
    <n v="0.28789999999999999"/>
    <x v="35"/>
    <x v="2"/>
    <x v="13"/>
    <x v="64"/>
    <x v="70"/>
  </r>
  <r>
    <n v="817"/>
    <x v="36"/>
    <n v="1"/>
    <n v="0"/>
    <n v="2"/>
    <x v="1"/>
    <x v="11"/>
    <x v="0"/>
    <n v="0"/>
    <x v="1"/>
    <x v="1"/>
    <n v="1"/>
    <x v="0"/>
    <x v="3"/>
    <n v="0.30299999999999999"/>
    <x v="36"/>
    <x v="2"/>
    <x v="32"/>
    <x v="121"/>
    <x v="126"/>
  </r>
  <r>
    <n v="818"/>
    <x v="36"/>
    <n v="1"/>
    <n v="0"/>
    <n v="2"/>
    <x v="1"/>
    <x v="12"/>
    <x v="0"/>
    <n v="0"/>
    <x v="1"/>
    <x v="1"/>
    <n v="1"/>
    <x v="0"/>
    <x v="10"/>
    <n v="0.33329999999999999"/>
    <x v="15"/>
    <x v="0"/>
    <x v="33"/>
    <x v="167"/>
    <x v="177"/>
  </r>
  <r>
    <n v="819"/>
    <x v="36"/>
    <n v="1"/>
    <n v="0"/>
    <n v="2"/>
    <x v="1"/>
    <x v="13"/>
    <x v="0"/>
    <n v="0"/>
    <x v="1"/>
    <x v="1"/>
    <n v="1"/>
    <x v="0"/>
    <x v="10"/>
    <n v="0.36359999999999998"/>
    <x v="15"/>
    <x v="0"/>
    <x v="9"/>
    <x v="113"/>
    <x v="58"/>
  </r>
  <r>
    <n v="820"/>
    <x v="36"/>
    <n v="1"/>
    <n v="0"/>
    <n v="2"/>
    <x v="1"/>
    <x v="14"/>
    <x v="0"/>
    <n v="0"/>
    <x v="1"/>
    <x v="1"/>
    <n v="1"/>
    <x v="0"/>
    <x v="10"/>
    <n v="0.34849999999999998"/>
    <x v="15"/>
    <x v="1"/>
    <x v="9"/>
    <x v="156"/>
    <x v="143"/>
  </r>
  <r>
    <n v="821"/>
    <x v="36"/>
    <n v="1"/>
    <n v="0"/>
    <n v="2"/>
    <x v="1"/>
    <x v="15"/>
    <x v="0"/>
    <n v="0"/>
    <x v="1"/>
    <x v="1"/>
    <n v="1"/>
    <x v="0"/>
    <x v="10"/>
    <n v="0.34849999999999998"/>
    <x v="15"/>
    <x v="1"/>
    <x v="34"/>
    <x v="110"/>
    <x v="58"/>
  </r>
  <r>
    <n v="822"/>
    <x v="36"/>
    <n v="1"/>
    <n v="0"/>
    <n v="2"/>
    <x v="1"/>
    <x v="16"/>
    <x v="0"/>
    <n v="0"/>
    <x v="1"/>
    <x v="1"/>
    <n v="1"/>
    <x v="0"/>
    <x v="10"/>
    <n v="0.34849999999999998"/>
    <x v="36"/>
    <x v="14"/>
    <x v="35"/>
    <x v="168"/>
    <x v="45"/>
  </r>
  <r>
    <n v="823"/>
    <x v="36"/>
    <n v="1"/>
    <n v="0"/>
    <n v="2"/>
    <x v="1"/>
    <x v="17"/>
    <x v="0"/>
    <n v="0"/>
    <x v="1"/>
    <x v="1"/>
    <n v="1"/>
    <x v="0"/>
    <x v="10"/>
    <n v="0.36359999999999998"/>
    <x v="15"/>
    <x v="0"/>
    <x v="31"/>
    <x v="106"/>
    <x v="178"/>
  </r>
  <r>
    <n v="824"/>
    <x v="36"/>
    <n v="1"/>
    <n v="0"/>
    <n v="2"/>
    <x v="1"/>
    <x v="18"/>
    <x v="0"/>
    <n v="0"/>
    <x v="1"/>
    <x v="1"/>
    <n v="1"/>
    <x v="0"/>
    <x v="11"/>
    <n v="0.30299999999999999"/>
    <x v="34"/>
    <x v="8"/>
    <x v="23"/>
    <x v="65"/>
    <x v="53"/>
  </r>
  <r>
    <n v="825"/>
    <x v="36"/>
    <n v="1"/>
    <n v="0"/>
    <n v="2"/>
    <x v="1"/>
    <x v="19"/>
    <x v="0"/>
    <n v="0"/>
    <x v="1"/>
    <x v="1"/>
    <n v="1"/>
    <x v="0"/>
    <x v="17"/>
    <n v="0.28789999999999999"/>
    <x v="53"/>
    <x v="7"/>
    <x v="5"/>
    <x v="32"/>
    <x v="137"/>
  </r>
  <r>
    <n v="826"/>
    <x v="36"/>
    <n v="1"/>
    <n v="0"/>
    <n v="2"/>
    <x v="1"/>
    <x v="20"/>
    <x v="0"/>
    <n v="0"/>
    <x v="1"/>
    <x v="1"/>
    <n v="1"/>
    <x v="0"/>
    <x v="17"/>
    <n v="0.28789999999999999"/>
    <x v="53"/>
    <x v="14"/>
    <x v="2"/>
    <x v="144"/>
    <x v="132"/>
  </r>
  <r>
    <n v="827"/>
    <x v="36"/>
    <n v="1"/>
    <n v="0"/>
    <n v="2"/>
    <x v="1"/>
    <x v="21"/>
    <x v="0"/>
    <n v="0"/>
    <x v="1"/>
    <x v="1"/>
    <n v="1"/>
    <x v="0"/>
    <x v="12"/>
    <n v="0.30299999999999999"/>
    <x v="54"/>
    <x v="0"/>
    <x v="2"/>
    <x v="97"/>
    <x v="110"/>
  </r>
  <r>
    <n v="828"/>
    <x v="36"/>
    <n v="1"/>
    <n v="0"/>
    <n v="2"/>
    <x v="1"/>
    <x v="22"/>
    <x v="0"/>
    <n v="0"/>
    <x v="1"/>
    <x v="1"/>
    <n v="1"/>
    <x v="0"/>
    <x v="12"/>
    <n v="0.30299999999999999"/>
    <x v="54"/>
    <x v="0"/>
    <x v="2"/>
    <x v="77"/>
    <x v="69"/>
  </r>
  <r>
    <n v="829"/>
    <x v="36"/>
    <n v="1"/>
    <n v="0"/>
    <n v="2"/>
    <x v="1"/>
    <x v="23"/>
    <x v="0"/>
    <n v="0"/>
    <x v="1"/>
    <x v="1"/>
    <n v="1"/>
    <x v="0"/>
    <x v="0"/>
    <n v="0.28789999999999999"/>
    <x v="55"/>
    <x v="0"/>
    <x v="17"/>
    <x v="16"/>
    <x v="33"/>
  </r>
  <r>
    <n v="830"/>
    <x v="37"/>
    <n v="1"/>
    <n v="0"/>
    <n v="2"/>
    <x v="1"/>
    <x v="0"/>
    <x v="0"/>
    <n v="1"/>
    <x v="2"/>
    <x v="1"/>
    <n v="1"/>
    <x v="0"/>
    <x v="0"/>
    <n v="0.28789999999999999"/>
    <x v="55"/>
    <x v="0"/>
    <x v="5"/>
    <x v="88"/>
    <x v="93"/>
  </r>
  <r>
    <n v="831"/>
    <x v="37"/>
    <n v="1"/>
    <n v="0"/>
    <n v="2"/>
    <x v="1"/>
    <x v="1"/>
    <x v="0"/>
    <n v="1"/>
    <x v="2"/>
    <x v="1"/>
    <n v="1"/>
    <x v="0"/>
    <x v="1"/>
    <n v="0.2727"/>
    <x v="2"/>
    <x v="0"/>
    <x v="5"/>
    <x v="22"/>
    <x v="36"/>
  </r>
  <r>
    <n v="832"/>
    <x v="37"/>
    <n v="1"/>
    <n v="0"/>
    <n v="2"/>
    <x v="1"/>
    <x v="2"/>
    <x v="0"/>
    <n v="1"/>
    <x v="2"/>
    <x v="1"/>
    <n v="1"/>
    <x v="0"/>
    <x v="2"/>
    <n v="0.2576"/>
    <x v="1"/>
    <x v="0"/>
    <x v="3"/>
    <x v="35"/>
    <x v="6"/>
  </r>
  <r>
    <n v="833"/>
    <x v="37"/>
    <n v="1"/>
    <n v="0"/>
    <n v="2"/>
    <x v="1"/>
    <x v="3"/>
    <x v="0"/>
    <n v="1"/>
    <x v="2"/>
    <x v="1"/>
    <n v="1"/>
    <x v="0"/>
    <x v="2"/>
    <n v="0.2576"/>
    <x v="3"/>
    <x v="0"/>
    <x v="3"/>
    <x v="4"/>
    <x v="4"/>
  </r>
  <r>
    <n v="834"/>
    <x v="37"/>
    <n v="1"/>
    <n v="0"/>
    <n v="2"/>
    <x v="1"/>
    <x v="4"/>
    <x v="0"/>
    <n v="1"/>
    <x v="2"/>
    <x v="1"/>
    <n v="1"/>
    <x v="0"/>
    <x v="2"/>
    <n v="0.2576"/>
    <x v="3"/>
    <x v="0"/>
    <x v="5"/>
    <x v="4"/>
    <x v="5"/>
  </r>
  <r>
    <n v="835"/>
    <x v="37"/>
    <n v="1"/>
    <n v="0"/>
    <n v="2"/>
    <x v="1"/>
    <x v="5"/>
    <x v="0"/>
    <n v="1"/>
    <x v="2"/>
    <x v="1"/>
    <n v="1"/>
    <x v="0"/>
    <x v="2"/>
    <n v="0.2576"/>
    <x v="3"/>
    <x v="0"/>
    <x v="5"/>
    <x v="33"/>
    <x v="98"/>
  </r>
  <r>
    <n v="836"/>
    <x v="37"/>
    <n v="1"/>
    <n v="0"/>
    <n v="2"/>
    <x v="1"/>
    <x v="6"/>
    <x v="0"/>
    <n v="1"/>
    <x v="2"/>
    <x v="1"/>
    <n v="1"/>
    <x v="0"/>
    <x v="15"/>
    <n v="0.2424"/>
    <x v="43"/>
    <x v="0"/>
    <x v="5"/>
    <x v="31"/>
    <x v="33"/>
  </r>
  <r>
    <n v="837"/>
    <x v="37"/>
    <n v="1"/>
    <n v="0"/>
    <n v="2"/>
    <x v="1"/>
    <x v="7"/>
    <x v="0"/>
    <n v="1"/>
    <x v="2"/>
    <x v="1"/>
    <n v="1"/>
    <x v="0"/>
    <x v="15"/>
    <n v="0.2424"/>
    <x v="3"/>
    <x v="0"/>
    <x v="15"/>
    <x v="121"/>
    <x v="76"/>
  </r>
  <r>
    <n v="838"/>
    <x v="37"/>
    <n v="1"/>
    <n v="0"/>
    <n v="2"/>
    <x v="1"/>
    <x v="8"/>
    <x v="0"/>
    <n v="1"/>
    <x v="2"/>
    <x v="1"/>
    <n v="2"/>
    <x v="1"/>
    <x v="13"/>
    <n v="0.2273"/>
    <x v="11"/>
    <x v="0"/>
    <x v="18"/>
    <x v="169"/>
    <x v="179"/>
  </r>
  <r>
    <n v="839"/>
    <x v="37"/>
    <n v="1"/>
    <n v="0"/>
    <n v="2"/>
    <x v="1"/>
    <x v="9"/>
    <x v="0"/>
    <n v="1"/>
    <x v="2"/>
    <x v="1"/>
    <n v="1"/>
    <x v="0"/>
    <x v="1"/>
    <n v="0.2727"/>
    <x v="1"/>
    <x v="0"/>
    <x v="0"/>
    <x v="168"/>
    <x v="130"/>
  </r>
  <r>
    <n v="840"/>
    <x v="37"/>
    <n v="1"/>
    <n v="0"/>
    <n v="2"/>
    <x v="1"/>
    <x v="10"/>
    <x v="0"/>
    <n v="1"/>
    <x v="2"/>
    <x v="1"/>
    <n v="1"/>
    <x v="0"/>
    <x v="0"/>
    <n v="0.2576"/>
    <x v="2"/>
    <x v="14"/>
    <x v="15"/>
    <x v="47"/>
    <x v="97"/>
  </r>
  <r>
    <n v="841"/>
    <x v="37"/>
    <n v="1"/>
    <n v="0"/>
    <n v="2"/>
    <x v="1"/>
    <x v="11"/>
    <x v="0"/>
    <n v="1"/>
    <x v="2"/>
    <x v="1"/>
    <n v="1"/>
    <x v="0"/>
    <x v="11"/>
    <n v="0.31819999999999998"/>
    <x v="55"/>
    <x v="1"/>
    <x v="16"/>
    <x v="49"/>
    <x v="105"/>
  </r>
  <r>
    <n v="842"/>
    <x v="37"/>
    <n v="1"/>
    <n v="0"/>
    <n v="2"/>
    <x v="1"/>
    <x v="12"/>
    <x v="0"/>
    <n v="1"/>
    <x v="2"/>
    <x v="1"/>
    <n v="2"/>
    <x v="1"/>
    <x v="3"/>
    <n v="0.34849999999999998"/>
    <x v="51"/>
    <x v="0"/>
    <x v="18"/>
    <x v="79"/>
    <x v="180"/>
  </r>
  <r>
    <n v="843"/>
    <x v="37"/>
    <n v="1"/>
    <n v="0"/>
    <n v="2"/>
    <x v="1"/>
    <x v="13"/>
    <x v="0"/>
    <n v="1"/>
    <x v="2"/>
    <x v="1"/>
    <n v="2"/>
    <x v="1"/>
    <x v="5"/>
    <n v="0.36359999999999998"/>
    <x v="14"/>
    <x v="1"/>
    <x v="22"/>
    <x v="25"/>
    <x v="37"/>
  </r>
  <r>
    <n v="844"/>
    <x v="37"/>
    <n v="1"/>
    <n v="0"/>
    <n v="2"/>
    <x v="1"/>
    <x v="14"/>
    <x v="0"/>
    <n v="1"/>
    <x v="2"/>
    <x v="1"/>
    <n v="2"/>
    <x v="1"/>
    <x v="5"/>
    <n v="0.36359999999999998"/>
    <x v="14"/>
    <x v="1"/>
    <x v="1"/>
    <x v="15"/>
    <x v="122"/>
  </r>
  <r>
    <n v="845"/>
    <x v="37"/>
    <n v="1"/>
    <n v="0"/>
    <n v="2"/>
    <x v="1"/>
    <x v="15"/>
    <x v="0"/>
    <n v="1"/>
    <x v="2"/>
    <x v="1"/>
    <n v="2"/>
    <x v="1"/>
    <x v="4"/>
    <n v="0.39389999999999997"/>
    <x v="47"/>
    <x v="1"/>
    <x v="17"/>
    <x v="24"/>
    <x v="89"/>
  </r>
  <r>
    <n v="846"/>
    <x v="37"/>
    <n v="1"/>
    <n v="0"/>
    <n v="2"/>
    <x v="1"/>
    <x v="16"/>
    <x v="0"/>
    <n v="1"/>
    <x v="2"/>
    <x v="1"/>
    <n v="2"/>
    <x v="1"/>
    <x v="5"/>
    <n v="0.34849999999999998"/>
    <x v="14"/>
    <x v="7"/>
    <x v="19"/>
    <x v="52"/>
    <x v="181"/>
  </r>
  <r>
    <n v="847"/>
    <x v="37"/>
    <n v="1"/>
    <n v="0"/>
    <n v="2"/>
    <x v="1"/>
    <x v="17"/>
    <x v="0"/>
    <n v="1"/>
    <x v="2"/>
    <x v="1"/>
    <n v="2"/>
    <x v="1"/>
    <x v="3"/>
    <n v="0.31819999999999998"/>
    <x v="56"/>
    <x v="8"/>
    <x v="14"/>
    <x v="134"/>
    <x v="182"/>
  </r>
  <r>
    <n v="848"/>
    <x v="37"/>
    <n v="1"/>
    <n v="0"/>
    <n v="2"/>
    <x v="1"/>
    <x v="18"/>
    <x v="0"/>
    <n v="1"/>
    <x v="2"/>
    <x v="1"/>
    <n v="2"/>
    <x v="1"/>
    <x v="10"/>
    <n v="0.33329999999999999"/>
    <x v="13"/>
    <x v="7"/>
    <x v="2"/>
    <x v="162"/>
    <x v="172"/>
  </r>
  <r>
    <n v="849"/>
    <x v="37"/>
    <n v="1"/>
    <n v="0"/>
    <n v="2"/>
    <x v="1"/>
    <x v="19"/>
    <x v="0"/>
    <n v="1"/>
    <x v="2"/>
    <x v="1"/>
    <n v="2"/>
    <x v="1"/>
    <x v="3"/>
    <n v="0.34849999999999998"/>
    <x v="56"/>
    <x v="0"/>
    <x v="2"/>
    <x v="170"/>
    <x v="116"/>
  </r>
  <r>
    <n v="850"/>
    <x v="37"/>
    <n v="1"/>
    <n v="0"/>
    <n v="2"/>
    <x v="1"/>
    <x v="20"/>
    <x v="0"/>
    <n v="1"/>
    <x v="2"/>
    <x v="1"/>
    <n v="2"/>
    <x v="1"/>
    <x v="3"/>
    <n v="0.33329999999999999"/>
    <x v="56"/>
    <x v="14"/>
    <x v="15"/>
    <x v="70"/>
    <x v="39"/>
  </r>
  <r>
    <n v="851"/>
    <x v="37"/>
    <n v="1"/>
    <n v="0"/>
    <n v="2"/>
    <x v="1"/>
    <x v="21"/>
    <x v="0"/>
    <n v="1"/>
    <x v="2"/>
    <x v="1"/>
    <n v="1"/>
    <x v="0"/>
    <x v="3"/>
    <n v="0.34849999999999998"/>
    <x v="56"/>
    <x v="0"/>
    <x v="0"/>
    <x v="102"/>
    <x v="53"/>
  </r>
  <r>
    <n v="852"/>
    <x v="37"/>
    <n v="1"/>
    <n v="0"/>
    <n v="2"/>
    <x v="1"/>
    <x v="22"/>
    <x v="0"/>
    <n v="1"/>
    <x v="2"/>
    <x v="1"/>
    <n v="1"/>
    <x v="0"/>
    <x v="17"/>
    <n v="0.30299999999999999"/>
    <x v="0"/>
    <x v="1"/>
    <x v="0"/>
    <x v="60"/>
    <x v="18"/>
  </r>
  <r>
    <n v="853"/>
    <x v="37"/>
    <n v="1"/>
    <n v="0"/>
    <n v="2"/>
    <x v="1"/>
    <x v="23"/>
    <x v="0"/>
    <n v="1"/>
    <x v="2"/>
    <x v="1"/>
    <n v="2"/>
    <x v="1"/>
    <x v="11"/>
    <n v="0.33329999999999999"/>
    <x v="0"/>
    <x v="0"/>
    <x v="15"/>
    <x v="23"/>
    <x v="94"/>
  </r>
  <r>
    <n v="854"/>
    <x v="38"/>
    <n v="1"/>
    <n v="0"/>
    <n v="2"/>
    <x v="1"/>
    <x v="0"/>
    <x v="0"/>
    <n v="2"/>
    <x v="3"/>
    <x v="0"/>
    <n v="2"/>
    <x v="1"/>
    <x v="17"/>
    <n v="0.31819999999999998"/>
    <x v="9"/>
    <x v="0"/>
    <x v="17"/>
    <x v="8"/>
    <x v="98"/>
  </r>
  <r>
    <n v="855"/>
    <x v="38"/>
    <n v="1"/>
    <n v="0"/>
    <n v="2"/>
    <x v="1"/>
    <x v="1"/>
    <x v="0"/>
    <n v="2"/>
    <x v="3"/>
    <x v="0"/>
    <n v="2"/>
    <x v="1"/>
    <x v="17"/>
    <n v="0.31819999999999998"/>
    <x v="9"/>
    <x v="0"/>
    <x v="3"/>
    <x v="22"/>
    <x v="48"/>
  </r>
  <r>
    <n v="856"/>
    <x v="38"/>
    <n v="1"/>
    <n v="0"/>
    <n v="2"/>
    <x v="1"/>
    <x v="2"/>
    <x v="0"/>
    <n v="2"/>
    <x v="3"/>
    <x v="0"/>
    <n v="2"/>
    <x v="1"/>
    <x v="12"/>
    <n v="0.2727"/>
    <x v="43"/>
    <x v="14"/>
    <x v="5"/>
    <x v="4"/>
    <x v="5"/>
  </r>
  <r>
    <n v="857"/>
    <x v="38"/>
    <n v="1"/>
    <n v="0"/>
    <n v="2"/>
    <x v="1"/>
    <x v="3"/>
    <x v="0"/>
    <n v="2"/>
    <x v="3"/>
    <x v="0"/>
    <n v="3"/>
    <x v="2"/>
    <x v="17"/>
    <n v="0.2727"/>
    <x v="43"/>
    <x v="8"/>
    <x v="3"/>
    <x v="4"/>
    <x v="4"/>
  </r>
  <r>
    <n v="858"/>
    <x v="38"/>
    <n v="1"/>
    <n v="0"/>
    <n v="2"/>
    <x v="1"/>
    <x v="4"/>
    <x v="0"/>
    <n v="2"/>
    <x v="3"/>
    <x v="0"/>
    <n v="1"/>
    <x v="0"/>
    <x v="12"/>
    <n v="0.2576"/>
    <x v="43"/>
    <x v="8"/>
    <x v="3"/>
    <x v="35"/>
    <x v="6"/>
  </r>
  <r>
    <n v="859"/>
    <x v="38"/>
    <n v="1"/>
    <n v="0"/>
    <n v="2"/>
    <x v="1"/>
    <x v="5"/>
    <x v="0"/>
    <n v="2"/>
    <x v="3"/>
    <x v="0"/>
    <n v="1"/>
    <x v="0"/>
    <x v="12"/>
    <n v="0.2273"/>
    <x v="0"/>
    <x v="9"/>
    <x v="3"/>
    <x v="6"/>
    <x v="5"/>
  </r>
  <r>
    <n v="860"/>
    <x v="38"/>
    <n v="1"/>
    <n v="0"/>
    <n v="2"/>
    <x v="1"/>
    <x v="6"/>
    <x v="0"/>
    <n v="2"/>
    <x v="3"/>
    <x v="0"/>
    <n v="1"/>
    <x v="0"/>
    <x v="12"/>
    <n v="0.2273"/>
    <x v="56"/>
    <x v="9"/>
    <x v="3"/>
    <x v="87"/>
    <x v="21"/>
  </r>
  <r>
    <n v="861"/>
    <x v="38"/>
    <n v="1"/>
    <n v="0"/>
    <n v="2"/>
    <x v="1"/>
    <x v="7"/>
    <x v="0"/>
    <n v="2"/>
    <x v="3"/>
    <x v="0"/>
    <n v="1"/>
    <x v="0"/>
    <x v="0"/>
    <n v="0.19700000000000001"/>
    <x v="55"/>
    <x v="12"/>
    <x v="0"/>
    <x v="106"/>
    <x v="50"/>
  </r>
  <r>
    <n v="862"/>
    <x v="38"/>
    <n v="1"/>
    <n v="0"/>
    <n v="2"/>
    <x v="1"/>
    <x v="8"/>
    <x v="0"/>
    <n v="2"/>
    <x v="3"/>
    <x v="0"/>
    <n v="1"/>
    <x v="0"/>
    <x v="0"/>
    <n v="0.19700000000000001"/>
    <x v="34"/>
    <x v="15"/>
    <x v="18"/>
    <x v="171"/>
    <x v="183"/>
  </r>
  <r>
    <n v="863"/>
    <x v="38"/>
    <n v="1"/>
    <n v="0"/>
    <n v="2"/>
    <x v="1"/>
    <x v="9"/>
    <x v="0"/>
    <n v="2"/>
    <x v="3"/>
    <x v="0"/>
    <n v="1"/>
    <x v="0"/>
    <x v="0"/>
    <n v="0.19700000000000001"/>
    <x v="35"/>
    <x v="15"/>
    <x v="18"/>
    <x v="172"/>
    <x v="169"/>
  </r>
  <r>
    <n v="864"/>
    <x v="38"/>
    <n v="1"/>
    <n v="0"/>
    <n v="2"/>
    <x v="1"/>
    <x v="10"/>
    <x v="0"/>
    <n v="2"/>
    <x v="3"/>
    <x v="0"/>
    <n v="1"/>
    <x v="0"/>
    <x v="1"/>
    <n v="0.18179999999999999"/>
    <x v="19"/>
    <x v="16"/>
    <x v="17"/>
    <x v="100"/>
    <x v="61"/>
  </r>
  <r>
    <n v="865"/>
    <x v="38"/>
    <n v="1"/>
    <n v="0"/>
    <n v="2"/>
    <x v="1"/>
    <x v="11"/>
    <x v="0"/>
    <n v="2"/>
    <x v="3"/>
    <x v="0"/>
    <n v="1"/>
    <x v="0"/>
    <x v="1"/>
    <n v="0.18179999999999999"/>
    <x v="19"/>
    <x v="17"/>
    <x v="5"/>
    <x v="47"/>
    <x v="89"/>
  </r>
  <r>
    <n v="866"/>
    <x v="38"/>
    <n v="1"/>
    <n v="0"/>
    <n v="2"/>
    <x v="1"/>
    <x v="12"/>
    <x v="0"/>
    <n v="2"/>
    <x v="3"/>
    <x v="0"/>
    <n v="1"/>
    <x v="0"/>
    <x v="0"/>
    <n v="0.19700000000000001"/>
    <x v="41"/>
    <x v="15"/>
    <x v="4"/>
    <x v="36"/>
    <x v="32"/>
  </r>
  <r>
    <n v="867"/>
    <x v="38"/>
    <n v="1"/>
    <n v="0"/>
    <n v="2"/>
    <x v="1"/>
    <x v="13"/>
    <x v="0"/>
    <n v="2"/>
    <x v="3"/>
    <x v="0"/>
    <n v="2"/>
    <x v="1"/>
    <x v="0"/>
    <n v="0.19700000000000001"/>
    <x v="25"/>
    <x v="10"/>
    <x v="4"/>
    <x v="41"/>
    <x v="89"/>
  </r>
  <r>
    <n v="868"/>
    <x v="38"/>
    <n v="1"/>
    <n v="0"/>
    <n v="2"/>
    <x v="1"/>
    <x v="14"/>
    <x v="0"/>
    <n v="2"/>
    <x v="3"/>
    <x v="0"/>
    <n v="1"/>
    <x v="0"/>
    <x v="1"/>
    <n v="0.19700000000000001"/>
    <x v="38"/>
    <x v="12"/>
    <x v="0"/>
    <x v="124"/>
    <x v="37"/>
  </r>
  <r>
    <n v="869"/>
    <x v="38"/>
    <n v="1"/>
    <n v="0"/>
    <n v="2"/>
    <x v="1"/>
    <x v="15"/>
    <x v="0"/>
    <n v="2"/>
    <x v="3"/>
    <x v="0"/>
    <n v="1"/>
    <x v="0"/>
    <x v="1"/>
    <n v="0.19700000000000001"/>
    <x v="23"/>
    <x v="13"/>
    <x v="15"/>
    <x v="108"/>
    <x v="41"/>
  </r>
  <r>
    <n v="870"/>
    <x v="38"/>
    <n v="1"/>
    <n v="0"/>
    <n v="2"/>
    <x v="1"/>
    <x v="16"/>
    <x v="0"/>
    <n v="2"/>
    <x v="3"/>
    <x v="0"/>
    <n v="1"/>
    <x v="0"/>
    <x v="1"/>
    <n v="0.18179999999999999"/>
    <x v="23"/>
    <x v="18"/>
    <x v="17"/>
    <x v="55"/>
    <x v="56"/>
  </r>
  <r>
    <n v="871"/>
    <x v="38"/>
    <n v="1"/>
    <n v="0"/>
    <n v="2"/>
    <x v="1"/>
    <x v="17"/>
    <x v="0"/>
    <n v="2"/>
    <x v="3"/>
    <x v="0"/>
    <n v="1"/>
    <x v="0"/>
    <x v="1"/>
    <n v="0.18179999999999999"/>
    <x v="25"/>
    <x v="19"/>
    <x v="17"/>
    <x v="157"/>
    <x v="170"/>
  </r>
  <r>
    <n v="872"/>
    <x v="38"/>
    <n v="1"/>
    <n v="0"/>
    <n v="2"/>
    <x v="1"/>
    <x v="18"/>
    <x v="0"/>
    <n v="2"/>
    <x v="3"/>
    <x v="0"/>
    <n v="1"/>
    <x v="0"/>
    <x v="2"/>
    <n v="0.18179999999999999"/>
    <x v="25"/>
    <x v="13"/>
    <x v="5"/>
    <x v="137"/>
    <x v="148"/>
  </r>
  <r>
    <n v="873"/>
    <x v="38"/>
    <n v="1"/>
    <n v="0"/>
    <n v="2"/>
    <x v="1"/>
    <x v="19"/>
    <x v="0"/>
    <n v="2"/>
    <x v="3"/>
    <x v="0"/>
    <n v="1"/>
    <x v="0"/>
    <x v="13"/>
    <n v="0.1212"/>
    <x v="22"/>
    <x v="17"/>
    <x v="5"/>
    <x v="129"/>
    <x v="129"/>
  </r>
  <r>
    <n v="874"/>
    <x v="38"/>
    <n v="1"/>
    <n v="0"/>
    <n v="2"/>
    <x v="1"/>
    <x v="20"/>
    <x v="0"/>
    <n v="2"/>
    <x v="3"/>
    <x v="0"/>
    <n v="1"/>
    <x v="0"/>
    <x v="13"/>
    <n v="0.13639999999999999"/>
    <x v="22"/>
    <x v="9"/>
    <x v="0"/>
    <x v="42"/>
    <x v="10"/>
  </r>
  <r>
    <n v="875"/>
    <x v="38"/>
    <n v="1"/>
    <n v="0"/>
    <n v="2"/>
    <x v="1"/>
    <x v="21"/>
    <x v="0"/>
    <n v="2"/>
    <x v="3"/>
    <x v="0"/>
    <n v="1"/>
    <x v="0"/>
    <x v="14"/>
    <n v="0.1061"/>
    <x v="39"/>
    <x v="17"/>
    <x v="1"/>
    <x v="24"/>
    <x v="60"/>
  </r>
  <r>
    <n v="876"/>
    <x v="38"/>
    <n v="1"/>
    <n v="0"/>
    <n v="2"/>
    <x v="1"/>
    <x v="22"/>
    <x v="0"/>
    <n v="2"/>
    <x v="3"/>
    <x v="0"/>
    <n v="1"/>
    <x v="0"/>
    <x v="16"/>
    <n v="0.1061"/>
    <x v="39"/>
    <x v="11"/>
    <x v="3"/>
    <x v="31"/>
    <x v="115"/>
  </r>
  <r>
    <n v="877"/>
    <x v="38"/>
    <n v="1"/>
    <n v="0"/>
    <n v="2"/>
    <x v="1"/>
    <x v="23"/>
    <x v="0"/>
    <n v="2"/>
    <x v="3"/>
    <x v="0"/>
    <n v="1"/>
    <x v="0"/>
    <x v="16"/>
    <n v="0.1061"/>
    <x v="39"/>
    <x v="9"/>
    <x v="0"/>
    <x v="33"/>
    <x v="47"/>
  </r>
  <r>
    <n v="878"/>
    <x v="39"/>
    <n v="1"/>
    <n v="0"/>
    <n v="2"/>
    <x v="1"/>
    <x v="0"/>
    <x v="0"/>
    <n v="3"/>
    <x v="4"/>
    <x v="0"/>
    <n v="1"/>
    <x v="0"/>
    <x v="18"/>
    <n v="7.5800000000000006E-2"/>
    <x v="42"/>
    <x v="11"/>
    <x v="3"/>
    <x v="19"/>
    <x v="22"/>
  </r>
  <r>
    <n v="879"/>
    <x v="39"/>
    <n v="1"/>
    <n v="0"/>
    <n v="2"/>
    <x v="1"/>
    <x v="1"/>
    <x v="0"/>
    <n v="3"/>
    <x v="4"/>
    <x v="0"/>
    <n v="1"/>
    <x v="0"/>
    <x v="18"/>
    <n v="0.1061"/>
    <x v="42"/>
    <x v="6"/>
    <x v="3"/>
    <x v="7"/>
    <x v="85"/>
  </r>
  <r>
    <n v="880"/>
    <x v="39"/>
    <n v="1"/>
    <n v="0"/>
    <n v="2"/>
    <x v="1"/>
    <x v="2"/>
    <x v="0"/>
    <n v="3"/>
    <x v="4"/>
    <x v="0"/>
    <n v="1"/>
    <x v="0"/>
    <x v="19"/>
    <n v="7.5800000000000006E-2"/>
    <x v="41"/>
    <x v="3"/>
    <x v="5"/>
    <x v="6"/>
    <x v="6"/>
  </r>
  <r>
    <n v="881"/>
    <x v="39"/>
    <n v="1"/>
    <n v="0"/>
    <n v="2"/>
    <x v="1"/>
    <x v="3"/>
    <x v="0"/>
    <n v="3"/>
    <x v="4"/>
    <x v="0"/>
    <n v="1"/>
    <x v="0"/>
    <x v="20"/>
    <n v="7.5800000000000006E-2"/>
    <x v="49"/>
    <x v="7"/>
    <x v="3"/>
    <x v="6"/>
    <x v="5"/>
  </r>
  <r>
    <n v="882"/>
    <x v="39"/>
    <n v="1"/>
    <n v="0"/>
    <n v="2"/>
    <x v="1"/>
    <x v="5"/>
    <x v="0"/>
    <n v="3"/>
    <x v="4"/>
    <x v="0"/>
    <n v="1"/>
    <x v="0"/>
    <x v="20"/>
    <n v="0.1061"/>
    <x v="49"/>
    <x v="14"/>
    <x v="3"/>
    <x v="7"/>
    <x v="85"/>
  </r>
  <r>
    <n v="883"/>
    <x v="39"/>
    <n v="1"/>
    <n v="0"/>
    <n v="2"/>
    <x v="1"/>
    <x v="6"/>
    <x v="0"/>
    <n v="3"/>
    <x v="4"/>
    <x v="0"/>
    <n v="1"/>
    <x v="0"/>
    <x v="20"/>
    <n v="0.1515"/>
    <x v="49"/>
    <x v="0"/>
    <x v="3"/>
    <x v="30"/>
    <x v="74"/>
  </r>
  <r>
    <n v="884"/>
    <x v="39"/>
    <n v="1"/>
    <n v="0"/>
    <n v="2"/>
    <x v="1"/>
    <x v="7"/>
    <x v="0"/>
    <n v="3"/>
    <x v="4"/>
    <x v="0"/>
    <n v="1"/>
    <x v="0"/>
    <x v="20"/>
    <n v="0.1061"/>
    <x v="36"/>
    <x v="14"/>
    <x v="17"/>
    <x v="73"/>
    <x v="111"/>
  </r>
  <r>
    <n v="885"/>
    <x v="39"/>
    <n v="1"/>
    <n v="0"/>
    <n v="2"/>
    <x v="1"/>
    <x v="8"/>
    <x v="0"/>
    <n v="3"/>
    <x v="4"/>
    <x v="0"/>
    <n v="1"/>
    <x v="0"/>
    <x v="18"/>
    <n v="0.13639999999999999"/>
    <x v="16"/>
    <x v="0"/>
    <x v="5"/>
    <x v="173"/>
    <x v="184"/>
  </r>
  <r>
    <n v="886"/>
    <x v="39"/>
    <n v="1"/>
    <n v="0"/>
    <n v="2"/>
    <x v="1"/>
    <x v="9"/>
    <x v="0"/>
    <n v="3"/>
    <x v="4"/>
    <x v="0"/>
    <n v="1"/>
    <x v="0"/>
    <x v="16"/>
    <n v="0.13639999999999999"/>
    <x v="17"/>
    <x v="8"/>
    <x v="17"/>
    <x v="138"/>
    <x v="92"/>
  </r>
  <r>
    <n v="887"/>
    <x v="39"/>
    <n v="1"/>
    <n v="0"/>
    <n v="2"/>
    <x v="1"/>
    <x v="10"/>
    <x v="0"/>
    <n v="3"/>
    <x v="4"/>
    <x v="0"/>
    <n v="1"/>
    <x v="0"/>
    <x v="14"/>
    <n v="0.18179999999999999"/>
    <x v="42"/>
    <x v="0"/>
    <x v="1"/>
    <x v="82"/>
    <x v="29"/>
  </r>
  <r>
    <n v="888"/>
    <x v="39"/>
    <n v="1"/>
    <n v="0"/>
    <n v="2"/>
    <x v="1"/>
    <x v="11"/>
    <x v="0"/>
    <n v="3"/>
    <x v="4"/>
    <x v="0"/>
    <n v="2"/>
    <x v="1"/>
    <x v="14"/>
    <n v="0.1515"/>
    <x v="21"/>
    <x v="8"/>
    <x v="5"/>
    <x v="71"/>
    <x v="102"/>
  </r>
  <r>
    <n v="889"/>
    <x v="39"/>
    <n v="1"/>
    <n v="0"/>
    <n v="2"/>
    <x v="1"/>
    <x v="12"/>
    <x v="0"/>
    <n v="3"/>
    <x v="4"/>
    <x v="0"/>
    <n v="2"/>
    <x v="1"/>
    <x v="15"/>
    <n v="0.18179999999999999"/>
    <x v="22"/>
    <x v="6"/>
    <x v="17"/>
    <x v="77"/>
    <x v="42"/>
  </r>
  <r>
    <n v="890"/>
    <x v="39"/>
    <n v="1"/>
    <n v="0"/>
    <n v="2"/>
    <x v="1"/>
    <x v="13"/>
    <x v="0"/>
    <n v="3"/>
    <x v="4"/>
    <x v="0"/>
    <n v="1"/>
    <x v="0"/>
    <x v="15"/>
    <n v="0.16669999999999999"/>
    <x v="22"/>
    <x v="2"/>
    <x v="4"/>
    <x v="28"/>
    <x v="83"/>
  </r>
  <r>
    <n v="891"/>
    <x v="39"/>
    <n v="1"/>
    <n v="0"/>
    <n v="2"/>
    <x v="1"/>
    <x v="14"/>
    <x v="0"/>
    <n v="3"/>
    <x v="4"/>
    <x v="0"/>
    <n v="1"/>
    <x v="0"/>
    <x v="2"/>
    <n v="0.18179999999999999"/>
    <x v="46"/>
    <x v="4"/>
    <x v="4"/>
    <x v="90"/>
    <x v="154"/>
  </r>
  <r>
    <n v="892"/>
    <x v="39"/>
    <n v="1"/>
    <n v="0"/>
    <n v="2"/>
    <x v="1"/>
    <x v="15"/>
    <x v="0"/>
    <n v="3"/>
    <x v="4"/>
    <x v="0"/>
    <n v="2"/>
    <x v="1"/>
    <x v="2"/>
    <n v="0.18179999999999999"/>
    <x v="46"/>
    <x v="3"/>
    <x v="0"/>
    <x v="124"/>
    <x v="37"/>
  </r>
  <r>
    <n v="893"/>
    <x v="39"/>
    <n v="1"/>
    <n v="0"/>
    <n v="2"/>
    <x v="1"/>
    <x v="16"/>
    <x v="0"/>
    <n v="3"/>
    <x v="4"/>
    <x v="0"/>
    <n v="2"/>
    <x v="1"/>
    <x v="2"/>
    <n v="0.19700000000000001"/>
    <x v="38"/>
    <x v="2"/>
    <x v="18"/>
    <x v="109"/>
    <x v="67"/>
  </r>
  <r>
    <n v="894"/>
    <x v="39"/>
    <n v="1"/>
    <n v="0"/>
    <n v="2"/>
    <x v="1"/>
    <x v="17"/>
    <x v="0"/>
    <n v="3"/>
    <x v="4"/>
    <x v="0"/>
    <n v="2"/>
    <x v="1"/>
    <x v="2"/>
    <n v="0.19700000000000001"/>
    <x v="46"/>
    <x v="2"/>
    <x v="14"/>
    <x v="174"/>
    <x v="150"/>
  </r>
  <r>
    <n v="895"/>
    <x v="39"/>
    <n v="1"/>
    <n v="0"/>
    <n v="2"/>
    <x v="1"/>
    <x v="18"/>
    <x v="0"/>
    <n v="3"/>
    <x v="4"/>
    <x v="0"/>
    <n v="2"/>
    <x v="1"/>
    <x v="15"/>
    <n v="0.16669999999999999"/>
    <x v="19"/>
    <x v="4"/>
    <x v="4"/>
    <x v="175"/>
    <x v="185"/>
  </r>
  <r>
    <n v="896"/>
    <x v="39"/>
    <n v="1"/>
    <n v="0"/>
    <n v="2"/>
    <x v="1"/>
    <x v="19"/>
    <x v="0"/>
    <n v="3"/>
    <x v="4"/>
    <x v="0"/>
    <n v="3"/>
    <x v="2"/>
    <x v="14"/>
    <n v="0.1212"/>
    <x v="3"/>
    <x v="2"/>
    <x v="5"/>
    <x v="61"/>
    <x v="39"/>
  </r>
  <r>
    <n v="897"/>
    <x v="39"/>
    <n v="1"/>
    <n v="0"/>
    <n v="2"/>
    <x v="1"/>
    <x v="20"/>
    <x v="0"/>
    <n v="3"/>
    <x v="4"/>
    <x v="0"/>
    <n v="3"/>
    <x v="2"/>
    <x v="14"/>
    <n v="0.1515"/>
    <x v="3"/>
    <x v="8"/>
    <x v="3"/>
    <x v="151"/>
    <x v="11"/>
  </r>
  <r>
    <n v="898"/>
    <x v="39"/>
    <n v="1"/>
    <n v="0"/>
    <n v="2"/>
    <x v="1"/>
    <x v="21"/>
    <x v="0"/>
    <n v="3"/>
    <x v="4"/>
    <x v="0"/>
    <n v="2"/>
    <x v="1"/>
    <x v="14"/>
    <n v="0.1515"/>
    <x v="3"/>
    <x v="8"/>
    <x v="3"/>
    <x v="93"/>
    <x v="56"/>
  </r>
  <r>
    <n v="899"/>
    <x v="39"/>
    <n v="1"/>
    <n v="0"/>
    <n v="2"/>
    <x v="1"/>
    <x v="22"/>
    <x v="0"/>
    <n v="3"/>
    <x v="4"/>
    <x v="0"/>
    <n v="3"/>
    <x v="2"/>
    <x v="13"/>
    <n v="0.16669999999999999"/>
    <x v="1"/>
    <x v="8"/>
    <x v="17"/>
    <x v="76"/>
    <x v="66"/>
  </r>
  <r>
    <n v="900"/>
    <x v="39"/>
    <n v="1"/>
    <n v="0"/>
    <n v="2"/>
    <x v="1"/>
    <x v="23"/>
    <x v="0"/>
    <n v="3"/>
    <x v="4"/>
    <x v="0"/>
    <n v="3"/>
    <x v="2"/>
    <x v="13"/>
    <n v="0.1515"/>
    <x v="1"/>
    <x v="5"/>
    <x v="3"/>
    <x v="53"/>
    <x v="18"/>
  </r>
  <r>
    <n v="901"/>
    <x v="40"/>
    <n v="1"/>
    <n v="0"/>
    <n v="2"/>
    <x v="1"/>
    <x v="0"/>
    <x v="0"/>
    <n v="4"/>
    <x v="5"/>
    <x v="0"/>
    <n v="3"/>
    <x v="2"/>
    <x v="14"/>
    <n v="0.13639999999999999"/>
    <x v="3"/>
    <x v="5"/>
    <x v="3"/>
    <x v="20"/>
    <x v="0"/>
  </r>
  <r>
    <n v="902"/>
    <x v="40"/>
    <n v="1"/>
    <n v="0"/>
    <n v="2"/>
    <x v="1"/>
    <x v="1"/>
    <x v="0"/>
    <n v="4"/>
    <x v="5"/>
    <x v="0"/>
    <n v="3"/>
    <x v="2"/>
    <x v="14"/>
    <n v="0.1515"/>
    <x v="1"/>
    <x v="7"/>
    <x v="3"/>
    <x v="7"/>
    <x v="85"/>
  </r>
  <r>
    <n v="903"/>
    <x v="40"/>
    <n v="1"/>
    <n v="0"/>
    <n v="2"/>
    <x v="1"/>
    <x v="2"/>
    <x v="0"/>
    <n v="4"/>
    <x v="5"/>
    <x v="0"/>
    <n v="3"/>
    <x v="2"/>
    <x v="14"/>
    <n v="0.1515"/>
    <x v="1"/>
    <x v="7"/>
    <x v="3"/>
    <x v="35"/>
    <x v="6"/>
  </r>
  <r>
    <n v="904"/>
    <x v="40"/>
    <n v="1"/>
    <n v="0"/>
    <n v="2"/>
    <x v="1"/>
    <x v="4"/>
    <x v="0"/>
    <n v="4"/>
    <x v="5"/>
    <x v="0"/>
    <n v="2"/>
    <x v="1"/>
    <x v="14"/>
    <n v="0.13639999999999999"/>
    <x v="29"/>
    <x v="6"/>
    <x v="3"/>
    <x v="4"/>
    <x v="4"/>
  </r>
  <r>
    <n v="905"/>
    <x v="40"/>
    <n v="1"/>
    <n v="0"/>
    <n v="2"/>
    <x v="1"/>
    <x v="5"/>
    <x v="0"/>
    <n v="4"/>
    <x v="5"/>
    <x v="0"/>
    <n v="2"/>
    <x v="1"/>
    <x v="16"/>
    <n v="0.1212"/>
    <x v="20"/>
    <x v="6"/>
    <x v="3"/>
    <x v="8"/>
    <x v="24"/>
  </r>
  <r>
    <n v="906"/>
    <x v="40"/>
    <n v="1"/>
    <n v="0"/>
    <n v="2"/>
    <x v="1"/>
    <x v="6"/>
    <x v="0"/>
    <n v="4"/>
    <x v="5"/>
    <x v="0"/>
    <n v="2"/>
    <x v="1"/>
    <x v="16"/>
    <n v="0.1212"/>
    <x v="47"/>
    <x v="3"/>
    <x v="3"/>
    <x v="16"/>
    <x v="132"/>
  </r>
  <r>
    <n v="907"/>
    <x v="40"/>
    <n v="1"/>
    <n v="0"/>
    <n v="2"/>
    <x v="1"/>
    <x v="7"/>
    <x v="0"/>
    <n v="4"/>
    <x v="5"/>
    <x v="0"/>
    <n v="1"/>
    <x v="0"/>
    <x v="18"/>
    <n v="7.5800000000000006E-2"/>
    <x v="20"/>
    <x v="12"/>
    <x v="3"/>
    <x v="176"/>
    <x v="111"/>
  </r>
  <r>
    <n v="908"/>
    <x v="40"/>
    <n v="1"/>
    <n v="0"/>
    <n v="2"/>
    <x v="1"/>
    <x v="8"/>
    <x v="0"/>
    <n v="4"/>
    <x v="5"/>
    <x v="0"/>
    <n v="1"/>
    <x v="0"/>
    <x v="18"/>
    <n v="7.5800000000000006E-2"/>
    <x v="36"/>
    <x v="9"/>
    <x v="2"/>
    <x v="177"/>
    <x v="106"/>
  </r>
  <r>
    <n v="909"/>
    <x v="40"/>
    <n v="1"/>
    <n v="0"/>
    <n v="2"/>
    <x v="1"/>
    <x v="9"/>
    <x v="0"/>
    <n v="4"/>
    <x v="5"/>
    <x v="0"/>
    <n v="1"/>
    <x v="0"/>
    <x v="16"/>
    <n v="0.1061"/>
    <x v="16"/>
    <x v="11"/>
    <x v="5"/>
    <x v="178"/>
    <x v="78"/>
  </r>
  <r>
    <n v="910"/>
    <x v="40"/>
    <n v="1"/>
    <n v="0"/>
    <n v="2"/>
    <x v="1"/>
    <x v="10"/>
    <x v="0"/>
    <n v="4"/>
    <x v="5"/>
    <x v="0"/>
    <n v="1"/>
    <x v="0"/>
    <x v="16"/>
    <n v="0.1061"/>
    <x v="16"/>
    <x v="4"/>
    <x v="5"/>
    <x v="60"/>
    <x v="17"/>
  </r>
  <r>
    <n v="911"/>
    <x v="40"/>
    <n v="1"/>
    <n v="0"/>
    <n v="2"/>
    <x v="1"/>
    <x v="11"/>
    <x v="0"/>
    <n v="4"/>
    <x v="5"/>
    <x v="0"/>
    <n v="1"/>
    <x v="0"/>
    <x v="14"/>
    <n v="0.1212"/>
    <x v="17"/>
    <x v="11"/>
    <x v="5"/>
    <x v="100"/>
    <x v="79"/>
  </r>
  <r>
    <n v="912"/>
    <x v="40"/>
    <n v="1"/>
    <n v="0"/>
    <n v="2"/>
    <x v="1"/>
    <x v="12"/>
    <x v="0"/>
    <n v="4"/>
    <x v="5"/>
    <x v="0"/>
    <n v="1"/>
    <x v="0"/>
    <x v="13"/>
    <n v="0.13639999999999999"/>
    <x v="46"/>
    <x v="13"/>
    <x v="17"/>
    <x v="65"/>
    <x v="83"/>
  </r>
  <r>
    <n v="913"/>
    <x v="40"/>
    <n v="1"/>
    <n v="0"/>
    <n v="2"/>
    <x v="1"/>
    <x v="13"/>
    <x v="0"/>
    <n v="4"/>
    <x v="5"/>
    <x v="0"/>
    <n v="1"/>
    <x v="0"/>
    <x v="15"/>
    <n v="0.16669999999999999"/>
    <x v="44"/>
    <x v="4"/>
    <x v="0"/>
    <x v="79"/>
    <x v="69"/>
  </r>
  <r>
    <n v="914"/>
    <x v="40"/>
    <n v="1"/>
    <n v="0"/>
    <n v="2"/>
    <x v="1"/>
    <x v="14"/>
    <x v="0"/>
    <n v="4"/>
    <x v="5"/>
    <x v="0"/>
    <n v="1"/>
    <x v="0"/>
    <x v="2"/>
    <n v="0.18179999999999999"/>
    <x v="57"/>
    <x v="3"/>
    <x v="15"/>
    <x v="76"/>
    <x v="61"/>
  </r>
  <r>
    <n v="915"/>
    <x v="40"/>
    <n v="1"/>
    <n v="0"/>
    <n v="2"/>
    <x v="1"/>
    <x v="15"/>
    <x v="0"/>
    <n v="4"/>
    <x v="5"/>
    <x v="0"/>
    <n v="1"/>
    <x v="0"/>
    <x v="2"/>
    <n v="0.19700000000000001"/>
    <x v="59"/>
    <x v="2"/>
    <x v="3"/>
    <x v="54"/>
    <x v="89"/>
  </r>
  <r>
    <n v="916"/>
    <x v="40"/>
    <n v="1"/>
    <n v="0"/>
    <n v="2"/>
    <x v="1"/>
    <x v="16"/>
    <x v="0"/>
    <n v="4"/>
    <x v="5"/>
    <x v="0"/>
    <n v="1"/>
    <x v="0"/>
    <x v="2"/>
    <n v="0.18179999999999999"/>
    <x v="57"/>
    <x v="4"/>
    <x v="17"/>
    <x v="83"/>
    <x v="138"/>
  </r>
  <r>
    <n v="917"/>
    <x v="40"/>
    <n v="1"/>
    <n v="0"/>
    <n v="2"/>
    <x v="1"/>
    <x v="17"/>
    <x v="0"/>
    <n v="4"/>
    <x v="5"/>
    <x v="0"/>
    <n v="1"/>
    <x v="0"/>
    <x v="15"/>
    <n v="0.18179999999999999"/>
    <x v="60"/>
    <x v="5"/>
    <x v="15"/>
    <x v="136"/>
    <x v="186"/>
  </r>
  <r>
    <n v="918"/>
    <x v="40"/>
    <n v="1"/>
    <n v="0"/>
    <n v="2"/>
    <x v="1"/>
    <x v="18"/>
    <x v="0"/>
    <n v="4"/>
    <x v="5"/>
    <x v="0"/>
    <n v="1"/>
    <x v="0"/>
    <x v="13"/>
    <n v="0.18179999999999999"/>
    <x v="40"/>
    <x v="7"/>
    <x v="0"/>
    <x v="174"/>
    <x v="187"/>
  </r>
  <r>
    <n v="919"/>
    <x v="40"/>
    <n v="1"/>
    <n v="0"/>
    <n v="2"/>
    <x v="1"/>
    <x v="19"/>
    <x v="0"/>
    <n v="4"/>
    <x v="5"/>
    <x v="0"/>
    <n v="1"/>
    <x v="0"/>
    <x v="14"/>
    <n v="0.16669999999999999"/>
    <x v="40"/>
    <x v="14"/>
    <x v="4"/>
    <x v="59"/>
    <x v="59"/>
  </r>
  <r>
    <n v="920"/>
    <x v="40"/>
    <n v="1"/>
    <n v="0"/>
    <n v="2"/>
    <x v="1"/>
    <x v="20"/>
    <x v="0"/>
    <n v="4"/>
    <x v="5"/>
    <x v="0"/>
    <n v="1"/>
    <x v="0"/>
    <x v="14"/>
    <n v="0.18179999999999999"/>
    <x v="61"/>
    <x v="1"/>
    <x v="17"/>
    <x v="139"/>
    <x v="54"/>
  </r>
  <r>
    <n v="921"/>
    <x v="40"/>
    <n v="1"/>
    <n v="0"/>
    <n v="2"/>
    <x v="1"/>
    <x v="21"/>
    <x v="0"/>
    <n v="4"/>
    <x v="5"/>
    <x v="0"/>
    <n v="1"/>
    <x v="0"/>
    <x v="14"/>
    <n v="0.21210000000000001"/>
    <x v="17"/>
    <x v="0"/>
    <x v="4"/>
    <x v="14"/>
    <x v="44"/>
  </r>
  <r>
    <n v="922"/>
    <x v="40"/>
    <n v="1"/>
    <n v="0"/>
    <n v="2"/>
    <x v="1"/>
    <x v="22"/>
    <x v="0"/>
    <n v="4"/>
    <x v="5"/>
    <x v="0"/>
    <n v="1"/>
    <x v="0"/>
    <x v="16"/>
    <n v="0.19700000000000001"/>
    <x v="17"/>
    <x v="0"/>
    <x v="17"/>
    <x v="12"/>
    <x v="41"/>
  </r>
  <r>
    <n v="923"/>
    <x v="40"/>
    <n v="1"/>
    <n v="0"/>
    <n v="2"/>
    <x v="1"/>
    <x v="23"/>
    <x v="0"/>
    <n v="4"/>
    <x v="5"/>
    <x v="0"/>
    <n v="1"/>
    <x v="0"/>
    <x v="16"/>
    <n v="0.1515"/>
    <x v="16"/>
    <x v="14"/>
    <x v="5"/>
    <x v="39"/>
    <x v="19"/>
  </r>
  <r>
    <n v="924"/>
    <x v="41"/>
    <n v="1"/>
    <n v="0"/>
    <n v="2"/>
    <x v="1"/>
    <x v="0"/>
    <x v="0"/>
    <n v="5"/>
    <x v="6"/>
    <x v="0"/>
    <n v="1"/>
    <x v="0"/>
    <x v="18"/>
    <n v="0.13639999999999999"/>
    <x v="36"/>
    <x v="14"/>
    <x v="4"/>
    <x v="98"/>
    <x v="8"/>
  </r>
  <r>
    <n v="925"/>
    <x v="41"/>
    <n v="1"/>
    <n v="0"/>
    <n v="2"/>
    <x v="1"/>
    <x v="1"/>
    <x v="0"/>
    <n v="5"/>
    <x v="6"/>
    <x v="0"/>
    <n v="1"/>
    <x v="0"/>
    <x v="18"/>
    <n v="0.13639999999999999"/>
    <x v="47"/>
    <x v="1"/>
    <x v="5"/>
    <x v="8"/>
    <x v="85"/>
  </r>
  <r>
    <n v="926"/>
    <x v="41"/>
    <n v="1"/>
    <n v="0"/>
    <n v="2"/>
    <x v="1"/>
    <x v="2"/>
    <x v="0"/>
    <n v="5"/>
    <x v="6"/>
    <x v="0"/>
    <n v="1"/>
    <x v="0"/>
    <x v="18"/>
    <n v="0.13639999999999999"/>
    <x v="47"/>
    <x v="1"/>
    <x v="3"/>
    <x v="35"/>
    <x v="6"/>
  </r>
  <r>
    <n v="927"/>
    <x v="41"/>
    <n v="1"/>
    <n v="0"/>
    <n v="2"/>
    <x v="1"/>
    <x v="5"/>
    <x v="0"/>
    <n v="5"/>
    <x v="6"/>
    <x v="0"/>
    <n v="1"/>
    <x v="0"/>
    <x v="19"/>
    <n v="0.1212"/>
    <x v="30"/>
    <x v="1"/>
    <x v="3"/>
    <x v="22"/>
    <x v="48"/>
  </r>
  <r>
    <n v="928"/>
    <x v="41"/>
    <n v="1"/>
    <n v="0"/>
    <n v="2"/>
    <x v="1"/>
    <x v="6"/>
    <x v="0"/>
    <n v="5"/>
    <x v="6"/>
    <x v="0"/>
    <n v="1"/>
    <x v="0"/>
    <x v="18"/>
    <n v="0.18179999999999999"/>
    <x v="31"/>
    <x v="0"/>
    <x v="5"/>
    <x v="140"/>
    <x v="108"/>
  </r>
  <r>
    <n v="929"/>
    <x v="41"/>
    <n v="1"/>
    <n v="0"/>
    <n v="2"/>
    <x v="1"/>
    <x v="7"/>
    <x v="0"/>
    <n v="5"/>
    <x v="6"/>
    <x v="0"/>
    <n v="1"/>
    <x v="0"/>
    <x v="19"/>
    <n v="0.16669999999999999"/>
    <x v="62"/>
    <x v="0"/>
    <x v="5"/>
    <x v="26"/>
    <x v="30"/>
  </r>
  <r>
    <n v="930"/>
    <x v="41"/>
    <n v="1"/>
    <n v="0"/>
    <n v="2"/>
    <x v="1"/>
    <x v="8"/>
    <x v="0"/>
    <n v="5"/>
    <x v="6"/>
    <x v="0"/>
    <n v="1"/>
    <x v="0"/>
    <x v="18"/>
    <n v="0.1212"/>
    <x v="32"/>
    <x v="8"/>
    <x v="17"/>
    <x v="179"/>
    <x v="182"/>
  </r>
  <r>
    <n v="931"/>
    <x v="41"/>
    <n v="1"/>
    <n v="0"/>
    <n v="2"/>
    <x v="1"/>
    <x v="9"/>
    <x v="0"/>
    <n v="5"/>
    <x v="6"/>
    <x v="0"/>
    <n v="1"/>
    <x v="0"/>
    <x v="16"/>
    <n v="0.1212"/>
    <x v="32"/>
    <x v="6"/>
    <x v="1"/>
    <x v="126"/>
    <x v="188"/>
  </r>
  <r>
    <n v="932"/>
    <x v="41"/>
    <n v="1"/>
    <n v="0"/>
    <n v="2"/>
    <x v="1"/>
    <x v="10"/>
    <x v="0"/>
    <n v="5"/>
    <x v="6"/>
    <x v="0"/>
    <n v="1"/>
    <x v="0"/>
    <x v="14"/>
    <n v="0.13639999999999999"/>
    <x v="27"/>
    <x v="5"/>
    <x v="2"/>
    <x v="87"/>
    <x v="40"/>
  </r>
  <r>
    <n v="933"/>
    <x v="41"/>
    <n v="1"/>
    <n v="0"/>
    <n v="2"/>
    <x v="1"/>
    <x v="11"/>
    <x v="0"/>
    <n v="5"/>
    <x v="6"/>
    <x v="0"/>
    <n v="1"/>
    <x v="0"/>
    <x v="1"/>
    <n v="0.2273"/>
    <x v="19"/>
    <x v="7"/>
    <x v="6"/>
    <x v="15"/>
    <x v="37"/>
  </r>
  <r>
    <n v="934"/>
    <x v="41"/>
    <n v="1"/>
    <n v="0"/>
    <n v="2"/>
    <x v="1"/>
    <x v="12"/>
    <x v="0"/>
    <n v="5"/>
    <x v="6"/>
    <x v="0"/>
    <n v="1"/>
    <x v="0"/>
    <x v="1"/>
    <n v="0.2273"/>
    <x v="19"/>
    <x v="7"/>
    <x v="18"/>
    <x v="27"/>
    <x v="68"/>
  </r>
  <r>
    <n v="935"/>
    <x v="41"/>
    <n v="1"/>
    <n v="0"/>
    <n v="2"/>
    <x v="1"/>
    <x v="13"/>
    <x v="0"/>
    <n v="5"/>
    <x v="6"/>
    <x v="0"/>
    <n v="1"/>
    <x v="0"/>
    <x v="0"/>
    <n v="0.2273"/>
    <x v="23"/>
    <x v="5"/>
    <x v="27"/>
    <x v="121"/>
    <x v="14"/>
  </r>
  <r>
    <n v="936"/>
    <x v="41"/>
    <n v="1"/>
    <n v="0"/>
    <n v="2"/>
    <x v="1"/>
    <x v="14"/>
    <x v="0"/>
    <n v="5"/>
    <x v="6"/>
    <x v="0"/>
    <n v="1"/>
    <x v="0"/>
    <x v="11"/>
    <n v="0.28789999999999999"/>
    <x v="60"/>
    <x v="2"/>
    <x v="26"/>
    <x v="28"/>
    <x v="11"/>
  </r>
  <r>
    <n v="937"/>
    <x v="41"/>
    <n v="1"/>
    <n v="0"/>
    <n v="2"/>
    <x v="1"/>
    <x v="15"/>
    <x v="0"/>
    <n v="5"/>
    <x v="6"/>
    <x v="0"/>
    <n v="1"/>
    <x v="0"/>
    <x v="3"/>
    <n v="0.31819999999999998"/>
    <x v="58"/>
    <x v="8"/>
    <x v="6"/>
    <x v="133"/>
    <x v="30"/>
  </r>
  <r>
    <n v="938"/>
    <x v="41"/>
    <n v="1"/>
    <n v="0"/>
    <n v="2"/>
    <x v="1"/>
    <x v="16"/>
    <x v="0"/>
    <n v="5"/>
    <x v="6"/>
    <x v="0"/>
    <n v="1"/>
    <x v="0"/>
    <x v="11"/>
    <n v="0.28789999999999999"/>
    <x v="40"/>
    <x v="5"/>
    <x v="24"/>
    <x v="180"/>
    <x v="139"/>
  </r>
  <r>
    <n v="939"/>
    <x v="41"/>
    <n v="1"/>
    <n v="0"/>
    <n v="2"/>
    <x v="1"/>
    <x v="17"/>
    <x v="0"/>
    <n v="5"/>
    <x v="6"/>
    <x v="0"/>
    <n v="1"/>
    <x v="0"/>
    <x v="11"/>
    <n v="0.33329999999999999"/>
    <x v="63"/>
    <x v="0"/>
    <x v="25"/>
    <x v="181"/>
    <x v="189"/>
  </r>
  <r>
    <n v="940"/>
    <x v="41"/>
    <n v="1"/>
    <n v="0"/>
    <n v="2"/>
    <x v="1"/>
    <x v="18"/>
    <x v="0"/>
    <n v="5"/>
    <x v="6"/>
    <x v="0"/>
    <n v="1"/>
    <x v="0"/>
    <x v="17"/>
    <n v="0.31819999999999998"/>
    <x v="40"/>
    <x v="0"/>
    <x v="14"/>
    <x v="158"/>
    <x v="177"/>
  </r>
  <r>
    <n v="941"/>
    <x v="41"/>
    <n v="1"/>
    <n v="0"/>
    <n v="2"/>
    <x v="1"/>
    <x v="19"/>
    <x v="0"/>
    <n v="5"/>
    <x v="6"/>
    <x v="0"/>
    <n v="1"/>
    <x v="0"/>
    <x v="12"/>
    <n v="0.30299999999999999"/>
    <x v="39"/>
    <x v="0"/>
    <x v="18"/>
    <x v="111"/>
    <x v="129"/>
  </r>
  <r>
    <n v="942"/>
    <x v="41"/>
    <n v="1"/>
    <n v="0"/>
    <n v="2"/>
    <x v="1"/>
    <x v="20"/>
    <x v="0"/>
    <n v="5"/>
    <x v="6"/>
    <x v="0"/>
    <n v="1"/>
    <x v="0"/>
    <x v="1"/>
    <n v="0.2273"/>
    <x v="28"/>
    <x v="7"/>
    <x v="4"/>
    <x v="124"/>
    <x v="55"/>
  </r>
  <r>
    <n v="943"/>
    <x v="41"/>
    <n v="1"/>
    <n v="0"/>
    <n v="2"/>
    <x v="1"/>
    <x v="21"/>
    <x v="0"/>
    <n v="5"/>
    <x v="6"/>
    <x v="0"/>
    <n v="1"/>
    <x v="0"/>
    <x v="2"/>
    <n v="0.21210000000000001"/>
    <x v="29"/>
    <x v="7"/>
    <x v="5"/>
    <x v="24"/>
    <x v="105"/>
  </r>
  <r>
    <n v="944"/>
    <x v="41"/>
    <n v="1"/>
    <n v="0"/>
    <n v="2"/>
    <x v="1"/>
    <x v="22"/>
    <x v="0"/>
    <n v="5"/>
    <x v="6"/>
    <x v="0"/>
    <n v="1"/>
    <x v="0"/>
    <x v="2"/>
    <n v="0.2273"/>
    <x v="26"/>
    <x v="1"/>
    <x v="4"/>
    <x v="40"/>
    <x v="74"/>
  </r>
  <r>
    <n v="945"/>
    <x v="41"/>
    <n v="1"/>
    <n v="0"/>
    <n v="2"/>
    <x v="1"/>
    <x v="23"/>
    <x v="0"/>
    <n v="5"/>
    <x v="6"/>
    <x v="0"/>
    <n v="1"/>
    <x v="0"/>
    <x v="15"/>
    <n v="0.2424"/>
    <x v="27"/>
    <x v="0"/>
    <x v="2"/>
    <x v="41"/>
    <x v="26"/>
  </r>
  <r>
    <n v="946"/>
    <x v="42"/>
    <n v="1"/>
    <n v="0"/>
    <n v="2"/>
    <x v="1"/>
    <x v="0"/>
    <x v="0"/>
    <n v="6"/>
    <x v="0"/>
    <x v="0"/>
    <n v="1"/>
    <x v="0"/>
    <x v="13"/>
    <n v="0.19700000000000001"/>
    <x v="27"/>
    <x v="1"/>
    <x v="0"/>
    <x v="2"/>
    <x v="33"/>
  </r>
  <r>
    <n v="947"/>
    <x v="42"/>
    <n v="1"/>
    <n v="0"/>
    <n v="2"/>
    <x v="1"/>
    <x v="1"/>
    <x v="0"/>
    <n v="6"/>
    <x v="0"/>
    <x v="0"/>
    <n v="1"/>
    <x v="0"/>
    <x v="14"/>
    <n v="0.21210000000000001"/>
    <x v="3"/>
    <x v="0"/>
    <x v="4"/>
    <x v="97"/>
    <x v="108"/>
  </r>
  <r>
    <n v="948"/>
    <x v="42"/>
    <n v="1"/>
    <n v="0"/>
    <n v="2"/>
    <x v="1"/>
    <x v="2"/>
    <x v="0"/>
    <n v="6"/>
    <x v="0"/>
    <x v="0"/>
    <n v="1"/>
    <x v="0"/>
    <x v="14"/>
    <n v="0.21210000000000001"/>
    <x v="1"/>
    <x v="0"/>
    <x v="4"/>
    <x v="0"/>
    <x v="93"/>
  </r>
  <r>
    <n v="949"/>
    <x v="42"/>
    <n v="1"/>
    <n v="0"/>
    <n v="2"/>
    <x v="1"/>
    <x v="3"/>
    <x v="0"/>
    <n v="6"/>
    <x v="0"/>
    <x v="0"/>
    <n v="1"/>
    <x v="0"/>
    <x v="16"/>
    <n v="0.19700000000000001"/>
    <x v="1"/>
    <x v="0"/>
    <x v="0"/>
    <x v="7"/>
    <x v="98"/>
  </r>
  <r>
    <n v="950"/>
    <x v="42"/>
    <n v="1"/>
    <n v="0"/>
    <n v="2"/>
    <x v="1"/>
    <x v="4"/>
    <x v="0"/>
    <n v="6"/>
    <x v="0"/>
    <x v="0"/>
    <n v="1"/>
    <x v="0"/>
    <x v="16"/>
    <n v="0.16669999999999999"/>
    <x v="32"/>
    <x v="1"/>
    <x v="3"/>
    <x v="22"/>
    <x v="48"/>
  </r>
  <r>
    <n v="951"/>
    <x v="42"/>
    <n v="1"/>
    <n v="0"/>
    <n v="2"/>
    <x v="1"/>
    <x v="5"/>
    <x v="0"/>
    <n v="6"/>
    <x v="0"/>
    <x v="0"/>
    <n v="1"/>
    <x v="0"/>
    <x v="16"/>
    <n v="0.16669999999999999"/>
    <x v="32"/>
    <x v="1"/>
    <x v="3"/>
    <x v="4"/>
    <x v="4"/>
  </r>
  <r>
    <n v="952"/>
    <x v="42"/>
    <n v="1"/>
    <n v="0"/>
    <n v="2"/>
    <x v="1"/>
    <x v="6"/>
    <x v="0"/>
    <n v="6"/>
    <x v="0"/>
    <x v="0"/>
    <n v="1"/>
    <x v="0"/>
    <x v="16"/>
    <n v="0.13639999999999999"/>
    <x v="43"/>
    <x v="5"/>
    <x v="5"/>
    <x v="4"/>
    <x v="5"/>
  </r>
  <r>
    <n v="953"/>
    <x v="42"/>
    <n v="1"/>
    <n v="0"/>
    <n v="2"/>
    <x v="1"/>
    <x v="7"/>
    <x v="0"/>
    <n v="6"/>
    <x v="0"/>
    <x v="0"/>
    <n v="1"/>
    <x v="0"/>
    <x v="16"/>
    <n v="0.1515"/>
    <x v="1"/>
    <x v="14"/>
    <x v="4"/>
    <x v="33"/>
    <x v="62"/>
  </r>
  <r>
    <n v="954"/>
    <x v="42"/>
    <n v="1"/>
    <n v="0"/>
    <n v="2"/>
    <x v="1"/>
    <x v="8"/>
    <x v="0"/>
    <n v="6"/>
    <x v="0"/>
    <x v="0"/>
    <n v="1"/>
    <x v="0"/>
    <x v="14"/>
    <n v="0.1515"/>
    <x v="3"/>
    <x v="7"/>
    <x v="4"/>
    <x v="95"/>
    <x v="33"/>
  </r>
  <r>
    <n v="955"/>
    <x v="42"/>
    <n v="1"/>
    <n v="0"/>
    <n v="2"/>
    <x v="1"/>
    <x v="9"/>
    <x v="0"/>
    <n v="6"/>
    <x v="0"/>
    <x v="0"/>
    <n v="1"/>
    <x v="0"/>
    <x v="13"/>
    <n v="0.18179999999999999"/>
    <x v="26"/>
    <x v="7"/>
    <x v="2"/>
    <x v="101"/>
    <x v="74"/>
  </r>
  <r>
    <n v="956"/>
    <x v="42"/>
    <n v="1"/>
    <n v="0"/>
    <n v="2"/>
    <x v="1"/>
    <x v="10"/>
    <x v="0"/>
    <n v="6"/>
    <x v="0"/>
    <x v="0"/>
    <n v="1"/>
    <x v="0"/>
    <x v="1"/>
    <n v="0.21210000000000001"/>
    <x v="48"/>
    <x v="2"/>
    <x v="23"/>
    <x v="13"/>
    <x v="11"/>
  </r>
  <r>
    <n v="957"/>
    <x v="42"/>
    <n v="1"/>
    <n v="0"/>
    <n v="2"/>
    <x v="1"/>
    <x v="11"/>
    <x v="0"/>
    <n v="6"/>
    <x v="0"/>
    <x v="0"/>
    <n v="1"/>
    <x v="0"/>
    <x v="11"/>
    <n v="0.2727"/>
    <x v="40"/>
    <x v="9"/>
    <x v="36"/>
    <x v="151"/>
    <x v="181"/>
  </r>
  <r>
    <n v="958"/>
    <x v="42"/>
    <n v="1"/>
    <n v="0"/>
    <n v="2"/>
    <x v="1"/>
    <x v="12"/>
    <x v="0"/>
    <n v="6"/>
    <x v="0"/>
    <x v="0"/>
    <n v="1"/>
    <x v="0"/>
    <x v="11"/>
    <n v="0.2727"/>
    <x v="17"/>
    <x v="17"/>
    <x v="37"/>
    <x v="139"/>
    <x v="151"/>
  </r>
  <r>
    <n v="959"/>
    <x v="42"/>
    <n v="1"/>
    <n v="0"/>
    <n v="2"/>
    <x v="1"/>
    <x v="13"/>
    <x v="0"/>
    <n v="6"/>
    <x v="0"/>
    <x v="0"/>
    <n v="1"/>
    <x v="0"/>
    <x v="11"/>
    <n v="0.2727"/>
    <x v="17"/>
    <x v="12"/>
    <x v="38"/>
    <x v="145"/>
    <x v="169"/>
  </r>
  <r>
    <n v="960"/>
    <x v="42"/>
    <n v="1"/>
    <n v="0"/>
    <n v="2"/>
    <x v="1"/>
    <x v="14"/>
    <x v="0"/>
    <n v="6"/>
    <x v="0"/>
    <x v="0"/>
    <n v="1"/>
    <x v="0"/>
    <x v="10"/>
    <n v="0.31819999999999998"/>
    <x v="61"/>
    <x v="3"/>
    <x v="36"/>
    <x v="92"/>
    <x v="151"/>
  </r>
  <r>
    <n v="961"/>
    <x v="42"/>
    <n v="1"/>
    <n v="0"/>
    <n v="2"/>
    <x v="1"/>
    <x v="15"/>
    <x v="0"/>
    <n v="6"/>
    <x v="0"/>
    <x v="0"/>
    <n v="1"/>
    <x v="0"/>
    <x v="10"/>
    <n v="0.30299999999999999"/>
    <x v="44"/>
    <x v="12"/>
    <x v="9"/>
    <x v="69"/>
    <x v="177"/>
  </r>
  <r>
    <n v="962"/>
    <x v="42"/>
    <n v="1"/>
    <n v="0"/>
    <n v="2"/>
    <x v="1"/>
    <x v="16"/>
    <x v="0"/>
    <n v="6"/>
    <x v="0"/>
    <x v="0"/>
    <n v="1"/>
    <x v="0"/>
    <x v="10"/>
    <n v="0.30299999999999999"/>
    <x v="44"/>
    <x v="12"/>
    <x v="35"/>
    <x v="145"/>
    <x v="190"/>
  </r>
  <r>
    <n v="963"/>
    <x v="42"/>
    <n v="1"/>
    <n v="0"/>
    <n v="2"/>
    <x v="1"/>
    <x v="17"/>
    <x v="0"/>
    <n v="6"/>
    <x v="0"/>
    <x v="0"/>
    <n v="1"/>
    <x v="0"/>
    <x v="3"/>
    <n v="0.28789999999999999"/>
    <x v="61"/>
    <x v="18"/>
    <x v="31"/>
    <x v="182"/>
    <x v="120"/>
  </r>
  <r>
    <n v="964"/>
    <x v="42"/>
    <n v="1"/>
    <n v="0"/>
    <n v="2"/>
    <x v="1"/>
    <x v="18"/>
    <x v="0"/>
    <n v="6"/>
    <x v="0"/>
    <x v="0"/>
    <n v="1"/>
    <x v="0"/>
    <x v="17"/>
    <n v="0.2576"/>
    <x v="41"/>
    <x v="9"/>
    <x v="17"/>
    <x v="91"/>
    <x v="37"/>
  </r>
  <r>
    <n v="965"/>
    <x v="42"/>
    <n v="1"/>
    <n v="0"/>
    <n v="2"/>
    <x v="1"/>
    <x v="19"/>
    <x v="0"/>
    <n v="6"/>
    <x v="0"/>
    <x v="0"/>
    <n v="1"/>
    <x v="0"/>
    <x v="17"/>
    <n v="0.2727"/>
    <x v="41"/>
    <x v="8"/>
    <x v="4"/>
    <x v="87"/>
    <x v="102"/>
  </r>
  <r>
    <n v="966"/>
    <x v="42"/>
    <n v="1"/>
    <n v="0"/>
    <n v="2"/>
    <x v="1"/>
    <x v="20"/>
    <x v="0"/>
    <n v="6"/>
    <x v="0"/>
    <x v="0"/>
    <n v="1"/>
    <x v="0"/>
    <x v="12"/>
    <n v="0.2576"/>
    <x v="48"/>
    <x v="6"/>
    <x v="5"/>
    <x v="87"/>
    <x v="1"/>
  </r>
  <r>
    <n v="967"/>
    <x v="42"/>
    <n v="1"/>
    <n v="0"/>
    <n v="2"/>
    <x v="1"/>
    <x v="21"/>
    <x v="0"/>
    <n v="6"/>
    <x v="0"/>
    <x v="0"/>
    <n v="1"/>
    <x v="0"/>
    <x v="12"/>
    <n v="0.30299999999999999"/>
    <x v="48"/>
    <x v="0"/>
    <x v="14"/>
    <x v="76"/>
    <x v="41"/>
  </r>
  <r>
    <n v="968"/>
    <x v="42"/>
    <n v="1"/>
    <n v="0"/>
    <n v="2"/>
    <x v="1"/>
    <x v="22"/>
    <x v="0"/>
    <n v="6"/>
    <x v="0"/>
    <x v="0"/>
    <n v="1"/>
    <x v="0"/>
    <x v="0"/>
    <n v="0.2576"/>
    <x v="18"/>
    <x v="1"/>
    <x v="15"/>
    <x v="87"/>
    <x v="79"/>
  </r>
  <r>
    <n v="969"/>
    <x v="42"/>
    <n v="1"/>
    <n v="0"/>
    <n v="2"/>
    <x v="1"/>
    <x v="23"/>
    <x v="0"/>
    <n v="6"/>
    <x v="0"/>
    <x v="0"/>
    <n v="1"/>
    <x v="0"/>
    <x v="1"/>
    <n v="0.2273"/>
    <x v="33"/>
    <x v="7"/>
    <x v="5"/>
    <x v="17"/>
    <x v="2"/>
  </r>
  <r>
    <n v="970"/>
    <x v="43"/>
    <n v="1"/>
    <n v="0"/>
    <n v="2"/>
    <x v="1"/>
    <x v="0"/>
    <x v="0"/>
    <n v="0"/>
    <x v="1"/>
    <x v="1"/>
    <n v="1"/>
    <x v="0"/>
    <x v="2"/>
    <n v="0.2273"/>
    <x v="26"/>
    <x v="14"/>
    <x v="2"/>
    <x v="60"/>
    <x v="21"/>
  </r>
  <r>
    <n v="971"/>
    <x v="43"/>
    <n v="1"/>
    <n v="0"/>
    <n v="2"/>
    <x v="1"/>
    <x v="1"/>
    <x v="0"/>
    <n v="0"/>
    <x v="1"/>
    <x v="1"/>
    <n v="1"/>
    <x v="0"/>
    <x v="2"/>
    <n v="0.2273"/>
    <x v="29"/>
    <x v="1"/>
    <x v="5"/>
    <x v="140"/>
    <x v="108"/>
  </r>
  <r>
    <n v="972"/>
    <x v="43"/>
    <n v="1"/>
    <n v="0"/>
    <n v="2"/>
    <x v="1"/>
    <x v="2"/>
    <x v="0"/>
    <n v="0"/>
    <x v="1"/>
    <x v="1"/>
    <n v="2"/>
    <x v="1"/>
    <x v="2"/>
    <n v="0.2273"/>
    <x v="2"/>
    <x v="1"/>
    <x v="5"/>
    <x v="23"/>
    <x v="25"/>
  </r>
  <r>
    <n v="973"/>
    <x v="43"/>
    <n v="1"/>
    <n v="0"/>
    <n v="2"/>
    <x v="1"/>
    <x v="3"/>
    <x v="0"/>
    <n v="0"/>
    <x v="1"/>
    <x v="1"/>
    <n v="2"/>
    <x v="1"/>
    <x v="2"/>
    <n v="0.2273"/>
    <x v="27"/>
    <x v="14"/>
    <x v="17"/>
    <x v="21"/>
    <x v="47"/>
  </r>
  <r>
    <n v="974"/>
    <x v="43"/>
    <n v="1"/>
    <n v="0"/>
    <n v="2"/>
    <x v="1"/>
    <x v="4"/>
    <x v="0"/>
    <n v="0"/>
    <x v="1"/>
    <x v="1"/>
    <n v="2"/>
    <x v="1"/>
    <x v="2"/>
    <n v="0.21210000000000001"/>
    <x v="27"/>
    <x v="8"/>
    <x v="3"/>
    <x v="6"/>
    <x v="5"/>
  </r>
  <r>
    <n v="975"/>
    <x v="43"/>
    <n v="1"/>
    <n v="0"/>
    <n v="2"/>
    <x v="1"/>
    <x v="6"/>
    <x v="0"/>
    <n v="0"/>
    <x v="1"/>
    <x v="1"/>
    <n v="2"/>
    <x v="1"/>
    <x v="2"/>
    <n v="0.21210000000000001"/>
    <x v="27"/>
    <x v="7"/>
    <x v="4"/>
    <x v="35"/>
    <x v="36"/>
  </r>
  <r>
    <n v="976"/>
    <x v="43"/>
    <n v="1"/>
    <n v="0"/>
    <n v="2"/>
    <x v="1"/>
    <x v="7"/>
    <x v="0"/>
    <n v="0"/>
    <x v="1"/>
    <x v="1"/>
    <n v="2"/>
    <x v="1"/>
    <x v="1"/>
    <n v="0.2727"/>
    <x v="28"/>
    <x v="0"/>
    <x v="3"/>
    <x v="35"/>
    <x v="6"/>
  </r>
  <r>
    <n v="977"/>
    <x v="43"/>
    <n v="1"/>
    <n v="0"/>
    <n v="2"/>
    <x v="1"/>
    <x v="8"/>
    <x v="0"/>
    <n v="0"/>
    <x v="1"/>
    <x v="1"/>
    <n v="2"/>
    <x v="1"/>
    <x v="1"/>
    <n v="0.2273"/>
    <x v="26"/>
    <x v="5"/>
    <x v="5"/>
    <x v="48"/>
    <x v="47"/>
  </r>
  <r>
    <n v="978"/>
    <x v="43"/>
    <n v="1"/>
    <n v="0"/>
    <n v="2"/>
    <x v="1"/>
    <x v="9"/>
    <x v="0"/>
    <n v="0"/>
    <x v="1"/>
    <x v="1"/>
    <n v="2"/>
    <x v="1"/>
    <x v="0"/>
    <n v="0.2273"/>
    <x v="54"/>
    <x v="6"/>
    <x v="6"/>
    <x v="96"/>
    <x v="105"/>
  </r>
  <r>
    <n v="979"/>
    <x v="43"/>
    <n v="1"/>
    <n v="0"/>
    <n v="2"/>
    <x v="1"/>
    <x v="10"/>
    <x v="0"/>
    <n v="0"/>
    <x v="1"/>
    <x v="1"/>
    <n v="1"/>
    <x v="0"/>
    <x v="11"/>
    <n v="0.2727"/>
    <x v="49"/>
    <x v="9"/>
    <x v="21"/>
    <x v="132"/>
    <x v="136"/>
  </r>
  <r>
    <n v="980"/>
    <x v="43"/>
    <n v="1"/>
    <n v="0"/>
    <n v="2"/>
    <x v="1"/>
    <x v="11"/>
    <x v="0"/>
    <n v="0"/>
    <x v="1"/>
    <x v="1"/>
    <n v="1"/>
    <x v="0"/>
    <x v="3"/>
    <n v="0.28789999999999999"/>
    <x v="17"/>
    <x v="10"/>
    <x v="7"/>
    <x v="132"/>
    <x v="59"/>
  </r>
  <r>
    <n v="981"/>
    <x v="43"/>
    <n v="1"/>
    <n v="0"/>
    <n v="2"/>
    <x v="1"/>
    <x v="12"/>
    <x v="0"/>
    <n v="0"/>
    <x v="1"/>
    <x v="1"/>
    <n v="1"/>
    <x v="0"/>
    <x v="5"/>
    <n v="0.31819999999999998"/>
    <x v="25"/>
    <x v="17"/>
    <x v="39"/>
    <x v="111"/>
    <x v="148"/>
  </r>
  <r>
    <n v="982"/>
    <x v="43"/>
    <n v="1"/>
    <n v="0"/>
    <n v="2"/>
    <x v="1"/>
    <x v="13"/>
    <x v="0"/>
    <n v="0"/>
    <x v="1"/>
    <x v="1"/>
    <n v="1"/>
    <x v="0"/>
    <x v="4"/>
    <n v="0.39389999999999997"/>
    <x v="44"/>
    <x v="11"/>
    <x v="40"/>
    <x v="50"/>
    <x v="38"/>
  </r>
  <r>
    <n v="983"/>
    <x v="43"/>
    <n v="1"/>
    <n v="0"/>
    <n v="2"/>
    <x v="1"/>
    <x v="14"/>
    <x v="0"/>
    <n v="0"/>
    <x v="1"/>
    <x v="1"/>
    <n v="2"/>
    <x v="1"/>
    <x v="9"/>
    <n v="0.40910000000000002"/>
    <x v="24"/>
    <x v="12"/>
    <x v="41"/>
    <x v="59"/>
    <x v="143"/>
  </r>
  <r>
    <n v="984"/>
    <x v="43"/>
    <n v="1"/>
    <n v="0"/>
    <n v="2"/>
    <x v="1"/>
    <x v="15"/>
    <x v="0"/>
    <n v="0"/>
    <x v="1"/>
    <x v="1"/>
    <n v="2"/>
    <x v="1"/>
    <x v="9"/>
    <n v="0.40910000000000002"/>
    <x v="24"/>
    <x v="4"/>
    <x v="11"/>
    <x v="183"/>
    <x v="123"/>
  </r>
  <r>
    <n v="985"/>
    <x v="43"/>
    <n v="1"/>
    <n v="0"/>
    <n v="2"/>
    <x v="1"/>
    <x v="16"/>
    <x v="0"/>
    <n v="0"/>
    <x v="1"/>
    <x v="1"/>
    <n v="2"/>
    <x v="1"/>
    <x v="6"/>
    <n v="0.42420000000000002"/>
    <x v="40"/>
    <x v="9"/>
    <x v="32"/>
    <x v="184"/>
    <x v="87"/>
  </r>
  <r>
    <n v="986"/>
    <x v="43"/>
    <n v="1"/>
    <n v="0"/>
    <n v="2"/>
    <x v="1"/>
    <x v="17"/>
    <x v="0"/>
    <n v="0"/>
    <x v="1"/>
    <x v="1"/>
    <n v="1"/>
    <x v="0"/>
    <x v="6"/>
    <n v="0.42420000000000002"/>
    <x v="40"/>
    <x v="9"/>
    <x v="36"/>
    <x v="73"/>
    <x v="139"/>
  </r>
  <r>
    <n v="987"/>
    <x v="43"/>
    <n v="1"/>
    <n v="0"/>
    <n v="2"/>
    <x v="1"/>
    <x v="18"/>
    <x v="0"/>
    <n v="0"/>
    <x v="1"/>
    <x v="1"/>
    <n v="1"/>
    <x v="0"/>
    <x v="9"/>
    <n v="0.40910000000000002"/>
    <x v="25"/>
    <x v="4"/>
    <x v="26"/>
    <x v="78"/>
    <x v="76"/>
  </r>
  <r>
    <n v="988"/>
    <x v="43"/>
    <n v="1"/>
    <n v="0"/>
    <n v="2"/>
    <x v="1"/>
    <x v="19"/>
    <x v="0"/>
    <n v="0"/>
    <x v="1"/>
    <x v="1"/>
    <n v="1"/>
    <x v="0"/>
    <x v="9"/>
    <n v="0.40910000000000002"/>
    <x v="23"/>
    <x v="3"/>
    <x v="16"/>
    <x v="54"/>
    <x v="42"/>
  </r>
  <r>
    <n v="989"/>
    <x v="43"/>
    <n v="1"/>
    <n v="0"/>
    <n v="2"/>
    <x v="1"/>
    <x v="20"/>
    <x v="0"/>
    <n v="0"/>
    <x v="1"/>
    <x v="1"/>
    <n v="1"/>
    <x v="0"/>
    <x v="9"/>
    <n v="0.40910000000000002"/>
    <x v="23"/>
    <x v="9"/>
    <x v="13"/>
    <x v="1"/>
    <x v="105"/>
  </r>
  <r>
    <n v="990"/>
    <x v="43"/>
    <n v="1"/>
    <n v="0"/>
    <n v="2"/>
    <x v="1"/>
    <x v="21"/>
    <x v="0"/>
    <n v="0"/>
    <x v="1"/>
    <x v="1"/>
    <n v="1"/>
    <x v="0"/>
    <x v="9"/>
    <n v="0.40910000000000002"/>
    <x v="23"/>
    <x v="11"/>
    <x v="15"/>
    <x v="108"/>
    <x v="41"/>
  </r>
  <r>
    <n v="991"/>
    <x v="43"/>
    <n v="1"/>
    <n v="0"/>
    <n v="2"/>
    <x v="1"/>
    <x v="22"/>
    <x v="0"/>
    <n v="0"/>
    <x v="1"/>
    <x v="1"/>
    <n v="1"/>
    <x v="0"/>
    <x v="9"/>
    <n v="0.40910000000000002"/>
    <x v="23"/>
    <x v="4"/>
    <x v="2"/>
    <x v="17"/>
    <x v="9"/>
  </r>
  <r>
    <n v="992"/>
    <x v="43"/>
    <n v="1"/>
    <n v="0"/>
    <n v="2"/>
    <x v="1"/>
    <x v="23"/>
    <x v="0"/>
    <n v="0"/>
    <x v="1"/>
    <x v="1"/>
    <n v="1"/>
    <x v="0"/>
    <x v="9"/>
    <n v="0.40910000000000002"/>
    <x v="23"/>
    <x v="11"/>
    <x v="0"/>
    <x v="2"/>
    <x v="33"/>
  </r>
  <r>
    <n v="993"/>
    <x v="44"/>
    <n v="1"/>
    <n v="0"/>
    <n v="2"/>
    <x v="1"/>
    <x v="0"/>
    <x v="0"/>
    <n v="1"/>
    <x v="2"/>
    <x v="1"/>
    <n v="1"/>
    <x v="0"/>
    <x v="4"/>
    <n v="0.39389999999999997"/>
    <x v="38"/>
    <x v="11"/>
    <x v="0"/>
    <x v="21"/>
    <x v="62"/>
  </r>
  <r>
    <n v="994"/>
    <x v="44"/>
    <n v="1"/>
    <n v="0"/>
    <n v="2"/>
    <x v="1"/>
    <x v="1"/>
    <x v="0"/>
    <n v="1"/>
    <x v="2"/>
    <x v="1"/>
    <n v="1"/>
    <x v="0"/>
    <x v="4"/>
    <n v="0.39389999999999997"/>
    <x v="38"/>
    <x v="11"/>
    <x v="5"/>
    <x v="8"/>
    <x v="85"/>
  </r>
  <r>
    <n v="995"/>
    <x v="44"/>
    <n v="1"/>
    <n v="0"/>
    <n v="2"/>
    <x v="1"/>
    <x v="2"/>
    <x v="0"/>
    <n v="1"/>
    <x v="2"/>
    <x v="1"/>
    <n v="1"/>
    <x v="0"/>
    <x v="5"/>
    <n v="0.33329999999999999"/>
    <x v="22"/>
    <x v="4"/>
    <x v="3"/>
    <x v="6"/>
    <x v="5"/>
  </r>
  <r>
    <n v="996"/>
    <x v="44"/>
    <n v="1"/>
    <n v="0"/>
    <n v="2"/>
    <x v="1"/>
    <x v="3"/>
    <x v="0"/>
    <n v="1"/>
    <x v="2"/>
    <x v="1"/>
    <n v="1"/>
    <x v="0"/>
    <x v="10"/>
    <n v="0.31819999999999998"/>
    <x v="15"/>
    <x v="6"/>
    <x v="5"/>
    <x v="4"/>
    <x v="5"/>
  </r>
  <r>
    <n v="997"/>
    <x v="44"/>
    <n v="1"/>
    <n v="0"/>
    <n v="2"/>
    <x v="1"/>
    <x v="4"/>
    <x v="0"/>
    <n v="1"/>
    <x v="2"/>
    <x v="1"/>
    <n v="1"/>
    <x v="0"/>
    <x v="3"/>
    <n v="0.30299999999999999"/>
    <x v="45"/>
    <x v="3"/>
    <x v="3"/>
    <x v="6"/>
    <x v="5"/>
  </r>
  <r>
    <n v="998"/>
    <x v="44"/>
    <n v="1"/>
    <n v="0"/>
    <n v="2"/>
    <x v="1"/>
    <x v="5"/>
    <x v="0"/>
    <n v="1"/>
    <x v="2"/>
    <x v="1"/>
    <n v="1"/>
    <x v="0"/>
    <x v="3"/>
    <n v="0.30299999999999999"/>
    <x v="45"/>
    <x v="3"/>
    <x v="3"/>
    <x v="35"/>
    <x v="6"/>
  </r>
  <r>
    <n v="999"/>
    <x v="44"/>
    <n v="1"/>
    <n v="0"/>
    <n v="2"/>
    <x v="1"/>
    <x v="6"/>
    <x v="0"/>
    <n v="1"/>
    <x v="2"/>
    <x v="1"/>
    <n v="1"/>
    <x v="0"/>
    <x v="10"/>
    <n v="0.30299999999999999"/>
    <x v="15"/>
    <x v="4"/>
    <x v="5"/>
    <x v="18"/>
    <x v="132"/>
  </r>
  <r>
    <n v="1000"/>
    <x v="44"/>
    <n v="1"/>
    <n v="0"/>
    <n v="2"/>
    <x v="1"/>
    <x v="7"/>
    <x v="0"/>
    <n v="1"/>
    <x v="2"/>
    <x v="1"/>
    <n v="1"/>
    <x v="0"/>
    <x v="10"/>
    <n v="0.30299999999999999"/>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82214-D207-414F-8B33-877DA0049F8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INDSPEED">
  <location ref="G33:I54"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CASUAL_RENTALS" fld="17" baseField="0" baseItem="0"/>
    <dataField name="Sum of REGISTERED_RENTALS" fld="18" baseField="0" baseItem="0"/>
  </dataFields>
  <formats count="20">
    <format dxfId="28">
      <pivotArea type="all" dataOnly="0" outline="0" fieldPosition="0"/>
    </format>
    <format dxfId="27">
      <pivotArea outline="0" collapsedLevelsAreSubtotals="1" fieldPosition="0"/>
    </format>
    <format dxfId="26">
      <pivotArea field="16" type="button" dataOnly="0" labelOnly="1" outline="0" axis="axisRow" fieldPosition="0"/>
    </format>
    <format dxfId="25">
      <pivotArea dataOnly="0" labelOnly="1" fieldPosition="0">
        <references count="1">
          <reference field="16"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field="16" type="button" dataOnly="0" labelOnly="1" outline="0" axis="axisRow" fieldPosition="0"/>
    </format>
    <format dxfId="19">
      <pivotArea dataOnly="0" labelOnly="1" fieldPosition="0">
        <references count="1">
          <reference field="16"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type="all" dataOnly="0" outline="0" fieldPosition="0"/>
    </format>
    <format dxfId="15">
      <pivotArea outline="0" collapsedLevelsAreSubtotals="1" fieldPosition="0"/>
    </format>
    <format dxfId="14">
      <pivotArea field="16" type="button" dataOnly="0" labelOnly="1" outline="0" axis="axisRow" fieldPosition="0"/>
    </format>
    <format dxfId="13">
      <pivotArea dataOnly="0" labelOnly="1" fieldPosition="0">
        <references count="1">
          <reference field="16"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field="16" type="button" dataOnly="0" labelOnly="1" outline="0" axis="axisRow" fieldPosition="0"/>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5C7DE-D283-46BA-9008-1F8016DC5F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C57" firstHeaderRow="0" firstDataRow="1" firstDataCol="1"/>
  <pivotFields count="22">
    <pivotField showAll="0"/>
    <pivotField numFmtId="14" showAll="0">
      <items count="46">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4">
        <item n="0.02"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CASUAL_RENTALS" fld="17" baseField="0" baseItem="0"/>
    <dataField name="Sum of REGISTERED_RENTALS" fld="18" baseField="0" baseItem="0"/>
  </dataFields>
  <formats count="18">
    <format dxfId="46">
      <pivotArea type="all" dataOnly="0" outline="0" fieldPosition="0"/>
    </format>
    <format dxfId="45">
      <pivotArea outline="0" collapsedLevelsAreSubtotals="1" fieldPosition="0"/>
    </format>
    <format dxfId="44">
      <pivotArea field="13" type="button" dataOnly="0" labelOnly="1" outline="0" axis="axisRow" fieldPosition="0"/>
    </format>
    <format dxfId="43">
      <pivotArea dataOnly="0" labelOnly="1" fieldPosition="0">
        <references count="1">
          <reference field="13"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type="all" dataOnly="0" outline="0" fieldPosition="0"/>
    </format>
    <format dxfId="39">
      <pivotArea outline="0" collapsedLevelsAreSubtotals="1" fieldPosition="0"/>
    </format>
    <format dxfId="38">
      <pivotArea field="13" type="button" dataOnly="0" labelOnly="1" outline="0" axis="axisRow" fieldPosition="0"/>
    </format>
    <format dxfId="37">
      <pivotArea dataOnly="0" labelOnly="1" fieldPosition="0">
        <references count="1">
          <reference field="13"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 dxfId="34">
      <pivotArea collapsedLevelsAreSubtotals="1" fieldPosition="0">
        <references count="1">
          <reference field="13" count="0"/>
        </references>
      </pivotArea>
    </format>
    <format dxfId="33">
      <pivotArea field="13" type="button" dataOnly="0" labelOnly="1" outline="0" axis="axisRow" fieldPosition="0"/>
    </format>
    <format dxfId="32">
      <pivotArea dataOnly="0" labelOnly="1" fieldPosition="0">
        <references count="1">
          <reference field="13" count="0"/>
        </references>
      </pivotArea>
    </format>
    <format dxfId="31">
      <pivotArea dataOnly="0" labelOnly="1" outline="0" fieldPosition="0">
        <references count="1">
          <reference field="4294967294" count="2">
            <x v="0"/>
            <x v="1"/>
          </reference>
        </references>
      </pivotArea>
    </format>
    <format dxfId="30">
      <pivotArea field="13" type="button" dataOnly="0" labelOnly="1" outline="0" axis="axisRow" fieldPosition="0"/>
    </format>
    <format dxfId="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88AE5-ADD9-4E93-9C9E-67C1507567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LIDAYS">
  <location ref="G10:J13"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Row" showAll="0">
      <items count="3">
        <item n="NON-WORKING DAY" x="0"/>
        <item n="WORKING DAY" x="1"/>
        <item t="default"/>
      </items>
    </pivotField>
    <pivotField showAll="0"/>
    <pivotField showAll="0"/>
    <pivotField showAll="0"/>
    <pivotField showAll="0"/>
    <pivotField showAll="0">
      <items count="5">
        <item h="1" x="0"/>
        <item x="1"/>
        <item h="1" x="3"/>
        <item h="1" x="2"/>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3">
    <i>
      <x/>
    </i>
    <i>
      <x v="1"/>
    </i>
    <i t="grand">
      <x/>
    </i>
  </rowItems>
  <colFields count="1">
    <field x="-2"/>
  </colFields>
  <colItems count="3">
    <i>
      <x/>
    </i>
    <i i="1">
      <x v="1"/>
    </i>
    <i i="2">
      <x v="2"/>
    </i>
  </colItems>
  <dataFields count="3">
    <dataField name="Average of CASUAL_RENTALS" fld="17" subtotal="average" baseField="0" baseItem="0"/>
    <dataField name="Average of REGISTERED_RENTALS" fld="18" subtotal="average" baseField="0" baseItem="0"/>
    <dataField name="Average of TOTAL_RENTALS" fld="19" subtotal="average" baseField="0" baseItem="0"/>
  </dataFields>
  <formats count="30">
    <format dxfId="76">
      <pivotArea field="7" type="button" dataOnly="0" labelOnly="1" outline="0" axis="axisRow" fieldPosition="0"/>
    </format>
    <format dxfId="75">
      <pivotArea type="all" dataOnly="0" outline="0" fieldPosition="0"/>
    </format>
    <format dxfId="74">
      <pivotArea outline="0" collapsedLevelsAreSubtotals="1" fieldPosition="0"/>
    </format>
    <format dxfId="73">
      <pivotArea field="7" type="button" dataOnly="0" labelOnly="1" outline="0" axis="axisRow" fieldPosition="0"/>
    </format>
    <format dxfId="72">
      <pivotArea dataOnly="0" labelOnly="1" fieldPosition="0">
        <references count="1">
          <reference field="7" count="0"/>
        </references>
      </pivotArea>
    </format>
    <format dxfId="71">
      <pivotArea dataOnly="0" labelOnly="1" grandRow="1" outline="0" fieldPosition="0"/>
    </format>
    <format dxfId="70">
      <pivotArea dataOnly="0" labelOnly="1" outline="0" fieldPosition="0">
        <references count="1">
          <reference field="4294967294" count="3">
            <x v="0"/>
            <x v="1"/>
            <x v="2"/>
          </reference>
        </references>
      </pivotArea>
    </format>
    <format dxfId="69">
      <pivotArea type="all" dataOnly="0" outline="0" fieldPosition="0"/>
    </format>
    <format dxfId="68">
      <pivotArea outline="0" collapsedLevelsAreSubtotals="1" fieldPosition="0"/>
    </format>
    <format dxfId="67">
      <pivotArea field="7" type="button" dataOnly="0" labelOnly="1" outline="0" axis="axisRow" fieldPosition="0"/>
    </format>
    <format dxfId="66">
      <pivotArea dataOnly="0" labelOnly="1" fieldPosition="0">
        <references count="1">
          <reference field="7" count="0"/>
        </references>
      </pivotArea>
    </format>
    <format dxfId="65">
      <pivotArea dataOnly="0" labelOnly="1" grandRow="1" outline="0" fieldPosition="0"/>
    </format>
    <format dxfId="64">
      <pivotArea dataOnly="0" labelOnly="1" outline="0" fieldPosition="0">
        <references count="1">
          <reference field="4294967294" count="3">
            <x v="0"/>
            <x v="1"/>
            <x v="2"/>
          </reference>
        </references>
      </pivotArea>
    </format>
    <format dxfId="63">
      <pivotArea field="7" type="button" dataOnly="0" labelOnly="1" outline="0" axis="axisRow" fieldPosition="0"/>
    </format>
    <format dxfId="62">
      <pivotArea dataOnly="0" labelOnly="1" outline="0" fieldPosition="0">
        <references count="1">
          <reference field="4294967294" count="3">
            <x v="0"/>
            <x v="1"/>
            <x v="2"/>
          </reference>
        </references>
      </pivotArea>
    </format>
    <format dxfId="61">
      <pivotArea outline="0" collapsedLevelsAreSubtotals="1" fieldPosition="0"/>
    </format>
    <format dxfId="60">
      <pivotArea dataOnly="0" labelOnly="1" fieldPosition="0">
        <references count="1">
          <reference field="7" count="0"/>
        </references>
      </pivotArea>
    </format>
    <format dxfId="59">
      <pivotArea dataOnly="0" labelOnly="1" grandRow="1" outline="0" fieldPosition="0"/>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grandRow="1" outline="0" fieldPosition="0"/>
    </format>
    <format dxfId="53">
      <pivotArea dataOnly="0" labelOnly="1" outline="0" fieldPosition="0">
        <references count="1">
          <reference field="4294967294" count="3">
            <x v="0"/>
            <x v="1"/>
            <x v="2"/>
          </reference>
        </references>
      </pivotArea>
    </format>
    <format dxfId="52">
      <pivotArea type="all" dataOnly="0" outline="0" fieldPosition="0"/>
    </format>
    <format dxfId="51">
      <pivotArea outline="0" collapsedLevelsAreSubtotals="1" fieldPosition="0"/>
    </format>
    <format dxfId="50">
      <pivotArea field="7" type="button" dataOnly="0" labelOnly="1" outline="0" axis="axisRow" fieldPosition="0"/>
    </format>
    <format dxfId="49">
      <pivotArea dataOnly="0" labelOnly="1" fieldPosition="0">
        <references count="1">
          <reference field="7" count="0"/>
        </references>
      </pivotArea>
    </format>
    <format dxfId="48">
      <pivotArea dataOnly="0" labelOnly="1" grandRow="1" outline="0" fieldPosition="0"/>
    </format>
    <format dxfId="4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6927A-5DFF-4193-AF51-78B1BE6F6A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URS">
  <location ref="L10:N35"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ASUAL_RENTALS" fld="17" baseField="0" baseItem="0"/>
    <dataField name="Sum of REGISTERED_RENTALS" fld="18" baseField="0" baseItem="0"/>
  </dataFields>
  <formats count="25">
    <format dxfId="101">
      <pivotArea type="all" dataOnly="0" outline="0" fieldPosition="0"/>
    </format>
    <format dxfId="100">
      <pivotArea outline="0" collapsedLevelsAreSubtotals="1" fieldPosition="0"/>
    </format>
    <format dxfId="99">
      <pivotArea field="6" type="button" dataOnly="0" labelOnly="1" outline="0" axis="axisRow" fieldPosition="0"/>
    </format>
    <format dxfId="98">
      <pivotArea dataOnly="0" labelOnly="1" fieldPosition="0">
        <references count="1">
          <reference field="6" count="0"/>
        </references>
      </pivotArea>
    </format>
    <format dxfId="97">
      <pivotArea dataOnly="0" labelOnly="1" grandRow="1" outline="0" fieldPosition="0"/>
    </format>
    <format dxfId="96">
      <pivotArea dataOnly="0" labelOnly="1" outline="0" fieldPosition="0">
        <references count="1">
          <reference field="4294967294" count="2">
            <x v="0"/>
            <x v="1"/>
          </reference>
        </references>
      </pivotArea>
    </format>
    <format dxfId="95">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grandRow="1" outline="0" fieldPosition="0"/>
    </format>
    <format dxfId="90">
      <pivotArea outline="0" collapsedLevelsAreSubtotals="1" fieldPosition="0">
        <references count="1">
          <reference field="4294967294" count="1" selected="0">
            <x v="1"/>
          </reference>
        </references>
      </pivotArea>
    </format>
    <format dxfId="89">
      <pivotArea dataOnly="0" labelOnly="1" outline="0" fieldPosition="0">
        <references count="1">
          <reference field="4294967294" count="1">
            <x v="1"/>
          </reference>
        </references>
      </pivotArea>
    </format>
    <format dxfId="88">
      <pivotArea field="6" type="button" dataOnly="0" labelOnly="1" outline="0" axis="axisRow" fieldPosition="0"/>
    </format>
    <format dxfId="87">
      <pivotArea dataOnly="0" labelOnly="1" outline="0" fieldPosition="0">
        <references count="1">
          <reference field="4294967294" count="2">
            <x v="0"/>
            <x v="1"/>
          </reference>
        </references>
      </pivotArea>
    </format>
    <format dxfId="86">
      <pivotArea collapsedLevelsAreSubtotals="1" fieldPosition="0">
        <references count="1">
          <reference field="6" count="12">
            <x v="0"/>
            <x v="1"/>
            <x v="2"/>
            <x v="3"/>
            <x v="4"/>
            <x v="5"/>
            <x v="6"/>
            <x v="7"/>
            <x v="8"/>
            <x v="9"/>
            <x v="10"/>
            <x v="11"/>
          </reference>
        </references>
      </pivotArea>
    </format>
    <format dxfId="85">
      <pivotArea dataOnly="0" labelOnly="1" fieldPosition="0">
        <references count="1">
          <reference field="6" count="12">
            <x v="0"/>
            <x v="1"/>
            <x v="2"/>
            <x v="3"/>
            <x v="4"/>
            <x v="5"/>
            <x v="6"/>
            <x v="7"/>
            <x v="8"/>
            <x v="9"/>
            <x v="10"/>
            <x v="11"/>
          </reference>
        </references>
      </pivotArea>
    </format>
    <format dxfId="84">
      <pivotArea type="all" dataOnly="0" outline="0" fieldPosition="0"/>
    </format>
    <format dxfId="83">
      <pivotArea outline="0" collapsedLevelsAreSubtotals="1" fieldPosition="0"/>
    </format>
    <format dxfId="82">
      <pivotArea field="6" type="button" dataOnly="0" labelOnly="1" outline="0" axis="axisRow" fieldPosition="0"/>
    </format>
    <format dxfId="81">
      <pivotArea dataOnly="0" labelOnly="1" fieldPosition="0">
        <references count="1">
          <reference field="6" count="0"/>
        </references>
      </pivotArea>
    </format>
    <format dxfId="80">
      <pivotArea dataOnly="0" labelOnly="1" grandRow="1" outline="0" fieldPosition="0"/>
    </format>
    <format dxfId="79">
      <pivotArea dataOnly="0" labelOnly="1" outline="0" fieldPosition="0">
        <references count="1">
          <reference field="4294967294" count="2">
            <x v="0"/>
            <x v="1"/>
          </reference>
        </references>
      </pivotArea>
    </format>
    <format dxfId="78">
      <pivotArea collapsedLevelsAreSubtotals="1" fieldPosition="0">
        <references count="1">
          <reference field="6" count="1">
            <x v="22"/>
          </reference>
        </references>
      </pivotArea>
    </format>
    <format dxfId="77">
      <pivotArea dataOnly="0" labelOnly="1" fieldPosition="0">
        <references count="1">
          <reference field="6" count="1">
            <x v="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353943-43FC-41C3-B74F-CD21F9C741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10:D13"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3">
        <item n=" " x="0"/>
        <item x="1"/>
        <item t="default"/>
      </items>
    </pivotField>
    <pivotField showAll="0"/>
    <pivotField showAll="0"/>
    <pivotField showAll="0"/>
    <pivotField showAll="0"/>
    <pivotField showAll="0"/>
    <pivotField showAll="0"/>
    <pivotField showAll="0">
      <items count="5">
        <item h="1" x="0"/>
        <item x="1"/>
        <item h="1" x="3"/>
        <item h="1" x="2"/>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Fields count="1">
    <field x="-2"/>
  </colFields>
  <colItems count="3">
    <i>
      <x/>
    </i>
    <i i="1">
      <x v="1"/>
    </i>
    <i i="2">
      <x v="2"/>
    </i>
  </colItems>
  <dataFields count="3">
    <dataField name="Sum of CASUAL_RENTALS" fld="17" baseField="0" baseItem="0"/>
    <dataField name="Sum of REGISTERED_RENTALS" fld="18" baseField="0" baseItem="0"/>
    <dataField name="Sum of TOTAL_RENTALS" fld="19" baseField="0" baseItem="0"/>
  </dataFields>
  <formats count="23">
    <format dxfId="124">
      <pivotArea type="all" dataOnly="0" outline="0" fieldPosition="0"/>
    </format>
    <format dxfId="123">
      <pivotArea outline="0" collapsedLevelsAreSubtotals="1" fieldPosition="0"/>
    </format>
    <format dxfId="122">
      <pivotArea field="5" type="button" dataOnly="0" labelOnly="1" outline="0" axis="axisRow" fieldPosition="0"/>
    </format>
    <format dxfId="121">
      <pivotArea dataOnly="0" labelOnly="1" fieldPosition="0">
        <references count="1">
          <reference field="5" count="0"/>
        </references>
      </pivotArea>
    </format>
    <format dxfId="120">
      <pivotArea dataOnly="0" labelOnly="1" grandRow="1" outline="0" fieldPosition="0"/>
    </format>
    <format dxfId="119">
      <pivotArea dataOnly="0" labelOnly="1" outline="0" fieldPosition="0">
        <references count="1">
          <reference field="4294967294" count="3">
            <x v="0"/>
            <x v="1"/>
            <x v="2"/>
          </reference>
        </references>
      </pivotArea>
    </format>
    <format dxfId="118">
      <pivotArea type="all" dataOnly="0" outline="0" fieldPosition="0"/>
    </format>
    <format dxfId="117">
      <pivotArea outline="0" collapsedLevelsAreSubtotals="1"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outline="0" fieldPosition="0">
        <references count="1">
          <reference field="4294967294" count="3">
            <x v="0"/>
            <x v="1"/>
            <x v="2"/>
          </reference>
        </references>
      </pivotArea>
    </format>
    <format dxfId="112">
      <pivotArea field="5" type="button" dataOnly="0" labelOnly="1" outline="0" axis="axisRow" fieldPosition="0"/>
    </format>
    <format dxfId="111">
      <pivotArea dataOnly="0" labelOnly="1" outline="0" fieldPosition="0">
        <references count="1">
          <reference field="4294967294" count="3">
            <x v="0"/>
            <x v="1"/>
            <x v="2"/>
          </reference>
        </references>
      </pivotArea>
    </format>
    <format dxfId="110">
      <pivotArea outline="0" collapsedLevelsAreSubtotals="1" fieldPosition="0"/>
    </format>
    <format dxfId="109">
      <pivotArea dataOnly="0" labelOnly="1" fieldPosition="0">
        <references count="1">
          <reference field="5" count="0"/>
        </references>
      </pivotArea>
    </format>
    <format dxfId="108">
      <pivotArea dataOnly="0" labelOnly="1" grandRow="1" outline="0" fieldPosition="0"/>
    </format>
    <format dxfId="107">
      <pivotArea type="all" dataOnly="0" outline="0" fieldPosition="0"/>
    </format>
    <format dxfId="106">
      <pivotArea outline="0" collapsedLevelsAreSubtotals="1" fieldPosition="0"/>
    </format>
    <format dxfId="105">
      <pivotArea field="5" type="button" dataOnly="0" labelOnly="1" outline="0" axis="axisRow" fieldPosition="0"/>
    </format>
    <format dxfId="104">
      <pivotArea dataOnly="0" labelOnly="1" fieldPosition="0">
        <references count="1">
          <reference field="5" count="0"/>
        </references>
      </pivotArea>
    </format>
    <format dxfId="103">
      <pivotArea dataOnly="0" labelOnly="1" grandRow="1" outline="0" fieldPosition="0"/>
    </format>
    <format dxfId="10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891C9B-8D91-4C96-9B58-9CB6234F64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DAY">
  <location ref="A19:C27"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nonAutoSortDefault="1">
      <items count="8">
        <item x="2"/>
        <item x="3"/>
        <item x="4"/>
        <item x="5"/>
        <item x="6"/>
        <item x="0"/>
        <item x="1"/>
        <item t="default"/>
      </items>
    </pivotField>
    <pivotField showAll="0"/>
    <pivotField showAll="0"/>
    <pivotField showAll="0">
      <items count="5">
        <item h="1" x="0"/>
        <item x="1"/>
        <item h="1" x="3"/>
        <item h="1" x="2"/>
        <item t="default"/>
      </items>
    </pivotField>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8">
    <i>
      <x/>
    </i>
    <i>
      <x v="1"/>
    </i>
    <i>
      <x v="2"/>
    </i>
    <i>
      <x v="3"/>
    </i>
    <i>
      <x v="4"/>
    </i>
    <i>
      <x v="5"/>
    </i>
    <i>
      <x v="6"/>
    </i>
    <i t="grand">
      <x/>
    </i>
  </rowItems>
  <colFields count="1">
    <field x="-2"/>
  </colFields>
  <colItems count="2">
    <i>
      <x/>
    </i>
    <i i="1">
      <x v="1"/>
    </i>
  </colItems>
  <dataFields count="2">
    <dataField name="Max of CASUAL_RENTALS" fld="17" subtotal="max" baseField="0" baseItem="0"/>
    <dataField name="Max of REGISTERED_RENTALS" fld="18" subtotal="max" baseField="0" baseItem="0"/>
  </dataFields>
  <formats count="22">
    <format dxfId="146">
      <pivotArea type="all" dataOnly="0" outline="0" fieldPosition="0"/>
    </format>
    <format dxfId="145">
      <pivotArea outline="0" collapsedLevelsAreSubtotals="1" fieldPosition="0"/>
    </format>
    <format dxfId="144">
      <pivotArea field="9" type="button" dataOnly="0" labelOnly="1" outline="0" axis="axisRow" fieldPosition="0"/>
    </format>
    <format dxfId="143">
      <pivotArea dataOnly="0" labelOnly="1" fieldPosition="0">
        <references count="1">
          <reference field="9" count="0"/>
        </references>
      </pivotArea>
    </format>
    <format dxfId="142">
      <pivotArea dataOnly="0" labelOnly="1" grandRow="1" outline="0" fieldPosition="0"/>
    </format>
    <format dxfId="141">
      <pivotArea dataOnly="0" labelOnly="1" outline="0" fieldPosition="0">
        <references count="1">
          <reference field="4294967294" count="2">
            <x v="0"/>
            <x v="1"/>
          </reference>
        </references>
      </pivotArea>
    </format>
    <format dxfId="140">
      <pivotArea type="all" dataOnly="0" outline="0" fieldPosition="0"/>
    </format>
    <format dxfId="139">
      <pivotArea outline="0" collapsedLevelsAreSubtotals="1" fieldPosition="0"/>
    </format>
    <format dxfId="138">
      <pivotArea field="9" type="button" dataOnly="0" labelOnly="1" outline="0" axis="axisRow" fieldPosition="0"/>
    </format>
    <format dxfId="137">
      <pivotArea dataOnly="0" labelOnly="1" fieldPosition="0">
        <references count="1">
          <reference field="9" count="0"/>
        </references>
      </pivotArea>
    </format>
    <format dxfId="136">
      <pivotArea dataOnly="0" labelOnly="1" grandRow="1" outline="0" fieldPosition="0"/>
    </format>
    <format dxfId="135">
      <pivotArea dataOnly="0" labelOnly="1" outline="0" fieldPosition="0">
        <references count="1">
          <reference field="4294967294" count="2">
            <x v="0"/>
            <x v="1"/>
          </reference>
        </references>
      </pivotArea>
    </format>
    <format dxfId="134">
      <pivotArea collapsedLevelsAreSubtotals="1" fieldPosition="0">
        <references count="1">
          <reference field="9" count="3">
            <x v="0"/>
            <x v="1"/>
            <x v="2"/>
          </reference>
        </references>
      </pivotArea>
    </format>
    <format dxfId="133">
      <pivotArea field="9" type="button" dataOnly="0" labelOnly="1" outline="0" axis="axisRow" fieldPosition="0"/>
    </format>
    <format dxfId="132">
      <pivotArea dataOnly="0" labelOnly="1" fieldPosition="0">
        <references count="1">
          <reference field="9" count="3">
            <x v="0"/>
            <x v="1"/>
            <x v="2"/>
          </reference>
        </references>
      </pivotArea>
    </format>
    <format dxfId="131">
      <pivotArea dataOnly="0" labelOnly="1" outline="0" fieldPosition="0">
        <references count="1">
          <reference field="4294967294" count="2">
            <x v="0"/>
            <x v="1"/>
          </reference>
        </references>
      </pivotArea>
    </format>
    <format dxfId="130">
      <pivotArea type="all" dataOnly="0" outline="0" fieldPosition="0"/>
    </format>
    <format dxfId="129">
      <pivotArea outline="0" collapsedLevelsAreSubtotals="1" fieldPosition="0"/>
    </format>
    <format dxfId="128">
      <pivotArea field="9" type="button" dataOnly="0" labelOnly="1" outline="0" axis="axisRow" fieldPosition="0"/>
    </format>
    <format dxfId="127">
      <pivotArea dataOnly="0" labelOnly="1" fieldPosition="0">
        <references count="1">
          <reference field="9"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BED818-DE2A-42BA-92FA-DA6D3B9085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_TYPE">
  <location ref="G19:J24"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Fields count="1">
    <field x="-2"/>
  </colFields>
  <colItems count="3">
    <i>
      <x/>
    </i>
    <i i="1">
      <x v="1"/>
    </i>
    <i i="2">
      <x v="2"/>
    </i>
  </colItems>
  <dataFields count="3">
    <dataField name="Average of CASUAL_RENTALS" fld="17" subtotal="average" baseField="0" baseItem="0"/>
    <dataField name="Average of REGISTERED_RENTALS" fld="18" subtotal="average" baseField="0" baseItem="0"/>
    <dataField name="Average of TOTAL_RENTALS" fld="19" subtotal="average" baseField="0" baseItem="0"/>
  </dataFields>
  <formats count="22">
    <format dxfId="168">
      <pivotArea type="all" dataOnly="0" outline="0" fieldPosition="0"/>
    </format>
    <format dxfId="167">
      <pivotArea outline="0" collapsedLevelsAreSubtotals="1" fieldPosition="0"/>
    </format>
    <format dxfId="166">
      <pivotArea field="12" type="button" dataOnly="0" labelOnly="1" outline="0" axis="axisRow" fieldPosition="0"/>
    </format>
    <format dxfId="165">
      <pivotArea dataOnly="0" labelOnly="1" fieldPosition="0">
        <references count="1">
          <reference field="12" count="0"/>
        </references>
      </pivotArea>
    </format>
    <format dxfId="164">
      <pivotArea dataOnly="0" labelOnly="1" grandRow="1" outline="0" fieldPosition="0"/>
    </format>
    <format dxfId="163">
      <pivotArea dataOnly="0" labelOnly="1" outline="0" fieldPosition="0">
        <references count="1">
          <reference field="4294967294" count="3">
            <x v="0"/>
            <x v="1"/>
            <x v="2"/>
          </reference>
        </references>
      </pivotArea>
    </format>
    <format dxfId="162">
      <pivotArea type="all" dataOnly="0" outline="0" fieldPosition="0"/>
    </format>
    <format dxfId="161">
      <pivotArea outline="0" collapsedLevelsAreSubtotals="1" fieldPosition="0"/>
    </format>
    <format dxfId="160">
      <pivotArea field="12" type="button" dataOnly="0" labelOnly="1" outline="0" axis="axisRow" fieldPosition="0"/>
    </format>
    <format dxfId="159">
      <pivotArea dataOnly="0" labelOnly="1" fieldPosition="0">
        <references count="1">
          <reference field="12" count="0"/>
        </references>
      </pivotArea>
    </format>
    <format dxfId="158">
      <pivotArea dataOnly="0" labelOnly="1" grandRow="1" outline="0" fieldPosition="0"/>
    </format>
    <format dxfId="157">
      <pivotArea dataOnly="0" labelOnly="1" outline="0" fieldPosition="0">
        <references count="1">
          <reference field="4294967294" count="3">
            <x v="0"/>
            <x v="1"/>
            <x v="2"/>
          </reference>
        </references>
      </pivotArea>
    </format>
    <format dxfId="156">
      <pivotArea collapsedLevelsAreSubtotals="1" fieldPosition="0">
        <references count="1">
          <reference field="12" count="3">
            <x v="0"/>
            <x v="1"/>
            <x v="2"/>
          </reference>
        </references>
      </pivotArea>
    </format>
    <format dxfId="155">
      <pivotArea field="12" type="button" dataOnly="0" labelOnly="1" outline="0" axis="axisRow" fieldPosition="0"/>
    </format>
    <format dxfId="154">
      <pivotArea dataOnly="0" labelOnly="1" fieldPosition="0">
        <references count="1">
          <reference field="12" count="3">
            <x v="0"/>
            <x v="1"/>
            <x v="2"/>
          </reference>
        </references>
      </pivotArea>
    </format>
    <format dxfId="153">
      <pivotArea dataOnly="0" labelOnly="1" outline="0" fieldPosition="0">
        <references count="1">
          <reference field="4294967294" count="3">
            <x v="0"/>
            <x v="1"/>
            <x v="2"/>
          </reference>
        </references>
      </pivotArea>
    </format>
    <format dxfId="152">
      <pivotArea type="all" dataOnly="0" outline="0" fieldPosition="0"/>
    </format>
    <format dxfId="151">
      <pivotArea outline="0" collapsedLevelsAreSubtotals="1" fieldPosition="0"/>
    </format>
    <format dxfId="150">
      <pivotArea field="12" type="button" dataOnly="0" labelOnly="1" outline="0" axis="axisRow" fieldPosition="0"/>
    </format>
    <format dxfId="149">
      <pivotArea dataOnly="0" labelOnly="1" fieldPosition="0">
        <references count="1">
          <reference field="12" count="0"/>
        </references>
      </pivotArea>
    </format>
    <format dxfId="148">
      <pivotArea dataOnly="0" labelOnly="1" grandRow="1" outline="0" fieldPosition="0"/>
    </format>
    <format dxfId="14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306EF0-6A57-4F20-8CDD-8C9506F40E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V9:Z17"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items count="3">
        <item x="0"/>
        <item x="1"/>
        <item t="default"/>
      </items>
    </pivotField>
    <pivotField showAll="0"/>
    <pivotField axis="axisRow" showAll="0">
      <items count="8">
        <item x="2"/>
        <item x="3"/>
        <item x="4"/>
        <item x="5"/>
        <item x="6"/>
        <item x="0"/>
        <item x="1"/>
        <item t="default"/>
      </items>
    </pivotField>
    <pivotField showAll="0">
      <items count="3">
        <item x="0"/>
        <item x="1"/>
        <item t="default"/>
      </items>
    </pivotField>
    <pivotField showAll="0"/>
    <pivotField showAll="0">
      <items count="5">
        <item x="0"/>
        <item x="1"/>
        <item x="3"/>
        <item x="2"/>
        <item t="default"/>
      </items>
    </pivotField>
    <pivotField dataField="1"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
  </colFields>
  <colItems count="4">
    <i>
      <x/>
    </i>
    <i i="1">
      <x v="1"/>
    </i>
    <i i="2">
      <x v="2"/>
    </i>
    <i i="3">
      <x v="3"/>
    </i>
  </colItems>
  <dataFields count="4">
    <dataField name="Sum of CASUAL_RENTALS" fld="17" baseField="0" baseItem="0"/>
    <dataField name="Sum of REGISTERED_RENTALS" fld="18" baseField="0" baseItem="0"/>
    <dataField name="Sum of TEMP." fld="13" baseField="0" baseItem="0"/>
    <dataField name="Sum of TOTAL_RENTALS" fld="19" baseField="0" baseItem="0"/>
  </dataFields>
  <chartFormats count="128">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9" count="1" selected="0">
            <x v="0"/>
          </reference>
        </references>
      </pivotArea>
    </chartFormat>
    <chartFormat chart="9" format="12">
      <pivotArea type="data" outline="0" fieldPosition="0">
        <references count="2">
          <reference field="4294967294" count="1" selected="0">
            <x v="0"/>
          </reference>
          <reference field="9" count="1" selected="0">
            <x v="1"/>
          </reference>
        </references>
      </pivotArea>
    </chartFormat>
    <chartFormat chart="9" format="13">
      <pivotArea type="data" outline="0" fieldPosition="0">
        <references count="2">
          <reference field="4294967294" count="1" selected="0">
            <x v="0"/>
          </reference>
          <reference field="9" count="1" selected="0">
            <x v="2"/>
          </reference>
        </references>
      </pivotArea>
    </chartFormat>
    <chartFormat chart="9" format="14">
      <pivotArea type="data" outline="0" fieldPosition="0">
        <references count="2">
          <reference field="4294967294" count="1" selected="0">
            <x v="0"/>
          </reference>
          <reference field="9" count="1" selected="0">
            <x v="3"/>
          </reference>
        </references>
      </pivotArea>
    </chartFormat>
    <chartFormat chart="9" format="15">
      <pivotArea type="data" outline="0" fieldPosition="0">
        <references count="2">
          <reference field="4294967294" count="1" selected="0">
            <x v="0"/>
          </reference>
          <reference field="9" count="1" selected="0">
            <x v="4"/>
          </reference>
        </references>
      </pivotArea>
    </chartFormat>
    <chartFormat chart="9" format="16">
      <pivotArea type="data" outline="0" fieldPosition="0">
        <references count="2">
          <reference field="4294967294" count="1" selected="0">
            <x v="0"/>
          </reference>
          <reference field="9" count="1" selected="0">
            <x v="5"/>
          </reference>
        </references>
      </pivotArea>
    </chartFormat>
    <chartFormat chart="9" format="17">
      <pivotArea type="data" outline="0" fieldPosition="0">
        <references count="2">
          <reference field="4294967294" count="1" selected="0">
            <x v="0"/>
          </reference>
          <reference field="9" count="1" selected="0">
            <x v="6"/>
          </reference>
        </references>
      </pivotArea>
    </chartFormat>
    <chartFormat chart="9" format="18" series="1">
      <pivotArea type="data" outline="0" fieldPosition="0">
        <references count="1">
          <reference field="4294967294" count="1" selected="0">
            <x v="1"/>
          </reference>
        </references>
      </pivotArea>
    </chartFormat>
    <chartFormat chart="9" format="19">
      <pivotArea type="data" outline="0" fieldPosition="0">
        <references count="2">
          <reference field="4294967294" count="1" selected="0">
            <x v="1"/>
          </reference>
          <reference field="9" count="1" selected="0">
            <x v="0"/>
          </reference>
        </references>
      </pivotArea>
    </chartFormat>
    <chartFormat chart="9" format="20">
      <pivotArea type="data" outline="0" fieldPosition="0">
        <references count="2">
          <reference field="4294967294" count="1" selected="0">
            <x v="1"/>
          </reference>
          <reference field="9" count="1" selected="0">
            <x v="1"/>
          </reference>
        </references>
      </pivotArea>
    </chartFormat>
    <chartFormat chart="9" format="21">
      <pivotArea type="data" outline="0" fieldPosition="0">
        <references count="2">
          <reference field="4294967294" count="1" selected="0">
            <x v="1"/>
          </reference>
          <reference field="9" count="1" selected="0">
            <x v="2"/>
          </reference>
        </references>
      </pivotArea>
    </chartFormat>
    <chartFormat chart="9" format="22">
      <pivotArea type="data" outline="0" fieldPosition="0">
        <references count="2">
          <reference field="4294967294" count="1" selected="0">
            <x v="1"/>
          </reference>
          <reference field="9" count="1" selected="0">
            <x v="3"/>
          </reference>
        </references>
      </pivotArea>
    </chartFormat>
    <chartFormat chart="9" format="23">
      <pivotArea type="data" outline="0" fieldPosition="0">
        <references count="2">
          <reference field="4294967294" count="1" selected="0">
            <x v="1"/>
          </reference>
          <reference field="9" count="1" selected="0">
            <x v="4"/>
          </reference>
        </references>
      </pivotArea>
    </chartFormat>
    <chartFormat chart="9" format="24">
      <pivotArea type="data" outline="0" fieldPosition="0">
        <references count="2">
          <reference field="4294967294" count="1" selected="0">
            <x v="1"/>
          </reference>
          <reference field="9" count="1" selected="0">
            <x v="5"/>
          </reference>
        </references>
      </pivotArea>
    </chartFormat>
    <chartFormat chart="9" format="25">
      <pivotArea type="data" outline="0" fieldPosition="0">
        <references count="2">
          <reference field="4294967294" count="1" selected="0">
            <x v="1"/>
          </reference>
          <reference field="9" count="1" selected="0">
            <x v="6"/>
          </reference>
        </references>
      </pivotArea>
    </chartFormat>
    <chartFormat chart="9" format="26" series="1">
      <pivotArea type="data" outline="0" fieldPosition="0">
        <references count="1">
          <reference field="4294967294" count="1" selected="0">
            <x v="2"/>
          </reference>
        </references>
      </pivotArea>
    </chartFormat>
    <chartFormat chart="9" format="27">
      <pivotArea type="data" outline="0" fieldPosition="0">
        <references count="2">
          <reference field="4294967294" count="1" selected="0">
            <x v="2"/>
          </reference>
          <reference field="9" count="1" selected="0">
            <x v="0"/>
          </reference>
        </references>
      </pivotArea>
    </chartFormat>
    <chartFormat chart="9" format="28">
      <pivotArea type="data" outline="0" fieldPosition="0">
        <references count="2">
          <reference field="4294967294" count="1" selected="0">
            <x v="2"/>
          </reference>
          <reference field="9" count="1" selected="0">
            <x v="1"/>
          </reference>
        </references>
      </pivotArea>
    </chartFormat>
    <chartFormat chart="9" format="29">
      <pivotArea type="data" outline="0" fieldPosition="0">
        <references count="2">
          <reference field="4294967294" count="1" selected="0">
            <x v="2"/>
          </reference>
          <reference field="9" count="1" selected="0">
            <x v="2"/>
          </reference>
        </references>
      </pivotArea>
    </chartFormat>
    <chartFormat chart="9" format="30">
      <pivotArea type="data" outline="0" fieldPosition="0">
        <references count="2">
          <reference field="4294967294" count="1" selected="0">
            <x v="2"/>
          </reference>
          <reference field="9" count="1" selected="0">
            <x v="3"/>
          </reference>
        </references>
      </pivotArea>
    </chartFormat>
    <chartFormat chart="9" format="31">
      <pivotArea type="data" outline="0" fieldPosition="0">
        <references count="2">
          <reference field="4294967294" count="1" selected="0">
            <x v="2"/>
          </reference>
          <reference field="9" count="1" selected="0">
            <x v="4"/>
          </reference>
        </references>
      </pivotArea>
    </chartFormat>
    <chartFormat chart="9" format="32">
      <pivotArea type="data" outline="0" fieldPosition="0">
        <references count="2">
          <reference field="4294967294" count="1" selected="0">
            <x v="2"/>
          </reference>
          <reference field="9" count="1" selected="0">
            <x v="5"/>
          </reference>
        </references>
      </pivotArea>
    </chartFormat>
    <chartFormat chart="9" format="33">
      <pivotArea type="data" outline="0" fieldPosition="0">
        <references count="2">
          <reference field="4294967294" count="1" selected="0">
            <x v="2"/>
          </reference>
          <reference field="9" count="1" selected="0">
            <x v="6"/>
          </reference>
        </references>
      </pivotArea>
    </chartFormat>
    <chartFormat chart="9" format="34" series="1">
      <pivotArea type="data" outline="0" fieldPosition="0">
        <references count="1">
          <reference field="4294967294" count="1" selected="0">
            <x v="3"/>
          </reference>
        </references>
      </pivotArea>
    </chartFormat>
    <chartFormat chart="9" format="35">
      <pivotArea type="data" outline="0" fieldPosition="0">
        <references count="2">
          <reference field="4294967294" count="1" selected="0">
            <x v="3"/>
          </reference>
          <reference field="9" count="1" selected="0">
            <x v="0"/>
          </reference>
        </references>
      </pivotArea>
    </chartFormat>
    <chartFormat chart="9" format="36">
      <pivotArea type="data" outline="0" fieldPosition="0">
        <references count="2">
          <reference field="4294967294" count="1" selected="0">
            <x v="3"/>
          </reference>
          <reference field="9" count="1" selected="0">
            <x v="1"/>
          </reference>
        </references>
      </pivotArea>
    </chartFormat>
    <chartFormat chart="9" format="37">
      <pivotArea type="data" outline="0" fieldPosition="0">
        <references count="2">
          <reference field="4294967294" count="1" selected="0">
            <x v="3"/>
          </reference>
          <reference field="9" count="1" selected="0">
            <x v="2"/>
          </reference>
        </references>
      </pivotArea>
    </chartFormat>
    <chartFormat chart="9" format="38">
      <pivotArea type="data" outline="0" fieldPosition="0">
        <references count="2">
          <reference field="4294967294" count="1" selected="0">
            <x v="3"/>
          </reference>
          <reference field="9" count="1" selected="0">
            <x v="3"/>
          </reference>
        </references>
      </pivotArea>
    </chartFormat>
    <chartFormat chart="9" format="39">
      <pivotArea type="data" outline="0" fieldPosition="0">
        <references count="2">
          <reference field="4294967294" count="1" selected="0">
            <x v="3"/>
          </reference>
          <reference field="9" count="1" selected="0">
            <x v="4"/>
          </reference>
        </references>
      </pivotArea>
    </chartFormat>
    <chartFormat chart="9" format="40">
      <pivotArea type="data" outline="0" fieldPosition="0">
        <references count="2">
          <reference field="4294967294" count="1" selected="0">
            <x v="3"/>
          </reference>
          <reference field="9" count="1" selected="0">
            <x v="5"/>
          </reference>
        </references>
      </pivotArea>
    </chartFormat>
    <chartFormat chart="9" format="41">
      <pivotArea type="data" outline="0" fieldPosition="0">
        <references count="2">
          <reference field="4294967294" count="1" selected="0">
            <x v="3"/>
          </reference>
          <reference field="9" count="1" selected="0">
            <x v="6"/>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17" format="36" series="1">
      <pivotArea type="data" outline="0" fieldPosition="0">
        <references count="1">
          <reference field="4294967294" count="1" selected="0">
            <x v="0"/>
          </reference>
        </references>
      </pivotArea>
    </chartFormat>
    <chartFormat chart="17" format="37">
      <pivotArea type="data" outline="0" fieldPosition="0">
        <references count="2">
          <reference field="4294967294" count="1" selected="0">
            <x v="0"/>
          </reference>
          <reference field="9" count="1" selected="0">
            <x v="0"/>
          </reference>
        </references>
      </pivotArea>
    </chartFormat>
    <chartFormat chart="17" format="38">
      <pivotArea type="data" outline="0" fieldPosition="0">
        <references count="2">
          <reference field="4294967294" count="1" selected="0">
            <x v="0"/>
          </reference>
          <reference field="9" count="1" selected="0">
            <x v="1"/>
          </reference>
        </references>
      </pivotArea>
    </chartFormat>
    <chartFormat chart="17" format="39">
      <pivotArea type="data" outline="0" fieldPosition="0">
        <references count="2">
          <reference field="4294967294" count="1" selected="0">
            <x v="0"/>
          </reference>
          <reference field="9" count="1" selected="0">
            <x v="2"/>
          </reference>
        </references>
      </pivotArea>
    </chartFormat>
    <chartFormat chart="17" format="40">
      <pivotArea type="data" outline="0" fieldPosition="0">
        <references count="2">
          <reference field="4294967294" count="1" selected="0">
            <x v="0"/>
          </reference>
          <reference field="9" count="1" selected="0">
            <x v="3"/>
          </reference>
        </references>
      </pivotArea>
    </chartFormat>
    <chartFormat chart="17" format="41">
      <pivotArea type="data" outline="0" fieldPosition="0">
        <references count="2">
          <reference field="4294967294" count="1" selected="0">
            <x v="0"/>
          </reference>
          <reference field="9" count="1" selected="0">
            <x v="4"/>
          </reference>
        </references>
      </pivotArea>
    </chartFormat>
    <chartFormat chart="17" format="42">
      <pivotArea type="data" outline="0" fieldPosition="0">
        <references count="2">
          <reference field="4294967294" count="1" selected="0">
            <x v="0"/>
          </reference>
          <reference field="9" count="1" selected="0">
            <x v="5"/>
          </reference>
        </references>
      </pivotArea>
    </chartFormat>
    <chartFormat chart="17" format="43">
      <pivotArea type="data" outline="0" fieldPosition="0">
        <references count="2">
          <reference field="4294967294" count="1" selected="0">
            <x v="0"/>
          </reference>
          <reference field="9" count="1" selected="0">
            <x v="6"/>
          </reference>
        </references>
      </pivotArea>
    </chartFormat>
    <chartFormat chart="17" format="44" series="1">
      <pivotArea type="data" outline="0" fieldPosition="0">
        <references count="1">
          <reference field="4294967294" count="1" selected="0">
            <x v="1"/>
          </reference>
        </references>
      </pivotArea>
    </chartFormat>
    <chartFormat chart="17" format="45">
      <pivotArea type="data" outline="0" fieldPosition="0">
        <references count="2">
          <reference field="4294967294" count="1" selected="0">
            <x v="1"/>
          </reference>
          <reference field="9" count="1" selected="0">
            <x v="0"/>
          </reference>
        </references>
      </pivotArea>
    </chartFormat>
    <chartFormat chart="17" format="46">
      <pivotArea type="data" outline="0" fieldPosition="0">
        <references count="2">
          <reference field="4294967294" count="1" selected="0">
            <x v="1"/>
          </reference>
          <reference field="9" count="1" selected="0">
            <x v="1"/>
          </reference>
        </references>
      </pivotArea>
    </chartFormat>
    <chartFormat chart="17" format="47">
      <pivotArea type="data" outline="0" fieldPosition="0">
        <references count="2">
          <reference field="4294967294" count="1" selected="0">
            <x v="1"/>
          </reference>
          <reference field="9" count="1" selected="0">
            <x v="2"/>
          </reference>
        </references>
      </pivotArea>
    </chartFormat>
    <chartFormat chart="17" format="48">
      <pivotArea type="data" outline="0" fieldPosition="0">
        <references count="2">
          <reference field="4294967294" count="1" selected="0">
            <x v="1"/>
          </reference>
          <reference field="9" count="1" selected="0">
            <x v="3"/>
          </reference>
        </references>
      </pivotArea>
    </chartFormat>
    <chartFormat chart="17" format="49">
      <pivotArea type="data" outline="0" fieldPosition="0">
        <references count="2">
          <reference field="4294967294" count="1" selected="0">
            <x v="1"/>
          </reference>
          <reference field="9" count="1" selected="0">
            <x v="4"/>
          </reference>
        </references>
      </pivotArea>
    </chartFormat>
    <chartFormat chart="17" format="50">
      <pivotArea type="data" outline="0" fieldPosition="0">
        <references count="2">
          <reference field="4294967294" count="1" selected="0">
            <x v="1"/>
          </reference>
          <reference field="9" count="1" selected="0">
            <x v="5"/>
          </reference>
        </references>
      </pivotArea>
    </chartFormat>
    <chartFormat chart="17" format="51">
      <pivotArea type="data" outline="0" fieldPosition="0">
        <references count="2">
          <reference field="4294967294" count="1" selected="0">
            <x v="1"/>
          </reference>
          <reference field="9" count="1" selected="0">
            <x v="6"/>
          </reference>
        </references>
      </pivotArea>
    </chartFormat>
    <chartFormat chart="17" format="52" series="1">
      <pivotArea type="data" outline="0" fieldPosition="0">
        <references count="1">
          <reference field="4294967294" count="1" selected="0">
            <x v="2"/>
          </reference>
        </references>
      </pivotArea>
    </chartFormat>
    <chartFormat chart="17" format="53">
      <pivotArea type="data" outline="0" fieldPosition="0">
        <references count="2">
          <reference field="4294967294" count="1" selected="0">
            <x v="2"/>
          </reference>
          <reference field="9" count="1" selected="0">
            <x v="0"/>
          </reference>
        </references>
      </pivotArea>
    </chartFormat>
    <chartFormat chart="17" format="54">
      <pivotArea type="data" outline="0" fieldPosition="0">
        <references count="2">
          <reference field="4294967294" count="1" selected="0">
            <x v="2"/>
          </reference>
          <reference field="9" count="1" selected="0">
            <x v="1"/>
          </reference>
        </references>
      </pivotArea>
    </chartFormat>
    <chartFormat chart="17" format="55">
      <pivotArea type="data" outline="0" fieldPosition="0">
        <references count="2">
          <reference field="4294967294" count="1" selected="0">
            <x v="2"/>
          </reference>
          <reference field="9" count="1" selected="0">
            <x v="2"/>
          </reference>
        </references>
      </pivotArea>
    </chartFormat>
    <chartFormat chart="17" format="56">
      <pivotArea type="data" outline="0" fieldPosition="0">
        <references count="2">
          <reference field="4294967294" count="1" selected="0">
            <x v="2"/>
          </reference>
          <reference field="9" count="1" selected="0">
            <x v="3"/>
          </reference>
        </references>
      </pivotArea>
    </chartFormat>
    <chartFormat chart="17" format="57">
      <pivotArea type="data" outline="0" fieldPosition="0">
        <references count="2">
          <reference field="4294967294" count="1" selected="0">
            <x v="2"/>
          </reference>
          <reference field="9" count="1" selected="0">
            <x v="4"/>
          </reference>
        </references>
      </pivotArea>
    </chartFormat>
    <chartFormat chart="17" format="58">
      <pivotArea type="data" outline="0" fieldPosition="0">
        <references count="2">
          <reference field="4294967294" count="1" selected="0">
            <x v="2"/>
          </reference>
          <reference field="9" count="1" selected="0">
            <x v="5"/>
          </reference>
        </references>
      </pivotArea>
    </chartFormat>
    <chartFormat chart="17" format="59">
      <pivotArea type="data" outline="0" fieldPosition="0">
        <references count="2">
          <reference field="4294967294" count="1" selected="0">
            <x v="2"/>
          </reference>
          <reference field="9" count="1" selected="0">
            <x v="6"/>
          </reference>
        </references>
      </pivotArea>
    </chartFormat>
    <chartFormat chart="17" format="60" series="1">
      <pivotArea type="data" outline="0" fieldPosition="0">
        <references count="1">
          <reference field="4294967294" count="1" selected="0">
            <x v="3"/>
          </reference>
        </references>
      </pivotArea>
    </chartFormat>
    <chartFormat chart="17" format="61">
      <pivotArea type="data" outline="0" fieldPosition="0">
        <references count="2">
          <reference field="4294967294" count="1" selected="0">
            <x v="3"/>
          </reference>
          <reference field="9" count="1" selected="0">
            <x v="0"/>
          </reference>
        </references>
      </pivotArea>
    </chartFormat>
    <chartFormat chart="17" format="62">
      <pivotArea type="data" outline="0" fieldPosition="0">
        <references count="2">
          <reference field="4294967294" count="1" selected="0">
            <x v="3"/>
          </reference>
          <reference field="9" count="1" selected="0">
            <x v="1"/>
          </reference>
        </references>
      </pivotArea>
    </chartFormat>
    <chartFormat chart="17" format="63">
      <pivotArea type="data" outline="0" fieldPosition="0">
        <references count="2">
          <reference field="4294967294" count="1" selected="0">
            <x v="3"/>
          </reference>
          <reference field="9" count="1" selected="0">
            <x v="2"/>
          </reference>
        </references>
      </pivotArea>
    </chartFormat>
    <chartFormat chart="17" format="64">
      <pivotArea type="data" outline="0" fieldPosition="0">
        <references count="2">
          <reference field="4294967294" count="1" selected="0">
            <x v="3"/>
          </reference>
          <reference field="9" count="1" selected="0">
            <x v="3"/>
          </reference>
        </references>
      </pivotArea>
    </chartFormat>
    <chartFormat chart="17" format="65">
      <pivotArea type="data" outline="0" fieldPosition="0">
        <references count="2">
          <reference field="4294967294" count="1" selected="0">
            <x v="3"/>
          </reference>
          <reference field="9" count="1" selected="0">
            <x v="4"/>
          </reference>
        </references>
      </pivotArea>
    </chartFormat>
    <chartFormat chart="17" format="66">
      <pivotArea type="data" outline="0" fieldPosition="0">
        <references count="2">
          <reference field="4294967294" count="1" selected="0">
            <x v="3"/>
          </reference>
          <reference field="9" count="1" selected="0">
            <x v="5"/>
          </reference>
        </references>
      </pivotArea>
    </chartFormat>
    <chartFormat chart="17" format="67">
      <pivotArea type="data" outline="0" fieldPosition="0">
        <references count="2">
          <reference field="4294967294" count="1" selected="0">
            <x v="3"/>
          </reference>
          <reference field="9" count="1" selected="0">
            <x v="6"/>
          </reference>
        </references>
      </pivotArea>
    </chartFormat>
    <chartFormat chart="15" format="4">
      <pivotArea type="data" outline="0" fieldPosition="0">
        <references count="2">
          <reference field="4294967294" count="1" selected="0">
            <x v="0"/>
          </reference>
          <reference field="9" count="1" selected="0">
            <x v="0"/>
          </reference>
        </references>
      </pivotArea>
    </chartFormat>
    <chartFormat chart="15" format="5">
      <pivotArea type="data" outline="0" fieldPosition="0">
        <references count="2">
          <reference field="4294967294" count="1" selected="0">
            <x v="0"/>
          </reference>
          <reference field="9" count="1" selected="0">
            <x v="1"/>
          </reference>
        </references>
      </pivotArea>
    </chartFormat>
    <chartFormat chart="15" format="6">
      <pivotArea type="data" outline="0" fieldPosition="0">
        <references count="2">
          <reference field="4294967294" count="1" selected="0">
            <x v="0"/>
          </reference>
          <reference field="9" count="1" selected="0">
            <x v="2"/>
          </reference>
        </references>
      </pivotArea>
    </chartFormat>
    <chartFormat chart="15" format="7">
      <pivotArea type="data" outline="0" fieldPosition="0">
        <references count="2">
          <reference field="4294967294" count="1" selected="0">
            <x v="0"/>
          </reference>
          <reference field="9" count="1" selected="0">
            <x v="3"/>
          </reference>
        </references>
      </pivotArea>
    </chartFormat>
    <chartFormat chart="15" format="8">
      <pivotArea type="data" outline="0" fieldPosition="0">
        <references count="2">
          <reference field="4294967294" count="1" selected="0">
            <x v="0"/>
          </reference>
          <reference field="9" count="1" selected="0">
            <x v="4"/>
          </reference>
        </references>
      </pivotArea>
    </chartFormat>
    <chartFormat chart="15" format="9">
      <pivotArea type="data" outline="0" fieldPosition="0">
        <references count="2">
          <reference field="4294967294" count="1" selected="0">
            <x v="0"/>
          </reference>
          <reference field="9" count="1" selected="0">
            <x v="5"/>
          </reference>
        </references>
      </pivotArea>
    </chartFormat>
    <chartFormat chart="15" format="10">
      <pivotArea type="data" outline="0" fieldPosition="0">
        <references count="2">
          <reference field="4294967294" count="1" selected="0">
            <x v="0"/>
          </reference>
          <reference field="9" count="1" selected="0">
            <x v="6"/>
          </reference>
        </references>
      </pivotArea>
    </chartFormat>
    <chartFormat chart="15" format="11">
      <pivotArea type="data" outline="0" fieldPosition="0">
        <references count="2">
          <reference field="4294967294" count="1" selected="0">
            <x v="1"/>
          </reference>
          <reference field="9" count="1" selected="0">
            <x v="0"/>
          </reference>
        </references>
      </pivotArea>
    </chartFormat>
    <chartFormat chart="15" format="12">
      <pivotArea type="data" outline="0" fieldPosition="0">
        <references count="2">
          <reference field="4294967294" count="1" selected="0">
            <x v="1"/>
          </reference>
          <reference field="9" count="1" selected="0">
            <x v="1"/>
          </reference>
        </references>
      </pivotArea>
    </chartFormat>
    <chartFormat chart="15" format="13">
      <pivotArea type="data" outline="0" fieldPosition="0">
        <references count="2">
          <reference field="4294967294" count="1" selected="0">
            <x v="1"/>
          </reference>
          <reference field="9" count="1" selected="0">
            <x v="2"/>
          </reference>
        </references>
      </pivotArea>
    </chartFormat>
    <chartFormat chart="15" format="14">
      <pivotArea type="data" outline="0" fieldPosition="0">
        <references count="2">
          <reference field="4294967294" count="1" selected="0">
            <x v="1"/>
          </reference>
          <reference field="9" count="1" selected="0">
            <x v="3"/>
          </reference>
        </references>
      </pivotArea>
    </chartFormat>
    <chartFormat chart="15" format="15">
      <pivotArea type="data" outline="0" fieldPosition="0">
        <references count="2">
          <reference field="4294967294" count="1" selected="0">
            <x v="1"/>
          </reference>
          <reference field="9" count="1" selected="0">
            <x v="4"/>
          </reference>
        </references>
      </pivotArea>
    </chartFormat>
    <chartFormat chart="15" format="16">
      <pivotArea type="data" outline="0" fieldPosition="0">
        <references count="2">
          <reference field="4294967294" count="1" selected="0">
            <x v="1"/>
          </reference>
          <reference field="9" count="1" selected="0">
            <x v="5"/>
          </reference>
        </references>
      </pivotArea>
    </chartFormat>
    <chartFormat chart="15" format="17">
      <pivotArea type="data" outline="0" fieldPosition="0">
        <references count="2">
          <reference field="4294967294" count="1" selected="0">
            <x v="1"/>
          </reference>
          <reference field="9" count="1" selected="0">
            <x v="6"/>
          </reference>
        </references>
      </pivotArea>
    </chartFormat>
    <chartFormat chart="15" format="18">
      <pivotArea type="data" outline="0" fieldPosition="0">
        <references count="2">
          <reference field="4294967294" count="1" selected="0">
            <x v="2"/>
          </reference>
          <reference field="9" count="1" selected="0">
            <x v="0"/>
          </reference>
        </references>
      </pivotArea>
    </chartFormat>
    <chartFormat chart="15" format="19">
      <pivotArea type="data" outline="0" fieldPosition="0">
        <references count="2">
          <reference field="4294967294" count="1" selected="0">
            <x v="2"/>
          </reference>
          <reference field="9" count="1" selected="0">
            <x v="1"/>
          </reference>
        </references>
      </pivotArea>
    </chartFormat>
    <chartFormat chart="15" format="20">
      <pivotArea type="data" outline="0" fieldPosition="0">
        <references count="2">
          <reference field="4294967294" count="1" selected="0">
            <x v="2"/>
          </reference>
          <reference field="9" count="1" selected="0">
            <x v="2"/>
          </reference>
        </references>
      </pivotArea>
    </chartFormat>
    <chartFormat chart="15" format="21">
      <pivotArea type="data" outline="0" fieldPosition="0">
        <references count="2">
          <reference field="4294967294" count="1" selected="0">
            <x v="2"/>
          </reference>
          <reference field="9" count="1" selected="0">
            <x v="3"/>
          </reference>
        </references>
      </pivotArea>
    </chartFormat>
    <chartFormat chart="15" format="22">
      <pivotArea type="data" outline="0" fieldPosition="0">
        <references count="2">
          <reference field="4294967294" count="1" selected="0">
            <x v="2"/>
          </reference>
          <reference field="9" count="1" selected="0">
            <x v="4"/>
          </reference>
        </references>
      </pivotArea>
    </chartFormat>
    <chartFormat chart="15" format="23">
      <pivotArea type="data" outline="0" fieldPosition="0">
        <references count="2">
          <reference field="4294967294" count="1" selected="0">
            <x v="2"/>
          </reference>
          <reference field="9" count="1" selected="0">
            <x v="5"/>
          </reference>
        </references>
      </pivotArea>
    </chartFormat>
    <chartFormat chart="15" format="24">
      <pivotArea type="data" outline="0" fieldPosition="0">
        <references count="2">
          <reference field="4294967294" count="1" selected="0">
            <x v="2"/>
          </reference>
          <reference field="9" count="1" selected="0">
            <x v="6"/>
          </reference>
        </references>
      </pivotArea>
    </chartFormat>
    <chartFormat chart="15" format="25">
      <pivotArea type="data" outline="0" fieldPosition="0">
        <references count="2">
          <reference field="4294967294" count="1" selected="0">
            <x v="3"/>
          </reference>
          <reference field="9" count="1" selected="0">
            <x v="0"/>
          </reference>
        </references>
      </pivotArea>
    </chartFormat>
    <chartFormat chart="15" format="26">
      <pivotArea type="data" outline="0" fieldPosition="0">
        <references count="2">
          <reference field="4294967294" count="1" selected="0">
            <x v="3"/>
          </reference>
          <reference field="9" count="1" selected="0">
            <x v="1"/>
          </reference>
        </references>
      </pivotArea>
    </chartFormat>
    <chartFormat chart="15" format="27">
      <pivotArea type="data" outline="0" fieldPosition="0">
        <references count="2">
          <reference field="4294967294" count="1" selected="0">
            <x v="3"/>
          </reference>
          <reference field="9" count="1" selected="0">
            <x v="2"/>
          </reference>
        </references>
      </pivotArea>
    </chartFormat>
    <chartFormat chart="15" format="28">
      <pivotArea type="data" outline="0" fieldPosition="0">
        <references count="2">
          <reference field="4294967294" count="1" selected="0">
            <x v="3"/>
          </reference>
          <reference field="9" count="1" selected="0">
            <x v="3"/>
          </reference>
        </references>
      </pivotArea>
    </chartFormat>
    <chartFormat chart="15" format="29">
      <pivotArea type="data" outline="0" fieldPosition="0">
        <references count="2">
          <reference field="4294967294" count="1" selected="0">
            <x v="3"/>
          </reference>
          <reference field="9" count="1" selected="0">
            <x v="4"/>
          </reference>
        </references>
      </pivotArea>
    </chartFormat>
    <chartFormat chart="15" format="30">
      <pivotArea type="data" outline="0" fieldPosition="0">
        <references count="2">
          <reference field="4294967294" count="1" selected="0">
            <x v="3"/>
          </reference>
          <reference field="9" count="1" selected="0">
            <x v="5"/>
          </reference>
        </references>
      </pivotArea>
    </chartFormat>
    <chartFormat chart="15" format="31">
      <pivotArea type="data" outline="0" fieldPosition="0">
        <references count="2">
          <reference field="4294967294" count="1" selected="0">
            <x v="3"/>
          </reference>
          <reference field="9" count="1" selected="0">
            <x v="6"/>
          </reference>
        </references>
      </pivotArea>
    </chartFormat>
    <chartFormat chart="21" format="64" series="1">
      <pivotArea type="data" outline="0" fieldPosition="0">
        <references count="1">
          <reference field="4294967294" count="1" selected="0">
            <x v="0"/>
          </reference>
        </references>
      </pivotArea>
    </chartFormat>
    <chartFormat chart="21" format="65">
      <pivotArea type="data" outline="0" fieldPosition="0">
        <references count="2">
          <reference field="4294967294" count="1" selected="0">
            <x v="0"/>
          </reference>
          <reference field="9" count="1" selected="0">
            <x v="0"/>
          </reference>
        </references>
      </pivotArea>
    </chartFormat>
    <chartFormat chart="21" format="66">
      <pivotArea type="data" outline="0" fieldPosition="0">
        <references count="2">
          <reference field="4294967294" count="1" selected="0">
            <x v="0"/>
          </reference>
          <reference field="9" count="1" selected="0">
            <x v="1"/>
          </reference>
        </references>
      </pivotArea>
    </chartFormat>
    <chartFormat chart="21" format="67">
      <pivotArea type="data" outline="0" fieldPosition="0">
        <references count="2">
          <reference field="4294967294" count="1" selected="0">
            <x v="0"/>
          </reference>
          <reference field="9" count="1" selected="0">
            <x v="2"/>
          </reference>
        </references>
      </pivotArea>
    </chartFormat>
    <chartFormat chart="21" format="68">
      <pivotArea type="data" outline="0" fieldPosition="0">
        <references count="2">
          <reference field="4294967294" count="1" selected="0">
            <x v="0"/>
          </reference>
          <reference field="9" count="1" selected="0">
            <x v="3"/>
          </reference>
        </references>
      </pivotArea>
    </chartFormat>
    <chartFormat chart="21" format="69">
      <pivotArea type="data" outline="0" fieldPosition="0">
        <references count="2">
          <reference field="4294967294" count="1" selected="0">
            <x v="0"/>
          </reference>
          <reference field="9" count="1" selected="0">
            <x v="4"/>
          </reference>
        </references>
      </pivotArea>
    </chartFormat>
    <chartFormat chart="21" format="70">
      <pivotArea type="data" outline="0" fieldPosition="0">
        <references count="2">
          <reference field="4294967294" count="1" selected="0">
            <x v="0"/>
          </reference>
          <reference field="9" count="1" selected="0">
            <x v="5"/>
          </reference>
        </references>
      </pivotArea>
    </chartFormat>
    <chartFormat chart="21" format="71">
      <pivotArea type="data" outline="0" fieldPosition="0">
        <references count="2">
          <reference field="4294967294" count="1" selected="0">
            <x v="0"/>
          </reference>
          <reference field="9" count="1" selected="0">
            <x v="6"/>
          </reference>
        </references>
      </pivotArea>
    </chartFormat>
    <chartFormat chart="21" format="72" series="1">
      <pivotArea type="data" outline="0" fieldPosition="0">
        <references count="1">
          <reference field="4294967294" count="1" selected="0">
            <x v="1"/>
          </reference>
        </references>
      </pivotArea>
    </chartFormat>
    <chartFormat chart="21" format="73">
      <pivotArea type="data" outline="0" fieldPosition="0">
        <references count="2">
          <reference field="4294967294" count="1" selected="0">
            <x v="1"/>
          </reference>
          <reference field="9" count="1" selected="0">
            <x v="0"/>
          </reference>
        </references>
      </pivotArea>
    </chartFormat>
    <chartFormat chart="21" format="74">
      <pivotArea type="data" outline="0" fieldPosition="0">
        <references count="2">
          <reference field="4294967294" count="1" selected="0">
            <x v="1"/>
          </reference>
          <reference field="9" count="1" selected="0">
            <x v="1"/>
          </reference>
        </references>
      </pivotArea>
    </chartFormat>
    <chartFormat chart="21" format="75">
      <pivotArea type="data" outline="0" fieldPosition="0">
        <references count="2">
          <reference field="4294967294" count="1" selected="0">
            <x v="1"/>
          </reference>
          <reference field="9" count="1" selected="0">
            <x v="2"/>
          </reference>
        </references>
      </pivotArea>
    </chartFormat>
    <chartFormat chart="21" format="76">
      <pivotArea type="data" outline="0" fieldPosition="0">
        <references count="2">
          <reference field="4294967294" count="1" selected="0">
            <x v="1"/>
          </reference>
          <reference field="9" count="1" selected="0">
            <x v="3"/>
          </reference>
        </references>
      </pivotArea>
    </chartFormat>
    <chartFormat chart="21" format="77">
      <pivotArea type="data" outline="0" fieldPosition="0">
        <references count="2">
          <reference field="4294967294" count="1" selected="0">
            <x v="1"/>
          </reference>
          <reference field="9" count="1" selected="0">
            <x v="4"/>
          </reference>
        </references>
      </pivotArea>
    </chartFormat>
    <chartFormat chart="21" format="78">
      <pivotArea type="data" outline="0" fieldPosition="0">
        <references count="2">
          <reference field="4294967294" count="1" selected="0">
            <x v="1"/>
          </reference>
          <reference field="9" count="1" selected="0">
            <x v="5"/>
          </reference>
        </references>
      </pivotArea>
    </chartFormat>
    <chartFormat chart="21" format="79">
      <pivotArea type="data" outline="0" fieldPosition="0">
        <references count="2">
          <reference field="4294967294" count="1" selected="0">
            <x v="1"/>
          </reference>
          <reference field="9" count="1" selected="0">
            <x v="6"/>
          </reference>
        </references>
      </pivotArea>
    </chartFormat>
    <chartFormat chart="21" format="80" series="1">
      <pivotArea type="data" outline="0" fieldPosition="0">
        <references count="1">
          <reference field="4294967294" count="1" selected="0">
            <x v="2"/>
          </reference>
        </references>
      </pivotArea>
    </chartFormat>
    <chartFormat chart="21" format="81">
      <pivotArea type="data" outline="0" fieldPosition="0">
        <references count="2">
          <reference field="4294967294" count="1" selected="0">
            <x v="2"/>
          </reference>
          <reference field="9" count="1" selected="0">
            <x v="0"/>
          </reference>
        </references>
      </pivotArea>
    </chartFormat>
    <chartFormat chart="21" format="82">
      <pivotArea type="data" outline="0" fieldPosition="0">
        <references count="2">
          <reference field="4294967294" count="1" selected="0">
            <x v="2"/>
          </reference>
          <reference field="9" count="1" selected="0">
            <x v="1"/>
          </reference>
        </references>
      </pivotArea>
    </chartFormat>
    <chartFormat chart="21" format="83">
      <pivotArea type="data" outline="0" fieldPosition="0">
        <references count="2">
          <reference field="4294967294" count="1" selected="0">
            <x v="2"/>
          </reference>
          <reference field="9" count="1" selected="0">
            <x v="2"/>
          </reference>
        </references>
      </pivotArea>
    </chartFormat>
    <chartFormat chart="21" format="84">
      <pivotArea type="data" outline="0" fieldPosition="0">
        <references count="2">
          <reference field="4294967294" count="1" selected="0">
            <x v="2"/>
          </reference>
          <reference field="9" count="1" selected="0">
            <x v="3"/>
          </reference>
        </references>
      </pivotArea>
    </chartFormat>
    <chartFormat chart="21" format="85">
      <pivotArea type="data" outline="0" fieldPosition="0">
        <references count="2">
          <reference field="4294967294" count="1" selected="0">
            <x v="2"/>
          </reference>
          <reference field="9" count="1" selected="0">
            <x v="4"/>
          </reference>
        </references>
      </pivotArea>
    </chartFormat>
    <chartFormat chart="21" format="86">
      <pivotArea type="data" outline="0" fieldPosition="0">
        <references count="2">
          <reference field="4294967294" count="1" selected="0">
            <x v="2"/>
          </reference>
          <reference field="9" count="1" selected="0">
            <x v="5"/>
          </reference>
        </references>
      </pivotArea>
    </chartFormat>
    <chartFormat chart="21" format="87">
      <pivotArea type="data" outline="0" fieldPosition="0">
        <references count="2">
          <reference field="4294967294" count="1" selected="0">
            <x v="2"/>
          </reference>
          <reference field="9" count="1" selected="0">
            <x v="6"/>
          </reference>
        </references>
      </pivotArea>
    </chartFormat>
    <chartFormat chart="21" format="88" series="1">
      <pivotArea type="data" outline="0" fieldPosition="0">
        <references count="1">
          <reference field="4294967294" count="1" selected="0">
            <x v="3"/>
          </reference>
        </references>
      </pivotArea>
    </chartFormat>
    <chartFormat chart="21" format="89">
      <pivotArea type="data" outline="0" fieldPosition="0">
        <references count="2">
          <reference field="4294967294" count="1" selected="0">
            <x v="3"/>
          </reference>
          <reference field="9" count="1" selected="0">
            <x v="0"/>
          </reference>
        </references>
      </pivotArea>
    </chartFormat>
    <chartFormat chart="21" format="90">
      <pivotArea type="data" outline="0" fieldPosition="0">
        <references count="2">
          <reference field="4294967294" count="1" selected="0">
            <x v="3"/>
          </reference>
          <reference field="9" count="1" selected="0">
            <x v="1"/>
          </reference>
        </references>
      </pivotArea>
    </chartFormat>
    <chartFormat chart="21" format="91">
      <pivotArea type="data" outline="0" fieldPosition="0">
        <references count="2">
          <reference field="4294967294" count="1" selected="0">
            <x v="3"/>
          </reference>
          <reference field="9" count="1" selected="0">
            <x v="2"/>
          </reference>
        </references>
      </pivotArea>
    </chartFormat>
    <chartFormat chart="21" format="92">
      <pivotArea type="data" outline="0" fieldPosition="0">
        <references count="2">
          <reference field="4294967294" count="1" selected="0">
            <x v="3"/>
          </reference>
          <reference field="9" count="1" selected="0">
            <x v="3"/>
          </reference>
        </references>
      </pivotArea>
    </chartFormat>
    <chartFormat chart="21" format="93">
      <pivotArea type="data" outline="0" fieldPosition="0">
        <references count="2">
          <reference field="4294967294" count="1" selected="0">
            <x v="3"/>
          </reference>
          <reference field="9" count="1" selected="0">
            <x v="4"/>
          </reference>
        </references>
      </pivotArea>
    </chartFormat>
    <chartFormat chart="21" format="94">
      <pivotArea type="data" outline="0" fieldPosition="0">
        <references count="2">
          <reference field="4294967294" count="1" selected="0">
            <x v="3"/>
          </reference>
          <reference field="9" count="1" selected="0">
            <x v="5"/>
          </reference>
        </references>
      </pivotArea>
    </chartFormat>
    <chartFormat chart="21" format="95">
      <pivotArea type="data" outline="0" fieldPosition="0">
        <references count="2">
          <reference field="4294967294" count="1" selected="0">
            <x v="3"/>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35CD2A-4264-4D2C-A22E-6C0FEDA41A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H7:AK9"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t="default"/>
      </items>
    </pivotField>
    <pivotField showAll="0"/>
    <pivotField showAll="0"/>
    <pivotField showAll="0">
      <items count="8">
        <item x="2"/>
        <item x="3"/>
        <item x="4"/>
        <item x="5"/>
        <item x="6"/>
        <item x="0"/>
        <item h="1" x="1"/>
        <item t="default"/>
      </items>
    </pivotField>
    <pivotField showAll="0"/>
    <pivotField showAll="0"/>
    <pivotField showAll="0">
      <items count="5">
        <item h="1" x="0"/>
        <item x="1"/>
        <item h="1" x="3"/>
        <item h="1" x="2"/>
        <item t="default"/>
      </items>
    </pivotField>
    <pivotField showAll="0"/>
    <pivotField showAll="0"/>
    <pivotField showAll="0"/>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
    <i>
      <x v="5"/>
    </i>
    <i t="grand">
      <x/>
    </i>
  </rowItems>
  <colFields count="1">
    <field x="-2"/>
  </colFields>
  <colItems count="3">
    <i>
      <x/>
    </i>
    <i i="1">
      <x v="1"/>
    </i>
    <i i="2">
      <x v="2"/>
    </i>
  </colItems>
  <dataFields count="3">
    <dataField name="Average of TOTAL_RENTALS" fld="19" subtotal="average" baseField="6" baseItem="10"/>
    <dataField name="Average of CASUAL_RENTALS" fld="17" subtotal="average" baseField="6" baseItem="11"/>
    <dataField name="Average of REGISTERED_RENTALS" fld="18" subtotal="average" baseField="6" baseItem="11"/>
  </dataFields>
  <chartFormats count="15">
    <chartFormat chart="10" format="81" series="1">
      <pivotArea type="data" outline="0" fieldPosition="0">
        <references count="1">
          <reference field="4294967294" count="1" selected="0">
            <x v="0"/>
          </reference>
        </references>
      </pivotArea>
    </chartFormat>
    <chartFormat chart="0" format="75" series="1">
      <pivotArea type="data" outline="0" fieldPosition="0">
        <references count="1">
          <reference field="4294967294" count="1" selected="0">
            <x v="0"/>
          </reference>
        </references>
      </pivotArea>
    </chartFormat>
    <chartFormat chart="24" format="79" series="1">
      <pivotArea type="data" outline="0" fieldPosition="0">
        <references count="1">
          <reference field="4294967294" count="1" selected="0">
            <x v="0"/>
          </reference>
        </references>
      </pivotArea>
    </chartFormat>
    <chartFormat chart="24" format="100" series="1">
      <pivotArea type="data" outline="0" fieldPosition="0">
        <references count="1">
          <reference field="4294967294" count="1" selected="0">
            <x v="1"/>
          </reference>
        </references>
      </pivotArea>
    </chartFormat>
    <chartFormat chart="10" format="102" series="1">
      <pivotArea type="data" outline="0" fieldPosition="0">
        <references count="1">
          <reference field="4294967294" count="1" selected="0">
            <x v="1"/>
          </reference>
        </references>
      </pivotArea>
    </chartFormat>
    <chartFormat chart="0" format="96" series="1">
      <pivotArea type="data" outline="0" fieldPosition="0">
        <references count="1">
          <reference field="4294967294" count="1" selected="0">
            <x v="1"/>
          </reference>
        </references>
      </pivotArea>
    </chartFormat>
    <chartFormat chart="24" format="101" series="1">
      <pivotArea type="data" outline="0" fieldPosition="0">
        <references count="1">
          <reference field="4294967294" count="1" selected="0">
            <x v="2"/>
          </reference>
        </references>
      </pivotArea>
    </chartFormat>
    <chartFormat chart="10" format="103" series="1">
      <pivotArea type="data" outline="0" fieldPosition="0">
        <references count="1">
          <reference field="4294967294" count="1" selected="0">
            <x v="2"/>
          </reference>
        </references>
      </pivotArea>
    </chartFormat>
    <chartFormat chart="0" format="97" series="1">
      <pivotArea type="data" outline="0" fieldPosition="0">
        <references count="1">
          <reference field="4294967294" count="1" selected="0">
            <x v="2"/>
          </reference>
        </references>
      </pivotArea>
    </chartFormat>
    <chartFormat chart="42" format="101" series="1">
      <pivotArea type="data" outline="0" fieldPosition="0">
        <references count="1">
          <reference field="4294967294" count="1" selected="0">
            <x v="0"/>
          </reference>
        </references>
      </pivotArea>
    </chartFormat>
    <chartFormat chart="42" format="102" series="1">
      <pivotArea type="data" outline="0" fieldPosition="0">
        <references count="1">
          <reference field="4294967294" count="1" selected="0">
            <x v="1"/>
          </reference>
        </references>
      </pivotArea>
    </chartFormat>
    <chartFormat chart="42" format="103" series="1">
      <pivotArea type="data" outline="0" fieldPosition="0">
        <references count="1">
          <reference field="4294967294" count="1" selected="0">
            <x v="2"/>
          </reference>
        </references>
      </pivotArea>
    </chartFormat>
    <chartFormat chart="46" format="101" series="1">
      <pivotArea type="data" outline="0" fieldPosition="0">
        <references count="1">
          <reference field="4294967294" count="1" selected="0">
            <x v="0"/>
          </reference>
        </references>
      </pivotArea>
    </chartFormat>
    <chartFormat chart="46" format="102" series="1">
      <pivotArea type="data" outline="0" fieldPosition="0">
        <references count="1">
          <reference field="4294967294" count="1" selected="0">
            <x v="1"/>
          </reference>
        </references>
      </pivotArea>
    </chartFormat>
    <chartFormat chart="46" format="10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59A10F-4934-49DC-897D-B9BC031857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26:AA51"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_RENTALS" fld="17" subtotal="average" baseField="6" baseItem="0"/>
    <dataField name="Average of REGISTERED_RENTALS" fld="18" subtotal="average" baseField="6" baseItem="0"/>
    <dataField name="Average of TOTAL_RENTALS" fld="19" subtotal="average" baseField="6"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524EB2-EC4E-444F-9490-CD77259105F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C2:BW4" firstHeaderRow="1" firstDataRow="2"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Items count="1">
    <i/>
  </rowItems>
  <colFields count="1">
    <field x="20"/>
  </colFields>
  <col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colItems>
  <dataFields count="1">
    <dataField name="Sum of TOTAL_RENTALS" fld="19" baseField="0" baseItem="0"/>
  </dataFields>
  <chartFormats count="135">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20" count="1" selected="0">
            <x v="3"/>
          </reference>
        </references>
      </pivotArea>
    </chartFormat>
    <chartFormat chart="0" format="3" series="1">
      <pivotArea type="data" outline="0" fieldPosition="0">
        <references count="2">
          <reference field="4294967294" count="1" selected="0">
            <x v="0"/>
          </reference>
          <reference field="20" count="1" selected="0">
            <x v="4"/>
          </reference>
        </references>
      </pivotArea>
    </chartFormat>
    <chartFormat chart="0" format="4" series="1">
      <pivotArea type="data" outline="0" fieldPosition="0">
        <references count="2">
          <reference field="4294967294" count="1" selected="0">
            <x v="0"/>
          </reference>
          <reference field="20" count="1" selected="0">
            <x v="5"/>
          </reference>
        </references>
      </pivotArea>
    </chartFormat>
    <chartFormat chart="0" format="5" series="1">
      <pivotArea type="data" outline="0" fieldPosition="0">
        <references count="2">
          <reference field="4294967294" count="1" selected="0">
            <x v="0"/>
          </reference>
          <reference field="20" count="1" selected="0">
            <x v="6"/>
          </reference>
        </references>
      </pivotArea>
    </chartFormat>
    <chartFormat chart="0" format="6" series="1">
      <pivotArea type="data" outline="0" fieldPosition="0">
        <references count="2">
          <reference field="4294967294" count="1" selected="0">
            <x v="0"/>
          </reference>
          <reference field="20" count="1" selected="0">
            <x v="7"/>
          </reference>
        </references>
      </pivotArea>
    </chartFormat>
    <chartFormat chart="0" format="7" series="1">
      <pivotArea type="data" outline="0" fieldPosition="0">
        <references count="2">
          <reference field="4294967294" count="1" selected="0">
            <x v="0"/>
          </reference>
          <reference field="20" count="1" selected="0">
            <x v="8"/>
          </reference>
        </references>
      </pivotArea>
    </chartFormat>
    <chartFormat chart="0" format="8" series="1">
      <pivotArea type="data" outline="0" fieldPosition="0">
        <references count="2">
          <reference field="4294967294" count="1" selected="0">
            <x v="0"/>
          </reference>
          <reference field="20" count="1" selected="0">
            <x v="9"/>
          </reference>
        </references>
      </pivotArea>
    </chartFormat>
    <chartFormat chart="0" format="9" series="1">
      <pivotArea type="data" outline="0" fieldPosition="0">
        <references count="2">
          <reference field="4294967294" count="1" selected="0">
            <x v="0"/>
          </reference>
          <reference field="20" count="1" selected="0">
            <x v="10"/>
          </reference>
        </references>
      </pivotArea>
    </chartFormat>
    <chartFormat chart="0" format="10" series="1">
      <pivotArea type="data" outline="0" fieldPosition="0">
        <references count="2">
          <reference field="4294967294" count="1" selected="0">
            <x v="0"/>
          </reference>
          <reference field="20" count="1" selected="0">
            <x v="11"/>
          </reference>
        </references>
      </pivotArea>
    </chartFormat>
    <chartFormat chart="0" format="11" series="1">
      <pivotArea type="data" outline="0" fieldPosition="0">
        <references count="2">
          <reference field="4294967294" count="1" selected="0">
            <x v="0"/>
          </reference>
          <reference field="20" count="1" selected="0">
            <x v="12"/>
          </reference>
        </references>
      </pivotArea>
    </chartFormat>
    <chartFormat chart="0" format="12" series="1">
      <pivotArea type="data" outline="0" fieldPosition="0">
        <references count="2">
          <reference field="4294967294" count="1" selected="0">
            <x v="0"/>
          </reference>
          <reference field="20" count="1" selected="0">
            <x v="13"/>
          </reference>
        </references>
      </pivotArea>
    </chartFormat>
    <chartFormat chart="0" format="13" series="1">
      <pivotArea type="data" outline="0" fieldPosition="0">
        <references count="2">
          <reference field="4294967294" count="1" selected="0">
            <x v="0"/>
          </reference>
          <reference field="20" count="1" selected="0">
            <x v="14"/>
          </reference>
        </references>
      </pivotArea>
    </chartFormat>
    <chartFormat chart="0" format="14" series="1">
      <pivotArea type="data" outline="0" fieldPosition="0">
        <references count="2">
          <reference field="4294967294" count="1" selected="0">
            <x v="0"/>
          </reference>
          <reference field="20" count="1" selected="0">
            <x v="15"/>
          </reference>
        </references>
      </pivotArea>
    </chartFormat>
    <chartFormat chart="0" format="15" series="1">
      <pivotArea type="data" outline="0" fieldPosition="0">
        <references count="2">
          <reference field="4294967294" count="1" selected="0">
            <x v="0"/>
          </reference>
          <reference field="20" count="1" selected="0">
            <x v="16"/>
          </reference>
        </references>
      </pivotArea>
    </chartFormat>
    <chartFormat chart="0" format="16" series="1">
      <pivotArea type="data" outline="0" fieldPosition="0">
        <references count="2">
          <reference field="4294967294" count="1" selected="0">
            <x v="0"/>
          </reference>
          <reference field="20" count="1" selected="0">
            <x v="17"/>
          </reference>
        </references>
      </pivotArea>
    </chartFormat>
    <chartFormat chart="0" format="17" series="1">
      <pivotArea type="data" outline="0" fieldPosition="0">
        <references count="2">
          <reference field="4294967294" count="1" selected="0">
            <x v="0"/>
          </reference>
          <reference field="20" count="1" selected="0">
            <x v="18"/>
          </reference>
        </references>
      </pivotArea>
    </chartFormat>
    <chartFormat chart="0" format="18" series="1">
      <pivotArea type="data" outline="0" fieldPosition="0">
        <references count="2">
          <reference field="4294967294" count="1" selected="0">
            <x v="0"/>
          </reference>
          <reference field="20" count="1" selected="0">
            <x v="19"/>
          </reference>
        </references>
      </pivotArea>
    </chartFormat>
    <chartFormat chart="0" format="19" series="1">
      <pivotArea type="data" outline="0" fieldPosition="0">
        <references count="2">
          <reference field="4294967294" count="1" selected="0">
            <x v="0"/>
          </reference>
          <reference field="20" count="1" selected="0">
            <x v="20"/>
          </reference>
        </references>
      </pivotArea>
    </chartFormat>
    <chartFormat chart="0" format="20" series="1">
      <pivotArea type="data" outline="0" fieldPosition="0">
        <references count="2">
          <reference field="4294967294" count="1" selected="0">
            <x v="0"/>
          </reference>
          <reference field="20" count="1" selected="0">
            <x v="21"/>
          </reference>
        </references>
      </pivotArea>
    </chartFormat>
    <chartFormat chart="0" format="21" series="1">
      <pivotArea type="data" outline="0" fieldPosition="0">
        <references count="2">
          <reference field="4294967294" count="1" selected="0">
            <x v="0"/>
          </reference>
          <reference field="20" count="1" selected="0">
            <x v="22"/>
          </reference>
        </references>
      </pivotArea>
    </chartFormat>
    <chartFormat chart="0" format="22" series="1">
      <pivotArea type="data" outline="0" fieldPosition="0">
        <references count="2">
          <reference field="4294967294" count="1" selected="0">
            <x v="0"/>
          </reference>
          <reference field="20" count="1" selected="0">
            <x v="23"/>
          </reference>
        </references>
      </pivotArea>
    </chartFormat>
    <chartFormat chart="0" format="23" series="1">
      <pivotArea type="data" outline="0" fieldPosition="0">
        <references count="2">
          <reference field="4294967294" count="1" selected="0">
            <x v="0"/>
          </reference>
          <reference field="20" count="1" selected="0">
            <x v="24"/>
          </reference>
        </references>
      </pivotArea>
    </chartFormat>
    <chartFormat chart="0" format="24" series="1">
      <pivotArea type="data" outline="0" fieldPosition="0">
        <references count="2">
          <reference field="4294967294" count="1" selected="0">
            <x v="0"/>
          </reference>
          <reference field="20" count="1" selected="0">
            <x v="25"/>
          </reference>
        </references>
      </pivotArea>
    </chartFormat>
    <chartFormat chart="0" format="25" series="1">
      <pivotArea type="data" outline="0" fieldPosition="0">
        <references count="2">
          <reference field="4294967294" count="1" selected="0">
            <x v="0"/>
          </reference>
          <reference field="20" count="1" selected="0">
            <x v="26"/>
          </reference>
        </references>
      </pivotArea>
    </chartFormat>
    <chartFormat chart="0" format="26" series="1">
      <pivotArea type="data" outline="0" fieldPosition="0">
        <references count="2">
          <reference field="4294967294" count="1" selected="0">
            <x v="0"/>
          </reference>
          <reference field="20" count="1" selected="0">
            <x v="27"/>
          </reference>
        </references>
      </pivotArea>
    </chartFormat>
    <chartFormat chart="0" format="27" series="1">
      <pivotArea type="data" outline="0" fieldPosition="0">
        <references count="2">
          <reference field="4294967294" count="1" selected="0">
            <x v="0"/>
          </reference>
          <reference field="20" count="1" selected="0">
            <x v="28"/>
          </reference>
        </references>
      </pivotArea>
    </chartFormat>
    <chartFormat chart="0" format="28" series="1">
      <pivotArea type="data" outline="0" fieldPosition="0">
        <references count="2">
          <reference field="4294967294" count="1" selected="0">
            <x v="0"/>
          </reference>
          <reference field="20" count="1" selected="0">
            <x v="29"/>
          </reference>
        </references>
      </pivotArea>
    </chartFormat>
    <chartFormat chart="0" format="29" series="1">
      <pivotArea type="data" outline="0" fieldPosition="0">
        <references count="2">
          <reference field="4294967294" count="1" selected="0">
            <x v="0"/>
          </reference>
          <reference field="20" count="1" selected="0">
            <x v="30"/>
          </reference>
        </references>
      </pivotArea>
    </chartFormat>
    <chartFormat chart="0" format="30" series="1">
      <pivotArea type="data" outline="0" fieldPosition="0">
        <references count="2">
          <reference field="4294967294" count="1" selected="0">
            <x v="0"/>
          </reference>
          <reference field="20" count="1" selected="0">
            <x v="31"/>
          </reference>
        </references>
      </pivotArea>
    </chartFormat>
    <chartFormat chart="0" format="31" series="1">
      <pivotArea type="data" outline="0" fieldPosition="0">
        <references count="2">
          <reference field="4294967294" count="1" selected="0">
            <x v="0"/>
          </reference>
          <reference field="20" count="1" selected="0">
            <x v="32"/>
          </reference>
        </references>
      </pivotArea>
    </chartFormat>
    <chartFormat chart="0" format="32" series="1">
      <pivotArea type="data" outline="0" fieldPosition="0">
        <references count="2">
          <reference field="4294967294" count="1" selected="0">
            <x v="0"/>
          </reference>
          <reference field="20" count="1" selected="0">
            <x v="33"/>
          </reference>
        </references>
      </pivotArea>
    </chartFormat>
    <chartFormat chart="0" format="33" series="1">
      <pivotArea type="data" outline="0" fieldPosition="0">
        <references count="2">
          <reference field="4294967294" count="1" selected="0">
            <x v="0"/>
          </reference>
          <reference field="20" count="1" selected="0">
            <x v="34"/>
          </reference>
        </references>
      </pivotArea>
    </chartFormat>
    <chartFormat chart="0" format="34" series="1">
      <pivotArea type="data" outline="0" fieldPosition="0">
        <references count="2">
          <reference field="4294967294" count="1" selected="0">
            <x v="0"/>
          </reference>
          <reference field="20" count="1" selected="0">
            <x v="35"/>
          </reference>
        </references>
      </pivotArea>
    </chartFormat>
    <chartFormat chart="0" format="35" series="1">
      <pivotArea type="data" outline="0" fieldPosition="0">
        <references count="2">
          <reference field="4294967294" count="1" selected="0">
            <x v="0"/>
          </reference>
          <reference field="20" count="1" selected="0">
            <x v="36"/>
          </reference>
        </references>
      </pivotArea>
    </chartFormat>
    <chartFormat chart="0" format="36" series="1">
      <pivotArea type="data" outline="0" fieldPosition="0">
        <references count="2">
          <reference field="4294967294" count="1" selected="0">
            <x v="0"/>
          </reference>
          <reference field="20" count="1" selected="0">
            <x v="37"/>
          </reference>
        </references>
      </pivotArea>
    </chartFormat>
    <chartFormat chart="0" format="37" series="1">
      <pivotArea type="data" outline="0" fieldPosition="0">
        <references count="2">
          <reference field="4294967294" count="1" selected="0">
            <x v="0"/>
          </reference>
          <reference field="20" count="1" selected="0">
            <x v="38"/>
          </reference>
        </references>
      </pivotArea>
    </chartFormat>
    <chartFormat chart="0" format="38" series="1">
      <pivotArea type="data" outline="0" fieldPosition="0">
        <references count="2">
          <reference field="4294967294" count="1" selected="0">
            <x v="0"/>
          </reference>
          <reference field="20" count="1" selected="0">
            <x v="39"/>
          </reference>
        </references>
      </pivotArea>
    </chartFormat>
    <chartFormat chart="0" format="39" series="1">
      <pivotArea type="data" outline="0" fieldPosition="0">
        <references count="2">
          <reference field="4294967294" count="1" selected="0">
            <x v="0"/>
          </reference>
          <reference field="20" count="1" selected="0">
            <x v="40"/>
          </reference>
        </references>
      </pivotArea>
    </chartFormat>
    <chartFormat chart="0" format="40" series="1">
      <pivotArea type="data" outline="0" fieldPosition="0">
        <references count="2">
          <reference field="4294967294" count="1" selected="0">
            <x v="0"/>
          </reference>
          <reference field="20" count="1" selected="0">
            <x v="41"/>
          </reference>
        </references>
      </pivotArea>
    </chartFormat>
    <chartFormat chart="0" format="41" series="1">
      <pivotArea type="data" outline="0" fieldPosition="0">
        <references count="2">
          <reference field="4294967294" count="1" selected="0">
            <x v="0"/>
          </reference>
          <reference field="20" count="1" selected="0">
            <x v="42"/>
          </reference>
        </references>
      </pivotArea>
    </chartFormat>
    <chartFormat chart="0" format="42" series="1">
      <pivotArea type="data" outline="0" fieldPosition="0">
        <references count="2">
          <reference field="4294967294" count="1" selected="0">
            <x v="0"/>
          </reference>
          <reference field="20" count="1" selected="0">
            <x v="43"/>
          </reference>
        </references>
      </pivotArea>
    </chartFormat>
    <chartFormat chart="0" format="43" series="1">
      <pivotArea type="data" outline="0" fieldPosition="0">
        <references count="2">
          <reference field="4294967294" count="1" selected="0">
            <x v="0"/>
          </reference>
          <reference field="20" count="1" selected="0">
            <x v="44"/>
          </reference>
        </references>
      </pivotArea>
    </chartFormat>
    <chartFormat chart="0" format="44" series="1">
      <pivotArea type="data" outline="0" fieldPosition="0">
        <references count="2">
          <reference field="4294967294" count="1" selected="0">
            <x v="0"/>
          </reference>
          <reference field="20" count="1" selected="0">
            <x v="45"/>
          </reference>
        </references>
      </pivotArea>
    </chartFormat>
    <chartFormat chart="1" format="45" series="1">
      <pivotArea type="data" outline="0" fieldPosition="0">
        <references count="2">
          <reference field="4294967294" count="1" selected="0">
            <x v="0"/>
          </reference>
          <reference field="20" count="1" selected="0">
            <x v="1"/>
          </reference>
        </references>
      </pivotArea>
    </chartFormat>
    <chartFormat chart="1" format="46" series="1">
      <pivotArea type="data" outline="0" fieldPosition="0">
        <references count="2">
          <reference field="4294967294" count="1" selected="0">
            <x v="0"/>
          </reference>
          <reference field="20" count="1" selected="0">
            <x v="2"/>
          </reference>
        </references>
      </pivotArea>
    </chartFormat>
    <chartFormat chart="1" format="47" series="1">
      <pivotArea type="data" outline="0" fieldPosition="0">
        <references count="2">
          <reference field="4294967294" count="1" selected="0">
            <x v="0"/>
          </reference>
          <reference field="20" count="1" selected="0">
            <x v="3"/>
          </reference>
        </references>
      </pivotArea>
    </chartFormat>
    <chartFormat chart="1" format="48" series="1">
      <pivotArea type="data" outline="0" fieldPosition="0">
        <references count="2">
          <reference field="4294967294" count="1" selected="0">
            <x v="0"/>
          </reference>
          <reference field="20" count="1" selected="0">
            <x v="4"/>
          </reference>
        </references>
      </pivotArea>
    </chartFormat>
    <chartFormat chart="1" format="49" series="1">
      <pivotArea type="data" outline="0" fieldPosition="0">
        <references count="2">
          <reference field="4294967294" count="1" selected="0">
            <x v="0"/>
          </reference>
          <reference field="20" count="1" selected="0">
            <x v="5"/>
          </reference>
        </references>
      </pivotArea>
    </chartFormat>
    <chartFormat chart="1" format="50" series="1">
      <pivotArea type="data" outline="0" fieldPosition="0">
        <references count="2">
          <reference field="4294967294" count="1" selected="0">
            <x v="0"/>
          </reference>
          <reference field="20" count="1" selected="0">
            <x v="6"/>
          </reference>
        </references>
      </pivotArea>
    </chartFormat>
    <chartFormat chart="1" format="51" series="1">
      <pivotArea type="data" outline="0" fieldPosition="0">
        <references count="2">
          <reference field="4294967294" count="1" selected="0">
            <x v="0"/>
          </reference>
          <reference field="20" count="1" selected="0">
            <x v="7"/>
          </reference>
        </references>
      </pivotArea>
    </chartFormat>
    <chartFormat chart="1" format="52" series="1">
      <pivotArea type="data" outline="0" fieldPosition="0">
        <references count="2">
          <reference field="4294967294" count="1" selected="0">
            <x v="0"/>
          </reference>
          <reference field="20" count="1" selected="0">
            <x v="8"/>
          </reference>
        </references>
      </pivotArea>
    </chartFormat>
    <chartFormat chart="1" format="53" series="1">
      <pivotArea type="data" outline="0" fieldPosition="0">
        <references count="2">
          <reference field="4294967294" count="1" selected="0">
            <x v="0"/>
          </reference>
          <reference field="20" count="1" selected="0">
            <x v="9"/>
          </reference>
        </references>
      </pivotArea>
    </chartFormat>
    <chartFormat chart="1" format="54" series="1">
      <pivotArea type="data" outline="0" fieldPosition="0">
        <references count="2">
          <reference field="4294967294" count="1" selected="0">
            <x v="0"/>
          </reference>
          <reference field="20" count="1" selected="0">
            <x v="10"/>
          </reference>
        </references>
      </pivotArea>
    </chartFormat>
    <chartFormat chart="1" format="55" series="1">
      <pivotArea type="data" outline="0" fieldPosition="0">
        <references count="2">
          <reference field="4294967294" count="1" selected="0">
            <x v="0"/>
          </reference>
          <reference field="20" count="1" selected="0">
            <x v="11"/>
          </reference>
        </references>
      </pivotArea>
    </chartFormat>
    <chartFormat chart="1" format="56" series="1">
      <pivotArea type="data" outline="0" fieldPosition="0">
        <references count="2">
          <reference field="4294967294" count="1" selected="0">
            <x v="0"/>
          </reference>
          <reference field="20" count="1" selected="0">
            <x v="12"/>
          </reference>
        </references>
      </pivotArea>
    </chartFormat>
    <chartFormat chart="1" format="57" series="1">
      <pivotArea type="data" outline="0" fieldPosition="0">
        <references count="2">
          <reference field="4294967294" count="1" selected="0">
            <x v="0"/>
          </reference>
          <reference field="20" count="1" selected="0">
            <x v="13"/>
          </reference>
        </references>
      </pivotArea>
    </chartFormat>
    <chartFormat chart="1" format="58" series="1">
      <pivotArea type="data" outline="0" fieldPosition="0">
        <references count="2">
          <reference field="4294967294" count="1" selected="0">
            <x v="0"/>
          </reference>
          <reference field="20" count="1" selected="0">
            <x v="14"/>
          </reference>
        </references>
      </pivotArea>
    </chartFormat>
    <chartFormat chart="1" format="59" series="1">
      <pivotArea type="data" outline="0" fieldPosition="0">
        <references count="2">
          <reference field="4294967294" count="1" selected="0">
            <x v="0"/>
          </reference>
          <reference field="20" count="1" selected="0">
            <x v="15"/>
          </reference>
        </references>
      </pivotArea>
    </chartFormat>
    <chartFormat chart="1" format="60" series="1">
      <pivotArea type="data" outline="0" fieldPosition="0">
        <references count="2">
          <reference field="4294967294" count="1" selected="0">
            <x v="0"/>
          </reference>
          <reference field="20" count="1" selected="0">
            <x v="16"/>
          </reference>
        </references>
      </pivotArea>
    </chartFormat>
    <chartFormat chart="1" format="61" series="1">
      <pivotArea type="data" outline="0" fieldPosition="0">
        <references count="2">
          <reference field="4294967294" count="1" selected="0">
            <x v="0"/>
          </reference>
          <reference field="20" count="1" selected="0">
            <x v="17"/>
          </reference>
        </references>
      </pivotArea>
    </chartFormat>
    <chartFormat chart="1" format="62" series="1">
      <pivotArea type="data" outline="0" fieldPosition="0">
        <references count="2">
          <reference field="4294967294" count="1" selected="0">
            <x v="0"/>
          </reference>
          <reference field="20" count="1" selected="0">
            <x v="18"/>
          </reference>
        </references>
      </pivotArea>
    </chartFormat>
    <chartFormat chart="1" format="63" series="1">
      <pivotArea type="data" outline="0" fieldPosition="0">
        <references count="2">
          <reference field="4294967294" count="1" selected="0">
            <x v="0"/>
          </reference>
          <reference field="20" count="1" selected="0">
            <x v="19"/>
          </reference>
        </references>
      </pivotArea>
    </chartFormat>
    <chartFormat chart="1" format="64" series="1">
      <pivotArea type="data" outline="0" fieldPosition="0">
        <references count="2">
          <reference field="4294967294" count="1" selected="0">
            <x v="0"/>
          </reference>
          <reference field="20" count="1" selected="0">
            <x v="20"/>
          </reference>
        </references>
      </pivotArea>
    </chartFormat>
    <chartFormat chart="1" format="65" series="1">
      <pivotArea type="data" outline="0" fieldPosition="0">
        <references count="2">
          <reference field="4294967294" count="1" selected="0">
            <x v="0"/>
          </reference>
          <reference field="20" count="1" selected="0">
            <x v="21"/>
          </reference>
        </references>
      </pivotArea>
    </chartFormat>
    <chartFormat chart="1" format="66" series="1">
      <pivotArea type="data" outline="0" fieldPosition="0">
        <references count="2">
          <reference field="4294967294" count="1" selected="0">
            <x v="0"/>
          </reference>
          <reference field="20" count="1" selected="0">
            <x v="22"/>
          </reference>
        </references>
      </pivotArea>
    </chartFormat>
    <chartFormat chart="1" format="67" series="1">
      <pivotArea type="data" outline="0" fieldPosition="0">
        <references count="2">
          <reference field="4294967294" count="1" selected="0">
            <x v="0"/>
          </reference>
          <reference field="20" count="1" selected="0">
            <x v="23"/>
          </reference>
        </references>
      </pivotArea>
    </chartFormat>
    <chartFormat chart="1" format="68" series="1">
      <pivotArea type="data" outline="0" fieldPosition="0">
        <references count="2">
          <reference field="4294967294" count="1" selected="0">
            <x v="0"/>
          </reference>
          <reference field="20" count="1" selected="0">
            <x v="24"/>
          </reference>
        </references>
      </pivotArea>
    </chartFormat>
    <chartFormat chart="1" format="69" series="1">
      <pivotArea type="data" outline="0" fieldPosition="0">
        <references count="2">
          <reference field="4294967294" count="1" selected="0">
            <x v="0"/>
          </reference>
          <reference field="20" count="1" selected="0">
            <x v="25"/>
          </reference>
        </references>
      </pivotArea>
    </chartFormat>
    <chartFormat chart="1" format="70" series="1">
      <pivotArea type="data" outline="0" fieldPosition="0">
        <references count="2">
          <reference field="4294967294" count="1" selected="0">
            <x v="0"/>
          </reference>
          <reference field="20" count="1" selected="0">
            <x v="26"/>
          </reference>
        </references>
      </pivotArea>
    </chartFormat>
    <chartFormat chart="1" format="71" series="1">
      <pivotArea type="data" outline="0" fieldPosition="0">
        <references count="2">
          <reference field="4294967294" count="1" selected="0">
            <x v="0"/>
          </reference>
          <reference field="20" count="1" selected="0">
            <x v="27"/>
          </reference>
        </references>
      </pivotArea>
    </chartFormat>
    <chartFormat chart="1" format="72" series="1">
      <pivotArea type="data" outline="0" fieldPosition="0">
        <references count="2">
          <reference field="4294967294" count="1" selected="0">
            <x v="0"/>
          </reference>
          <reference field="20" count="1" selected="0">
            <x v="28"/>
          </reference>
        </references>
      </pivotArea>
    </chartFormat>
    <chartFormat chart="1" format="73" series="1">
      <pivotArea type="data" outline="0" fieldPosition="0">
        <references count="2">
          <reference field="4294967294" count="1" selected="0">
            <x v="0"/>
          </reference>
          <reference field="20" count="1" selected="0">
            <x v="29"/>
          </reference>
        </references>
      </pivotArea>
    </chartFormat>
    <chartFormat chart="1" format="74" series="1">
      <pivotArea type="data" outline="0" fieldPosition="0">
        <references count="2">
          <reference field="4294967294" count="1" selected="0">
            <x v="0"/>
          </reference>
          <reference field="20" count="1" selected="0">
            <x v="30"/>
          </reference>
        </references>
      </pivotArea>
    </chartFormat>
    <chartFormat chart="1" format="75" series="1">
      <pivotArea type="data" outline="0" fieldPosition="0">
        <references count="2">
          <reference field="4294967294" count="1" selected="0">
            <x v="0"/>
          </reference>
          <reference field="20" count="1" selected="0">
            <x v="31"/>
          </reference>
        </references>
      </pivotArea>
    </chartFormat>
    <chartFormat chart="1" format="76" series="1">
      <pivotArea type="data" outline="0" fieldPosition="0">
        <references count="2">
          <reference field="4294967294" count="1" selected="0">
            <x v="0"/>
          </reference>
          <reference field="20" count="1" selected="0">
            <x v="32"/>
          </reference>
        </references>
      </pivotArea>
    </chartFormat>
    <chartFormat chart="1" format="77" series="1">
      <pivotArea type="data" outline="0" fieldPosition="0">
        <references count="2">
          <reference field="4294967294" count="1" selected="0">
            <x v="0"/>
          </reference>
          <reference field="20" count="1" selected="0">
            <x v="33"/>
          </reference>
        </references>
      </pivotArea>
    </chartFormat>
    <chartFormat chart="1" format="78" series="1">
      <pivotArea type="data" outline="0" fieldPosition="0">
        <references count="2">
          <reference field="4294967294" count="1" selected="0">
            <x v="0"/>
          </reference>
          <reference field="20" count="1" selected="0">
            <x v="34"/>
          </reference>
        </references>
      </pivotArea>
    </chartFormat>
    <chartFormat chart="1" format="79" series="1">
      <pivotArea type="data" outline="0" fieldPosition="0">
        <references count="2">
          <reference field="4294967294" count="1" selected="0">
            <x v="0"/>
          </reference>
          <reference field="20" count="1" selected="0">
            <x v="35"/>
          </reference>
        </references>
      </pivotArea>
    </chartFormat>
    <chartFormat chart="1" format="80" series="1">
      <pivotArea type="data" outline="0" fieldPosition="0">
        <references count="2">
          <reference field="4294967294" count="1" selected="0">
            <x v="0"/>
          </reference>
          <reference field="20" count="1" selected="0">
            <x v="36"/>
          </reference>
        </references>
      </pivotArea>
    </chartFormat>
    <chartFormat chart="1" format="81" series="1">
      <pivotArea type="data" outline="0" fieldPosition="0">
        <references count="2">
          <reference field="4294967294" count="1" selected="0">
            <x v="0"/>
          </reference>
          <reference field="20" count="1" selected="0">
            <x v="37"/>
          </reference>
        </references>
      </pivotArea>
    </chartFormat>
    <chartFormat chart="1" format="82" series="1">
      <pivotArea type="data" outline="0" fieldPosition="0">
        <references count="2">
          <reference field="4294967294" count="1" selected="0">
            <x v="0"/>
          </reference>
          <reference field="20" count="1" selected="0">
            <x v="38"/>
          </reference>
        </references>
      </pivotArea>
    </chartFormat>
    <chartFormat chart="1" format="83" series="1">
      <pivotArea type="data" outline="0" fieldPosition="0">
        <references count="2">
          <reference field="4294967294" count="1" selected="0">
            <x v="0"/>
          </reference>
          <reference field="20" count="1" selected="0">
            <x v="39"/>
          </reference>
        </references>
      </pivotArea>
    </chartFormat>
    <chartFormat chart="1" format="84" series="1">
      <pivotArea type="data" outline="0" fieldPosition="0">
        <references count="2">
          <reference field="4294967294" count="1" selected="0">
            <x v="0"/>
          </reference>
          <reference field="20" count="1" selected="0">
            <x v="40"/>
          </reference>
        </references>
      </pivotArea>
    </chartFormat>
    <chartFormat chart="1" format="85" series="1">
      <pivotArea type="data" outline="0" fieldPosition="0">
        <references count="2">
          <reference field="4294967294" count="1" selected="0">
            <x v="0"/>
          </reference>
          <reference field="20" count="1" selected="0">
            <x v="41"/>
          </reference>
        </references>
      </pivotArea>
    </chartFormat>
    <chartFormat chart="1" format="86" series="1">
      <pivotArea type="data" outline="0" fieldPosition="0">
        <references count="2">
          <reference field="4294967294" count="1" selected="0">
            <x v="0"/>
          </reference>
          <reference field="20" count="1" selected="0">
            <x v="42"/>
          </reference>
        </references>
      </pivotArea>
    </chartFormat>
    <chartFormat chart="1" format="87" series="1">
      <pivotArea type="data" outline="0" fieldPosition="0">
        <references count="2">
          <reference field="4294967294" count="1" selected="0">
            <x v="0"/>
          </reference>
          <reference field="20" count="1" selected="0">
            <x v="43"/>
          </reference>
        </references>
      </pivotArea>
    </chartFormat>
    <chartFormat chart="1" format="88" series="1">
      <pivotArea type="data" outline="0" fieldPosition="0">
        <references count="2">
          <reference field="4294967294" count="1" selected="0">
            <x v="0"/>
          </reference>
          <reference field="20" count="1" selected="0">
            <x v="44"/>
          </reference>
        </references>
      </pivotArea>
    </chartFormat>
    <chartFormat chart="1" format="89" series="1">
      <pivotArea type="data" outline="0" fieldPosition="0">
        <references count="2">
          <reference field="4294967294" count="1" selected="0">
            <x v="0"/>
          </reference>
          <reference field="20" count="1" selected="0">
            <x v="45"/>
          </reference>
        </references>
      </pivotArea>
    </chartFormat>
    <chartFormat chart="2" format="90" series="1">
      <pivotArea type="data" outline="0" fieldPosition="0">
        <references count="2">
          <reference field="4294967294" count="1" selected="0">
            <x v="0"/>
          </reference>
          <reference field="20" count="1" selected="0">
            <x v="1"/>
          </reference>
        </references>
      </pivotArea>
    </chartFormat>
    <chartFormat chart="2" format="91" series="1">
      <pivotArea type="data" outline="0" fieldPosition="0">
        <references count="2">
          <reference field="4294967294" count="1" selected="0">
            <x v="0"/>
          </reference>
          <reference field="20" count="1" selected="0">
            <x v="2"/>
          </reference>
        </references>
      </pivotArea>
    </chartFormat>
    <chartFormat chart="2" format="92" series="1">
      <pivotArea type="data" outline="0" fieldPosition="0">
        <references count="2">
          <reference field="4294967294" count="1" selected="0">
            <x v="0"/>
          </reference>
          <reference field="20" count="1" selected="0">
            <x v="3"/>
          </reference>
        </references>
      </pivotArea>
    </chartFormat>
    <chartFormat chart="2" format="93" series="1">
      <pivotArea type="data" outline="0" fieldPosition="0">
        <references count="2">
          <reference field="4294967294" count="1" selected="0">
            <x v="0"/>
          </reference>
          <reference field="20" count="1" selected="0">
            <x v="4"/>
          </reference>
        </references>
      </pivotArea>
    </chartFormat>
    <chartFormat chart="2" format="94" series="1">
      <pivotArea type="data" outline="0" fieldPosition="0">
        <references count="2">
          <reference field="4294967294" count="1" selected="0">
            <x v="0"/>
          </reference>
          <reference field="20" count="1" selected="0">
            <x v="5"/>
          </reference>
        </references>
      </pivotArea>
    </chartFormat>
    <chartFormat chart="2" format="95" series="1">
      <pivotArea type="data" outline="0" fieldPosition="0">
        <references count="2">
          <reference field="4294967294" count="1" selected="0">
            <x v="0"/>
          </reference>
          <reference field="20" count="1" selected="0">
            <x v="6"/>
          </reference>
        </references>
      </pivotArea>
    </chartFormat>
    <chartFormat chart="2" format="96" series="1">
      <pivotArea type="data" outline="0" fieldPosition="0">
        <references count="2">
          <reference field="4294967294" count="1" selected="0">
            <x v="0"/>
          </reference>
          <reference field="20" count="1" selected="0">
            <x v="7"/>
          </reference>
        </references>
      </pivotArea>
    </chartFormat>
    <chartFormat chart="2" format="97" series="1">
      <pivotArea type="data" outline="0" fieldPosition="0">
        <references count="2">
          <reference field="4294967294" count="1" selected="0">
            <x v="0"/>
          </reference>
          <reference field="20" count="1" selected="0">
            <x v="8"/>
          </reference>
        </references>
      </pivotArea>
    </chartFormat>
    <chartFormat chart="2" format="98" series="1">
      <pivotArea type="data" outline="0" fieldPosition="0">
        <references count="2">
          <reference field="4294967294" count="1" selected="0">
            <x v="0"/>
          </reference>
          <reference field="20" count="1" selected="0">
            <x v="9"/>
          </reference>
        </references>
      </pivotArea>
    </chartFormat>
    <chartFormat chart="2" format="99" series="1">
      <pivotArea type="data" outline="0" fieldPosition="0">
        <references count="2">
          <reference field="4294967294" count="1" selected="0">
            <x v="0"/>
          </reference>
          <reference field="20" count="1" selected="0">
            <x v="10"/>
          </reference>
        </references>
      </pivotArea>
    </chartFormat>
    <chartFormat chart="2" format="100" series="1">
      <pivotArea type="data" outline="0" fieldPosition="0">
        <references count="2">
          <reference field="4294967294" count="1" selected="0">
            <x v="0"/>
          </reference>
          <reference field="20" count="1" selected="0">
            <x v="11"/>
          </reference>
        </references>
      </pivotArea>
    </chartFormat>
    <chartFormat chart="2" format="101" series="1">
      <pivotArea type="data" outline="0" fieldPosition="0">
        <references count="2">
          <reference field="4294967294" count="1" selected="0">
            <x v="0"/>
          </reference>
          <reference field="20" count="1" selected="0">
            <x v="12"/>
          </reference>
        </references>
      </pivotArea>
    </chartFormat>
    <chartFormat chart="2" format="102" series="1">
      <pivotArea type="data" outline="0" fieldPosition="0">
        <references count="2">
          <reference field="4294967294" count="1" selected="0">
            <x v="0"/>
          </reference>
          <reference field="20" count="1" selected="0">
            <x v="13"/>
          </reference>
        </references>
      </pivotArea>
    </chartFormat>
    <chartFormat chart="2" format="103" series="1">
      <pivotArea type="data" outline="0" fieldPosition="0">
        <references count="2">
          <reference field="4294967294" count="1" selected="0">
            <x v="0"/>
          </reference>
          <reference field="20" count="1" selected="0">
            <x v="14"/>
          </reference>
        </references>
      </pivotArea>
    </chartFormat>
    <chartFormat chart="2" format="104" series="1">
      <pivotArea type="data" outline="0" fieldPosition="0">
        <references count="2">
          <reference field="4294967294" count="1" selected="0">
            <x v="0"/>
          </reference>
          <reference field="20" count="1" selected="0">
            <x v="15"/>
          </reference>
        </references>
      </pivotArea>
    </chartFormat>
    <chartFormat chart="2" format="105" series="1">
      <pivotArea type="data" outline="0" fieldPosition="0">
        <references count="2">
          <reference field="4294967294" count="1" selected="0">
            <x v="0"/>
          </reference>
          <reference field="20" count="1" selected="0">
            <x v="16"/>
          </reference>
        </references>
      </pivotArea>
    </chartFormat>
    <chartFormat chart="2" format="106" series="1">
      <pivotArea type="data" outline="0" fieldPosition="0">
        <references count="2">
          <reference field="4294967294" count="1" selected="0">
            <x v="0"/>
          </reference>
          <reference field="20" count="1" selected="0">
            <x v="17"/>
          </reference>
        </references>
      </pivotArea>
    </chartFormat>
    <chartFormat chart="2" format="107" series="1">
      <pivotArea type="data" outline="0" fieldPosition="0">
        <references count="2">
          <reference field="4294967294" count="1" selected="0">
            <x v="0"/>
          </reference>
          <reference field="20" count="1" selected="0">
            <x v="18"/>
          </reference>
        </references>
      </pivotArea>
    </chartFormat>
    <chartFormat chart="2" format="108" series="1">
      <pivotArea type="data" outline="0" fieldPosition="0">
        <references count="2">
          <reference field="4294967294" count="1" selected="0">
            <x v="0"/>
          </reference>
          <reference field="20" count="1" selected="0">
            <x v="19"/>
          </reference>
        </references>
      </pivotArea>
    </chartFormat>
    <chartFormat chart="2" format="109" series="1">
      <pivotArea type="data" outline="0" fieldPosition="0">
        <references count="2">
          <reference field="4294967294" count="1" selected="0">
            <x v="0"/>
          </reference>
          <reference field="20" count="1" selected="0">
            <x v="20"/>
          </reference>
        </references>
      </pivotArea>
    </chartFormat>
    <chartFormat chart="2" format="110" series="1">
      <pivotArea type="data" outline="0" fieldPosition="0">
        <references count="2">
          <reference field="4294967294" count="1" selected="0">
            <x v="0"/>
          </reference>
          <reference field="20" count="1" selected="0">
            <x v="21"/>
          </reference>
        </references>
      </pivotArea>
    </chartFormat>
    <chartFormat chart="2" format="111" series="1">
      <pivotArea type="data" outline="0" fieldPosition="0">
        <references count="2">
          <reference field="4294967294" count="1" selected="0">
            <x v="0"/>
          </reference>
          <reference field="20" count="1" selected="0">
            <x v="22"/>
          </reference>
        </references>
      </pivotArea>
    </chartFormat>
    <chartFormat chart="2" format="112" series="1">
      <pivotArea type="data" outline="0" fieldPosition="0">
        <references count="2">
          <reference field="4294967294" count="1" selected="0">
            <x v="0"/>
          </reference>
          <reference field="20" count="1" selected="0">
            <x v="23"/>
          </reference>
        </references>
      </pivotArea>
    </chartFormat>
    <chartFormat chart="2" format="113" series="1">
      <pivotArea type="data" outline="0" fieldPosition="0">
        <references count="2">
          <reference field="4294967294" count="1" selected="0">
            <x v="0"/>
          </reference>
          <reference field="20" count="1" selected="0">
            <x v="24"/>
          </reference>
        </references>
      </pivotArea>
    </chartFormat>
    <chartFormat chart="2" format="114" series="1">
      <pivotArea type="data" outline="0" fieldPosition="0">
        <references count="2">
          <reference field="4294967294" count="1" selected="0">
            <x v="0"/>
          </reference>
          <reference field="20" count="1" selected="0">
            <x v="25"/>
          </reference>
        </references>
      </pivotArea>
    </chartFormat>
    <chartFormat chart="2" format="115" series="1">
      <pivotArea type="data" outline="0" fieldPosition="0">
        <references count="2">
          <reference field="4294967294" count="1" selected="0">
            <x v="0"/>
          </reference>
          <reference field="20" count="1" selected="0">
            <x v="26"/>
          </reference>
        </references>
      </pivotArea>
    </chartFormat>
    <chartFormat chart="2" format="116" series="1">
      <pivotArea type="data" outline="0" fieldPosition="0">
        <references count="2">
          <reference field="4294967294" count="1" selected="0">
            <x v="0"/>
          </reference>
          <reference field="20" count="1" selected="0">
            <x v="27"/>
          </reference>
        </references>
      </pivotArea>
    </chartFormat>
    <chartFormat chart="2" format="117" series="1">
      <pivotArea type="data" outline="0" fieldPosition="0">
        <references count="2">
          <reference field="4294967294" count="1" selected="0">
            <x v="0"/>
          </reference>
          <reference field="20" count="1" selected="0">
            <x v="28"/>
          </reference>
        </references>
      </pivotArea>
    </chartFormat>
    <chartFormat chart="2" format="118" series="1">
      <pivotArea type="data" outline="0" fieldPosition="0">
        <references count="2">
          <reference field="4294967294" count="1" selected="0">
            <x v="0"/>
          </reference>
          <reference field="20" count="1" selected="0">
            <x v="29"/>
          </reference>
        </references>
      </pivotArea>
    </chartFormat>
    <chartFormat chart="2" format="119" series="1">
      <pivotArea type="data" outline="0" fieldPosition="0">
        <references count="2">
          <reference field="4294967294" count="1" selected="0">
            <x v="0"/>
          </reference>
          <reference field="20" count="1" selected="0">
            <x v="30"/>
          </reference>
        </references>
      </pivotArea>
    </chartFormat>
    <chartFormat chart="2" format="120" series="1">
      <pivotArea type="data" outline="0" fieldPosition="0">
        <references count="2">
          <reference field="4294967294" count="1" selected="0">
            <x v="0"/>
          </reference>
          <reference field="20" count="1" selected="0">
            <x v="31"/>
          </reference>
        </references>
      </pivotArea>
    </chartFormat>
    <chartFormat chart="2" format="121" series="1">
      <pivotArea type="data" outline="0" fieldPosition="0">
        <references count="2">
          <reference field="4294967294" count="1" selected="0">
            <x v="0"/>
          </reference>
          <reference field="20" count="1" selected="0">
            <x v="32"/>
          </reference>
        </references>
      </pivotArea>
    </chartFormat>
    <chartFormat chart="2" format="122" series="1">
      <pivotArea type="data" outline="0" fieldPosition="0">
        <references count="2">
          <reference field="4294967294" count="1" selected="0">
            <x v="0"/>
          </reference>
          <reference field="20" count="1" selected="0">
            <x v="33"/>
          </reference>
        </references>
      </pivotArea>
    </chartFormat>
    <chartFormat chart="2" format="123" series="1">
      <pivotArea type="data" outline="0" fieldPosition="0">
        <references count="2">
          <reference field="4294967294" count="1" selected="0">
            <x v="0"/>
          </reference>
          <reference field="20" count="1" selected="0">
            <x v="34"/>
          </reference>
        </references>
      </pivotArea>
    </chartFormat>
    <chartFormat chart="2" format="124" series="1">
      <pivotArea type="data" outline="0" fieldPosition="0">
        <references count="2">
          <reference field="4294967294" count="1" selected="0">
            <x v="0"/>
          </reference>
          <reference field="20" count="1" selected="0">
            <x v="35"/>
          </reference>
        </references>
      </pivotArea>
    </chartFormat>
    <chartFormat chart="2" format="125" series="1">
      <pivotArea type="data" outline="0" fieldPosition="0">
        <references count="2">
          <reference field="4294967294" count="1" selected="0">
            <x v="0"/>
          </reference>
          <reference field="20" count="1" selected="0">
            <x v="36"/>
          </reference>
        </references>
      </pivotArea>
    </chartFormat>
    <chartFormat chart="2" format="126" series="1">
      <pivotArea type="data" outline="0" fieldPosition="0">
        <references count="2">
          <reference field="4294967294" count="1" selected="0">
            <x v="0"/>
          </reference>
          <reference field="20" count="1" selected="0">
            <x v="37"/>
          </reference>
        </references>
      </pivotArea>
    </chartFormat>
    <chartFormat chart="2" format="127" series="1">
      <pivotArea type="data" outline="0" fieldPosition="0">
        <references count="2">
          <reference field="4294967294" count="1" selected="0">
            <x v="0"/>
          </reference>
          <reference field="20" count="1" selected="0">
            <x v="38"/>
          </reference>
        </references>
      </pivotArea>
    </chartFormat>
    <chartFormat chart="2" format="128" series="1">
      <pivotArea type="data" outline="0" fieldPosition="0">
        <references count="2">
          <reference field="4294967294" count="1" selected="0">
            <x v="0"/>
          </reference>
          <reference field="20" count="1" selected="0">
            <x v="39"/>
          </reference>
        </references>
      </pivotArea>
    </chartFormat>
    <chartFormat chart="2" format="129" series="1">
      <pivotArea type="data" outline="0" fieldPosition="0">
        <references count="2">
          <reference field="4294967294" count="1" selected="0">
            <x v="0"/>
          </reference>
          <reference field="20" count="1" selected="0">
            <x v="40"/>
          </reference>
        </references>
      </pivotArea>
    </chartFormat>
    <chartFormat chart="2" format="130" series="1">
      <pivotArea type="data" outline="0" fieldPosition="0">
        <references count="2">
          <reference field="4294967294" count="1" selected="0">
            <x v="0"/>
          </reference>
          <reference field="20" count="1" selected="0">
            <x v="41"/>
          </reference>
        </references>
      </pivotArea>
    </chartFormat>
    <chartFormat chart="2" format="131" series="1">
      <pivotArea type="data" outline="0" fieldPosition="0">
        <references count="2">
          <reference field="4294967294" count="1" selected="0">
            <x v="0"/>
          </reference>
          <reference field="20" count="1" selected="0">
            <x v="42"/>
          </reference>
        </references>
      </pivotArea>
    </chartFormat>
    <chartFormat chart="2" format="132" series="1">
      <pivotArea type="data" outline="0" fieldPosition="0">
        <references count="2">
          <reference field="4294967294" count="1" selected="0">
            <x v="0"/>
          </reference>
          <reference field="20" count="1" selected="0">
            <x v="43"/>
          </reference>
        </references>
      </pivotArea>
    </chartFormat>
    <chartFormat chart="2" format="133" series="1">
      <pivotArea type="data" outline="0" fieldPosition="0">
        <references count="2">
          <reference field="4294967294" count="1" selected="0">
            <x v="0"/>
          </reference>
          <reference field="20" count="1" selected="0">
            <x v="44"/>
          </reference>
        </references>
      </pivotArea>
    </chartFormat>
    <chartFormat chart="2" format="134" series="1">
      <pivotArea type="data" outline="0" fieldPosition="0">
        <references count="2">
          <reference field="4294967294" count="1" selected="0">
            <x v="0"/>
          </reference>
          <reference field="20" count="1" selected="0">
            <x v="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104468-41FA-4FB8-9676-4378F1D211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16:AD24"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axis="axisRow" showAll="0">
      <items count="8">
        <item x="2"/>
        <item x="3"/>
        <item x="4"/>
        <item x="5"/>
        <item x="6"/>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
  </colFields>
  <colItems count="2">
    <i>
      <x/>
    </i>
    <i i="1">
      <x v="1"/>
    </i>
  </colItems>
  <dataFields count="2">
    <dataField name="Max of CASUAL_RENTALS" fld="17" subtotal="max" baseField="9" baseItem="0"/>
    <dataField name="Max of REGISTERED_RENTALS" fld="18" subtotal="max" baseField="9" baseItem="0"/>
  </dataFields>
  <chartFormats count="3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9" count="1" selected="0">
            <x v="0"/>
          </reference>
        </references>
      </pivotArea>
    </chartFormat>
    <chartFormat chart="4" format="21">
      <pivotArea type="data" outline="0" fieldPosition="0">
        <references count="2">
          <reference field="4294967294" count="1" selected="0">
            <x v="0"/>
          </reference>
          <reference field="9" count="1" selected="0">
            <x v="1"/>
          </reference>
        </references>
      </pivotArea>
    </chartFormat>
    <chartFormat chart="4" format="22">
      <pivotArea type="data" outline="0" fieldPosition="0">
        <references count="2">
          <reference field="4294967294" count="1" selected="0">
            <x v="0"/>
          </reference>
          <reference field="9" count="1" selected="0">
            <x v="2"/>
          </reference>
        </references>
      </pivotArea>
    </chartFormat>
    <chartFormat chart="4" format="23">
      <pivotArea type="data" outline="0" fieldPosition="0">
        <references count="2">
          <reference field="4294967294" count="1" selected="0">
            <x v="0"/>
          </reference>
          <reference field="9" count="1" selected="0">
            <x v="3"/>
          </reference>
        </references>
      </pivotArea>
    </chartFormat>
    <chartFormat chart="4" format="24">
      <pivotArea type="data" outline="0" fieldPosition="0">
        <references count="2">
          <reference field="4294967294" count="1" selected="0">
            <x v="0"/>
          </reference>
          <reference field="9" count="1" selected="0">
            <x v="4"/>
          </reference>
        </references>
      </pivotArea>
    </chartFormat>
    <chartFormat chart="4" format="25">
      <pivotArea type="data" outline="0" fieldPosition="0">
        <references count="2">
          <reference field="4294967294" count="1" selected="0">
            <x v="0"/>
          </reference>
          <reference field="9" count="1" selected="0">
            <x v="5"/>
          </reference>
        </references>
      </pivotArea>
    </chartFormat>
    <chartFormat chart="4" format="26">
      <pivotArea type="data" outline="0" fieldPosition="0">
        <references count="2">
          <reference field="4294967294" count="1" selected="0">
            <x v="0"/>
          </reference>
          <reference field="9" count="1" selected="0">
            <x v="6"/>
          </reference>
        </references>
      </pivotArea>
    </chartFormat>
    <chartFormat chart="4" format="27" series="1">
      <pivotArea type="data" outline="0" fieldPosition="0">
        <references count="1">
          <reference field="4294967294" count="1" selected="0">
            <x v="1"/>
          </reference>
        </references>
      </pivotArea>
    </chartFormat>
    <chartFormat chart="4" format="28">
      <pivotArea type="data" outline="0" fieldPosition="0">
        <references count="2">
          <reference field="4294967294" count="1" selected="0">
            <x v="1"/>
          </reference>
          <reference field="9" count="1" selected="0">
            <x v="0"/>
          </reference>
        </references>
      </pivotArea>
    </chartFormat>
    <chartFormat chart="4" format="29">
      <pivotArea type="data" outline="0" fieldPosition="0">
        <references count="2">
          <reference field="4294967294" count="1" selected="0">
            <x v="1"/>
          </reference>
          <reference field="9" count="1" selected="0">
            <x v="1"/>
          </reference>
        </references>
      </pivotArea>
    </chartFormat>
    <chartFormat chart="4" format="30">
      <pivotArea type="data" outline="0" fieldPosition="0">
        <references count="2">
          <reference field="4294967294" count="1" selected="0">
            <x v="1"/>
          </reference>
          <reference field="9" count="1" selected="0">
            <x v="2"/>
          </reference>
        </references>
      </pivotArea>
    </chartFormat>
    <chartFormat chart="4" format="31">
      <pivotArea type="data" outline="0" fieldPosition="0">
        <references count="2">
          <reference field="4294967294" count="1" selected="0">
            <x v="1"/>
          </reference>
          <reference field="9" count="1" selected="0">
            <x v="3"/>
          </reference>
        </references>
      </pivotArea>
    </chartFormat>
    <chartFormat chart="4" format="32">
      <pivotArea type="data" outline="0" fieldPosition="0">
        <references count="2">
          <reference field="4294967294" count="1" selected="0">
            <x v="1"/>
          </reference>
          <reference field="9" count="1" selected="0">
            <x v="4"/>
          </reference>
        </references>
      </pivotArea>
    </chartFormat>
    <chartFormat chart="4" format="33">
      <pivotArea type="data" outline="0" fieldPosition="0">
        <references count="2">
          <reference field="4294967294" count="1" selected="0">
            <x v="1"/>
          </reference>
          <reference field="9" count="1" selected="0">
            <x v="5"/>
          </reference>
        </references>
      </pivotArea>
    </chartFormat>
    <chartFormat chart="4" format="34">
      <pivotArea type="data" outline="0" fieldPosition="0">
        <references count="2">
          <reference field="4294967294" count="1" selected="0">
            <x v="1"/>
          </reference>
          <reference field="9" count="1" selected="0">
            <x v="6"/>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 chart="0" format="6">
      <pivotArea type="data" outline="0" fieldPosition="0">
        <references count="2">
          <reference field="4294967294" count="1" selected="0">
            <x v="0"/>
          </reference>
          <reference field="9" count="1" selected="0">
            <x v="3"/>
          </reference>
        </references>
      </pivotArea>
    </chartFormat>
    <chartFormat chart="0" format="7">
      <pivotArea type="data" outline="0" fieldPosition="0">
        <references count="2">
          <reference field="4294967294" count="1" selected="0">
            <x v="0"/>
          </reference>
          <reference field="9" count="1" selected="0">
            <x v="4"/>
          </reference>
        </references>
      </pivotArea>
    </chartFormat>
    <chartFormat chart="0" format="8">
      <pivotArea type="data" outline="0" fieldPosition="0">
        <references count="2">
          <reference field="4294967294" count="1" selected="0">
            <x v="0"/>
          </reference>
          <reference field="9" count="1" selected="0">
            <x v="5"/>
          </reference>
        </references>
      </pivotArea>
    </chartFormat>
    <chartFormat chart="0" format="9">
      <pivotArea type="data" outline="0" fieldPosition="0">
        <references count="2">
          <reference field="4294967294" count="1" selected="0">
            <x v="0"/>
          </reference>
          <reference field="9" count="1" selected="0">
            <x v="6"/>
          </reference>
        </references>
      </pivotArea>
    </chartFormat>
    <chartFormat chart="0" format="10">
      <pivotArea type="data" outline="0" fieldPosition="0">
        <references count="2">
          <reference field="4294967294" count="1" selected="0">
            <x v="1"/>
          </reference>
          <reference field="9" count="1" selected="0">
            <x v="0"/>
          </reference>
        </references>
      </pivotArea>
    </chartFormat>
    <chartFormat chart="0" format="11">
      <pivotArea type="data" outline="0" fieldPosition="0">
        <references count="2">
          <reference field="4294967294" count="1" selected="0">
            <x v="1"/>
          </reference>
          <reference field="9" count="1" selected="0">
            <x v="1"/>
          </reference>
        </references>
      </pivotArea>
    </chartFormat>
    <chartFormat chart="0" format="12">
      <pivotArea type="data" outline="0" fieldPosition="0">
        <references count="2">
          <reference field="4294967294" count="1" selected="0">
            <x v="1"/>
          </reference>
          <reference field="9" count="1" selected="0">
            <x v="2"/>
          </reference>
        </references>
      </pivotArea>
    </chartFormat>
    <chartFormat chart="0" format="13">
      <pivotArea type="data" outline="0" fieldPosition="0">
        <references count="2">
          <reference field="4294967294" count="1" selected="0">
            <x v="1"/>
          </reference>
          <reference field="9" count="1" selected="0">
            <x v="3"/>
          </reference>
        </references>
      </pivotArea>
    </chartFormat>
    <chartFormat chart="0" format="14">
      <pivotArea type="data" outline="0" fieldPosition="0">
        <references count="2">
          <reference field="4294967294" count="1" selected="0">
            <x v="1"/>
          </reference>
          <reference field="9" count="1" selected="0">
            <x v="4"/>
          </reference>
        </references>
      </pivotArea>
    </chartFormat>
    <chartFormat chart="0" format="15">
      <pivotArea type="data" outline="0" fieldPosition="0">
        <references count="2">
          <reference field="4294967294" count="1" selected="0">
            <x v="1"/>
          </reference>
          <reference field="9" count="1" selected="0">
            <x v="5"/>
          </reference>
        </references>
      </pivotArea>
    </chartFormat>
    <chartFormat chart="0" format="16">
      <pivotArea type="data" outline="0" fieldPosition="0">
        <references count="2">
          <reference field="4294967294" count="1" selected="0">
            <x v="1"/>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DBE07B-AE49-464C-9693-70C91C3982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6"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0"/>
        <item x="1"/>
        <item x="3"/>
        <item x="2"/>
        <item t="default"/>
      </items>
    </pivotField>
    <pivotField showAll="0"/>
    <pivotField showAll="0"/>
    <pivotField showAll="0"/>
    <pivotField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Fields count="1">
    <field x="-2"/>
  </colFields>
  <colItems count="3">
    <i>
      <x/>
    </i>
    <i i="1">
      <x v="1"/>
    </i>
    <i i="2">
      <x v="2"/>
    </i>
  </colItems>
  <dataFields count="3">
    <dataField name="Max of CASUAL_RENTALS" fld="17" subtotal="max" baseField="12" baseItem="0"/>
    <dataField name="Max of REGISTERED_RENTALS" fld="18" subtotal="max" baseField="12" baseItem="0"/>
    <dataField name="Max of TOTAL_RENTALS" fld="19" subtotal="max" baseField="12"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6F8219-77E6-41AA-93F5-93C1ED94B0A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B9" firstHeaderRow="0" firstDataRow="0" firstDataCol="0"/>
  <pivotFields count="22">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368">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_RENTALS" fld="19" baseField="2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22E0750-09F4-41AA-9508-6A4A15D4B866}"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FC80F02C-DA57-4FC0-B06A-4E1B4BBF3ADA}"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6" xr16:uid="{293BD6DB-4077-4F97-A677-97992628231D}" autoFormatId="16" applyNumberFormats="0" applyBorderFormats="0" applyFontFormats="0" applyPatternFormats="0" applyAlignmentFormats="0" applyWidthHeightFormats="0">
  <queryTableRefresh nextId="18">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instant.1"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AAE4240C-9405-4BD8-B3BE-2C8E8894F2C2}"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4" xr16:uid="{77FB0DFA-83FB-41E4-A72D-2785B299DABD}" autoFormatId="16" applyNumberFormats="0" applyBorderFormats="0" applyFontFormats="0" applyPatternFormats="0" applyAlignmentFormats="0" applyWidthHeightFormats="0">
  <queryTableRefresh nextId="24">
    <queryTableFields count="20">
      <queryTableField id="1" name="instant" tableColumnId="1"/>
      <queryTableField id="2" name="dteday" tableColumnId="2"/>
      <queryTableField id="3" name="season" tableColumnId="3"/>
      <queryTableField id="4" name="yr" tableColumnId="4"/>
      <queryTableField id="5" name="mnth" tableColumnId="5"/>
      <queryTableField id="20" dataBound="0" tableColumnId="18"/>
      <queryTableField id="6" name="hr" tableColumnId="6"/>
      <queryTableField id="7" name="holiday" tableColumnId="7"/>
      <queryTableField id="8" name="weekday" tableColumnId="8"/>
      <queryTableField id="18" dataBound="0" tableColumnId="11"/>
      <queryTableField id="23" dataBound="0" tableColumnId="21"/>
      <queryTableField id="9" name="weathersit" tableColumnId="9"/>
      <queryTableField id="21" dataBound="0" tableColumnId="19"/>
      <queryTableField id="10" name="temp" tableColumnId="10"/>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DeletedFields count="1">
      <deletedField name="instant.1"/>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3" xr16:uid="{0177572D-646F-4409-B02C-D33777C80B4B}" autoFormatId="16" applyNumberFormats="0" applyBorderFormats="0" applyFontFormats="0" applyPatternFormats="0" applyAlignmentFormats="0" applyWidthHeightFormats="0">
  <queryTableRefresh nextId="24">
    <queryTableFields count="20">
      <queryTableField id="1" name="instant" tableColumnId="1"/>
      <queryTableField id="2" name="dteday" tableColumnId="2"/>
      <queryTableField id="3" name="season" tableColumnId="3"/>
      <queryTableField id="4" name="yr" tableColumnId="4"/>
      <queryTableField id="5" name="mnth" tableColumnId="5"/>
      <queryTableField id="20" dataBound="0" tableColumnId="18"/>
      <queryTableField id="6" name="hr" tableColumnId="6"/>
      <queryTableField id="7" name="holiday" tableColumnId="7"/>
      <queryTableField id="8" name="weekday" tableColumnId="8"/>
      <queryTableField id="18" dataBound="0" tableColumnId="11"/>
      <queryTableField id="23" dataBound="0" tableColumnId="21"/>
      <queryTableField id="9" name="weathersit" tableColumnId="9"/>
      <queryTableField id="21" dataBound="0" tableColumnId="19"/>
      <queryTableField id="10" name="temp" tableColumnId="10"/>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DeletedFields count="1">
      <deletedField name="instant.1"/>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4E4A1F38-D10A-418F-AF09-7F443E96CA27}" sourceName="WEATHER_TYPE">
  <pivotTables>
    <pivotTable tabId="31" name="PivotTable5"/>
  </pivotTables>
  <data>
    <tabular pivotCacheId="1972884516">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4A568AE9-2056-40C0-9EFB-FF049FDB26FB}" sourceName="HOUR">
  <pivotTables>
    <pivotTable tabId="31" name="PivotTable2"/>
  </pivotTables>
  <data>
    <tabular pivotCacheId="197288451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DAY" xr10:uid="{52A54459-F110-48BD-8C14-331EA4C736C4}" sourceName="WEEK_DAY ">
  <pivotTables>
    <pivotTable tabId="31" name="PivotTable4"/>
  </pivotTables>
  <data>
    <tabular pivotCacheId="1972884516">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423B6D4-F9E3-45BC-A177-5FCC6E126502}" sourceName="DATE">
  <pivotTables>
    <pivotTable tabId="31" name="PivotTable7"/>
  </pivotTables>
  <data>
    <tabular pivotCacheId="1972884516">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_TYPE" xr10:uid="{E83C619B-C012-4EE2-84D6-8A790166DE8D}" cache="Slicer_WEATHER_TYPE" caption="WEATHER_TYPE" rowHeight="241300"/>
  <slicer name="HOUR" xr10:uid="{768B66BB-7B1F-4155-8DC7-704BE634C1C2}" cache="Slicer_HOUR" caption="HOUR" rowHeight="241300"/>
  <slicer name="WEEK_DAY " xr10:uid="{2E012B41-3235-4027-99E1-F0CD925595BA}" cache="Slicer_WEEK_DAY" caption="WEEK_DAY " rowHeight="241300"/>
  <slicer name="DATE 1" xr10:uid="{6E182446-6D19-4DD5-9C60-E149CBD123B5}" cache="Slicer_DATE" caption="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6C5862-FEF5-4FF4-B752-3C6F21B1FC49}" name="dataset_1__2" displayName="dataset_1__2" ref="A1:J611" tableType="queryTable" totalsRowShown="0">
  <autoFilter ref="A1:J611" xr:uid="{416C5862-FEF5-4FF4-B752-3C6F21B1FC49}"/>
  <tableColumns count="10">
    <tableColumn id="1" xr3:uid="{CFE59D90-1B46-4D2C-B17E-709BA427F914}" uniqueName="1" name="instant" queryTableFieldId="1"/>
    <tableColumn id="2" xr3:uid="{45EC07BA-2C9A-4192-98EA-A6019FB46346}" uniqueName="2" name="dteday" queryTableFieldId="2" dataDxfId="182"/>
    <tableColumn id="3" xr3:uid="{BE34D5DB-EB39-4738-BBBA-F65AE1FFEBA8}" uniqueName="3" name="season" queryTableFieldId="3"/>
    <tableColumn id="4" xr3:uid="{E345D9A5-3E2C-4D33-B66A-E6CF2F10E505}" uniqueName="4" name="yr" queryTableFieldId="4"/>
    <tableColumn id="5" xr3:uid="{49E8484A-689B-4469-9607-098F3666E5A2}" uniqueName="5" name="mnth" queryTableFieldId="5"/>
    <tableColumn id="6" xr3:uid="{9818ECB3-9D6F-4135-ABDD-7EBA457D03EA}" uniqueName="6" name="hr" queryTableFieldId="6"/>
    <tableColumn id="7" xr3:uid="{32637D78-DC87-42DA-9BA9-BBA7B0D0D0A1}" uniqueName="7" name="holiday" queryTableFieldId="7"/>
    <tableColumn id="8" xr3:uid="{4E639803-B740-46AE-A1E0-B0C50DE8119E}" uniqueName="8" name="weekday" queryTableFieldId="8"/>
    <tableColumn id="9" xr3:uid="{AAA76B91-2EEE-4370-A5C9-0832AA246D36}" uniqueName="9" name="weathersit" queryTableFieldId="9"/>
    <tableColumn id="10" xr3:uid="{3DD0FBB4-8225-4B43-914D-0A6AC697387D}" uniqueName="10" name="temp"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B1A84-6B33-4368-BA34-399904142590}" name="dataset_2__2" displayName="dataset_2__2" ref="A1:G1000" tableType="queryTable" totalsRowShown="0">
  <autoFilter ref="A1:G1000" xr:uid="{2BEB1A84-6B33-4368-BA34-399904142590}"/>
  <tableColumns count="7">
    <tableColumn id="2" xr3:uid="{2590D81E-B1EF-450A-BA09-C9488B2D4355}" uniqueName="2" name="instant" queryTableFieldId="2"/>
    <tableColumn id="3" xr3:uid="{093C07AC-3ABB-4362-B3CC-172E17F18F40}" uniqueName="3" name="atemp" queryTableFieldId="3"/>
    <tableColumn id="4" xr3:uid="{950B0200-6F8D-46AF-853D-129F5358232F}" uniqueName="4" name="hum" queryTableFieldId="4"/>
    <tableColumn id="5" xr3:uid="{2DBBCA5C-7C92-4B08-A91A-33FD47A1116B}" uniqueName="5" name="windspeed" queryTableFieldId="5"/>
    <tableColumn id="6" xr3:uid="{9F3F9196-BFD2-4701-88A3-96E1B7EB1836}" uniqueName="6" name="casual" queryTableFieldId="6"/>
    <tableColumn id="7" xr3:uid="{742117F4-7CB0-4B50-A883-C21194416C8D}" uniqueName="7" name="registered" queryTableFieldId="7"/>
    <tableColumn id="8" xr3:uid="{50940799-2ADF-4DFA-A166-4421661FFC3A}" uniqueName="8" name="c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E188BC-9766-485F-9C55-F0E0C5D7BF52}" name="Merge2" displayName="Merge2" ref="A1:Q611" tableType="queryTable" totalsRowShown="0">
  <autoFilter ref="A1:Q611" xr:uid="{AAE188BC-9766-485F-9C55-F0E0C5D7BF52}"/>
  <tableColumns count="17">
    <tableColumn id="1" xr3:uid="{0C23D8D7-C0AA-4DC9-9706-F6510509EC63}" uniqueName="1" name="instant" queryTableFieldId="1"/>
    <tableColumn id="2" xr3:uid="{207D513D-3792-43D5-8AEF-F8F7778F5AC1}" uniqueName="2" name="dteday" queryTableFieldId="2" dataDxfId="181"/>
    <tableColumn id="3" xr3:uid="{CA7B1046-5398-4E6A-BA5F-312C06A2F378}" uniqueName="3" name="season" queryTableFieldId="3"/>
    <tableColumn id="4" xr3:uid="{071965C7-F4BC-4E5B-B28D-165001EC3390}" uniqueName="4" name="yr" queryTableFieldId="4"/>
    <tableColumn id="5" xr3:uid="{78C043A3-D03D-453A-868F-0C903AB3060F}" uniqueName="5" name="mnth" queryTableFieldId="5"/>
    <tableColumn id="6" xr3:uid="{1720DE96-09E4-47F7-9836-D4A551B124F1}" uniqueName="6" name="hr" queryTableFieldId="6"/>
    <tableColumn id="7" xr3:uid="{1CB7696F-7A9E-440C-AAE2-241E877FCB75}" uniqueName="7" name="holiday" queryTableFieldId="7"/>
    <tableColumn id="8" xr3:uid="{377D70AB-99D2-4387-B25C-489654B911A1}" uniqueName="8" name="weekday" queryTableFieldId="8"/>
    <tableColumn id="9" xr3:uid="{6A007DDA-4386-48DA-8F18-F8DE6954DEF9}" uniqueName="9" name="weathersit" queryTableFieldId="9"/>
    <tableColumn id="10" xr3:uid="{A06A628B-FA42-400A-B4FB-84CBE6DCCF69}" uniqueName="10" name="temp" queryTableFieldId="10"/>
    <tableColumn id="11" xr3:uid="{2560C788-51D6-488E-8924-4863A2078419}" uniqueName="11" name="instant.1" queryTableFieldId="11"/>
    <tableColumn id="12" xr3:uid="{46047107-844D-4118-AEAA-6CE43B71792B}" uniqueName="12" name="atemp" queryTableFieldId="12"/>
    <tableColumn id="13" xr3:uid="{8E91FF79-331D-4152-81FF-160C1191DA21}" uniqueName="13" name="hum" queryTableFieldId="13"/>
    <tableColumn id="14" xr3:uid="{5BFC0CD8-B56C-40C7-B805-DEFBDDA7E8AC}" uniqueName="14" name="windspeed" queryTableFieldId="14"/>
    <tableColumn id="15" xr3:uid="{8D5F8899-BD8B-48D6-A9C3-2FE4C0C387CE}" uniqueName="15" name="casual" queryTableFieldId="15"/>
    <tableColumn id="16" xr3:uid="{AED4C1DD-8E54-4B10-BDB7-930C10456CEA}" uniqueName="16" name="registered" queryTableFieldId="16"/>
    <tableColumn id="17" xr3:uid="{D30A2555-27DA-4837-8186-63AD8FE727A4}" uniqueName="17" name="cnt"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0831AE-7779-4029-AE64-B93C1B64E0AB}" name="dataset_3" displayName="dataset_3" ref="A1:P391" tableType="queryTable" totalsRowShown="0">
  <autoFilter ref="A1:P391" xr:uid="{E20831AE-7779-4029-AE64-B93C1B64E0AB}"/>
  <tableColumns count="16">
    <tableColumn id="1" xr3:uid="{5A93BB77-CAC9-4C02-9F40-97A989FA83B8}" uniqueName="1" name="instant" queryTableFieldId="1"/>
    <tableColumn id="2" xr3:uid="{109DB508-FEB0-4300-8D84-D16B5A5F6124}" uniqueName="2" name="dteday" queryTableFieldId="2" dataDxfId="180"/>
    <tableColumn id="3" xr3:uid="{4D7DB7EB-A7DC-4981-91F4-4740CCB8DED8}" uniqueName="3" name="season" queryTableFieldId="3"/>
    <tableColumn id="4" xr3:uid="{BB80A2CC-AEEE-44D0-B39A-383184CAAC13}" uniqueName="4" name="yr" queryTableFieldId="4"/>
    <tableColumn id="5" xr3:uid="{07C28E5C-81D7-4EC7-8366-8C3A9602544F}" uniqueName="5" name="mnth" queryTableFieldId="5"/>
    <tableColumn id="6" xr3:uid="{48C9F22C-540D-4E5C-ABE0-1223F7B6870E}" uniqueName="6" name="hr" queryTableFieldId="6"/>
    <tableColumn id="7" xr3:uid="{658EA052-CD22-4800-91CE-73646E3BBB14}" uniqueName="7" name="holiday" queryTableFieldId="7"/>
    <tableColumn id="8" xr3:uid="{8737FC79-4A5E-4FEA-B2AE-6F2D8974761F}" uniqueName="8" name="weekday" queryTableFieldId="8"/>
    <tableColumn id="9" xr3:uid="{EDC1AF85-7B1E-4825-902B-7BA0EFF2A6E9}" uniqueName="9" name="weathersit" queryTableFieldId="9"/>
    <tableColumn id="10" xr3:uid="{9F7F9AF3-4FCB-4E51-994A-503E7157A658}" uniqueName="10" name="temp" queryTableFieldId="10"/>
    <tableColumn id="11" xr3:uid="{1FEDA025-1424-4C5B-AB0C-CECA6D099DC4}" uniqueName="11" name="atemp" queryTableFieldId="11"/>
    <tableColumn id="12" xr3:uid="{923470C9-9604-4C03-8D3A-385D4D2C8EF6}" uniqueName="12" name="hum" queryTableFieldId="12"/>
    <tableColumn id="13" xr3:uid="{05AA6BC4-219E-4D91-817F-185F6F8243F6}" uniqueName="13" name="windspeed" queryTableFieldId="13"/>
    <tableColumn id="14" xr3:uid="{C9A869F8-A493-4BC4-9C5E-E3CABAECB14D}" uniqueName="14" name="casual" queryTableFieldId="14"/>
    <tableColumn id="15" xr3:uid="{AF00E591-A7A5-486E-842B-5B5651725E93}" uniqueName="15" name="registered" queryTableFieldId="15"/>
    <tableColumn id="16" xr3:uid="{A734A4E7-95C9-40AA-B19D-ED50E1567E50}" uniqueName="16" name="cnt" queryTableField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567687-227A-4257-8C4C-50808BC1E48C}" name="final_data786" displayName="final_data786" ref="A1:T1001" tableType="queryTable" totalsRowShown="0">
  <autoFilter ref="A1:T1001" xr:uid="{84567687-227A-4257-8C4C-50808BC1E48C}"/>
  <tableColumns count="20">
    <tableColumn id="1" xr3:uid="{C6E37530-68B6-4067-A722-C076CCD20579}" uniqueName="1" name="SR.NO" queryTableFieldId="1"/>
    <tableColumn id="2" xr3:uid="{5F7A77B9-31E9-4BE3-818E-5D7BB335E380}" uniqueName="2" name="DATE" queryTableFieldId="2" dataDxfId="179"/>
    <tableColumn id="3" xr3:uid="{FE35918E-E975-4884-9BB7-DC3B0FBA2627}" uniqueName="3" name="SEASON_CODE " queryTableFieldId="3" dataDxfId="178"/>
    <tableColumn id="4" xr3:uid="{BC9439A6-E56A-413E-B307-39AC38B2B667}" uniqueName="4" name="YEAR" queryTableFieldId="4"/>
    <tableColumn id="5" xr3:uid="{AA52A502-A454-4609-9FE8-04F2C702FF44}" uniqueName="5" name="MONTH_CODE" queryTableFieldId="5"/>
    <tableColumn id="18" xr3:uid="{55A245B0-A4F6-4A87-A97E-390D51A1CAF2}" uniqueName="18" name="MONTH" queryTableFieldId="20" dataDxfId="177">
      <calculatedColumnFormula>IF(final_data786[[#This Row],[MONTH_CODE]]=1,"JANUARY",IF(final_data786[[#This Row],[MONTH_CODE]]=2,"FEBRUARY"))</calculatedColumnFormula>
    </tableColumn>
    <tableColumn id="6" xr3:uid="{79D91E60-474B-47D1-A6C1-4C10899F1AE0}" uniqueName="6" name="HOUR" queryTableFieldId="6"/>
    <tableColumn id="7" xr3:uid="{3ADD4B5B-2843-49DA-AA14-A6F583669F3C}" uniqueName="7" name="HOLIDAY" queryTableFieldId="7"/>
    <tableColumn id="8" xr3:uid="{A6E81E1D-85C4-4092-88FB-5BD01B05CE27}" uniqueName="8" name="DAY_CODE" queryTableFieldId="8"/>
    <tableColumn id="11" xr3:uid="{A292D9E6-EA2A-4B2A-99FF-01CE3CCD9EC6}" uniqueName="11" name="WEEK_DAY " queryTableFieldId="18" dataDxfId="176">
      <calculatedColumnFormula>IF(final_data786[[#This Row],[DAY_CODE]]=6,"Saturday",IF(final_data786[[#This Row],[DAY_CODE]]=5,"Friday",IF(final_data786[[#This Row],[DAY_CODE]]=4,"Thursday",IF(final_data786[[#This Row],[DAY_CODE]]=3,"Wednesday",IF(final_data786[[#This Row],[DAY_CODE]]=2,"Tuesday",IF(final_data786[[#This Row],[DAY_CODE]]=1,"monday",IF(final_data786[[#This Row],[DAY_CODE]]=0,"Sunday",0)))))))</calculatedColumnFormula>
    </tableColumn>
    <tableColumn id="21" xr3:uid="{A53F2AFF-62C0-47AA-A418-02ACB3B3B4D8}" uniqueName="21" name="DAY_TYPE" queryTableFieldId="23" dataDxfId="175">
      <calculatedColumnFormula>IF(final_data786[[#This Row],[DAY_CODE]]=0,"weekend",IF(final_data786[[#This Row],[DAY_CODE]]=6,"weekend","weekday"))</calculatedColumnFormula>
    </tableColumn>
    <tableColumn id="9" xr3:uid="{18C7B491-9235-40A1-A81C-B66DD8D08DFD}" uniqueName="9" name="WEATHER_CODE" queryTableFieldId="9"/>
    <tableColumn id="19" xr3:uid="{849A4FF5-7E2E-4C63-A2BF-E85D28A8B659}" uniqueName="19" name="WEATHER_TYPE" queryTableFieldId="21" dataDxfId="174">
      <calculatedColumnFormula>IF(final_data786[[#This Row],[WEATHER_CODE]]=1,"clear",IF(final_data786[[#This Row],[WEATHER_CODE]]=2,"cloudy",IF(final_data786[[#This Row],[WEATHER_CODE]]=3,"light rain",IF(final_data786[[#This Row],[WEATHER_CODE]]=4,"heavy rain",0))))</calculatedColumnFormula>
    </tableColumn>
    <tableColumn id="10" xr3:uid="{9F8E5CA9-D689-4298-BE6F-FF9C2729C05B}" uniqueName="10" name="TEMP." queryTableFieldId="10"/>
    <tableColumn id="12" xr3:uid="{3E39A437-41DD-4D8C-AA54-BA71D2B6DA15}" uniqueName="12" name="ASSUMED_TEMP." queryTableFieldId="12"/>
    <tableColumn id="13" xr3:uid="{61D761BB-0820-4DBA-8094-FAD8CA04E587}" uniqueName="13" name="HUMIDITY" queryTableFieldId="13"/>
    <tableColumn id="14" xr3:uid="{32396AEF-3D75-4732-A505-BCD9974A816F}" uniqueName="14" name="WINDSPEED" queryTableFieldId="14"/>
    <tableColumn id="15" xr3:uid="{506059DD-2A87-4032-8CE2-27DF5535BBD0}" uniqueName="15" name="CASUAL_RENTALS" queryTableFieldId="15"/>
    <tableColumn id="16" xr3:uid="{1083C0BB-30E5-4E2D-BC62-254116EFDB51}" uniqueName="16" name="REGISTERED_RENTALS" queryTableFieldId="16"/>
    <tableColumn id="17" xr3:uid="{8E2954F5-05AA-4952-912E-0B0B769957AA}" uniqueName="17" name="TOTAL_RENTALS"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116754-F897-4C14-9A56-0EDFD0291CF6}" name="final_data787" displayName="final_data787" ref="A1:T1001" tableType="queryTable" totalsRowShown="0">
  <tableColumns count="20">
    <tableColumn id="1" xr3:uid="{AEE48627-B6AF-4B01-A18F-221A744B7B11}" uniqueName="1" name="SR.NO" queryTableFieldId="1"/>
    <tableColumn id="2" xr3:uid="{F0F6F343-043A-40A2-BE39-88119BB6A58F}" uniqueName="2" name="DATE" queryTableFieldId="2" dataDxfId="173"/>
    <tableColumn id="3" xr3:uid="{98A65762-837C-4489-871F-19B0E25CD737}" uniqueName="3" name="SEASON_CODE " queryTableFieldId="3" dataDxfId="172"/>
    <tableColumn id="4" xr3:uid="{91A72C25-7B4F-4E45-8A0A-17C4DBA3A41D}" uniqueName="4" name="YEAR" queryTableFieldId="4"/>
    <tableColumn id="5" xr3:uid="{DAECA6A8-5C16-4C73-BA6D-541E94B59EA1}" uniqueName="5" name="MONTH_CODE" queryTableFieldId="5"/>
    <tableColumn id="18" xr3:uid="{C7370CB7-AE00-4C60-982D-C1329A8D06C3}" uniqueName="18" name="MONTH" queryTableFieldId="20" dataDxfId="171">
      <calculatedColumnFormula>IF(final_data787[[#This Row],[MONTH_CODE]]=1,"JANUARY",IF(final_data787[[#This Row],[MONTH_CODE]]=2,"FEBRUARY"))</calculatedColumnFormula>
    </tableColumn>
    <tableColumn id="6" xr3:uid="{20E50B52-7837-4B81-AD39-8644263E9B5E}" uniqueName="6" name="HOUR" queryTableFieldId="6"/>
    <tableColumn id="7" xr3:uid="{EB7B0B6A-7B63-4EE3-AD01-3739EADAFB1F}" uniqueName="7" name="HOLIDAY" queryTableFieldId="7"/>
    <tableColumn id="8" xr3:uid="{F555A16A-8D2F-4B43-9683-CEA049AC2C56}" uniqueName="8" name="DAY_CODE" queryTableFieldId="8"/>
    <tableColumn id="11" xr3:uid="{AB49B671-7A4A-48DE-AED2-F457F231601E}" uniqueName="11" name="WEEK_DAY " queryTableFieldId="18" dataDxfId="170">
      <calculatedColumnFormula>IF(final_data787[[#This Row],[DAY_CODE]]=6,"Saturday",IF(final_data787[[#This Row],[DAY_CODE]]=5,"Friday",IF(final_data787[[#This Row],[DAY_CODE]]=4,"Thursday",IF(final_data787[[#This Row],[DAY_CODE]]=3,"Wednesday",IF(final_data787[[#This Row],[DAY_CODE]]=2,"Tuesday",IF(final_data787[[#This Row],[DAY_CODE]]=1,"monday",IF(final_data787[[#This Row],[DAY_CODE]]=0,"Sunday",0)))))))</calculatedColumnFormula>
    </tableColumn>
    <tableColumn id="21" xr3:uid="{B0F0D08A-925F-452F-91F9-A97C3DAA6502}" uniqueName="21" name="DAY_TYPE" queryTableFieldId="23">
      <calculatedColumnFormula>IF(final_data787[[#This Row],[DAY_CODE]]=0,"weekend",IF(final_data787[[#This Row],[DAY_CODE]]=1,"weekend","weekday"))</calculatedColumnFormula>
    </tableColumn>
    <tableColumn id="9" xr3:uid="{9F36796A-28EF-4EAE-97D3-A35D2244690A}" uniqueName="9" name="WEATHER_CODE" queryTableFieldId="9"/>
    <tableColumn id="19" xr3:uid="{FFDAF745-8306-4FF9-B412-AB5F88C34C22}" uniqueName="19" name="WEATHER_TYPE" queryTableFieldId="21" dataDxfId="169">
      <calculatedColumnFormula>IF(final_data787[[#This Row],[WEATHER_CODE]]=1,"clear",IF(final_data787[[#This Row],[WEATHER_CODE]]=2,"cloudy",IF(final_data787[[#This Row],[WEATHER_CODE]]=3,"light rain",IF(final_data787[[#This Row],[WEATHER_CODE]]=4,"heavy rain",0))))</calculatedColumnFormula>
    </tableColumn>
    <tableColumn id="10" xr3:uid="{5221FE77-859B-4997-9268-9A78EEDADF4F}" uniqueName="10" name="TEMP." queryTableFieldId="10"/>
    <tableColumn id="12" xr3:uid="{F622D4F5-BC4C-4F30-88DD-6343D5906942}" uniqueName="12" name="ASSUMED_TEMP." queryTableFieldId="12"/>
    <tableColumn id="13" xr3:uid="{6B6C00E6-1891-4128-9A7D-F9689912E50C}" uniqueName="13" name="HUMIDITY" queryTableFieldId="13"/>
    <tableColumn id="14" xr3:uid="{FA95CC3B-A860-4A1C-AEAC-C811CB79DF01}" uniqueName="14" name="WINDSPEED" queryTableFieldId="14"/>
    <tableColumn id="15" xr3:uid="{7669FFE9-0CEA-4A82-9054-4322457769CB}" uniqueName="15" name="CASUAL_RENTALS" queryTableFieldId="15"/>
    <tableColumn id="16" xr3:uid="{95958F50-378A-4F2D-8781-AAF3805C3630}" uniqueName="16" name="REGISTERED_RENTALS" queryTableFieldId="16"/>
    <tableColumn id="17" xr3:uid="{0DCCF777-94B2-44F6-8F53-04F71E80B4B8}" uniqueName="17" name="TOTAL_RENTALS"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F66942-7E9F-40F9-AD95-A0A0BD73A8E8}" name="Table1" displayName="Table1" ref="K12:L16" totalsRowShown="0" headerRowDxfId="8">
  <tableColumns count="2">
    <tableColumn id="1" xr3:uid="{B784302E-A6AB-42B4-84AF-96C87B1EA196}" name="LOWER QUARTILE" dataDxfId="7"/>
    <tableColumn id="2" xr3:uid="{2A76461B-ED95-4FD5-AC5E-C8ECDB69B008}" name="16" dataDxfId="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B66265-7183-47B5-884F-06A533723CA8}" name="Table7" displayName="Table7" ref="A1:E58" totalsRowShown="0">
  <autoFilter ref="A1:E58" xr:uid="{03B66265-7183-47B5-884F-06A533723CA8}"/>
  <tableColumns count="5">
    <tableColumn id="1" xr3:uid="{F5F50CB9-72CC-42D1-A5D0-8451E5FE31C1}" name="DATE" dataDxfId="5"/>
    <tableColumn id="2" xr3:uid="{E83DCA97-C70E-464E-8969-05D0287F7D48}" name="TOTAL_RENTALS"/>
    <tableColumn id="3" xr3:uid="{EA1C4894-3B00-4D11-9941-9FD55A3DDE2E}" name="Forecast(TOTAL_RENTALS)">
      <calculatedColumnFormula>_xlfn.FORECAST.ETS(A2,$B$2:$B$46,$A$2:$A$46,1,1)</calculatedColumnFormula>
    </tableColumn>
    <tableColumn id="4" xr3:uid="{85A90959-8B63-4915-BC6F-BD277DBF53FF}" name="Lower Confidence Bound(TOTAL_RENTALS)" dataDxfId="4">
      <calculatedColumnFormula>C2-_xlfn.FORECAST.ETS.CONFINT(A2,$B$2:$B$46,$A$2:$A$46,0.95,1,1)</calculatedColumnFormula>
    </tableColumn>
    <tableColumn id="5" xr3:uid="{40BD940B-82C3-4E7A-957E-14E9886BDB45}" name="Upper Confidence Bound(TOTAL_RENTALS)" dataDxfId="3">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AB05EC-FF76-40AA-96F7-78B590AF3AAD}" sourceName="DATE">
  <state minimalRefreshVersion="6" lastRefreshVersion="6" pivotCacheId="1972884516"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5BDF710-0A87-4674-AF0F-91F93A329A98}" cache="NativeTimeline_DATE" caption="DATE" level="3" selectionLevel="2" scrollPosition="2011-01-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86BA-FBB9-4CFC-A80B-7887C946097D}">
  <dimension ref="A1:J611"/>
  <sheetViews>
    <sheetView workbookViewId="0">
      <selection activeCell="K25" activeCellId="1" sqref="L1:L10 K25"/>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s>
  <sheetData>
    <row r="1" spans="1:10" x14ac:dyDescent="0.35">
      <c r="A1" t="s">
        <v>2</v>
      </c>
      <c r="B1" t="s">
        <v>3</v>
      </c>
      <c r="C1" t="s">
        <v>4</v>
      </c>
      <c r="D1" t="s">
        <v>5</v>
      </c>
      <c r="E1" t="s">
        <v>6</v>
      </c>
      <c r="F1" t="s">
        <v>7</v>
      </c>
      <c r="G1" t="s">
        <v>8</v>
      </c>
      <c r="H1" t="s">
        <v>9</v>
      </c>
      <c r="I1" t="s">
        <v>10</v>
      </c>
      <c r="J1" t="s">
        <v>11</v>
      </c>
    </row>
    <row r="2" spans="1:10" x14ac:dyDescent="0.35">
      <c r="A2">
        <v>1</v>
      </c>
      <c r="B2" s="1">
        <v>40544</v>
      </c>
      <c r="C2">
        <v>1</v>
      </c>
      <c r="D2">
        <v>0</v>
      </c>
      <c r="E2">
        <v>1</v>
      </c>
      <c r="F2">
        <v>0</v>
      </c>
      <c r="G2">
        <v>0</v>
      </c>
      <c r="H2">
        <v>6</v>
      </c>
      <c r="I2">
        <v>1</v>
      </c>
      <c r="J2">
        <v>0.24</v>
      </c>
    </row>
    <row r="3" spans="1:10" x14ac:dyDescent="0.35">
      <c r="A3">
        <v>2</v>
      </c>
      <c r="B3" s="1">
        <v>40544</v>
      </c>
      <c r="C3">
        <v>1</v>
      </c>
      <c r="D3">
        <v>0</v>
      </c>
      <c r="E3">
        <v>1</v>
      </c>
      <c r="F3">
        <v>1</v>
      </c>
      <c r="G3">
        <v>0</v>
      </c>
      <c r="H3">
        <v>6</v>
      </c>
      <c r="I3">
        <v>1</v>
      </c>
      <c r="J3">
        <v>0.22</v>
      </c>
    </row>
    <row r="4" spans="1:10" x14ac:dyDescent="0.35">
      <c r="A4">
        <v>3</v>
      </c>
      <c r="B4" s="1">
        <v>40544</v>
      </c>
      <c r="C4">
        <v>1</v>
      </c>
      <c r="D4">
        <v>0</v>
      </c>
      <c r="E4">
        <v>1</v>
      </c>
      <c r="F4">
        <v>2</v>
      </c>
      <c r="G4">
        <v>0</v>
      </c>
      <c r="H4">
        <v>6</v>
      </c>
      <c r="I4">
        <v>1</v>
      </c>
      <c r="J4">
        <v>0.22</v>
      </c>
    </row>
    <row r="5" spans="1:10" x14ac:dyDescent="0.35">
      <c r="A5">
        <v>4</v>
      </c>
      <c r="B5" s="1">
        <v>40544</v>
      </c>
      <c r="C5">
        <v>1</v>
      </c>
      <c r="D5">
        <v>0</v>
      </c>
      <c r="E5">
        <v>1</v>
      </c>
      <c r="F5">
        <v>3</v>
      </c>
      <c r="G5">
        <v>0</v>
      </c>
      <c r="H5">
        <v>6</v>
      </c>
      <c r="I5">
        <v>1</v>
      </c>
      <c r="J5">
        <v>0.24</v>
      </c>
    </row>
    <row r="6" spans="1:10" x14ac:dyDescent="0.35">
      <c r="A6">
        <v>5</v>
      </c>
      <c r="B6" s="1">
        <v>40544</v>
      </c>
      <c r="C6">
        <v>1</v>
      </c>
      <c r="D6">
        <v>0</v>
      </c>
      <c r="E6">
        <v>1</v>
      </c>
      <c r="F6">
        <v>4</v>
      </c>
      <c r="G6">
        <v>0</v>
      </c>
      <c r="H6">
        <v>6</v>
      </c>
      <c r="I6">
        <v>1</v>
      </c>
      <c r="J6">
        <v>0.24</v>
      </c>
    </row>
    <row r="7" spans="1:10" x14ac:dyDescent="0.35">
      <c r="A7">
        <v>6</v>
      </c>
      <c r="B7" s="1">
        <v>40544</v>
      </c>
      <c r="C7">
        <v>1</v>
      </c>
      <c r="D7">
        <v>0</v>
      </c>
      <c r="E7">
        <v>1</v>
      </c>
      <c r="F7">
        <v>5</v>
      </c>
      <c r="G7">
        <v>0</v>
      </c>
      <c r="H7">
        <v>6</v>
      </c>
      <c r="I7">
        <v>2</v>
      </c>
      <c r="J7">
        <v>0.24</v>
      </c>
    </row>
    <row r="8" spans="1:10" x14ac:dyDescent="0.35">
      <c r="A8">
        <v>7</v>
      </c>
      <c r="B8" s="1">
        <v>40544</v>
      </c>
      <c r="C8">
        <v>1</v>
      </c>
      <c r="D8">
        <v>0</v>
      </c>
      <c r="E8">
        <v>1</v>
      </c>
      <c r="F8">
        <v>6</v>
      </c>
      <c r="G8">
        <v>0</v>
      </c>
      <c r="H8">
        <v>6</v>
      </c>
      <c r="I8">
        <v>1</v>
      </c>
      <c r="J8">
        <v>0.22</v>
      </c>
    </row>
    <row r="9" spans="1:10" x14ac:dyDescent="0.35">
      <c r="A9">
        <v>8</v>
      </c>
      <c r="B9" s="1">
        <v>40544</v>
      </c>
      <c r="C9">
        <v>1</v>
      </c>
      <c r="D9">
        <v>0</v>
      </c>
      <c r="E9">
        <v>1</v>
      </c>
      <c r="F9">
        <v>7</v>
      </c>
      <c r="G9">
        <v>0</v>
      </c>
      <c r="H9">
        <v>6</v>
      </c>
      <c r="I9">
        <v>1</v>
      </c>
      <c r="J9">
        <v>0.2</v>
      </c>
    </row>
    <row r="10" spans="1:10" x14ac:dyDescent="0.35">
      <c r="A10">
        <v>9</v>
      </c>
      <c r="B10" s="1">
        <v>40544</v>
      </c>
      <c r="C10">
        <v>1</v>
      </c>
      <c r="D10">
        <v>0</v>
      </c>
      <c r="E10">
        <v>1</v>
      </c>
      <c r="F10">
        <v>8</v>
      </c>
      <c r="G10">
        <v>0</v>
      </c>
      <c r="H10">
        <v>6</v>
      </c>
      <c r="I10">
        <v>1</v>
      </c>
      <c r="J10">
        <v>0.24</v>
      </c>
    </row>
    <row r="11" spans="1:10" x14ac:dyDescent="0.35">
      <c r="A11">
        <v>10</v>
      </c>
      <c r="B11" s="1">
        <v>40544</v>
      </c>
      <c r="C11">
        <v>1</v>
      </c>
      <c r="D11">
        <v>0</v>
      </c>
      <c r="E11">
        <v>1</v>
      </c>
      <c r="F11">
        <v>9</v>
      </c>
      <c r="G11">
        <v>0</v>
      </c>
      <c r="H11">
        <v>6</v>
      </c>
      <c r="I11">
        <v>1</v>
      </c>
      <c r="J11">
        <v>0.32</v>
      </c>
    </row>
    <row r="12" spans="1:10" x14ac:dyDescent="0.35">
      <c r="A12">
        <v>11</v>
      </c>
      <c r="B12" s="1">
        <v>40544</v>
      </c>
      <c r="C12">
        <v>1</v>
      </c>
      <c r="D12">
        <v>0</v>
      </c>
      <c r="E12">
        <v>1</v>
      </c>
      <c r="F12">
        <v>10</v>
      </c>
      <c r="G12">
        <v>0</v>
      </c>
      <c r="H12">
        <v>6</v>
      </c>
      <c r="I12">
        <v>1</v>
      </c>
      <c r="J12">
        <v>0.38</v>
      </c>
    </row>
    <row r="13" spans="1:10" x14ac:dyDescent="0.35">
      <c r="A13">
        <v>12</v>
      </c>
      <c r="B13" s="1">
        <v>40544</v>
      </c>
      <c r="C13">
        <v>1</v>
      </c>
      <c r="D13">
        <v>0</v>
      </c>
      <c r="E13">
        <v>1</v>
      </c>
      <c r="F13">
        <v>11</v>
      </c>
      <c r="G13">
        <v>0</v>
      </c>
      <c r="H13">
        <v>6</v>
      </c>
      <c r="I13">
        <v>1</v>
      </c>
      <c r="J13">
        <v>0.36</v>
      </c>
    </row>
    <row r="14" spans="1:10" x14ac:dyDescent="0.35">
      <c r="A14">
        <v>13</v>
      </c>
      <c r="B14" s="1">
        <v>40544</v>
      </c>
      <c r="C14">
        <v>1</v>
      </c>
      <c r="D14">
        <v>0</v>
      </c>
      <c r="E14">
        <v>1</v>
      </c>
      <c r="F14">
        <v>12</v>
      </c>
      <c r="G14">
        <v>0</v>
      </c>
      <c r="H14">
        <v>6</v>
      </c>
      <c r="I14">
        <v>1</v>
      </c>
      <c r="J14">
        <v>0.42</v>
      </c>
    </row>
    <row r="15" spans="1:10" x14ac:dyDescent="0.35">
      <c r="A15">
        <v>14</v>
      </c>
      <c r="B15" s="1">
        <v>40544</v>
      </c>
      <c r="C15">
        <v>1</v>
      </c>
      <c r="D15">
        <v>0</v>
      </c>
      <c r="E15">
        <v>1</v>
      </c>
      <c r="F15">
        <v>13</v>
      </c>
      <c r="G15">
        <v>0</v>
      </c>
      <c r="H15">
        <v>6</v>
      </c>
      <c r="I15">
        <v>2</v>
      </c>
      <c r="J15">
        <v>0.46</v>
      </c>
    </row>
    <row r="16" spans="1:10" x14ac:dyDescent="0.35">
      <c r="A16">
        <v>15</v>
      </c>
      <c r="B16" s="1">
        <v>40544</v>
      </c>
      <c r="C16">
        <v>1</v>
      </c>
      <c r="D16">
        <v>0</v>
      </c>
      <c r="E16">
        <v>1</v>
      </c>
      <c r="F16">
        <v>14</v>
      </c>
      <c r="G16">
        <v>0</v>
      </c>
      <c r="H16">
        <v>6</v>
      </c>
      <c r="I16">
        <v>2</v>
      </c>
      <c r="J16">
        <v>0.46</v>
      </c>
    </row>
    <row r="17" spans="1:10" x14ac:dyDescent="0.35">
      <c r="A17">
        <v>16</v>
      </c>
      <c r="B17" s="1">
        <v>40544</v>
      </c>
      <c r="C17">
        <v>1</v>
      </c>
      <c r="D17">
        <v>0</v>
      </c>
      <c r="E17">
        <v>1</v>
      </c>
      <c r="F17">
        <v>15</v>
      </c>
      <c r="G17">
        <v>0</v>
      </c>
      <c r="H17">
        <v>6</v>
      </c>
      <c r="I17">
        <v>2</v>
      </c>
      <c r="J17">
        <v>0.44</v>
      </c>
    </row>
    <row r="18" spans="1:10" x14ac:dyDescent="0.35">
      <c r="A18">
        <v>17</v>
      </c>
      <c r="B18" s="1">
        <v>40544</v>
      </c>
      <c r="C18">
        <v>1</v>
      </c>
      <c r="D18">
        <v>0</v>
      </c>
      <c r="E18">
        <v>1</v>
      </c>
      <c r="F18">
        <v>16</v>
      </c>
      <c r="G18">
        <v>0</v>
      </c>
      <c r="H18">
        <v>6</v>
      </c>
      <c r="I18">
        <v>2</v>
      </c>
      <c r="J18">
        <v>0.42</v>
      </c>
    </row>
    <row r="19" spans="1:10" x14ac:dyDescent="0.35">
      <c r="A19">
        <v>18</v>
      </c>
      <c r="B19" s="1">
        <v>40544</v>
      </c>
      <c r="C19">
        <v>1</v>
      </c>
      <c r="D19">
        <v>0</v>
      </c>
      <c r="E19">
        <v>1</v>
      </c>
      <c r="F19">
        <v>17</v>
      </c>
      <c r="G19">
        <v>0</v>
      </c>
      <c r="H19">
        <v>6</v>
      </c>
      <c r="I19">
        <v>2</v>
      </c>
      <c r="J19">
        <v>0.44</v>
      </c>
    </row>
    <row r="20" spans="1:10" x14ac:dyDescent="0.35">
      <c r="A20">
        <v>19</v>
      </c>
      <c r="B20" s="1">
        <v>40544</v>
      </c>
      <c r="C20">
        <v>1</v>
      </c>
      <c r="D20">
        <v>0</v>
      </c>
      <c r="E20">
        <v>1</v>
      </c>
      <c r="F20">
        <v>18</v>
      </c>
      <c r="G20">
        <v>0</v>
      </c>
      <c r="H20">
        <v>6</v>
      </c>
      <c r="I20">
        <v>3</v>
      </c>
      <c r="J20">
        <v>0.42</v>
      </c>
    </row>
    <row r="21" spans="1:10" x14ac:dyDescent="0.35">
      <c r="A21">
        <v>20</v>
      </c>
      <c r="B21" s="1">
        <v>40544</v>
      </c>
      <c r="C21">
        <v>1</v>
      </c>
      <c r="D21">
        <v>0</v>
      </c>
      <c r="E21">
        <v>1</v>
      </c>
      <c r="F21">
        <v>19</v>
      </c>
      <c r="G21">
        <v>0</v>
      </c>
      <c r="H21">
        <v>6</v>
      </c>
      <c r="I21">
        <v>3</v>
      </c>
      <c r="J21">
        <v>0.42</v>
      </c>
    </row>
    <row r="22" spans="1:10" x14ac:dyDescent="0.35">
      <c r="A22">
        <v>21</v>
      </c>
      <c r="B22" s="1">
        <v>40544</v>
      </c>
      <c r="C22">
        <v>1</v>
      </c>
      <c r="D22">
        <v>0</v>
      </c>
      <c r="E22">
        <v>1</v>
      </c>
      <c r="F22">
        <v>20</v>
      </c>
      <c r="G22">
        <v>0</v>
      </c>
      <c r="H22">
        <v>6</v>
      </c>
      <c r="I22">
        <v>2</v>
      </c>
      <c r="J22">
        <v>0.4</v>
      </c>
    </row>
    <row r="23" spans="1:10" x14ac:dyDescent="0.35">
      <c r="A23">
        <v>22</v>
      </c>
      <c r="B23" s="1">
        <v>40544</v>
      </c>
      <c r="C23">
        <v>1</v>
      </c>
      <c r="D23">
        <v>0</v>
      </c>
      <c r="E23">
        <v>1</v>
      </c>
      <c r="F23">
        <v>21</v>
      </c>
      <c r="G23">
        <v>0</v>
      </c>
      <c r="H23">
        <v>6</v>
      </c>
      <c r="I23">
        <v>2</v>
      </c>
      <c r="J23">
        <v>0.4</v>
      </c>
    </row>
    <row r="24" spans="1:10" x14ac:dyDescent="0.35">
      <c r="A24">
        <v>23</v>
      </c>
      <c r="B24" s="1">
        <v>40544</v>
      </c>
      <c r="C24">
        <v>1</v>
      </c>
      <c r="D24">
        <v>0</v>
      </c>
      <c r="E24">
        <v>1</v>
      </c>
      <c r="F24">
        <v>22</v>
      </c>
      <c r="G24">
        <v>0</v>
      </c>
      <c r="H24">
        <v>6</v>
      </c>
      <c r="I24">
        <v>2</v>
      </c>
      <c r="J24">
        <v>0.4</v>
      </c>
    </row>
    <row r="25" spans="1:10" x14ac:dyDescent="0.35">
      <c r="A25">
        <v>24</v>
      </c>
      <c r="B25" s="1">
        <v>40544</v>
      </c>
      <c r="C25">
        <v>1</v>
      </c>
      <c r="D25">
        <v>0</v>
      </c>
      <c r="E25">
        <v>1</v>
      </c>
      <c r="F25">
        <v>23</v>
      </c>
      <c r="G25">
        <v>0</v>
      </c>
      <c r="H25">
        <v>6</v>
      </c>
      <c r="I25">
        <v>2</v>
      </c>
      <c r="J25">
        <v>0.46</v>
      </c>
    </row>
    <row r="26" spans="1:10" x14ac:dyDescent="0.35">
      <c r="A26">
        <v>25</v>
      </c>
      <c r="B26" s="1">
        <v>40545</v>
      </c>
      <c r="C26">
        <v>1</v>
      </c>
      <c r="D26">
        <v>0</v>
      </c>
      <c r="E26">
        <v>1</v>
      </c>
      <c r="F26">
        <v>0</v>
      </c>
      <c r="G26">
        <v>0</v>
      </c>
      <c r="H26">
        <v>0</v>
      </c>
      <c r="I26">
        <v>2</v>
      </c>
      <c r="J26">
        <v>0.46</v>
      </c>
    </row>
    <row r="27" spans="1:10" x14ac:dyDescent="0.35">
      <c r="A27">
        <v>26</v>
      </c>
      <c r="B27" s="1">
        <v>40545</v>
      </c>
      <c r="C27">
        <v>1</v>
      </c>
      <c r="D27">
        <v>0</v>
      </c>
      <c r="E27">
        <v>1</v>
      </c>
      <c r="F27">
        <v>1</v>
      </c>
      <c r="G27">
        <v>0</v>
      </c>
      <c r="H27">
        <v>0</v>
      </c>
      <c r="I27">
        <v>2</v>
      </c>
      <c r="J27">
        <v>0.44</v>
      </c>
    </row>
    <row r="28" spans="1:10" x14ac:dyDescent="0.35">
      <c r="A28">
        <v>27</v>
      </c>
      <c r="B28" s="1">
        <v>40545</v>
      </c>
      <c r="C28">
        <v>1</v>
      </c>
      <c r="D28">
        <v>0</v>
      </c>
      <c r="E28">
        <v>1</v>
      </c>
      <c r="F28">
        <v>2</v>
      </c>
      <c r="G28">
        <v>0</v>
      </c>
      <c r="H28">
        <v>0</v>
      </c>
      <c r="I28">
        <v>2</v>
      </c>
      <c r="J28">
        <v>0.42</v>
      </c>
    </row>
    <row r="29" spans="1:10" x14ac:dyDescent="0.35">
      <c r="A29">
        <v>28</v>
      </c>
      <c r="B29" s="1">
        <v>40545</v>
      </c>
      <c r="C29">
        <v>1</v>
      </c>
      <c r="D29">
        <v>0</v>
      </c>
      <c r="E29">
        <v>1</v>
      </c>
      <c r="F29">
        <v>3</v>
      </c>
      <c r="G29">
        <v>0</v>
      </c>
      <c r="H29">
        <v>0</v>
      </c>
      <c r="I29">
        <v>2</v>
      </c>
      <c r="J29">
        <v>0.46</v>
      </c>
    </row>
    <row r="30" spans="1:10" x14ac:dyDescent="0.35">
      <c r="A30">
        <v>29</v>
      </c>
      <c r="B30" s="1">
        <v>40545</v>
      </c>
      <c r="C30">
        <v>1</v>
      </c>
      <c r="D30">
        <v>0</v>
      </c>
      <c r="E30">
        <v>1</v>
      </c>
      <c r="F30">
        <v>4</v>
      </c>
      <c r="G30">
        <v>0</v>
      </c>
      <c r="H30">
        <v>0</v>
      </c>
      <c r="I30">
        <v>2</v>
      </c>
      <c r="J30">
        <v>0.46</v>
      </c>
    </row>
    <row r="31" spans="1:10" x14ac:dyDescent="0.35">
      <c r="A31">
        <v>30</v>
      </c>
      <c r="B31" s="1">
        <v>40545</v>
      </c>
      <c r="C31">
        <v>1</v>
      </c>
      <c r="D31">
        <v>0</v>
      </c>
      <c r="E31">
        <v>1</v>
      </c>
      <c r="F31">
        <v>6</v>
      </c>
      <c r="G31">
        <v>0</v>
      </c>
      <c r="H31">
        <v>0</v>
      </c>
      <c r="I31">
        <v>3</v>
      </c>
      <c r="J31">
        <v>0.42</v>
      </c>
    </row>
    <row r="32" spans="1:10" x14ac:dyDescent="0.35">
      <c r="A32">
        <v>31</v>
      </c>
      <c r="B32" s="1">
        <v>40545</v>
      </c>
      <c r="C32">
        <v>1</v>
      </c>
      <c r="D32">
        <v>0</v>
      </c>
      <c r="E32">
        <v>1</v>
      </c>
      <c r="F32">
        <v>7</v>
      </c>
      <c r="G32">
        <v>0</v>
      </c>
      <c r="H32">
        <v>0</v>
      </c>
      <c r="I32">
        <v>2</v>
      </c>
      <c r="J32">
        <v>0.4</v>
      </c>
    </row>
    <row r="33" spans="1:10" x14ac:dyDescent="0.35">
      <c r="A33">
        <v>32</v>
      </c>
      <c r="B33" s="1">
        <v>40545</v>
      </c>
      <c r="C33">
        <v>1</v>
      </c>
      <c r="D33">
        <v>0</v>
      </c>
      <c r="E33">
        <v>1</v>
      </c>
      <c r="F33">
        <v>8</v>
      </c>
      <c r="G33">
        <v>0</v>
      </c>
      <c r="H33">
        <v>0</v>
      </c>
      <c r="I33">
        <v>3</v>
      </c>
      <c r="J33">
        <v>0.4</v>
      </c>
    </row>
    <row r="34" spans="1:10" x14ac:dyDescent="0.35">
      <c r="A34">
        <v>33</v>
      </c>
      <c r="B34" s="1">
        <v>40545</v>
      </c>
      <c r="C34">
        <v>1</v>
      </c>
      <c r="D34">
        <v>0</v>
      </c>
      <c r="E34">
        <v>1</v>
      </c>
      <c r="F34">
        <v>9</v>
      </c>
      <c r="G34">
        <v>0</v>
      </c>
      <c r="H34">
        <v>0</v>
      </c>
      <c r="I34">
        <v>2</v>
      </c>
      <c r="J34">
        <v>0.38</v>
      </c>
    </row>
    <row r="35" spans="1:10" x14ac:dyDescent="0.35">
      <c r="A35">
        <v>34</v>
      </c>
      <c r="B35" s="1">
        <v>40545</v>
      </c>
      <c r="C35">
        <v>1</v>
      </c>
      <c r="D35">
        <v>0</v>
      </c>
      <c r="E35">
        <v>1</v>
      </c>
      <c r="F35">
        <v>10</v>
      </c>
      <c r="G35">
        <v>0</v>
      </c>
      <c r="H35">
        <v>0</v>
      </c>
      <c r="I35">
        <v>2</v>
      </c>
      <c r="J35">
        <v>0.36</v>
      </c>
    </row>
    <row r="36" spans="1:10" x14ac:dyDescent="0.35">
      <c r="A36">
        <v>35</v>
      </c>
      <c r="B36" s="1">
        <v>40545</v>
      </c>
      <c r="C36">
        <v>1</v>
      </c>
      <c r="D36">
        <v>0</v>
      </c>
      <c r="E36">
        <v>1</v>
      </c>
      <c r="F36">
        <v>11</v>
      </c>
      <c r="G36">
        <v>0</v>
      </c>
      <c r="H36">
        <v>0</v>
      </c>
      <c r="I36">
        <v>2</v>
      </c>
      <c r="J36">
        <v>0.36</v>
      </c>
    </row>
    <row r="37" spans="1:10" x14ac:dyDescent="0.35">
      <c r="A37">
        <v>36</v>
      </c>
      <c r="B37" s="1">
        <v>40545</v>
      </c>
      <c r="C37">
        <v>1</v>
      </c>
      <c r="D37">
        <v>0</v>
      </c>
      <c r="E37">
        <v>1</v>
      </c>
      <c r="F37">
        <v>12</v>
      </c>
      <c r="G37">
        <v>0</v>
      </c>
      <c r="H37">
        <v>0</v>
      </c>
      <c r="I37">
        <v>2</v>
      </c>
      <c r="J37">
        <v>0.36</v>
      </c>
    </row>
    <row r="38" spans="1:10" x14ac:dyDescent="0.35">
      <c r="A38">
        <v>37</v>
      </c>
      <c r="B38" s="1">
        <v>40545</v>
      </c>
      <c r="C38">
        <v>1</v>
      </c>
      <c r="D38">
        <v>0</v>
      </c>
      <c r="E38">
        <v>1</v>
      </c>
      <c r="F38">
        <v>13</v>
      </c>
      <c r="G38">
        <v>0</v>
      </c>
      <c r="H38">
        <v>0</v>
      </c>
      <c r="I38">
        <v>2</v>
      </c>
      <c r="J38">
        <v>0.36</v>
      </c>
    </row>
    <row r="39" spans="1:10" x14ac:dyDescent="0.35">
      <c r="A39">
        <v>38</v>
      </c>
      <c r="B39" s="1">
        <v>40545</v>
      </c>
      <c r="C39">
        <v>1</v>
      </c>
      <c r="D39">
        <v>0</v>
      </c>
      <c r="E39">
        <v>1</v>
      </c>
      <c r="F39">
        <v>14</v>
      </c>
      <c r="G39">
        <v>0</v>
      </c>
      <c r="H39">
        <v>0</v>
      </c>
      <c r="I39">
        <v>3</v>
      </c>
      <c r="J39">
        <v>0.36</v>
      </c>
    </row>
    <row r="40" spans="1:10" x14ac:dyDescent="0.35">
      <c r="A40">
        <v>39</v>
      </c>
      <c r="B40" s="1">
        <v>40545</v>
      </c>
      <c r="C40">
        <v>1</v>
      </c>
      <c r="D40">
        <v>0</v>
      </c>
      <c r="E40">
        <v>1</v>
      </c>
      <c r="F40">
        <v>15</v>
      </c>
      <c r="G40">
        <v>0</v>
      </c>
      <c r="H40">
        <v>0</v>
      </c>
      <c r="I40">
        <v>3</v>
      </c>
      <c r="J40">
        <v>0.34</v>
      </c>
    </row>
    <row r="41" spans="1:10" x14ac:dyDescent="0.35">
      <c r="A41">
        <v>40</v>
      </c>
      <c r="B41" s="1">
        <v>40545</v>
      </c>
      <c r="C41">
        <v>1</v>
      </c>
      <c r="D41">
        <v>0</v>
      </c>
      <c r="E41">
        <v>1</v>
      </c>
      <c r="F41">
        <v>16</v>
      </c>
      <c r="G41">
        <v>0</v>
      </c>
      <c r="H41">
        <v>0</v>
      </c>
      <c r="I41">
        <v>3</v>
      </c>
      <c r="J41">
        <v>0.34</v>
      </c>
    </row>
    <row r="42" spans="1:10" x14ac:dyDescent="0.35">
      <c r="A42">
        <v>41</v>
      </c>
      <c r="B42" s="1">
        <v>40545</v>
      </c>
      <c r="C42">
        <v>1</v>
      </c>
      <c r="D42">
        <v>0</v>
      </c>
      <c r="E42">
        <v>1</v>
      </c>
      <c r="F42">
        <v>17</v>
      </c>
      <c r="G42">
        <v>0</v>
      </c>
      <c r="H42">
        <v>0</v>
      </c>
      <c r="I42">
        <v>1</v>
      </c>
      <c r="J42">
        <v>0.34</v>
      </c>
    </row>
    <row r="43" spans="1:10" x14ac:dyDescent="0.35">
      <c r="A43">
        <v>42</v>
      </c>
      <c r="B43" s="1">
        <v>40545</v>
      </c>
      <c r="C43">
        <v>1</v>
      </c>
      <c r="D43">
        <v>0</v>
      </c>
      <c r="E43">
        <v>1</v>
      </c>
      <c r="F43">
        <v>18</v>
      </c>
      <c r="G43">
        <v>0</v>
      </c>
      <c r="H43">
        <v>0</v>
      </c>
      <c r="I43">
        <v>2</v>
      </c>
      <c r="J43">
        <v>0.36</v>
      </c>
    </row>
    <row r="44" spans="1:10" x14ac:dyDescent="0.35">
      <c r="A44">
        <v>43</v>
      </c>
      <c r="B44" s="1">
        <v>40545</v>
      </c>
      <c r="C44">
        <v>1</v>
      </c>
      <c r="D44">
        <v>0</v>
      </c>
      <c r="E44">
        <v>1</v>
      </c>
      <c r="F44">
        <v>19</v>
      </c>
      <c r="G44">
        <v>0</v>
      </c>
      <c r="H44">
        <v>0</v>
      </c>
      <c r="I44">
        <v>1</v>
      </c>
      <c r="J44">
        <v>0.32</v>
      </c>
    </row>
    <row r="45" spans="1:10" x14ac:dyDescent="0.35">
      <c r="A45">
        <v>44</v>
      </c>
      <c r="B45" s="1">
        <v>40545</v>
      </c>
      <c r="C45">
        <v>1</v>
      </c>
      <c r="D45">
        <v>0</v>
      </c>
      <c r="E45">
        <v>1</v>
      </c>
      <c r="F45">
        <v>20</v>
      </c>
      <c r="G45">
        <v>0</v>
      </c>
      <c r="H45">
        <v>0</v>
      </c>
      <c r="I45">
        <v>1</v>
      </c>
      <c r="J45">
        <v>0.3</v>
      </c>
    </row>
    <row r="46" spans="1:10" x14ac:dyDescent="0.35">
      <c r="A46">
        <v>45</v>
      </c>
      <c r="B46" s="1">
        <v>40545</v>
      </c>
      <c r="C46">
        <v>1</v>
      </c>
      <c r="D46">
        <v>0</v>
      </c>
      <c r="E46">
        <v>1</v>
      </c>
      <c r="F46">
        <v>21</v>
      </c>
      <c r="G46">
        <v>0</v>
      </c>
      <c r="H46">
        <v>0</v>
      </c>
      <c r="I46">
        <v>1</v>
      </c>
      <c r="J46">
        <v>0.26</v>
      </c>
    </row>
    <row r="47" spans="1:10" x14ac:dyDescent="0.35">
      <c r="A47">
        <v>46</v>
      </c>
      <c r="B47" s="1">
        <v>40545</v>
      </c>
      <c r="C47">
        <v>1</v>
      </c>
      <c r="D47">
        <v>0</v>
      </c>
      <c r="E47">
        <v>1</v>
      </c>
      <c r="F47">
        <v>22</v>
      </c>
      <c r="G47">
        <v>0</v>
      </c>
      <c r="H47">
        <v>0</v>
      </c>
      <c r="I47">
        <v>1</v>
      </c>
      <c r="J47">
        <v>0.24</v>
      </c>
    </row>
    <row r="48" spans="1:10" x14ac:dyDescent="0.35">
      <c r="A48">
        <v>47</v>
      </c>
      <c r="B48" s="1">
        <v>40545</v>
      </c>
      <c r="C48">
        <v>1</v>
      </c>
      <c r="D48">
        <v>0</v>
      </c>
      <c r="E48">
        <v>1</v>
      </c>
      <c r="F48">
        <v>23</v>
      </c>
      <c r="G48">
        <v>0</v>
      </c>
      <c r="H48">
        <v>0</v>
      </c>
      <c r="I48">
        <v>1</v>
      </c>
      <c r="J48">
        <v>0.22</v>
      </c>
    </row>
    <row r="49" spans="1:10" x14ac:dyDescent="0.35">
      <c r="A49">
        <v>48</v>
      </c>
      <c r="B49" s="1">
        <v>40546</v>
      </c>
      <c r="C49">
        <v>1</v>
      </c>
      <c r="D49">
        <v>0</v>
      </c>
      <c r="E49">
        <v>1</v>
      </c>
      <c r="F49">
        <v>0</v>
      </c>
      <c r="G49">
        <v>0</v>
      </c>
      <c r="H49">
        <v>1</v>
      </c>
      <c r="I49">
        <v>1</v>
      </c>
      <c r="J49">
        <v>0.22</v>
      </c>
    </row>
    <row r="50" spans="1:10" x14ac:dyDescent="0.35">
      <c r="A50">
        <v>49</v>
      </c>
      <c r="B50" s="1">
        <v>40546</v>
      </c>
      <c r="C50">
        <v>1</v>
      </c>
      <c r="D50">
        <v>0</v>
      </c>
      <c r="E50">
        <v>1</v>
      </c>
      <c r="F50">
        <v>1</v>
      </c>
      <c r="G50">
        <v>0</v>
      </c>
      <c r="H50">
        <v>1</v>
      </c>
      <c r="I50">
        <v>1</v>
      </c>
      <c r="J50">
        <v>0.2</v>
      </c>
    </row>
    <row r="51" spans="1:10" x14ac:dyDescent="0.35">
      <c r="A51">
        <v>50</v>
      </c>
      <c r="B51" s="1">
        <v>40546</v>
      </c>
      <c r="C51">
        <v>1</v>
      </c>
      <c r="D51">
        <v>0</v>
      </c>
      <c r="E51">
        <v>1</v>
      </c>
      <c r="F51">
        <v>4</v>
      </c>
      <c r="G51">
        <v>0</v>
      </c>
      <c r="H51">
        <v>1</v>
      </c>
      <c r="I51">
        <v>1</v>
      </c>
      <c r="J51">
        <v>0.16</v>
      </c>
    </row>
    <row r="52" spans="1:10" x14ac:dyDescent="0.35">
      <c r="A52">
        <v>51</v>
      </c>
      <c r="B52" s="1">
        <v>40546</v>
      </c>
      <c r="C52">
        <v>1</v>
      </c>
      <c r="D52">
        <v>0</v>
      </c>
      <c r="E52">
        <v>1</v>
      </c>
      <c r="F52">
        <v>5</v>
      </c>
      <c r="G52">
        <v>0</v>
      </c>
      <c r="H52">
        <v>1</v>
      </c>
      <c r="I52">
        <v>1</v>
      </c>
      <c r="J52">
        <v>0.16</v>
      </c>
    </row>
    <row r="53" spans="1:10" x14ac:dyDescent="0.35">
      <c r="A53">
        <v>52</v>
      </c>
      <c r="B53" s="1">
        <v>40546</v>
      </c>
      <c r="C53">
        <v>1</v>
      </c>
      <c r="D53">
        <v>0</v>
      </c>
      <c r="E53">
        <v>1</v>
      </c>
      <c r="F53">
        <v>6</v>
      </c>
      <c r="G53">
        <v>0</v>
      </c>
      <c r="H53">
        <v>1</v>
      </c>
      <c r="I53">
        <v>1</v>
      </c>
      <c r="J53">
        <v>0.14000000000000001</v>
      </c>
    </row>
    <row r="54" spans="1:10" x14ac:dyDescent="0.35">
      <c r="A54">
        <v>53</v>
      </c>
      <c r="B54" s="1">
        <v>40546</v>
      </c>
      <c r="C54">
        <v>1</v>
      </c>
      <c r="D54">
        <v>0</v>
      </c>
      <c r="E54">
        <v>1</v>
      </c>
      <c r="F54">
        <v>7</v>
      </c>
      <c r="G54">
        <v>0</v>
      </c>
      <c r="H54">
        <v>1</v>
      </c>
      <c r="I54">
        <v>1</v>
      </c>
      <c r="J54">
        <v>0.14000000000000001</v>
      </c>
    </row>
    <row r="55" spans="1:10" x14ac:dyDescent="0.35">
      <c r="A55">
        <v>54</v>
      </c>
      <c r="B55" s="1">
        <v>40546</v>
      </c>
      <c r="C55">
        <v>1</v>
      </c>
      <c r="D55">
        <v>0</v>
      </c>
      <c r="E55">
        <v>1</v>
      </c>
      <c r="F55">
        <v>8</v>
      </c>
      <c r="G55">
        <v>0</v>
      </c>
      <c r="H55">
        <v>1</v>
      </c>
      <c r="I55">
        <v>1</v>
      </c>
      <c r="J55">
        <v>0.14000000000000001</v>
      </c>
    </row>
    <row r="56" spans="1:10" x14ac:dyDescent="0.35">
      <c r="A56">
        <v>55</v>
      </c>
      <c r="B56" s="1">
        <v>40546</v>
      </c>
      <c r="C56">
        <v>1</v>
      </c>
      <c r="D56">
        <v>0</v>
      </c>
      <c r="E56">
        <v>1</v>
      </c>
      <c r="F56">
        <v>9</v>
      </c>
      <c r="G56">
        <v>0</v>
      </c>
      <c r="H56">
        <v>1</v>
      </c>
      <c r="I56">
        <v>1</v>
      </c>
      <c r="J56">
        <v>0.16</v>
      </c>
    </row>
    <row r="57" spans="1:10" x14ac:dyDescent="0.35">
      <c r="A57">
        <v>56</v>
      </c>
      <c r="B57" s="1">
        <v>40546</v>
      </c>
      <c r="C57">
        <v>1</v>
      </c>
      <c r="D57">
        <v>0</v>
      </c>
      <c r="E57">
        <v>1</v>
      </c>
      <c r="F57">
        <v>10</v>
      </c>
      <c r="G57">
        <v>0</v>
      </c>
      <c r="H57">
        <v>1</v>
      </c>
      <c r="I57">
        <v>1</v>
      </c>
      <c r="J57">
        <v>0.18</v>
      </c>
    </row>
    <row r="58" spans="1:10" x14ac:dyDescent="0.35">
      <c r="A58">
        <v>57</v>
      </c>
      <c r="B58" s="1">
        <v>40546</v>
      </c>
      <c r="C58">
        <v>1</v>
      </c>
      <c r="D58">
        <v>0</v>
      </c>
      <c r="E58">
        <v>1</v>
      </c>
      <c r="F58">
        <v>11</v>
      </c>
      <c r="G58">
        <v>0</v>
      </c>
      <c r="H58">
        <v>1</v>
      </c>
      <c r="I58">
        <v>1</v>
      </c>
      <c r="J58">
        <v>0.2</v>
      </c>
    </row>
    <row r="59" spans="1:10" x14ac:dyDescent="0.35">
      <c r="A59">
        <v>58</v>
      </c>
      <c r="B59" s="1">
        <v>40546</v>
      </c>
      <c r="C59">
        <v>1</v>
      </c>
      <c r="D59">
        <v>0</v>
      </c>
      <c r="E59">
        <v>1</v>
      </c>
      <c r="F59">
        <v>12</v>
      </c>
      <c r="G59">
        <v>0</v>
      </c>
      <c r="H59">
        <v>1</v>
      </c>
      <c r="I59">
        <v>1</v>
      </c>
      <c r="J59">
        <v>0.22</v>
      </c>
    </row>
    <row r="60" spans="1:10" x14ac:dyDescent="0.35">
      <c r="A60">
        <v>59</v>
      </c>
      <c r="B60" s="1">
        <v>40546</v>
      </c>
      <c r="C60">
        <v>1</v>
      </c>
      <c r="D60">
        <v>0</v>
      </c>
      <c r="E60">
        <v>1</v>
      </c>
      <c r="F60">
        <v>13</v>
      </c>
      <c r="G60">
        <v>0</v>
      </c>
      <c r="H60">
        <v>1</v>
      </c>
      <c r="I60">
        <v>1</v>
      </c>
      <c r="J60">
        <v>0.24</v>
      </c>
    </row>
    <row r="61" spans="1:10" x14ac:dyDescent="0.35">
      <c r="A61">
        <v>60</v>
      </c>
      <c r="B61" s="1">
        <v>40546</v>
      </c>
      <c r="C61">
        <v>1</v>
      </c>
      <c r="D61">
        <v>0</v>
      </c>
      <c r="E61">
        <v>1</v>
      </c>
      <c r="F61">
        <v>14</v>
      </c>
      <c r="G61">
        <v>0</v>
      </c>
      <c r="H61">
        <v>1</v>
      </c>
      <c r="I61">
        <v>1</v>
      </c>
      <c r="J61">
        <v>0.26</v>
      </c>
    </row>
    <row r="62" spans="1:10" x14ac:dyDescent="0.35">
      <c r="A62">
        <v>61</v>
      </c>
      <c r="B62" s="1">
        <v>40546</v>
      </c>
      <c r="C62">
        <v>1</v>
      </c>
      <c r="D62">
        <v>0</v>
      </c>
      <c r="E62">
        <v>1</v>
      </c>
      <c r="F62">
        <v>15</v>
      </c>
      <c r="G62">
        <v>0</v>
      </c>
      <c r="H62">
        <v>1</v>
      </c>
      <c r="I62">
        <v>1</v>
      </c>
      <c r="J62">
        <v>0.26</v>
      </c>
    </row>
    <row r="63" spans="1:10" x14ac:dyDescent="0.35">
      <c r="A63">
        <v>62</v>
      </c>
      <c r="B63" s="1">
        <v>40546</v>
      </c>
      <c r="C63">
        <v>1</v>
      </c>
      <c r="D63">
        <v>0</v>
      </c>
      <c r="E63">
        <v>1</v>
      </c>
      <c r="F63">
        <v>16</v>
      </c>
      <c r="G63">
        <v>0</v>
      </c>
      <c r="H63">
        <v>1</v>
      </c>
      <c r="I63">
        <v>1</v>
      </c>
      <c r="J63">
        <v>0.26</v>
      </c>
    </row>
    <row r="64" spans="1:10" x14ac:dyDescent="0.35">
      <c r="A64">
        <v>63</v>
      </c>
      <c r="B64" s="1">
        <v>40546</v>
      </c>
      <c r="C64">
        <v>1</v>
      </c>
      <c r="D64">
        <v>0</v>
      </c>
      <c r="E64">
        <v>1</v>
      </c>
      <c r="F64">
        <v>17</v>
      </c>
      <c r="G64">
        <v>0</v>
      </c>
      <c r="H64">
        <v>1</v>
      </c>
      <c r="I64">
        <v>1</v>
      </c>
      <c r="J64">
        <v>0.24</v>
      </c>
    </row>
    <row r="65" spans="1:10" x14ac:dyDescent="0.35">
      <c r="A65">
        <v>64</v>
      </c>
      <c r="B65" s="1">
        <v>40546</v>
      </c>
      <c r="C65">
        <v>1</v>
      </c>
      <c r="D65">
        <v>0</v>
      </c>
      <c r="E65">
        <v>1</v>
      </c>
      <c r="F65">
        <v>18</v>
      </c>
      <c r="G65">
        <v>0</v>
      </c>
      <c r="H65">
        <v>1</v>
      </c>
      <c r="I65">
        <v>1</v>
      </c>
      <c r="J65">
        <v>0.24</v>
      </c>
    </row>
    <row r="66" spans="1:10" x14ac:dyDescent="0.35">
      <c r="A66">
        <v>65</v>
      </c>
      <c r="B66" s="1">
        <v>40546</v>
      </c>
      <c r="C66">
        <v>1</v>
      </c>
      <c r="D66">
        <v>0</v>
      </c>
      <c r="E66">
        <v>1</v>
      </c>
      <c r="F66">
        <v>19</v>
      </c>
      <c r="G66">
        <v>0</v>
      </c>
      <c r="H66">
        <v>1</v>
      </c>
      <c r="I66">
        <v>1</v>
      </c>
      <c r="J66">
        <v>0.2</v>
      </c>
    </row>
    <row r="67" spans="1:10" x14ac:dyDescent="0.35">
      <c r="A67">
        <v>66</v>
      </c>
      <c r="B67" s="1">
        <v>40546</v>
      </c>
      <c r="C67">
        <v>1</v>
      </c>
      <c r="D67">
        <v>0</v>
      </c>
      <c r="E67">
        <v>1</v>
      </c>
      <c r="F67">
        <v>20</v>
      </c>
      <c r="G67">
        <v>0</v>
      </c>
      <c r="H67">
        <v>1</v>
      </c>
      <c r="I67">
        <v>1</v>
      </c>
      <c r="J67">
        <v>0.2</v>
      </c>
    </row>
    <row r="68" spans="1:10" x14ac:dyDescent="0.35">
      <c r="A68">
        <v>67</v>
      </c>
      <c r="B68" s="1">
        <v>40546</v>
      </c>
      <c r="C68">
        <v>1</v>
      </c>
      <c r="D68">
        <v>0</v>
      </c>
      <c r="E68">
        <v>1</v>
      </c>
      <c r="F68">
        <v>21</v>
      </c>
      <c r="G68">
        <v>0</v>
      </c>
      <c r="H68">
        <v>1</v>
      </c>
      <c r="I68">
        <v>1</v>
      </c>
      <c r="J68">
        <v>0.18</v>
      </c>
    </row>
    <row r="69" spans="1:10" x14ac:dyDescent="0.35">
      <c r="A69">
        <v>68</v>
      </c>
      <c r="B69" s="1">
        <v>40546</v>
      </c>
      <c r="C69">
        <v>1</v>
      </c>
      <c r="D69">
        <v>0</v>
      </c>
      <c r="E69">
        <v>1</v>
      </c>
      <c r="F69">
        <v>22</v>
      </c>
      <c r="G69">
        <v>0</v>
      </c>
      <c r="H69">
        <v>1</v>
      </c>
      <c r="I69">
        <v>1</v>
      </c>
      <c r="J69">
        <v>0.14000000000000001</v>
      </c>
    </row>
    <row r="70" spans="1:10" x14ac:dyDescent="0.35">
      <c r="A70">
        <v>69</v>
      </c>
      <c r="B70" s="1">
        <v>40546</v>
      </c>
      <c r="C70">
        <v>1</v>
      </c>
      <c r="D70">
        <v>0</v>
      </c>
      <c r="E70">
        <v>1</v>
      </c>
      <c r="F70">
        <v>23</v>
      </c>
      <c r="G70">
        <v>0</v>
      </c>
      <c r="H70">
        <v>1</v>
      </c>
      <c r="I70">
        <v>1</v>
      </c>
      <c r="J70">
        <v>0.18</v>
      </c>
    </row>
    <row r="71" spans="1:10" x14ac:dyDescent="0.35">
      <c r="A71">
        <v>70</v>
      </c>
      <c r="B71" s="1">
        <v>40547</v>
      </c>
      <c r="C71">
        <v>1</v>
      </c>
      <c r="D71">
        <v>0</v>
      </c>
      <c r="E71">
        <v>1</v>
      </c>
      <c r="F71">
        <v>0</v>
      </c>
      <c r="G71">
        <v>0</v>
      </c>
      <c r="H71">
        <v>2</v>
      </c>
      <c r="I71">
        <v>1</v>
      </c>
      <c r="J71">
        <v>0.16</v>
      </c>
    </row>
    <row r="72" spans="1:10" x14ac:dyDescent="0.35">
      <c r="A72">
        <v>71</v>
      </c>
      <c r="B72" s="1">
        <v>40547</v>
      </c>
      <c r="C72">
        <v>1</v>
      </c>
      <c r="D72">
        <v>0</v>
      </c>
      <c r="E72">
        <v>1</v>
      </c>
      <c r="F72">
        <v>1</v>
      </c>
      <c r="G72">
        <v>0</v>
      </c>
      <c r="H72">
        <v>2</v>
      </c>
      <c r="I72">
        <v>1</v>
      </c>
      <c r="J72">
        <v>0.16</v>
      </c>
    </row>
    <row r="73" spans="1:10" x14ac:dyDescent="0.35">
      <c r="A73">
        <v>72</v>
      </c>
      <c r="B73" s="1">
        <v>40547</v>
      </c>
      <c r="C73">
        <v>1</v>
      </c>
      <c r="D73">
        <v>0</v>
      </c>
      <c r="E73">
        <v>1</v>
      </c>
      <c r="F73">
        <v>2</v>
      </c>
      <c r="G73">
        <v>0</v>
      </c>
      <c r="H73">
        <v>2</v>
      </c>
      <c r="I73">
        <v>1</v>
      </c>
      <c r="J73">
        <v>0.14000000000000001</v>
      </c>
    </row>
    <row r="74" spans="1:10" x14ac:dyDescent="0.35">
      <c r="A74">
        <v>73</v>
      </c>
      <c r="B74" s="1">
        <v>40547</v>
      </c>
      <c r="C74">
        <v>1</v>
      </c>
      <c r="D74">
        <v>0</v>
      </c>
      <c r="E74">
        <v>1</v>
      </c>
      <c r="F74">
        <v>4</v>
      </c>
      <c r="G74">
        <v>0</v>
      </c>
      <c r="H74">
        <v>2</v>
      </c>
      <c r="I74">
        <v>1</v>
      </c>
      <c r="J74">
        <v>0.14000000000000001</v>
      </c>
    </row>
    <row r="75" spans="1:10" x14ac:dyDescent="0.35">
      <c r="A75">
        <v>74</v>
      </c>
      <c r="B75" s="1">
        <v>40547</v>
      </c>
      <c r="C75">
        <v>1</v>
      </c>
      <c r="D75">
        <v>0</v>
      </c>
      <c r="E75">
        <v>1</v>
      </c>
      <c r="F75">
        <v>5</v>
      </c>
      <c r="G75">
        <v>0</v>
      </c>
      <c r="H75">
        <v>2</v>
      </c>
      <c r="I75">
        <v>1</v>
      </c>
      <c r="J75">
        <v>0.12</v>
      </c>
    </row>
    <row r="76" spans="1:10" x14ac:dyDescent="0.35">
      <c r="A76">
        <v>75</v>
      </c>
      <c r="B76" s="1">
        <v>40547</v>
      </c>
      <c r="C76">
        <v>1</v>
      </c>
      <c r="D76">
        <v>0</v>
      </c>
      <c r="E76">
        <v>1</v>
      </c>
      <c r="F76">
        <v>6</v>
      </c>
      <c r="G76">
        <v>0</v>
      </c>
      <c r="H76">
        <v>2</v>
      </c>
      <c r="I76">
        <v>1</v>
      </c>
      <c r="J76">
        <v>0.12</v>
      </c>
    </row>
    <row r="77" spans="1:10" x14ac:dyDescent="0.35">
      <c r="A77">
        <v>76</v>
      </c>
      <c r="B77" s="1">
        <v>40547</v>
      </c>
      <c r="C77">
        <v>1</v>
      </c>
      <c r="D77">
        <v>0</v>
      </c>
      <c r="E77">
        <v>1</v>
      </c>
      <c r="F77">
        <v>7</v>
      </c>
      <c r="G77">
        <v>0</v>
      </c>
      <c r="H77">
        <v>2</v>
      </c>
      <c r="I77">
        <v>1</v>
      </c>
      <c r="J77">
        <v>0.12</v>
      </c>
    </row>
    <row r="78" spans="1:10" x14ac:dyDescent="0.35">
      <c r="A78">
        <v>77</v>
      </c>
      <c r="B78" s="1">
        <v>40547</v>
      </c>
      <c r="C78">
        <v>1</v>
      </c>
      <c r="D78">
        <v>0</v>
      </c>
      <c r="E78">
        <v>1</v>
      </c>
      <c r="F78">
        <v>8</v>
      </c>
      <c r="G78">
        <v>0</v>
      </c>
      <c r="H78">
        <v>2</v>
      </c>
      <c r="I78">
        <v>1</v>
      </c>
      <c r="J78">
        <v>0.14000000000000001</v>
      </c>
    </row>
    <row r="79" spans="1:10" x14ac:dyDescent="0.35">
      <c r="A79">
        <v>78</v>
      </c>
      <c r="B79" s="1">
        <v>40547</v>
      </c>
      <c r="C79">
        <v>1</v>
      </c>
      <c r="D79">
        <v>0</v>
      </c>
      <c r="E79">
        <v>1</v>
      </c>
      <c r="F79">
        <v>9</v>
      </c>
      <c r="G79">
        <v>0</v>
      </c>
      <c r="H79">
        <v>2</v>
      </c>
      <c r="I79">
        <v>1</v>
      </c>
      <c r="J79">
        <v>0.16</v>
      </c>
    </row>
    <row r="80" spans="1:10" x14ac:dyDescent="0.35">
      <c r="A80">
        <v>79</v>
      </c>
      <c r="B80" s="1">
        <v>40547</v>
      </c>
      <c r="C80">
        <v>1</v>
      </c>
      <c r="D80">
        <v>0</v>
      </c>
      <c r="E80">
        <v>1</v>
      </c>
      <c r="F80">
        <v>10</v>
      </c>
      <c r="G80">
        <v>0</v>
      </c>
      <c r="H80">
        <v>2</v>
      </c>
      <c r="I80">
        <v>2</v>
      </c>
      <c r="J80">
        <v>0.16</v>
      </c>
    </row>
    <row r="81" spans="1:10" x14ac:dyDescent="0.35">
      <c r="A81">
        <v>80</v>
      </c>
      <c r="B81" s="1">
        <v>40547</v>
      </c>
      <c r="C81">
        <v>1</v>
      </c>
      <c r="D81">
        <v>0</v>
      </c>
      <c r="E81">
        <v>1</v>
      </c>
      <c r="F81">
        <v>11</v>
      </c>
      <c r="G81">
        <v>0</v>
      </c>
      <c r="H81">
        <v>2</v>
      </c>
      <c r="I81">
        <v>1</v>
      </c>
      <c r="J81">
        <v>0.22</v>
      </c>
    </row>
    <row r="82" spans="1:10" x14ac:dyDescent="0.35">
      <c r="A82">
        <v>81</v>
      </c>
      <c r="B82" s="1">
        <v>40547</v>
      </c>
      <c r="C82">
        <v>1</v>
      </c>
      <c r="D82">
        <v>0</v>
      </c>
      <c r="E82">
        <v>1</v>
      </c>
      <c r="F82">
        <v>12</v>
      </c>
      <c r="G82">
        <v>0</v>
      </c>
      <c r="H82">
        <v>2</v>
      </c>
      <c r="I82">
        <v>1</v>
      </c>
      <c r="J82">
        <v>0.22</v>
      </c>
    </row>
    <row r="83" spans="1:10" x14ac:dyDescent="0.35">
      <c r="A83">
        <v>82</v>
      </c>
      <c r="B83" s="1">
        <v>40547</v>
      </c>
      <c r="C83">
        <v>1</v>
      </c>
      <c r="D83">
        <v>0</v>
      </c>
      <c r="E83">
        <v>1</v>
      </c>
      <c r="F83">
        <v>13</v>
      </c>
      <c r="G83">
        <v>0</v>
      </c>
      <c r="H83">
        <v>2</v>
      </c>
      <c r="I83">
        <v>1</v>
      </c>
      <c r="J83">
        <v>0.24</v>
      </c>
    </row>
    <row r="84" spans="1:10" x14ac:dyDescent="0.35">
      <c r="A84">
        <v>83</v>
      </c>
      <c r="B84" s="1">
        <v>40547</v>
      </c>
      <c r="C84">
        <v>1</v>
      </c>
      <c r="D84">
        <v>0</v>
      </c>
      <c r="E84">
        <v>1</v>
      </c>
      <c r="F84">
        <v>14</v>
      </c>
      <c r="G84">
        <v>0</v>
      </c>
      <c r="H84">
        <v>2</v>
      </c>
      <c r="I84">
        <v>1</v>
      </c>
      <c r="J84">
        <v>0.26</v>
      </c>
    </row>
    <row r="85" spans="1:10" x14ac:dyDescent="0.35">
      <c r="A85">
        <v>84</v>
      </c>
      <c r="B85" s="1">
        <v>40547</v>
      </c>
      <c r="C85">
        <v>1</v>
      </c>
      <c r="D85">
        <v>0</v>
      </c>
      <c r="E85">
        <v>1</v>
      </c>
      <c r="F85">
        <v>15</v>
      </c>
      <c r="G85">
        <v>0</v>
      </c>
      <c r="H85">
        <v>2</v>
      </c>
      <c r="I85">
        <v>1</v>
      </c>
      <c r="J85">
        <v>0.28000000000000003</v>
      </c>
    </row>
    <row r="86" spans="1:10" x14ac:dyDescent="0.35">
      <c r="A86">
        <v>85</v>
      </c>
      <c r="B86" s="1">
        <v>40547</v>
      </c>
      <c r="C86">
        <v>1</v>
      </c>
      <c r="D86">
        <v>0</v>
      </c>
      <c r="E86">
        <v>1</v>
      </c>
      <c r="F86">
        <v>16</v>
      </c>
      <c r="G86">
        <v>0</v>
      </c>
      <c r="H86">
        <v>2</v>
      </c>
      <c r="I86">
        <v>1</v>
      </c>
      <c r="J86">
        <v>0.3</v>
      </c>
    </row>
    <row r="87" spans="1:10" x14ac:dyDescent="0.35">
      <c r="A87">
        <v>86</v>
      </c>
      <c r="B87" s="1">
        <v>40547</v>
      </c>
      <c r="C87">
        <v>1</v>
      </c>
      <c r="D87">
        <v>0</v>
      </c>
      <c r="E87">
        <v>1</v>
      </c>
      <c r="F87">
        <v>17</v>
      </c>
      <c r="G87">
        <v>0</v>
      </c>
      <c r="H87">
        <v>2</v>
      </c>
      <c r="I87">
        <v>1</v>
      </c>
      <c r="J87">
        <v>0.28000000000000003</v>
      </c>
    </row>
    <row r="88" spans="1:10" x14ac:dyDescent="0.35">
      <c r="A88">
        <v>87</v>
      </c>
      <c r="B88" s="1">
        <v>40547</v>
      </c>
      <c r="C88">
        <v>1</v>
      </c>
      <c r="D88">
        <v>0</v>
      </c>
      <c r="E88">
        <v>1</v>
      </c>
      <c r="F88">
        <v>18</v>
      </c>
      <c r="G88">
        <v>0</v>
      </c>
      <c r="H88">
        <v>2</v>
      </c>
      <c r="I88">
        <v>1</v>
      </c>
      <c r="J88">
        <v>0.26</v>
      </c>
    </row>
    <row r="89" spans="1:10" x14ac:dyDescent="0.35">
      <c r="A89">
        <v>88</v>
      </c>
      <c r="B89" s="1">
        <v>40547</v>
      </c>
      <c r="C89">
        <v>1</v>
      </c>
      <c r="D89">
        <v>0</v>
      </c>
      <c r="E89">
        <v>1</v>
      </c>
      <c r="F89">
        <v>19</v>
      </c>
      <c r="G89">
        <v>0</v>
      </c>
      <c r="H89">
        <v>2</v>
      </c>
      <c r="I89">
        <v>1</v>
      </c>
      <c r="J89">
        <v>0.24</v>
      </c>
    </row>
    <row r="90" spans="1:10" x14ac:dyDescent="0.35">
      <c r="A90">
        <v>89</v>
      </c>
      <c r="B90" s="1">
        <v>40547</v>
      </c>
      <c r="C90">
        <v>1</v>
      </c>
      <c r="D90">
        <v>0</v>
      </c>
      <c r="E90">
        <v>1</v>
      </c>
      <c r="F90">
        <v>20</v>
      </c>
      <c r="G90">
        <v>0</v>
      </c>
      <c r="H90">
        <v>2</v>
      </c>
      <c r="I90">
        <v>1</v>
      </c>
      <c r="J90">
        <v>0.24</v>
      </c>
    </row>
    <row r="91" spans="1:10" x14ac:dyDescent="0.35">
      <c r="A91">
        <v>90</v>
      </c>
      <c r="B91" s="1">
        <v>40547</v>
      </c>
      <c r="C91">
        <v>1</v>
      </c>
      <c r="D91">
        <v>0</v>
      </c>
      <c r="E91">
        <v>1</v>
      </c>
      <c r="F91">
        <v>21</v>
      </c>
      <c r="G91">
        <v>0</v>
      </c>
      <c r="H91">
        <v>2</v>
      </c>
      <c r="I91">
        <v>1</v>
      </c>
      <c r="J91">
        <v>0.22</v>
      </c>
    </row>
    <row r="92" spans="1:10" x14ac:dyDescent="0.35">
      <c r="A92">
        <v>91</v>
      </c>
      <c r="B92" s="1">
        <v>40547</v>
      </c>
      <c r="C92">
        <v>1</v>
      </c>
      <c r="D92">
        <v>0</v>
      </c>
      <c r="E92">
        <v>1</v>
      </c>
      <c r="F92">
        <v>22</v>
      </c>
      <c r="G92">
        <v>0</v>
      </c>
      <c r="H92">
        <v>2</v>
      </c>
      <c r="I92">
        <v>1</v>
      </c>
      <c r="J92">
        <v>0.22</v>
      </c>
    </row>
    <row r="93" spans="1:10" x14ac:dyDescent="0.35">
      <c r="A93">
        <v>92</v>
      </c>
      <c r="B93" s="1">
        <v>40547</v>
      </c>
      <c r="C93">
        <v>1</v>
      </c>
      <c r="D93">
        <v>0</v>
      </c>
      <c r="E93">
        <v>1</v>
      </c>
      <c r="F93">
        <v>23</v>
      </c>
      <c r="G93">
        <v>0</v>
      </c>
      <c r="H93">
        <v>2</v>
      </c>
      <c r="I93">
        <v>1</v>
      </c>
      <c r="J93">
        <v>0.2</v>
      </c>
    </row>
    <row r="94" spans="1:10" x14ac:dyDescent="0.35">
      <c r="A94">
        <v>93</v>
      </c>
      <c r="B94" s="1">
        <v>40548</v>
      </c>
      <c r="C94">
        <v>1</v>
      </c>
      <c r="D94">
        <v>0</v>
      </c>
      <c r="E94">
        <v>1</v>
      </c>
      <c r="F94">
        <v>0</v>
      </c>
      <c r="G94">
        <v>0</v>
      </c>
      <c r="H94">
        <v>3</v>
      </c>
      <c r="I94">
        <v>1</v>
      </c>
      <c r="J94">
        <v>0.2</v>
      </c>
    </row>
    <row r="95" spans="1:10" x14ac:dyDescent="0.35">
      <c r="A95">
        <v>94</v>
      </c>
      <c r="B95" s="1">
        <v>40548</v>
      </c>
      <c r="C95">
        <v>1</v>
      </c>
      <c r="D95">
        <v>0</v>
      </c>
      <c r="E95">
        <v>1</v>
      </c>
      <c r="F95">
        <v>1</v>
      </c>
      <c r="G95">
        <v>0</v>
      </c>
      <c r="H95">
        <v>3</v>
      </c>
      <c r="I95">
        <v>1</v>
      </c>
      <c r="J95">
        <v>0.16</v>
      </c>
    </row>
    <row r="96" spans="1:10" x14ac:dyDescent="0.35">
      <c r="A96">
        <v>95</v>
      </c>
      <c r="B96" s="1">
        <v>40548</v>
      </c>
      <c r="C96">
        <v>1</v>
      </c>
      <c r="D96">
        <v>0</v>
      </c>
      <c r="E96">
        <v>1</v>
      </c>
      <c r="F96">
        <v>2</v>
      </c>
      <c r="G96">
        <v>0</v>
      </c>
      <c r="H96">
        <v>3</v>
      </c>
      <c r="I96">
        <v>1</v>
      </c>
      <c r="J96">
        <v>0.16</v>
      </c>
    </row>
    <row r="97" spans="1:10" x14ac:dyDescent="0.35">
      <c r="A97">
        <v>96</v>
      </c>
      <c r="B97" s="1">
        <v>40548</v>
      </c>
      <c r="C97">
        <v>1</v>
      </c>
      <c r="D97">
        <v>0</v>
      </c>
      <c r="E97">
        <v>1</v>
      </c>
      <c r="F97">
        <v>4</v>
      </c>
      <c r="G97">
        <v>0</v>
      </c>
      <c r="H97">
        <v>3</v>
      </c>
      <c r="I97">
        <v>1</v>
      </c>
      <c r="J97">
        <v>0.24</v>
      </c>
    </row>
    <row r="98" spans="1:10" x14ac:dyDescent="0.35">
      <c r="A98">
        <v>97</v>
      </c>
      <c r="B98" s="1">
        <v>40548</v>
      </c>
      <c r="C98">
        <v>1</v>
      </c>
      <c r="D98">
        <v>0</v>
      </c>
      <c r="E98">
        <v>1</v>
      </c>
      <c r="F98">
        <v>5</v>
      </c>
      <c r="G98">
        <v>0</v>
      </c>
      <c r="H98">
        <v>3</v>
      </c>
      <c r="I98">
        <v>1</v>
      </c>
      <c r="J98">
        <v>0.22</v>
      </c>
    </row>
    <row r="99" spans="1:10" x14ac:dyDescent="0.35">
      <c r="A99">
        <v>98</v>
      </c>
      <c r="B99" s="1">
        <v>40548</v>
      </c>
      <c r="C99">
        <v>1</v>
      </c>
      <c r="D99">
        <v>0</v>
      </c>
      <c r="E99">
        <v>1</v>
      </c>
      <c r="F99">
        <v>6</v>
      </c>
      <c r="G99">
        <v>0</v>
      </c>
      <c r="H99">
        <v>3</v>
      </c>
      <c r="I99">
        <v>1</v>
      </c>
      <c r="J99">
        <v>0.2</v>
      </c>
    </row>
    <row r="100" spans="1:10" x14ac:dyDescent="0.35">
      <c r="A100">
        <v>99</v>
      </c>
      <c r="B100" s="1">
        <v>40548</v>
      </c>
      <c r="C100">
        <v>1</v>
      </c>
      <c r="D100">
        <v>0</v>
      </c>
      <c r="E100">
        <v>1</v>
      </c>
      <c r="F100">
        <v>7</v>
      </c>
      <c r="G100">
        <v>0</v>
      </c>
      <c r="H100">
        <v>3</v>
      </c>
      <c r="I100">
        <v>1</v>
      </c>
      <c r="J100">
        <v>0.18</v>
      </c>
    </row>
    <row r="101" spans="1:10" x14ac:dyDescent="0.35">
      <c r="A101">
        <v>100</v>
      </c>
      <c r="B101" s="1">
        <v>40548</v>
      </c>
      <c r="C101">
        <v>1</v>
      </c>
      <c r="D101">
        <v>0</v>
      </c>
      <c r="E101">
        <v>1</v>
      </c>
      <c r="F101">
        <v>8</v>
      </c>
      <c r="G101">
        <v>0</v>
      </c>
      <c r="H101">
        <v>3</v>
      </c>
      <c r="I101">
        <v>1</v>
      </c>
      <c r="J101">
        <v>0.2</v>
      </c>
    </row>
    <row r="102" spans="1:10" x14ac:dyDescent="0.35">
      <c r="A102">
        <v>101</v>
      </c>
      <c r="B102" s="1">
        <v>40548</v>
      </c>
      <c r="C102">
        <v>1</v>
      </c>
      <c r="D102">
        <v>0</v>
      </c>
      <c r="E102">
        <v>1</v>
      </c>
      <c r="F102">
        <v>9</v>
      </c>
      <c r="G102">
        <v>0</v>
      </c>
      <c r="H102">
        <v>3</v>
      </c>
      <c r="I102">
        <v>1</v>
      </c>
      <c r="J102">
        <v>0.22</v>
      </c>
    </row>
    <row r="103" spans="1:10" x14ac:dyDescent="0.35">
      <c r="A103">
        <v>102</v>
      </c>
      <c r="B103" s="1">
        <v>40548</v>
      </c>
      <c r="C103">
        <v>1</v>
      </c>
      <c r="D103">
        <v>0</v>
      </c>
      <c r="E103">
        <v>1</v>
      </c>
      <c r="F103">
        <v>10</v>
      </c>
      <c r="G103">
        <v>0</v>
      </c>
      <c r="H103">
        <v>3</v>
      </c>
      <c r="I103">
        <v>1</v>
      </c>
      <c r="J103">
        <v>0.22</v>
      </c>
    </row>
    <row r="104" spans="1:10" x14ac:dyDescent="0.35">
      <c r="A104">
        <v>103</v>
      </c>
      <c r="B104" s="1">
        <v>40548</v>
      </c>
      <c r="C104">
        <v>1</v>
      </c>
      <c r="D104">
        <v>0</v>
      </c>
      <c r="E104">
        <v>1</v>
      </c>
      <c r="F104">
        <v>11</v>
      </c>
      <c r="G104">
        <v>0</v>
      </c>
      <c r="H104">
        <v>3</v>
      </c>
      <c r="I104">
        <v>1</v>
      </c>
      <c r="J104">
        <v>0.26</v>
      </c>
    </row>
    <row r="105" spans="1:10" x14ac:dyDescent="0.35">
      <c r="A105">
        <v>104</v>
      </c>
      <c r="B105" s="1">
        <v>40548</v>
      </c>
      <c r="C105">
        <v>1</v>
      </c>
      <c r="D105">
        <v>0</v>
      </c>
      <c r="E105">
        <v>1</v>
      </c>
      <c r="F105">
        <v>12</v>
      </c>
      <c r="G105">
        <v>0</v>
      </c>
      <c r="H105">
        <v>3</v>
      </c>
      <c r="I105">
        <v>1</v>
      </c>
      <c r="J105">
        <v>0.26</v>
      </c>
    </row>
    <row r="106" spans="1:10" x14ac:dyDescent="0.35">
      <c r="A106">
        <v>105</v>
      </c>
      <c r="B106" s="1">
        <v>40548</v>
      </c>
      <c r="C106">
        <v>1</v>
      </c>
      <c r="D106">
        <v>0</v>
      </c>
      <c r="E106">
        <v>1</v>
      </c>
      <c r="F106">
        <v>13</v>
      </c>
      <c r="G106">
        <v>0</v>
      </c>
      <c r="H106">
        <v>3</v>
      </c>
      <c r="I106">
        <v>1</v>
      </c>
      <c r="J106">
        <v>0.28000000000000003</v>
      </c>
    </row>
    <row r="107" spans="1:10" x14ac:dyDescent="0.35">
      <c r="A107">
        <v>106</v>
      </c>
      <c r="B107" s="1">
        <v>40548</v>
      </c>
      <c r="C107">
        <v>1</v>
      </c>
      <c r="D107">
        <v>0</v>
      </c>
      <c r="E107">
        <v>1</v>
      </c>
      <c r="F107">
        <v>14</v>
      </c>
      <c r="G107">
        <v>0</v>
      </c>
      <c r="H107">
        <v>3</v>
      </c>
      <c r="I107">
        <v>1</v>
      </c>
      <c r="J107">
        <v>0.3</v>
      </c>
    </row>
    <row r="108" spans="1:10" x14ac:dyDescent="0.35">
      <c r="A108">
        <v>107</v>
      </c>
      <c r="B108" s="1">
        <v>40548</v>
      </c>
      <c r="C108">
        <v>1</v>
      </c>
      <c r="D108">
        <v>0</v>
      </c>
      <c r="E108">
        <v>1</v>
      </c>
      <c r="F108">
        <v>15</v>
      </c>
      <c r="G108">
        <v>0</v>
      </c>
      <c r="H108">
        <v>3</v>
      </c>
      <c r="I108">
        <v>1</v>
      </c>
      <c r="J108">
        <v>0.3</v>
      </c>
    </row>
    <row r="109" spans="1:10" x14ac:dyDescent="0.35">
      <c r="A109">
        <v>108</v>
      </c>
      <c r="B109" s="1">
        <v>40548</v>
      </c>
      <c r="C109">
        <v>1</v>
      </c>
      <c r="D109">
        <v>0</v>
      </c>
      <c r="E109">
        <v>1</v>
      </c>
      <c r="F109">
        <v>16</v>
      </c>
      <c r="G109">
        <v>0</v>
      </c>
      <c r="H109">
        <v>3</v>
      </c>
      <c r="I109">
        <v>1</v>
      </c>
      <c r="J109">
        <v>0.3</v>
      </c>
    </row>
    <row r="110" spans="1:10" x14ac:dyDescent="0.35">
      <c r="A110">
        <v>109</v>
      </c>
      <c r="B110" s="1">
        <v>40548</v>
      </c>
      <c r="C110">
        <v>1</v>
      </c>
      <c r="D110">
        <v>0</v>
      </c>
      <c r="E110">
        <v>1</v>
      </c>
      <c r="F110">
        <v>17</v>
      </c>
      <c r="G110">
        <v>0</v>
      </c>
      <c r="H110">
        <v>3</v>
      </c>
      <c r="I110">
        <v>1</v>
      </c>
      <c r="J110">
        <v>0.24</v>
      </c>
    </row>
    <row r="111" spans="1:10" x14ac:dyDescent="0.35">
      <c r="A111">
        <v>110</v>
      </c>
      <c r="B111" s="1">
        <v>40548</v>
      </c>
      <c r="C111">
        <v>1</v>
      </c>
      <c r="D111">
        <v>0</v>
      </c>
      <c r="E111">
        <v>1</v>
      </c>
      <c r="F111">
        <v>18</v>
      </c>
      <c r="G111">
        <v>0</v>
      </c>
      <c r="H111">
        <v>3</v>
      </c>
      <c r="I111">
        <v>1</v>
      </c>
      <c r="J111">
        <v>0.24</v>
      </c>
    </row>
    <row r="112" spans="1:10" x14ac:dyDescent="0.35">
      <c r="A112">
        <v>111</v>
      </c>
      <c r="B112" s="1">
        <v>40548</v>
      </c>
      <c r="C112">
        <v>1</v>
      </c>
      <c r="D112">
        <v>0</v>
      </c>
      <c r="E112">
        <v>1</v>
      </c>
      <c r="F112">
        <v>19</v>
      </c>
      <c r="G112">
        <v>0</v>
      </c>
      <c r="H112">
        <v>3</v>
      </c>
      <c r="I112">
        <v>1</v>
      </c>
      <c r="J112">
        <v>0.24</v>
      </c>
    </row>
    <row r="113" spans="1:10" x14ac:dyDescent="0.35">
      <c r="A113">
        <v>112</v>
      </c>
      <c r="B113" s="1">
        <v>40548</v>
      </c>
      <c r="C113">
        <v>1</v>
      </c>
      <c r="D113">
        <v>0</v>
      </c>
      <c r="E113">
        <v>1</v>
      </c>
      <c r="F113">
        <v>20</v>
      </c>
      <c r="G113">
        <v>0</v>
      </c>
      <c r="H113">
        <v>3</v>
      </c>
      <c r="I113">
        <v>1</v>
      </c>
      <c r="J113">
        <v>0.22</v>
      </c>
    </row>
    <row r="114" spans="1:10" x14ac:dyDescent="0.35">
      <c r="A114">
        <v>113</v>
      </c>
      <c r="B114" s="1">
        <v>40548</v>
      </c>
      <c r="C114">
        <v>1</v>
      </c>
      <c r="D114">
        <v>0</v>
      </c>
      <c r="E114">
        <v>1</v>
      </c>
      <c r="F114">
        <v>21</v>
      </c>
      <c r="G114">
        <v>0</v>
      </c>
      <c r="H114">
        <v>3</v>
      </c>
      <c r="I114">
        <v>1</v>
      </c>
      <c r="J114">
        <v>0.2</v>
      </c>
    </row>
    <row r="115" spans="1:10" x14ac:dyDescent="0.35">
      <c r="A115">
        <v>114</v>
      </c>
      <c r="B115" s="1">
        <v>40548</v>
      </c>
      <c r="C115">
        <v>1</v>
      </c>
      <c r="D115">
        <v>0</v>
      </c>
      <c r="E115">
        <v>1</v>
      </c>
      <c r="F115">
        <v>22</v>
      </c>
      <c r="G115">
        <v>0</v>
      </c>
      <c r="H115">
        <v>3</v>
      </c>
      <c r="I115">
        <v>1</v>
      </c>
      <c r="J115">
        <v>0.18</v>
      </c>
    </row>
    <row r="116" spans="1:10" x14ac:dyDescent="0.35">
      <c r="A116">
        <v>115</v>
      </c>
      <c r="B116" s="1">
        <v>40548</v>
      </c>
      <c r="C116">
        <v>1</v>
      </c>
      <c r="D116">
        <v>0</v>
      </c>
      <c r="E116">
        <v>1</v>
      </c>
      <c r="F116">
        <v>23</v>
      </c>
      <c r="G116">
        <v>0</v>
      </c>
      <c r="H116">
        <v>3</v>
      </c>
      <c r="I116">
        <v>1</v>
      </c>
      <c r="J116">
        <v>0.2</v>
      </c>
    </row>
    <row r="117" spans="1:10" x14ac:dyDescent="0.35">
      <c r="A117">
        <v>116</v>
      </c>
      <c r="B117" s="1">
        <v>40549</v>
      </c>
      <c r="C117">
        <v>1</v>
      </c>
      <c r="D117">
        <v>0</v>
      </c>
      <c r="E117">
        <v>1</v>
      </c>
      <c r="F117">
        <v>0</v>
      </c>
      <c r="G117">
        <v>0</v>
      </c>
      <c r="H117">
        <v>4</v>
      </c>
      <c r="I117">
        <v>1</v>
      </c>
      <c r="J117">
        <v>0.18</v>
      </c>
    </row>
    <row r="118" spans="1:10" x14ac:dyDescent="0.35">
      <c r="A118">
        <v>117</v>
      </c>
      <c r="B118" s="1">
        <v>40549</v>
      </c>
      <c r="C118">
        <v>1</v>
      </c>
      <c r="D118">
        <v>0</v>
      </c>
      <c r="E118">
        <v>1</v>
      </c>
      <c r="F118">
        <v>1</v>
      </c>
      <c r="G118">
        <v>0</v>
      </c>
      <c r="H118">
        <v>4</v>
      </c>
      <c r="I118">
        <v>1</v>
      </c>
      <c r="J118">
        <v>0.16</v>
      </c>
    </row>
    <row r="119" spans="1:10" x14ac:dyDescent="0.35">
      <c r="A119">
        <v>118</v>
      </c>
      <c r="B119" s="1">
        <v>40549</v>
      </c>
      <c r="C119">
        <v>1</v>
      </c>
      <c r="D119">
        <v>0</v>
      </c>
      <c r="E119">
        <v>1</v>
      </c>
      <c r="F119">
        <v>2</v>
      </c>
      <c r="G119">
        <v>0</v>
      </c>
      <c r="H119">
        <v>4</v>
      </c>
      <c r="I119">
        <v>1</v>
      </c>
      <c r="J119">
        <v>0.16</v>
      </c>
    </row>
    <row r="120" spans="1:10" x14ac:dyDescent="0.35">
      <c r="A120">
        <v>119</v>
      </c>
      <c r="B120" s="1">
        <v>40549</v>
      </c>
      <c r="C120">
        <v>1</v>
      </c>
      <c r="D120">
        <v>0</v>
      </c>
      <c r="E120">
        <v>1</v>
      </c>
      <c r="F120">
        <v>4</v>
      </c>
      <c r="G120">
        <v>0</v>
      </c>
      <c r="H120">
        <v>4</v>
      </c>
      <c r="I120">
        <v>2</v>
      </c>
      <c r="J120">
        <v>0.16</v>
      </c>
    </row>
    <row r="121" spans="1:10" x14ac:dyDescent="0.35">
      <c r="A121">
        <v>120</v>
      </c>
      <c r="B121" s="1">
        <v>40549</v>
      </c>
      <c r="C121">
        <v>1</v>
      </c>
      <c r="D121">
        <v>0</v>
      </c>
      <c r="E121">
        <v>1</v>
      </c>
      <c r="F121">
        <v>5</v>
      </c>
      <c r="G121">
        <v>0</v>
      </c>
      <c r="H121">
        <v>4</v>
      </c>
      <c r="I121">
        <v>2</v>
      </c>
      <c r="J121">
        <v>0.14000000000000001</v>
      </c>
    </row>
    <row r="122" spans="1:10" x14ac:dyDescent="0.35">
      <c r="A122">
        <v>121</v>
      </c>
      <c r="B122" s="1">
        <v>40549</v>
      </c>
      <c r="C122">
        <v>1</v>
      </c>
      <c r="D122">
        <v>0</v>
      </c>
      <c r="E122">
        <v>1</v>
      </c>
      <c r="F122">
        <v>6</v>
      </c>
      <c r="G122">
        <v>0</v>
      </c>
      <c r="H122">
        <v>4</v>
      </c>
      <c r="I122">
        <v>2</v>
      </c>
      <c r="J122">
        <v>0.14000000000000001</v>
      </c>
    </row>
    <row r="123" spans="1:10" x14ac:dyDescent="0.35">
      <c r="A123">
        <v>122</v>
      </c>
      <c r="B123" s="1">
        <v>40549</v>
      </c>
      <c r="C123">
        <v>1</v>
      </c>
      <c r="D123">
        <v>0</v>
      </c>
      <c r="E123">
        <v>1</v>
      </c>
      <c r="F123">
        <v>7</v>
      </c>
      <c r="G123">
        <v>0</v>
      </c>
      <c r="H123">
        <v>4</v>
      </c>
      <c r="I123">
        <v>2</v>
      </c>
      <c r="J123">
        <v>0.16</v>
      </c>
    </row>
    <row r="124" spans="1:10" x14ac:dyDescent="0.35">
      <c r="A124">
        <v>123</v>
      </c>
      <c r="B124" s="1">
        <v>40549</v>
      </c>
      <c r="C124">
        <v>1</v>
      </c>
      <c r="D124">
        <v>0</v>
      </c>
      <c r="E124">
        <v>1</v>
      </c>
      <c r="F124">
        <v>8</v>
      </c>
      <c r="G124">
        <v>0</v>
      </c>
      <c r="H124">
        <v>4</v>
      </c>
      <c r="I124">
        <v>1</v>
      </c>
      <c r="J124">
        <v>0.16</v>
      </c>
    </row>
    <row r="125" spans="1:10" x14ac:dyDescent="0.35">
      <c r="A125">
        <v>124</v>
      </c>
      <c r="B125" s="1">
        <v>40549</v>
      </c>
      <c r="C125">
        <v>1</v>
      </c>
      <c r="D125">
        <v>0</v>
      </c>
      <c r="E125">
        <v>1</v>
      </c>
      <c r="F125">
        <v>9</v>
      </c>
      <c r="G125">
        <v>0</v>
      </c>
      <c r="H125">
        <v>4</v>
      </c>
      <c r="I125">
        <v>2</v>
      </c>
      <c r="J125">
        <v>0.18</v>
      </c>
    </row>
    <row r="126" spans="1:10" x14ac:dyDescent="0.35">
      <c r="A126">
        <v>125</v>
      </c>
      <c r="B126" s="1">
        <v>40549</v>
      </c>
      <c r="C126">
        <v>1</v>
      </c>
      <c r="D126">
        <v>0</v>
      </c>
      <c r="E126">
        <v>1</v>
      </c>
      <c r="F126">
        <v>10</v>
      </c>
      <c r="G126">
        <v>0</v>
      </c>
      <c r="H126">
        <v>4</v>
      </c>
      <c r="I126">
        <v>1</v>
      </c>
      <c r="J126">
        <v>0.2</v>
      </c>
    </row>
    <row r="127" spans="1:10" x14ac:dyDescent="0.35">
      <c r="A127">
        <v>126</v>
      </c>
      <c r="B127" s="1">
        <v>40549</v>
      </c>
      <c r="C127">
        <v>1</v>
      </c>
      <c r="D127">
        <v>0</v>
      </c>
      <c r="E127">
        <v>1</v>
      </c>
      <c r="F127">
        <v>11</v>
      </c>
      <c r="G127">
        <v>0</v>
      </c>
      <c r="H127">
        <v>4</v>
      </c>
      <c r="I127">
        <v>1</v>
      </c>
      <c r="J127">
        <v>0.22</v>
      </c>
    </row>
    <row r="128" spans="1:10" x14ac:dyDescent="0.35">
      <c r="A128">
        <v>127</v>
      </c>
      <c r="B128" s="1">
        <v>40549</v>
      </c>
      <c r="C128">
        <v>1</v>
      </c>
      <c r="D128">
        <v>0</v>
      </c>
      <c r="E128">
        <v>1</v>
      </c>
      <c r="F128">
        <v>12</v>
      </c>
      <c r="G128">
        <v>0</v>
      </c>
      <c r="H128">
        <v>4</v>
      </c>
      <c r="I128">
        <v>1</v>
      </c>
      <c r="J128">
        <v>0.26</v>
      </c>
    </row>
    <row r="129" spans="1:10" x14ac:dyDescent="0.35">
      <c r="A129">
        <v>128</v>
      </c>
      <c r="B129" s="1">
        <v>40549</v>
      </c>
      <c r="C129">
        <v>1</v>
      </c>
      <c r="D129">
        <v>0</v>
      </c>
      <c r="E129">
        <v>1</v>
      </c>
      <c r="F129">
        <v>13</v>
      </c>
      <c r="G129">
        <v>0</v>
      </c>
      <c r="H129">
        <v>4</v>
      </c>
      <c r="I129">
        <v>1</v>
      </c>
      <c r="J129">
        <v>0.26</v>
      </c>
    </row>
    <row r="130" spans="1:10" x14ac:dyDescent="0.35">
      <c r="A130">
        <v>129</v>
      </c>
      <c r="B130" s="1">
        <v>40549</v>
      </c>
      <c r="C130">
        <v>1</v>
      </c>
      <c r="D130">
        <v>0</v>
      </c>
      <c r="E130">
        <v>1</v>
      </c>
      <c r="F130">
        <v>14</v>
      </c>
      <c r="G130">
        <v>0</v>
      </c>
      <c r="H130">
        <v>4</v>
      </c>
      <c r="I130">
        <v>1</v>
      </c>
      <c r="J130">
        <v>0.28000000000000003</v>
      </c>
    </row>
    <row r="131" spans="1:10" x14ac:dyDescent="0.35">
      <c r="A131">
        <v>130</v>
      </c>
      <c r="B131" s="1">
        <v>40549</v>
      </c>
      <c r="C131">
        <v>1</v>
      </c>
      <c r="D131">
        <v>0</v>
      </c>
      <c r="E131">
        <v>1</v>
      </c>
      <c r="F131">
        <v>15</v>
      </c>
      <c r="G131">
        <v>0</v>
      </c>
      <c r="H131">
        <v>4</v>
      </c>
      <c r="I131">
        <v>1</v>
      </c>
      <c r="J131">
        <v>0.28000000000000003</v>
      </c>
    </row>
    <row r="132" spans="1:10" x14ac:dyDescent="0.35">
      <c r="A132">
        <v>131</v>
      </c>
      <c r="B132" s="1">
        <v>40549</v>
      </c>
      <c r="C132">
        <v>1</v>
      </c>
      <c r="D132">
        <v>0</v>
      </c>
      <c r="E132">
        <v>1</v>
      </c>
      <c r="F132">
        <v>16</v>
      </c>
      <c r="G132">
        <v>0</v>
      </c>
      <c r="H132">
        <v>4</v>
      </c>
      <c r="I132">
        <v>1</v>
      </c>
      <c r="J132">
        <v>0.26</v>
      </c>
    </row>
    <row r="133" spans="1:10" x14ac:dyDescent="0.35">
      <c r="A133">
        <v>132</v>
      </c>
      <c r="B133" s="1">
        <v>40549</v>
      </c>
      <c r="C133">
        <v>1</v>
      </c>
      <c r="D133">
        <v>0</v>
      </c>
      <c r="E133">
        <v>1</v>
      </c>
      <c r="F133">
        <v>17</v>
      </c>
      <c r="G133">
        <v>0</v>
      </c>
      <c r="H133">
        <v>4</v>
      </c>
      <c r="I133">
        <v>1</v>
      </c>
      <c r="J133">
        <v>0.22</v>
      </c>
    </row>
    <row r="134" spans="1:10" x14ac:dyDescent="0.35">
      <c r="A134">
        <v>133</v>
      </c>
      <c r="B134" s="1">
        <v>40549</v>
      </c>
      <c r="C134">
        <v>1</v>
      </c>
      <c r="D134">
        <v>0</v>
      </c>
      <c r="E134">
        <v>1</v>
      </c>
      <c r="F134">
        <v>18</v>
      </c>
      <c r="G134">
        <v>0</v>
      </c>
      <c r="H134">
        <v>4</v>
      </c>
      <c r="I134">
        <v>1</v>
      </c>
      <c r="J134">
        <v>0.22</v>
      </c>
    </row>
    <row r="135" spans="1:10" x14ac:dyDescent="0.35">
      <c r="A135">
        <v>134</v>
      </c>
      <c r="B135" s="1">
        <v>40549</v>
      </c>
      <c r="C135">
        <v>1</v>
      </c>
      <c r="D135">
        <v>0</v>
      </c>
      <c r="E135">
        <v>1</v>
      </c>
      <c r="F135">
        <v>19</v>
      </c>
      <c r="G135">
        <v>0</v>
      </c>
      <c r="H135">
        <v>4</v>
      </c>
      <c r="I135">
        <v>1</v>
      </c>
      <c r="J135">
        <v>0.22</v>
      </c>
    </row>
    <row r="136" spans="1:10" x14ac:dyDescent="0.35">
      <c r="A136">
        <v>135</v>
      </c>
      <c r="B136" s="1">
        <v>40549</v>
      </c>
      <c r="C136">
        <v>1</v>
      </c>
      <c r="D136">
        <v>0</v>
      </c>
      <c r="E136">
        <v>1</v>
      </c>
      <c r="F136">
        <v>20</v>
      </c>
      <c r="G136">
        <v>0</v>
      </c>
      <c r="H136">
        <v>4</v>
      </c>
      <c r="I136">
        <v>1</v>
      </c>
      <c r="J136">
        <v>0.2</v>
      </c>
    </row>
    <row r="137" spans="1:10" x14ac:dyDescent="0.35">
      <c r="A137">
        <v>136</v>
      </c>
      <c r="B137" s="1">
        <v>40549</v>
      </c>
      <c r="C137">
        <v>1</v>
      </c>
      <c r="D137">
        <v>0</v>
      </c>
      <c r="E137">
        <v>1</v>
      </c>
      <c r="F137">
        <v>21</v>
      </c>
      <c r="G137">
        <v>0</v>
      </c>
      <c r="H137">
        <v>4</v>
      </c>
      <c r="I137">
        <v>2</v>
      </c>
      <c r="J137">
        <v>0.22</v>
      </c>
    </row>
    <row r="138" spans="1:10" x14ac:dyDescent="0.35">
      <c r="A138">
        <v>137</v>
      </c>
      <c r="B138" s="1">
        <v>40549</v>
      </c>
      <c r="C138">
        <v>1</v>
      </c>
      <c r="D138">
        <v>0</v>
      </c>
      <c r="E138">
        <v>1</v>
      </c>
      <c r="F138">
        <v>22</v>
      </c>
      <c r="G138">
        <v>0</v>
      </c>
      <c r="H138">
        <v>4</v>
      </c>
      <c r="I138">
        <v>2</v>
      </c>
      <c r="J138">
        <v>0.22</v>
      </c>
    </row>
    <row r="139" spans="1:10" x14ac:dyDescent="0.35">
      <c r="A139">
        <v>138</v>
      </c>
      <c r="B139" s="1">
        <v>40549</v>
      </c>
      <c r="C139">
        <v>1</v>
      </c>
      <c r="D139">
        <v>0</v>
      </c>
      <c r="E139">
        <v>1</v>
      </c>
      <c r="F139">
        <v>23</v>
      </c>
      <c r="G139">
        <v>0</v>
      </c>
      <c r="H139">
        <v>4</v>
      </c>
      <c r="I139">
        <v>2</v>
      </c>
      <c r="J139">
        <v>0.2</v>
      </c>
    </row>
    <row r="140" spans="1:10" x14ac:dyDescent="0.35">
      <c r="A140">
        <v>139</v>
      </c>
      <c r="B140" s="1">
        <v>40550</v>
      </c>
      <c r="C140">
        <v>1</v>
      </c>
      <c r="D140">
        <v>0</v>
      </c>
      <c r="E140">
        <v>1</v>
      </c>
      <c r="F140">
        <v>0</v>
      </c>
      <c r="G140">
        <v>0</v>
      </c>
      <c r="H140">
        <v>5</v>
      </c>
      <c r="I140">
        <v>2</v>
      </c>
      <c r="J140">
        <v>0.2</v>
      </c>
    </row>
    <row r="141" spans="1:10" x14ac:dyDescent="0.35">
      <c r="A141">
        <v>140</v>
      </c>
      <c r="B141" s="1">
        <v>40550</v>
      </c>
      <c r="C141">
        <v>1</v>
      </c>
      <c r="D141">
        <v>0</v>
      </c>
      <c r="E141">
        <v>1</v>
      </c>
      <c r="F141">
        <v>1</v>
      </c>
      <c r="G141">
        <v>0</v>
      </c>
      <c r="H141">
        <v>5</v>
      </c>
      <c r="I141">
        <v>2</v>
      </c>
      <c r="J141">
        <v>0.2</v>
      </c>
    </row>
    <row r="142" spans="1:10" x14ac:dyDescent="0.35">
      <c r="A142">
        <v>141</v>
      </c>
      <c r="B142" s="1">
        <v>40550</v>
      </c>
      <c r="C142">
        <v>1</v>
      </c>
      <c r="D142">
        <v>0</v>
      </c>
      <c r="E142">
        <v>1</v>
      </c>
      <c r="F142">
        <v>2</v>
      </c>
      <c r="G142">
        <v>0</v>
      </c>
      <c r="H142">
        <v>5</v>
      </c>
      <c r="I142">
        <v>2</v>
      </c>
      <c r="J142">
        <v>0.2</v>
      </c>
    </row>
    <row r="143" spans="1:10" x14ac:dyDescent="0.35">
      <c r="A143">
        <v>142</v>
      </c>
      <c r="B143" s="1">
        <v>40550</v>
      </c>
      <c r="C143">
        <v>1</v>
      </c>
      <c r="D143">
        <v>0</v>
      </c>
      <c r="E143">
        <v>1</v>
      </c>
      <c r="F143">
        <v>4</v>
      </c>
      <c r="G143">
        <v>0</v>
      </c>
      <c r="H143">
        <v>5</v>
      </c>
      <c r="I143">
        <v>2</v>
      </c>
      <c r="J143">
        <v>0.2</v>
      </c>
    </row>
    <row r="144" spans="1:10" x14ac:dyDescent="0.35">
      <c r="A144">
        <v>143</v>
      </c>
      <c r="B144" s="1">
        <v>40550</v>
      </c>
      <c r="C144">
        <v>1</v>
      </c>
      <c r="D144">
        <v>0</v>
      </c>
      <c r="E144">
        <v>1</v>
      </c>
      <c r="F144">
        <v>5</v>
      </c>
      <c r="G144">
        <v>0</v>
      </c>
      <c r="H144">
        <v>5</v>
      </c>
      <c r="I144">
        <v>3</v>
      </c>
      <c r="J144">
        <v>0.22</v>
      </c>
    </row>
    <row r="145" spans="1:10" x14ac:dyDescent="0.35">
      <c r="A145">
        <v>144</v>
      </c>
      <c r="B145" s="1">
        <v>40550</v>
      </c>
      <c r="C145">
        <v>1</v>
      </c>
      <c r="D145">
        <v>0</v>
      </c>
      <c r="E145">
        <v>1</v>
      </c>
      <c r="F145">
        <v>6</v>
      </c>
      <c r="G145">
        <v>0</v>
      </c>
      <c r="H145">
        <v>5</v>
      </c>
      <c r="I145">
        <v>2</v>
      </c>
      <c r="J145">
        <v>0.2</v>
      </c>
    </row>
    <row r="146" spans="1:10" x14ac:dyDescent="0.35">
      <c r="A146">
        <v>145</v>
      </c>
      <c r="B146" s="1">
        <v>40550</v>
      </c>
      <c r="C146">
        <v>1</v>
      </c>
      <c r="D146">
        <v>0</v>
      </c>
      <c r="E146">
        <v>1</v>
      </c>
      <c r="F146">
        <v>7</v>
      </c>
      <c r="G146">
        <v>0</v>
      </c>
      <c r="H146">
        <v>5</v>
      </c>
      <c r="I146">
        <v>1</v>
      </c>
      <c r="J146">
        <v>0.2</v>
      </c>
    </row>
    <row r="147" spans="1:10" x14ac:dyDescent="0.35">
      <c r="A147">
        <v>146</v>
      </c>
      <c r="B147" s="1">
        <v>40550</v>
      </c>
      <c r="C147">
        <v>1</v>
      </c>
      <c r="D147">
        <v>0</v>
      </c>
      <c r="E147">
        <v>1</v>
      </c>
      <c r="F147">
        <v>8</v>
      </c>
      <c r="G147">
        <v>0</v>
      </c>
      <c r="H147">
        <v>5</v>
      </c>
      <c r="I147">
        <v>1</v>
      </c>
      <c r="J147">
        <v>0.2</v>
      </c>
    </row>
    <row r="148" spans="1:10" x14ac:dyDescent="0.35">
      <c r="A148">
        <v>147</v>
      </c>
      <c r="B148" s="1">
        <v>40550</v>
      </c>
      <c r="C148">
        <v>1</v>
      </c>
      <c r="D148">
        <v>0</v>
      </c>
      <c r="E148">
        <v>1</v>
      </c>
      <c r="F148">
        <v>9</v>
      </c>
      <c r="G148">
        <v>0</v>
      </c>
      <c r="H148">
        <v>5</v>
      </c>
      <c r="I148">
        <v>1</v>
      </c>
      <c r="J148">
        <v>0.2</v>
      </c>
    </row>
    <row r="149" spans="1:10" x14ac:dyDescent="0.35">
      <c r="A149">
        <v>148</v>
      </c>
      <c r="B149" s="1">
        <v>40550</v>
      </c>
      <c r="C149">
        <v>1</v>
      </c>
      <c r="D149">
        <v>0</v>
      </c>
      <c r="E149">
        <v>1</v>
      </c>
      <c r="F149">
        <v>10</v>
      </c>
      <c r="G149">
        <v>0</v>
      </c>
      <c r="H149">
        <v>5</v>
      </c>
      <c r="I149">
        <v>1</v>
      </c>
      <c r="J149">
        <v>0.22</v>
      </c>
    </row>
    <row r="150" spans="1:10" x14ac:dyDescent="0.35">
      <c r="A150">
        <v>149</v>
      </c>
      <c r="B150" s="1">
        <v>40550</v>
      </c>
      <c r="C150">
        <v>1</v>
      </c>
      <c r="D150">
        <v>0</v>
      </c>
      <c r="E150">
        <v>1</v>
      </c>
      <c r="F150">
        <v>11</v>
      </c>
      <c r="G150">
        <v>0</v>
      </c>
      <c r="H150">
        <v>5</v>
      </c>
      <c r="I150">
        <v>2</v>
      </c>
      <c r="J150">
        <v>0.2</v>
      </c>
    </row>
    <row r="151" spans="1:10" x14ac:dyDescent="0.35">
      <c r="A151">
        <v>150</v>
      </c>
      <c r="B151" s="1">
        <v>40550</v>
      </c>
      <c r="C151">
        <v>1</v>
      </c>
      <c r="D151">
        <v>0</v>
      </c>
      <c r="E151">
        <v>1</v>
      </c>
      <c r="F151">
        <v>12</v>
      </c>
      <c r="G151">
        <v>0</v>
      </c>
      <c r="H151">
        <v>5</v>
      </c>
      <c r="I151">
        <v>2</v>
      </c>
      <c r="J151">
        <v>0.2</v>
      </c>
    </row>
    <row r="152" spans="1:10" x14ac:dyDescent="0.35">
      <c r="A152">
        <v>151</v>
      </c>
      <c r="B152" s="1">
        <v>40550</v>
      </c>
      <c r="C152">
        <v>1</v>
      </c>
      <c r="D152">
        <v>0</v>
      </c>
      <c r="E152">
        <v>1</v>
      </c>
      <c r="F152">
        <v>13</v>
      </c>
      <c r="G152">
        <v>0</v>
      </c>
      <c r="H152">
        <v>5</v>
      </c>
      <c r="I152">
        <v>2</v>
      </c>
      <c r="J152">
        <v>0.2</v>
      </c>
    </row>
    <row r="153" spans="1:10" x14ac:dyDescent="0.35">
      <c r="A153">
        <v>152</v>
      </c>
      <c r="B153" s="1">
        <v>40550</v>
      </c>
      <c r="C153">
        <v>1</v>
      </c>
      <c r="D153">
        <v>0</v>
      </c>
      <c r="E153">
        <v>1</v>
      </c>
      <c r="F153">
        <v>14</v>
      </c>
      <c r="G153">
        <v>0</v>
      </c>
      <c r="H153">
        <v>5</v>
      </c>
      <c r="I153">
        <v>2</v>
      </c>
      <c r="J153">
        <v>0.2</v>
      </c>
    </row>
    <row r="154" spans="1:10" x14ac:dyDescent="0.35">
      <c r="A154">
        <v>153</v>
      </c>
      <c r="B154" s="1">
        <v>40550</v>
      </c>
      <c r="C154">
        <v>1</v>
      </c>
      <c r="D154">
        <v>0</v>
      </c>
      <c r="E154">
        <v>1</v>
      </c>
      <c r="F154">
        <v>15</v>
      </c>
      <c r="G154">
        <v>0</v>
      </c>
      <c r="H154">
        <v>5</v>
      </c>
      <c r="I154">
        <v>2</v>
      </c>
      <c r="J154">
        <v>0.2</v>
      </c>
    </row>
    <row r="155" spans="1:10" x14ac:dyDescent="0.35">
      <c r="A155">
        <v>154</v>
      </c>
      <c r="B155" s="1">
        <v>40550</v>
      </c>
      <c r="C155">
        <v>1</v>
      </c>
      <c r="D155">
        <v>0</v>
      </c>
      <c r="E155">
        <v>1</v>
      </c>
      <c r="F155">
        <v>16</v>
      </c>
      <c r="G155">
        <v>0</v>
      </c>
      <c r="H155">
        <v>5</v>
      </c>
      <c r="I155">
        <v>2</v>
      </c>
      <c r="J155">
        <v>0.2</v>
      </c>
    </row>
    <row r="156" spans="1:10" x14ac:dyDescent="0.35">
      <c r="A156">
        <v>155</v>
      </c>
      <c r="B156" s="1">
        <v>40550</v>
      </c>
      <c r="C156">
        <v>1</v>
      </c>
      <c r="D156">
        <v>0</v>
      </c>
      <c r="E156">
        <v>1</v>
      </c>
      <c r="F156">
        <v>17</v>
      </c>
      <c r="G156">
        <v>0</v>
      </c>
      <c r="H156">
        <v>5</v>
      </c>
      <c r="I156">
        <v>2</v>
      </c>
      <c r="J156">
        <v>0.2</v>
      </c>
    </row>
    <row r="157" spans="1:10" x14ac:dyDescent="0.35">
      <c r="A157">
        <v>156</v>
      </c>
      <c r="B157" s="1">
        <v>40550</v>
      </c>
      <c r="C157">
        <v>1</v>
      </c>
      <c r="D157">
        <v>0</v>
      </c>
      <c r="E157">
        <v>1</v>
      </c>
      <c r="F157">
        <v>18</v>
      </c>
      <c r="G157">
        <v>0</v>
      </c>
      <c r="H157">
        <v>5</v>
      </c>
      <c r="I157">
        <v>1</v>
      </c>
      <c r="J157">
        <v>0.2</v>
      </c>
    </row>
    <row r="158" spans="1:10" x14ac:dyDescent="0.35">
      <c r="A158">
        <v>157</v>
      </c>
      <c r="B158" s="1">
        <v>40550</v>
      </c>
      <c r="C158">
        <v>1</v>
      </c>
      <c r="D158">
        <v>0</v>
      </c>
      <c r="E158">
        <v>1</v>
      </c>
      <c r="F158">
        <v>19</v>
      </c>
      <c r="G158">
        <v>0</v>
      </c>
      <c r="H158">
        <v>5</v>
      </c>
      <c r="I158">
        <v>1</v>
      </c>
      <c r="J158">
        <v>0.16</v>
      </c>
    </row>
    <row r="159" spans="1:10" x14ac:dyDescent="0.35">
      <c r="A159">
        <v>158</v>
      </c>
      <c r="B159" s="1">
        <v>40550</v>
      </c>
      <c r="C159">
        <v>1</v>
      </c>
      <c r="D159">
        <v>0</v>
      </c>
      <c r="E159">
        <v>1</v>
      </c>
      <c r="F159">
        <v>20</v>
      </c>
      <c r="G159">
        <v>0</v>
      </c>
      <c r="H159">
        <v>5</v>
      </c>
      <c r="I159">
        <v>1</v>
      </c>
      <c r="J159">
        <v>0.18</v>
      </c>
    </row>
    <row r="160" spans="1:10" x14ac:dyDescent="0.35">
      <c r="A160">
        <v>159</v>
      </c>
      <c r="B160" s="1">
        <v>40550</v>
      </c>
      <c r="C160">
        <v>1</v>
      </c>
      <c r="D160">
        <v>0</v>
      </c>
      <c r="E160">
        <v>1</v>
      </c>
      <c r="F160">
        <v>21</v>
      </c>
      <c r="G160">
        <v>0</v>
      </c>
      <c r="H160">
        <v>5</v>
      </c>
      <c r="I160">
        <v>1</v>
      </c>
      <c r="J160">
        <v>0.18</v>
      </c>
    </row>
    <row r="161" spans="1:10" x14ac:dyDescent="0.35">
      <c r="A161">
        <v>160</v>
      </c>
      <c r="B161" s="1">
        <v>40550</v>
      </c>
      <c r="C161">
        <v>1</v>
      </c>
      <c r="D161">
        <v>0</v>
      </c>
      <c r="E161">
        <v>1</v>
      </c>
      <c r="F161">
        <v>22</v>
      </c>
      <c r="G161">
        <v>0</v>
      </c>
      <c r="H161">
        <v>5</v>
      </c>
      <c r="I161">
        <v>2</v>
      </c>
      <c r="J161">
        <v>0.18</v>
      </c>
    </row>
    <row r="162" spans="1:10" x14ac:dyDescent="0.35">
      <c r="A162">
        <v>161</v>
      </c>
      <c r="B162" s="1">
        <v>40550</v>
      </c>
      <c r="C162">
        <v>1</v>
      </c>
      <c r="D162">
        <v>0</v>
      </c>
      <c r="E162">
        <v>1</v>
      </c>
      <c r="F162">
        <v>23</v>
      </c>
      <c r="G162">
        <v>0</v>
      </c>
      <c r="H162">
        <v>5</v>
      </c>
      <c r="I162">
        <v>2</v>
      </c>
      <c r="J162">
        <v>0.18</v>
      </c>
    </row>
    <row r="163" spans="1:10" x14ac:dyDescent="0.35">
      <c r="A163">
        <v>162</v>
      </c>
      <c r="B163" s="1">
        <v>40551</v>
      </c>
      <c r="C163">
        <v>1</v>
      </c>
      <c r="D163">
        <v>0</v>
      </c>
      <c r="E163">
        <v>1</v>
      </c>
      <c r="F163">
        <v>0</v>
      </c>
      <c r="G163">
        <v>0</v>
      </c>
      <c r="H163">
        <v>6</v>
      </c>
      <c r="I163">
        <v>2</v>
      </c>
      <c r="J163">
        <v>0.18</v>
      </c>
    </row>
    <row r="164" spans="1:10" x14ac:dyDescent="0.35">
      <c r="A164">
        <v>163</v>
      </c>
      <c r="B164" s="1">
        <v>40551</v>
      </c>
      <c r="C164">
        <v>1</v>
      </c>
      <c r="D164">
        <v>0</v>
      </c>
      <c r="E164">
        <v>1</v>
      </c>
      <c r="F164">
        <v>1</v>
      </c>
      <c r="G164">
        <v>0</v>
      </c>
      <c r="H164">
        <v>6</v>
      </c>
      <c r="I164">
        <v>2</v>
      </c>
      <c r="J164">
        <v>0.18</v>
      </c>
    </row>
    <row r="165" spans="1:10" x14ac:dyDescent="0.35">
      <c r="A165">
        <v>164</v>
      </c>
      <c r="B165" s="1">
        <v>40551</v>
      </c>
      <c r="C165">
        <v>1</v>
      </c>
      <c r="D165">
        <v>0</v>
      </c>
      <c r="E165">
        <v>1</v>
      </c>
      <c r="F165">
        <v>2</v>
      </c>
      <c r="G165">
        <v>0</v>
      </c>
      <c r="H165">
        <v>6</v>
      </c>
      <c r="I165">
        <v>2</v>
      </c>
      <c r="J165">
        <v>0.18</v>
      </c>
    </row>
    <row r="166" spans="1:10" x14ac:dyDescent="0.35">
      <c r="A166">
        <v>165</v>
      </c>
      <c r="B166" s="1">
        <v>40551</v>
      </c>
      <c r="C166">
        <v>1</v>
      </c>
      <c r="D166">
        <v>0</v>
      </c>
      <c r="E166">
        <v>1</v>
      </c>
      <c r="F166">
        <v>3</v>
      </c>
      <c r="G166">
        <v>0</v>
      </c>
      <c r="H166">
        <v>6</v>
      </c>
      <c r="I166">
        <v>3</v>
      </c>
      <c r="J166">
        <v>0.18</v>
      </c>
    </row>
    <row r="167" spans="1:10" x14ac:dyDescent="0.35">
      <c r="A167">
        <v>166</v>
      </c>
      <c r="B167" s="1">
        <v>40551</v>
      </c>
      <c r="C167">
        <v>1</v>
      </c>
      <c r="D167">
        <v>0</v>
      </c>
      <c r="E167">
        <v>1</v>
      </c>
      <c r="F167">
        <v>4</v>
      </c>
      <c r="G167">
        <v>0</v>
      </c>
      <c r="H167">
        <v>6</v>
      </c>
      <c r="I167">
        <v>3</v>
      </c>
      <c r="J167">
        <v>0.18</v>
      </c>
    </row>
    <row r="168" spans="1:10" x14ac:dyDescent="0.35">
      <c r="A168">
        <v>167</v>
      </c>
      <c r="B168" s="1">
        <v>40551</v>
      </c>
      <c r="C168">
        <v>1</v>
      </c>
      <c r="D168">
        <v>0</v>
      </c>
      <c r="E168">
        <v>1</v>
      </c>
      <c r="F168">
        <v>5</v>
      </c>
      <c r="G168">
        <v>0</v>
      </c>
      <c r="H168">
        <v>6</v>
      </c>
      <c r="I168">
        <v>2</v>
      </c>
      <c r="J168">
        <v>0.16</v>
      </c>
    </row>
    <row r="169" spans="1:10" x14ac:dyDescent="0.35">
      <c r="A169">
        <v>168</v>
      </c>
      <c r="B169" s="1">
        <v>40551</v>
      </c>
      <c r="C169">
        <v>1</v>
      </c>
      <c r="D169">
        <v>0</v>
      </c>
      <c r="E169">
        <v>1</v>
      </c>
      <c r="F169">
        <v>6</v>
      </c>
      <c r="G169">
        <v>0</v>
      </c>
      <c r="H169">
        <v>6</v>
      </c>
      <c r="I169">
        <v>2</v>
      </c>
      <c r="J169">
        <v>0.16</v>
      </c>
    </row>
    <row r="170" spans="1:10" x14ac:dyDescent="0.35">
      <c r="A170">
        <v>169</v>
      </c>
      <c r="B170" s="1">
        <v>40551</v>
      </c>
      <c r="C170">
        <v>1</v>
      </c>
      <c r="D170">
        <v>0</v>
      </c>
      <c r="E170">
        <v>1</v>
      </c>
      <c r="F170">
        <v>7</v>
      </c>
      <c r="G170">
        <v>0</v>
      </c>
      <c r="H170">
        <v>6</v>
      </c>
      <c r="I170">
        <v>2</v>
      </c>
      <c r="J170">
        <v>0.16</v>
      </c>
    </row>
    <row r="171" spans="1:10" x14ac:dyDescent="0.35">
      <c r="A171">
        <v>170</v>
      </c>
      <c r="B171" s="1">
        <v>40551</v>
      </c>
      <c r="C171">
        <v>1</v>
      </c>
      <c r="D171">
        <v>0</v>
      </c>
      <c r="E171">
        <v>1</v>
      </c>
      <c r="F171">
        <v>8</v>
      </c>
      <c r="G171">
        <v>0</v>
      </c>
      <c r="H171">
        <v>6</v>
      </c>
      <c r="I171">
        <v>3</v>
      </c>
      <c r="J171">
        <v>0.16</v>
      </c>
    </row>
    <row r="172" spans="1:10" x14ac:dyDescent="0.35">
      <c r="A172">
        <v>171</v>
      </c>
      <c r="B172" s="1">
        <v>40551</v>
      </c>
      <c r="C172">
        <v>1</v>
      </c>
      <c r="D172">
        <v>0</v>
      </c>
      <c r="E172">
        <v>1</v>
      </c>
      <c r="F172">
        <v>9</v>
      </c>
      <c r="G172">
        <v>0</v>
      </c>
      <c r="H172">
        <v>6</v>
      </c>
      <c r="I172">
        <v>3</v>
      </c>
      <c r="J172">
        <v>0.16</v>
      </c>
    </row>
    <row r="173" spans="1:10" x14ac:dyDescent="0.35">
      <c r="A173">
        <v>172</v>
      </c>
      <c r="B173" s="1">
        <v>40551</v>
      </c>
      <c r="C173">
        <v>1</v>
      </c>
      <c r="D173">
        <v>0</v>
      </c>
      <c r="E173">
        <v>1</v>
      </c>
      <c r="F173">
        <v>10</v>
      </c>
      <c r="G173">
        <v>0</v>
      </c>
      <c r="H173">
        <v>6</v>
      </c>
      <c r="I173">
        <v>2</v>
      </c>
      <c r="J173">
        <v>0.18</v>
      </c>
    </row>
    <row r="174" spans="1:10" x14ac:dyDescent="0.35">
      <c r="A174">
        <v>173</v>
      </c>
      <c r="B174" s="1">
        <v>40551</v>
      </c>
      <c r="C174">
        <v>1</v>
      </c>
      <c r="D174">
        <v>0</v>
      </c>
      <c r="E174">
        <v>1</v>
      </c>
      <c r="F174">
        <v>11</v>
      </c>
      <c r="G174">
        <v>0</v>
      </c>
      <c r="H174">
        <v>6</v>
      </c>
      <c r="I174">
        <v>2</v>
      </c>
      <c r="J174">
        <v>0.2</v>
      </c>
    </row>
    <row r="175" spans="1:10" x14ac:dyDescent="0.35">
      <c r="A175">
        <v>174</v>
      </c>
      <c r="B175" s="1">
        <v>40551</v>
      </c>
      <c r="C175">
        <v>1</v>
      </c>
      <c r="D175">
        <v>0</v>
      </c>
      <c r="E175">
        <v>1</v>
      </c>
      <c r="F175">
        <v>12</v>
      </c>
      <c r="G175">
        <v>0</v>
      </c>
      <c r="H175">
        <v>6</v>
      </c>
      <c r="I175">
        <v>2</v>
      </c>
      <c r="J175">
        <v>0.2</v>
      </c>
    </row>
    <row r="176" spans="1:10" x14ac:dyDescent="0.35">
      <c r="A176">
        <v>175</v>
      </c>
      <c r="B176" s="1">
        <v>40551</v>
      </c>
      <c r="C176">
        <v>1</v>
      </c>
      <c r="D176">
        <v>0</v>
      </c>
      <c r="E176">
        <v>1</v>
      </c>
      <c r="F176">
        <v>13</v>
      </c>
      <c r="G176">
        <v>0</v>
      </c>
      <c r="H176">
        <v>6</v>
      </c>
      <c r="I176">
        <v>1</v>
      </c>
      <c r="J176">
        <v>0.2</v>
      </c>
    </row>
    <row r="177" spans="1:10" x14ac:dyDescent="0.35">
      <c r="A177">
        <v>176</v>
      </c>
      <c r="B177" s="1">
        <v>40551</v>
      </c>
      <c r="C177">
        <v>1</v>
      </c>
      <c r="D177">
        <v>0</v>
      </c>
      <c r="E177">
        <v>1</v>
      </c>
      <c r="F177">
        <v>14</v>
      </c>
      <c r="G177">
        <v>0</v>
      </c>
      <c r="H177">
        <v>6</v>
      </c>
      <c r="I177">
        <v>1</v>
      </c>
      <c r="J177">
        <v>0.2</v>
      </c>
    </row>
    <row r="178" spans="1:10" x14ac:dyDescent="0.35">
      <c r="A178">
        <v>177</v>
      </c>
      <c r="B178" s="1">
        <v>40551</v>
      </c>
      <c r="C178">
        <v>1</v>
      </c>
      <c r="D178">
        <v>0</v>
      </c>
      <c r="E178">
        <v>1</v>
      </c>
      <c r="F178">
        <v>15</v>
      </c>
      <c r="G178">
        <v>0</v>
      </c>
      <c r="H178">
        <v>6</v>
      </c>
      <c r="I178">
        <v>1</v>
      </c>
      <c r="J178">
        <v>0.2</v>
      </c>
    </row>
    <row r="179" spans="1:10" x14ac:dyDescent="0.35">
      <c r="A179">
        <v>178</v>
      </c>
      <c r="B179" s="1">
        <v>40551</v>
      </c>
      <c r="C179">
        <v>1</v>
      </c>
      <c r="D179">
        <v>0</v>
      </c>
      <c r="E179">
        <v>1</v>
      </c>
      <c r="F179">
        <v>16</v>
      </c>
      <c r="G179">
        <v>0</v>
      </c>
      <c r="H179">
        <v>6</v>
      </c>
      <c r="I179">
        <v>1</v>
      </c>
      <c r="J179">
        <v>0.18</v>
      </c>
    </row>
    <row r="180" spans="1:10" x14ac:dyDescent="0.35">
      <c r="A180">
        <v>179</v>
      </c>
      <c r="B180" s="1">
        <v>40551</v>
      </c>
      <c r="C180">
        <v>1</v>
      </c>
      <c r="D180">
        <v>0</v>
      </c>
      <c r="E180">
        <v>1</v>
      </c>
      <c r="F180">
        <v>17</v>
      </c>
      <c r="G180">
        <v>0</v>
      </c>
      <c r="H180">
        <v>6</v>
      </c>
      <c r="I180">
        <v>1</v>
      </c>
      <c r="J180">
        <v>0.16</v>
      </c>
    </row>
    <row r="181" spans="1:10" x14ac:dyDescent="0.35">
      <c r="A181">
        <v>180</v>
      </c>
      <c r="B181" s="1">
        <v>40551</v>
      </c>
      <c r="C181">
        <v>1</v>
      </c>
      <c r="D181">
        <v>0</v>
      </c>
      <c r="E181">
        <v>1</v>
      </c>
      <c r="F181">
        <v>18</v>
      </c>
      <c r="G181">
        <v>0</v>
      </c>
      <c r="H181">
        <v>6</v>
      </c>
      <c r="I181">
        <v>1</v>
      </c>
      <c r="J181">
        <v>0.14000000000000001</v>
      </c>
    </row>
    <row r="182" spans="1:10" x14ac:dyDescent="0.35">
      <c r="A182">
        <v>181</v>
      </c>
      <c r="B182" s="1">
        <v>40551</v>
      </c>
      <c r="C182">
        <v>1</v>
      </c>
      <c r="D182">
        <v>0</v>
      </c>
      <c r="E182">
        <v>1</v>
      </c>
      <c r="F182">
        <v>19</v>
      </c>
      <c r="G182">
        <v>0</v>
      </c>
      <c r="H182">
        <v>6</v>
      </c>
      <c r="I182">
        <v>1</v>
      </c>
      <c r="J182">
        <v>0.14000000000000001</v>
      </c>
    </row>
    <row r="183" spans="1:10" x14ac:dyDescent="0.35">
      <c r="A183">
        <v>182</v>
      </c>
      <c r="B183" s="1">
        <v>40551</v>
      </c>
      <c r="C183">
        <v>1</v>
      </c>
      <c r="D183">
        <v>0</v>
      </c>
      <c r="E183">
        <v>1</v>
      </c>
      <c r="F183">
        <v>20</v>
      </c>
      <c r="G183">
        <v>0</v>
      </c>
      <c r="H183">
        <v>6</v>
      </c>
      <c r="I183">
        <v>1</v>
      </c>
      <c r="J183">
        <v>0.12</v>
      </c>
    </row>
    <row r="184" spans="1:10" x14ac:dyDescent="0.35">
      <c r="A184">
        <v>183</v>
      </c>
      <c r="B184" s="1">
        <v>40551</v>
      </c>
      <c r="C184">
        <v>1</v>
      </c>
      <c r="D184">
        <v>0</v>
      </c>
      <c r="E184">
        <v>1</v>
      </c>
      <c r="F184">
        <v>21</v>
      </c>
      <c r="G184">
        <v>0</v>
      </c>
      <c r="H184">
        <v>6</v>
      </c>
      <c r="I184">
        <v>1</v>
      </c>
      <c r="J184">
        <v>0.12</v>
      </c>
    </row>
    <row r="185" spans="1:10" x14ac:dyDescent="0.35">
      <c r="A185">
        <v>184</v>
      </c>
      <c r="B185" s="1">
        <v>40551</v>
      </c>
      <c r="C185">
        <v>1</v>
      </c>
      <c r="D185">
        <v>0</v>
      </c>
      <c r="E185">
        <v>1</v>
      </c>
      <c r="F185">
        <v>22</v>
      </c>
      <c r="G185">
        <v>0</v>
      </c>
      <c r="H185">
        <v>6</v>
      </c>
      <c r="I185">
        <v>1</v>
      </c>
      <c r="J185">
        <v>0.12</v>
      </c>
    </row>
    <row r="186" spans="1:10" x14ac:dyDescent="0.35">
      <c r="A186">
        <v>185</v>
      </c>
      <c r="B186" s="1">
        <v>40551</v>
      </c>
      <c r="C186">
        <v>1</v>
      </c>
      <c r="D186">
        <v>0</v>
      </c>
      <c r="E186">
        <v>1</v>
      </c>
      <c r="F186">
        <v>23</v>
      </c>
      <c r="G186">
        <v>0</v>
      </c>
      <c r="H186">
        <v>6</v>
      </c>
      <c r="I186">
        <v>1</v>
      </c>
      <c r="J186">
        <v>0.1</v>
      </c>
    </row>
    <row r="187" spans="1:10" x14ac:dyDescent="0.35">
      <c r="A187">
        <v>186</v>
      </c>
      <c r="B187" s="1">
        <v>40552</v>
      </c>
      <c r="C187">
        <v>1</v>
      </c>
      <c r="D187">
        <v>0</v>
      </c>
      <c r="E187">
        <v>1</v>
      </c>
      <c r="F187">
        <v>0</v>
      </c>
      <c r="G187">
        <v>0</v>
      </c>
      <c r="H187">
        <v>0</v>
      </c>
      <c r="I187">
        <v>1</v>
      </c>
      <c r="J187">
        <v>0.1</v>
      </c>
    </row>
    <row r="188" spans="1:10" x14ac:dyDescent="0.35">
      <c r="A188">
        <v>187</v>
      </c>
      <c r="B188" s="1">
        <v>40552</v>
      </c>
      <c r="C188">
        <v>1</v>
      </c>
      <c r="D188">
        <v>0</v>
      </c>
      <c r="E188">
        <v>1</v>
      </c>
      <c r="F188">
        <v>1</v>
      </c>
      <c r="G188">
        <v>0</v>
      </c>
      <c r="H188">
        <v>0</v>
      </c>
      <c r="I188">
        <v>1</v>
      </c>
      <c r="J188">
        <v>0.1</v>
      </c>
    </row>
    <row r="189" spans="1:10" x14ac:dyDescent="0.35">
      <c r="A189">
        <v>188</v>
      </c>
      <c r="B189" s="1">
        <v>40552</v>
      </c>
      <c r="C189">
        <v>1</v>
      </c>
      <c r="D189">
        <v>0</v>
      </c>
      <c r="E189">
        <v>1</v>
      </c>
      <c r="F189">
        <v>2</v>
      </c>
      <c r="G189">
        <v>0</v>
      </c>
      <c r="H189">
        <v>0</v>
      </c>
      <c r="I189">
        <v>1</v>
      </c>
      <c r="J189">
        <v>0.1</v>
      </c>
    </row>
    <row r="190" spans="1:10" x14ac:dyDescent="0.35">
      <c r="A190">
        <v>189</v>
      </c>
      <c r="B190" s="1">
        <v>40552</v>
      </c>
      <c r="C190">
        <v>1</v>
      </c>
      <c r="D190">
        <v>0</v>
      </c>
      <c r="E190">
        <v>1</v>
      </c>
      <c r="F190">
        <v>3</v>
      </c>
      <c r="G190">
        <v>0</v>
      </c>
      <c r="H190">
        <v>0</v>
      </c>
      <c r="I190">
        <v>1</v>
      </c>
      <c r="J190">
        <v>0.1</v>
      </c>
    </row>
    <row r="191" spans="1:10" x14ac:dyDescent="0.35">
      <c r="A191">
        <v>190</v>
      </c>
      <c r="B191" s="1">
        <v>40552</v>
      </c>
      <c r="C191">
        <v>1</v>
      </c>
      <c r="D191">
        <v>0</v>
      </c>
      <c r="E191">
        <v>1</v>
      </c>
      <c r="F191">
        <v>4</v>
      </c>
      <c r="G191">
        <v>0</v>
      </c>
      <c r="H191">
        <v>0</v>
      </c>
      <c r="I191">
        <v>1</v>
      </c>
      <c r="J191">
        <v>0.08</v>
      </c>
    </row>
    <row r="192" spans="1:10" x14ac:dyDescent="0.35">
      <c r="A192">
        <v>191</v>
      </c>
      <c r="B192" s="1">
        <v>40552</v>
      </c>
      <c r="C192">
        <v>1</v>
      </c>
      <c r="D192">
        <v>0</v>
      </c>
      <c r="E192">
        <v>1</v>
      </c>
      <c r="F192">
        <v>5</v>
      </c>
      <c r="G192">
        <v>0</v>
      </c>
      <c r="H192">
        <v>0</v>
      </c>
      <c r="I192">
        <v>1</v>
      </c>
      <c r="J192">
        <v>0.08</v>
      </c>
    </row>
    <row r="193" spans="1:10" x14ac:dyDescent="0.35">
      <c r="A193">
        <v>192</v>
      </c>
      <c r="B193" s="1">
        <v>40552</v>
      </c>
      <c r="C193">
        <v>1</v>
      </c>
      <c r="D193">
        <v>0</v>
      </c>
      <c r="E193">
        <v>1</v>
      </c>
      <c r="F193">
        <v>6</v>
      </c>
      <c r="G193">
        <v>0</v>
      </c>
      <c r="H193">
        <v>0</v>
      </c>
      <c r="I193">
        <v>1</v>
      </c>
      <c r="J193">
        <v>0.1</v>
      </c>
    </row>
    <row r="194" spans="1:10" x14ac:dyDescent="0.35">
      <c r="A194">
        <v>193</v>
      </c>
      <c r="B194" s="1">
        <v>40552</v>
      </c>
      <c r="C194">
        <v>1</v>
      </c>
      <c r="D194">
        <v>0</v>
      </c>
      <c r="E194">
        <v>1</v>
      </c>
      <c r="F194">
        <v>7</v>
      </c>
      <c r="G194">
        <v>0</v>
      </c>
      <c r="H194">
        <v>0</v>
      </c>
      <c r="I194">
        <v>1</v>
      </c>
      <c r="J194">
        <v>0.08</v>
      </c>
    </row>
    <row r="195" spans="1:10" x14ac:dyDescent="0.35">
      <c r="A195">
        <v>194</v>
      </c>
      <c r="B195" s="1">
        <v>40552</v>
      </c>
      <c r="C195">
        <v>1</v>
      </c>
      <c r="D195">
        <v>0</v>
      </c>
      <c r="E195">
        <v>1</v>
      </c>
      <c r="F195">
        <v>8</v>
      </c>
      <c r="G195">
        <v>0</v>
      </c>
      <c r="H195">
        <v>0</v>
      </c>
      <c r="I195">
        <v>1</v>
      </c>
      <c r="J195">
        <v>0.1</v>
      </c>
    </row>
    <row r="196" spans="1:10" x14ac:dyDescent="0.35">
      <c r="A196">
        <v>195</v>
      </c>
      <c r="B196" s="1">
        <v>40552</v>
      </c>
      <c r="C196">
        <v>1</v>
      </c>
      <c r="D196">
        <v>0</v>
      </c>
      <c r="E196">
        <v>1</v>
      </c>
      <c r="F196">
        <v>9</v>
      </c>
      <c r="G196">
        <v>0</v>
      </c>
      <c r="H196">
        <v>0</v>
      </c>
      <c r="I196">
        <v>1</v>
      </c>
      <c r="J196">
        <v>0.12</v>
      </c>
    </row>
    <row r="197" spans="1:10" x14ac:dyDescent="0.35">
      <c r="A197">
        <v>196</v>
      </c>
      <c r="B197" s="1">
        <v>40552</v>
      </c>
      <c r="C197">
        <v>1</v>
      </c>
      <c r="D197">
        <v>0</v>
      </c>
      <c r="E197">
        <v>1</v>
      </c>
      <c r="F197">
        <v>10</v>
      </c>
      <c r="G197">
        <v>0</v>
      </c>
      <c r="H197">
        <v>0</v>
      </c>
      <c r="I197">
        <v>1</v>
      </c>
      <c r="J197">
        <v>0.14000000000000001</v>
      </c>
    </row>
    <row r="198" spans="1:10" x14ac:dyDescent="0.35">
      <c r="A198">
        <v>197</v>
      </c>
      <c r="B198" s="1">
        <v>40552</v>
      </c>
      <c r="C198">
        <v>1</v>
      </c>
      <c r="D198">
        <v>0</v>
      </c>
      <c r="E198">
        <v>1</v>
      </c>
      <c r="F198">
        <v>11</v>
      </c>
      <c r="G198">
        <v>0</v>
      </c>
      <c r="H198">
        <v>0</v>
      </c>
      <c r="I198">
        <v>1</v>
      </c>
      <c r="J198">
        <v>0.16</v>
      </c>
    </row>
    <row r="199" spans="1:10" x14ac:dyDescent="0.35">
      <c r="A199">
        <v>198</v>
      </c>
      <c r="B199" s="1">
        <v>40552</v>
      </c>
      <c r="C199">
        <v>1</v>
      </c>
      <c r="D199">
        <v>0</v>
      </c>
      <c r="E199">
        <v>1</v>
      </c>
      <c r="F199">
        <v>12</v>
      </c>
      <c r="G199">
        <v>0</v>
      </c>
      <c r="H199">
        <v>0</v>
      </c>
      <c r="I199">
        <v>1</v>
      </c>
      <c r="J199">
        <v>0.18</v>
      </c>
    </row>
    <row r="200" spans="1:10" x14ac:dyDescent="0.35">
      <c r="A200">
        <v>199</v>
      </c>
      <c r="B200" s="1">
        <v>40552</v>
      </c>
      <c r="C200">
        <v>1</v>
      </c>
      <c r="D200">
        <v>0</v>
      </c>
      <c r="E200">
        <v>1</v>
      </c>
      <c r="F200">
        <v>13</v>
      </c>
      <c r="G200">
        <v>0</v>
      </c>
      <c r="H200">
        <v>0</v>
      </c>
      <c r="I200">
        <v>1</v>
      </c>
      <c r="J200">
        <v>0.2</v>
      </c>
    </row>
    <row r="201" spans="1:10" x14ac:dyDescent="0.35">
      <c r="A201">
        <v>200</v>
      </c>
      <c r="B201" s="1">
        <v>40552</v>
      </c>
      <c r="C201">
        <v>1</v>
      </c>
      <c r="D201">
        <v>0</v>
      </c>
      <c r="E201">
        <v>1</v>
      </c>
      <c r="F201">
        <v>14</v>
      </c>
      <c r="G201">
        <v>0</v>
      </c>
      <c r="H201">
        <v>0</v>
      </c>
      <c r="I201">
        <v>1</v>
      </c>
      <c r="J201">
        <v>0.22</v>
      </c>
    </row>
    <row r="202" spans="1:10" x14ac:dyDescent="0.35">
      <c r="A202">
        <v>201</v>
      </c>
      <c r="B202" s="1">
        <v>40552</v>
      </c>
      <c r="C202">
        <v>1</v>
      </c>
      <c r="D202">
        <v>0</v>
      </c>
      <c r="E202">
        <v>1</v>
      </c>
      <c r="F202">
        <v>15</v>
      </c>
      <c r="G202">
        <v>0</v>
      </c>
      <c r="H202">
        <v>0</v>
      </c>
      <c r="I202">
        <v>1</v>
      </c>
      <c r="J202">
        <v>0.22</v>
      </c>
    </row>
    <row r="203" spans="1:10" x14ac:dyDescent="0.35">
      <c r="A203">
        <v>202</v>
      </c>
      <c r="B203" s="1">
        <v>40552</v>
      </c>
      <c r="C203">
        <v>1</v>
      </c>
      <c r="D203">
        <v>0</v>
      </c>
      <c r="E203">
        <v>1</v>
      </c>
      <c r="F203">
        <v>16</v>
      </c>
      <c r="G203">
        <v>0</v>
      </c>
      <c r="H203">
        <v>0</v>
      </c>
      <c r="I203">
        <v>1</v>
      </c>
      <c r="J203">
        <v>0.2</v>
      </c>
    </row>
    <row r="204" spans="1:10" x14ac:dyDescent="0.35">
      <c r="A204">
        <v>203</v>
      </c>
      <c r="B204" s="1">
        <v>40552</v>
      </c>
      <c r="C204">
        <v>1</v>
      </c>
      <c r="D204">
        <v>0</v>
      </c>
      <c r="E204">
        <v>1</v>
      </c>
      <c r="F204">
        <v>17</v>
      </c>
      <c r="G204">
        <v>0</v>
      </c>
      <c r="H204">
        <v>0</v>
      </c>
      <c r="I204">
        <v>1</v>
      </c>
      <c r="J204">
        <v>0.18</v>
      </c>
    </row>
    <row r="205" spans="1:10" x14ac:dyDescent="0.35">
      <c r="A205">
        <v>204</v>
      </c>
      <c r="B205" s="1">
        <v>40552</v>
      </c>
      <c r="C205">
        <v>1</v>
      </c>
      <c r="D205">
        <v>0</v>
      </c>
      <c r="E205">
        <v>1</v>
      </c>
      <c r="F205">
        <v>18</v>
      </c>
      <c r="G205">
        <v>0</v>
      </c>
      <c r="H205">
        <v>0</v>
      </c>
      <c r="I205">
        <v>1</v>
      </c>
      <c r="J205">
        <v>0.16</v>
      </c>
    </row>
    <row r="206" spans="1:10" x14ac:dyDescent="0.35">
      <c r="A206">
        <v>205</v>
      </c>
      <c r="B206" s="1">
        <v>40552</v>
      </c>
      <c r="C206">
        <v>1</v>
      </c>
      <c r="D206">
        <v>0</v>
      </c>
      <c r="E206">
        <v>1</v>
      </c>
      <c r="F206">
        <v>19</v>
      </c>
      <c r="G206">
        <v>0</v>
      </c>
      <c r="H206">
        <v>0</v>
      </c>
      <c r="I206">
        <v>1</v>
      </c>
      <c r="J206">
        <v>0.16</v>
      </c>
    </row>
    <row r="207" spans="1:10" x14ac:dyDescent="0.35">
      <c r="A207">
        <v>206</v>
      </c>
      <c r="B207" s="1">
        <v>40552</v>
      </c>
      <c r="C207">
        <v>1</v>
      </c>
      <c r="D207">
        <v>0</v>
      </c>
      <c r="E207">
        <v>1</v>
      </c>
      <c r="F207">
        <v>20</v>
      </c>
      <c r="G207">
        <v>0</v>
      </c>
      <c r="H207">
        <v>0</v>
      </c>
      <c r="I207">
        <v>1</v>
      </c>
      <c r="J207">
        <v>0.14000000000000001</v>
      </c>
    </row>
    <row r="208" spans="1:10" x14ac:dyDescent="0.35">
      <c r="A208">
        <v>207</v>
      </c>
      <c r="B208" s="1">
        <v>40552</v>
      </c>
      <c r="C208">
        <v>1</v>
      </c>
      <c r="D208">
        <v>0</v>
      </c>
      <c r="E208">
        <v>1</v>
      </c>
      <c r="F208">
        <v>21</v>
      </c>
      <c r="G208">
        <v>0</v>
      </c>
      <c r="H208">
        <v>0</v>
      </c>
      <c r="I208">
        <v>1</v>
      </c>
      <c r="J208">
        <v>0.14000000000000001</v>
      </c>
    </row>
    <row r="209" spans="1:10" x14ac:dyDescent="0.35">
      <c r="A209">
        <v>208</v>
      </c>
      <c r="B209" s="1">
        <v>40552</v>
      </c>
      <c r="C209">
        <v>1</v>
      </c>
      <c r="D209">
        <v>0</v>
      </c>
      <c r="E209">
        <v>1</v>
      </c>
      <c r="F209">
        <v>22</v>
      </c>
      <c r="G209">
        <v>0</v>
      </c>
      <c r="H209">
        <v>0</v>
      </c>
      <c r="I209">
        <v>1</v>
      </c>
      <c r="J209">
        <v>0.14000000000000001</v>
      </c>
    </row>
    <row r="210" spans="1:10" x14ac:dyDescent="0.35">
      <c r="A210">
        <v>209</v>
      </c>
      <c r="B210" s="1">
        <v>40552</v>
      </c>
      <c r="C210">
        <v>1</v>
      </c>
      <c r="D210">
        <v>0</v>
      </c>
      <c r="E210">
        <v>1</v>
      </c>
      <c r="F210">
        <v>23</v>
      </c>
      <c r="G210">
        <v>0</v>
      </c>
      <c r="H210">
        <v>0</v>
      </c>
      <c r="I210">
        <v>1</v>
      </c>
      <c r="J210">
        <v>0.12</v>
      </c>
    </row>
    <row r="211" spans="1:10" x14ac:dyDescent="0.35">
      <c r="A211">
        <v>210</v>
      </c>
      <c r="B211" s="1">
        <v>40553</v>
      </c>
      <c r="C211">
        <v>1</v>
      </c>
      <c r="D211">
        <v>0</v>
      </c>
      <c r="E211">
        <v>1</v>
      </c>
      <c r="F211">
        <v>0</v>
      </c>
      <c r="G211">
        <v>0</v>
      </c>
      <c r="H211">
        <v>1</v>
      </c>
      <c r="I211">
        <v>1</v>
      </c>
      <c r="J211">
        <v>0.12</v>
      </c>
    </row>
    <row r="212" spans="1:10" x14ac:dyDescent="0.35">
      <c r="A212">
        <v>211</v>
      </c>
      <c r="B212" s="1">
        <v>40553</v>
      </c>
      <c r="C212">
        <v>1</v>
      </c>
      <c r="D212">
        <v>0</v>
      </c>
      <c r="E212">
        <v>1</v>
      </c>
      <c r="F212">
        <v>1</v>
      </c>
      <c r="G212">
        <v>0</v>
      </c>
      <c r="H212">
        <v>1</v>
      </c>
      <c r="I212">
        <v>1</v>
      </c>
      <c r="J212">
        <v>0.12</v>
      </c>
    </row>
    <row r="213" spans="1:10" x14ac:dyDescent="0.35">
      <c r="A213">
        <v>212</v>
      </c>
      <c r="B213" s="1">
        <v>40553</v>
      </c>
      <c r="C213">
        <v>1</v>
      </c>
      <c r="D213">
        <v>0</v>
      </c>
      <c r="E213">
        <v>1</v>
      </c>
      <c r="F213">
        <v>2</v>
      </c>
      <c r="G213">
        <v>0</v>
      </c>
      <c r="H213">
        <v>1</v>
      </c>
      <c r="I213">
        <v>1</v>
      </c>
      <c r="J213">
        <v>0.12</v>
      </c>
    </row>
    <row r="214" spans="1:10" x14ac:dyDescent="0.35">
      <c r="A214">
        <v>213</v>
      </c>
      <c r="B214" s="1">
        <v>40553</v>
      </c>
      <c r="C214">
        <v>1</v>
      </c>
      <c r="D214">
        <v>0</v>
      </c>
      <c r="E214">
        <v>1</v>
      </c>
      <c r="F214">
        <v>3</v>
      </c>
      <c r="G214">
        <v>0</v>
      </c>
      <c r="H214">
        <v>1</v>
      </c>
      <c r="I214">
        <v>1</v>
      </c>
      <c r="J214">
        <v>0.12</v>
      </c>
    </row>
    <row r="215" spans="1:10" x14ac:dyDescent="0.35">
      <c r="A215">
        <v>214</v>
      </c>
      <c r="B215" s="1">
        <v>40553</v>
      </c>
      <c r="C215">
        <v>1</v>
      </c>
      <c r="D215">
        <v>0</v>
      </c>
      <c r="E215">
        <v>1</v>
      </c>
      <c r="F215">
        <v>4</v>
      </c>
      <c r="G215">
        <v>0</v>
      </c>
      <c r="H215">
        <v>1</v>
      </c>
      <c r="I215">
        <v>1</v>
      </c>
      <c r="J215">
        <v>0.1</v>
      </c>
    </row>
    <row r="216" spans="1:10" x14ac:dyDescent="0.35">
      <c r="A216">
        <v>215</v>
      </c>
      <c r="B216" s="1">
        <v>40553</v>
      </c>
      <c r="C216">
        <v>1</v>
      </c>
      <c r="D216">
        <v>0</v>
      </c>
      <c r="E216">
        <v>1</v>
      </c>
      <c r="F216">
        <v>5</v>
      </c>
      <c r="G216">
        <v>0</v>
      </c>
      <c r="H216">
        <v>1</v>
      </c>
      <c r="I216">
        <v>1</v>
      </c>
      <c r="J216">
        <v>0.1</v>
      </c>
    </row>
    <row r="217" spans="1:10" x14ac:dyDescent="0.35">
      <c r="A217">
        <v>216</v>
      </c>
      <c r="B217" s="1">
        <v>40553</v>
      </c>
      <c r="C217">
        <v>1</v>
      </c>
      <c r="D217">
        <v>0</v>
      </c>
      <c r="E217">
        <v>1</v>
      </c>
      <c r="F217">
        <v>6</v>
      </c>
      <c r="G217">
        <v>0</v>
      </c>
      <c r="H217">
        <v>1</v>
      </c>
      <c r="I217">
        <v>1</v>
      </c>
      <c r="J217">
        <v>0.12</v>
      </c>
    </row>
    <row r="218" spans="1:10" x14ac:dyDescent="0.35">
      <c r="A218">
        <v>217</v>
      </c>
      <c r="B218" s="1">
        <v>40553</v>
      </c>
      <c r="C218">
        <v>1</v>
      </c>
      <c r="D218">
        <v>0</v>
      </c>
      <c r="E218">
        <v>1</v>
      </c>
      <c r="F218">
        <v>7</v>
      </c>
      <c r="G218">
        <v>0</v>
      </c>
      <c r="H218">
        <v>1</v>
      </c>
      <c r="I218">
        <v>1</v>
      </c>
      <c r="J218">
        <v>0.12</v>
      </c>
    </row>
    <row r="219" spans="1:10" x14ac:dyDescent="0.35">
      <c r="A219">
        <v>218</v>
      </c>
      <c r="B219" s="1">
        <v>40553</v>
      </c>
      <c r="C219">
        <v>1</v>
      </c>
      <c r="D219">
        <v>0</v>
      </c>
      <c r="E219">
        <v>1</v>
      </c>
      <c r="F219">
        <v>8</v>
      </c>
      <c r="G219">
        <v>0</v>
      </c>
      <c r="H219">
        <v>1</v>
      </c>
      <c r="I219">
        <v>2</v>
      </c>
      <c r="J219">
        <v>0.12</v>
      </c>
    </row>
    <row r="220" spans="1:10" x14ac:dyDescent="0.35">
      <c r="A220">
        <v>219</v>
      </c>
      <c r="B220" s="1">
        <v>40553</v>
      </c>
      <c r="C220">
        <v>1</v>
      </c>
      <c r="D220">
        <v>0</v>
      </c>
      <c r="E220">
        <v>1</v>
      </c>
      <c r="F220">
        <v>9</v>
      </c>
      <c r="G220">
        <v>0</v>
      </c>
      <c r="H220">
        <v>1</v>
      </c>
      <c r="I220">
        <v>2</v>
      </c>
      <c r="J220">
        <v>0.14000000000000001</v>
      </c>
    </row>
    <row r="221" spans="1:10" x14ac:dyDescent="0.35">
      <c r="A221">
        <v>220</v>
      </c>
      <c r="B221" s="1">
        <v>40553</v>
      </c>
      <c r="C221">
        <v>1</v>
      </c>
      <c r="D221">
        <v>0</v>
      </c>
      <c r="E221">
        <v>1</v>
      </c>
      <c r="F221">
        <v>10</v>
      </c>
      <c r="G221">
        <v>0</v>
      </c>
      <c r="H221">
        <v>1</v>
      </c>
      <c r="I221">
        <v>2</v>
      </c>
      <c r="J221">
        <v>0.14000000000000001</v>
      </c>
    </row>
    <row r="222" spans="1:10" x14ac:dyDescent="0.35">
      <c r="A222">
        <v>221</v>
      </c>
      <c r="B222" s="1">
        <v>40553</v>
      </c>
      <c r="C222">
        <v>1</v>
      </c>
      <c r="D222">
        <v>0</v>
      </c>
      <c r="E222">
        <v>1</v>
      </c>
      <c r="F222">
        <v>11</v>
      </c>
      <c r="G222">
        <v>0</v>
      </c>
      <c r="H222">
        <v>1</v>
      </c>
      <c r="I222">
        <v>2</v>
      </c>
      <c r="J222">
        <v>0.16</v>
      </c>
    </row>
    <row r="223" spans="1:10" x14ac:dyDescent="0.35">
      <c r="A223">
        <v>222</v>
      </c>
      <c r="B223" s="1">
        <v>40553</v>
      </c>
      <c r="C223">
        <v>1</v>
      </c>
      <c r="D223">
        <v>0</v>
      </c>
      <c r="E223">
        <v>1</v>
      </c>
      <c r="F223">
        <v>12</v>
      </c>
      <c r="G223">
        <v>0</v>
      </c>
      <c r="H223">
        <v>1</v>
      </c>
      <c r="I223">
        <v>2</v>
      </c>
      <c r="J223">
        <v>0.2</v>
      </c>
    </row>
    <row r="224" spans="1:10" x14ac:dyDescent="0.35">
      <c r="A224">
        <v>223</v>
      </c>
      <c r="B224" s="1">
        <v>40553</v>
      </c>
      <c r="C224">
        <v>1</v>
      </c>
      <c r="D224">
        <v>0</v>
      </c>
      <c r="E224">
        <v>1</v>
      </c>
      <c r="F224">
        <v>13</v>
      </c>
      <c r="G224">
        <v>0</v>
      </c>
      <c r="H224">
        <v>1</v>
      </c>
      <c r="I224">
        <v>2</v>
      </c>
      <c r="J224">
        <v>0.2</v>
      </c>
    </row>
    <row r="225" spans="1:10" x14ac:dyDescent="0.35">
      <c r="A225">
        <v>224</v>
      </c>
      <c r="B225" s="1">
        <v>40553</v>
      </c>
      <c r="C225">
        <v>1</v>
      </c>
      <c r="D225">
        <v>0</v>
      </c>
      <c r="E225">
        <v>1</v>
      </c>
      <c r="F225">
        <v>14</v>
      </c>
      <c r="G225">
        <v>0</v>
      </c>
      <c r="H225">
        <v>1</v>
      </c>
      <c r="I225">
        <v>2</v>
      </c>
      <c r="J225">
        <v>0.2</v>
      </c>
    </row>
    <row r="226" spans="1:10" x14ac:dyDescent="0.35">
      <c r="A226">
        <v>225</v>
      </c>
      <c r="B226" s="1">
        <v>40553</v>
      </c>
      <c r="C226">
        <v>1</v>
      </c>
      <c r="D226">
        <v>0</v>
      </c>
      <c r="E226">
        <v>1</v>
      </c>
      <c r="F226">
        <v>15</v>
      </c>
      <c r="G226">
        <v>0</v>
      </c>
      <c r="H226">
        <v>1</v>
      </c>
      <c r="I226">
        <v>2</v>
      </c>
      <c r="J226">
        <v>0.2</v>
      </c>
    </row>
    <row r="227" spans="1:10" x14ac:dyDescent="0.35">
      <c r="A227">
        <v>226</v>
      </c>
      <c r="B227" s="1">
        <v>40553</v>
      </c>
      <c r="C227">
        <v>1</v>
      </c>
      <c r="D227">
        <v>0</v>
      </c>
      <c r="E227">
        <v>1</v>
      </c>
      <c r="F227">
        <v>16</v>
      </c>
      <c r="G227">
        <v>0</v>
      </c>
      <c r="H227">
        <v>1</v>
      </c>
      <c r="I227">
        <v>1</v>
      </c>
      <c r="J227">
        <v>0.2</v>
      </c>
    </row>
    <row r="228" spans="1:10" x14ac:dyDescent="0.35">
      <c r="A228">
        <v>227</v>
      </c>
      <c r="B228" s="1">
        <v>40553</v>
      </c>
      <c r="C228">
        <v>1</v>
      </c>
      <c r="D228">
        <v>0</v>
      </c>
      <c r="E228">
        <v>1</v>
      </c>
      <c r="F228">
        <v>17</v>
      </c>
      <c r="G228">
        <v>0</v>
      </c>
      <c r="H228">
        <v>1</v>
      </c>
      <c r="I228">
        <v>1</v>
      </c>
      <c r="J228">
        <v>0.2</v>
      </c>
    </row>
    <row r="229" spans="1:10" x14ac:dyDescent="0.35">
      <c r="A229">
        <v>228</v>
      </c>
      <c r="B229" s="1">
        <v>40553</v>
      </c>
      <c r="C229">
        <v>1</v>
      </c>
      <c r="D229">
        <v>0</v>
      </c>
      <c r="E229">
        <v>1</v>
      </c>
      <c r="F229">
        <v>18</v>
      </c>
      <c r="G229">
        <v>0</v>
      </c>
      <c r="H229">
        <v>1</v>
      </c>
      <c r="I229">
        <v>1</v>
      </c>
      <c r="J229">
        <v>0.2</v>
      </c>
    </row>
    <row r="230" spans="1:10" x14ac:dyDescent="0.35">
      <c r="A230">
        <v>229</v>
      </c>
      <c r="B230" s="1">
        <v>40553</v>
      </c>
      <c r="C230">
        <v>1</v>
      </c>
      <c r="D230">
        <v>0</v>
      </c>
      <c r="E230">
        <v>1</v>
      </c>
      <c r="F230">
        <v>19</v>
      </c>
      <c r="G230">
        <v>0</v>
      </c>
      <c r="H230">
        <v>1</v>
      </c>
      <c r="I230">
        <v>1</v>
      </c>
      <c r="J230">
        <v>0.16</v>
      </c>
    </row>
    <row r="231" spans="1:10" x14ac:dyDescent="0.35">
      <c r="A231">
        <v>230</v>
      </c>
      <c r="B231" s="1">
        <v>40553</v>
      </c>
      <c r="C231">
        <v>1</v>
      </c>
      <c r="D231">
        <v>0</v>
      </c>
      <c r="E231">
        <v>1</v>
      </c>
      <c r="F231">
        <v>20</v>
      </c>
      <c r="G231">
        <v>0</v>
      </c>
      <c r="H231">
        <v>1</v>
      </c>
      <c r="I231">
        <v>1</v>
      </c>
      <c r="J231">
        <v>0.16</v>
      </c>
    </row>
    <row r="232" spans="1:10" x14ac:dyDescent="0.35">
      <c r="A232">
        <v>231</v>
      </c>
      <c r="B232" s="1">
        <v>40553</v>
      </c>
      <c r="C232">
        <v>1</v>
      </c>
      <c r="D232">
        <v>0</v>
      </c>
      <c r="E232">
        <v>1</v>
      </c>
      <c r="F232">
        <v>21</v>
      </c>
      <c r="G232">
        <v>0</v>
      </c>
      <c r="H232">
        <v>1</v>
      </c>
      <c r="I232">
        <v>1</v>
      </c>
      <c r="J232">
        <v>0.14000000000000001</v>
      </c>
    </row>
    <row r="233" spans="1:10" x14ac:dyDescent="0.35">
      <c r="A233">
        <v>232</v>
      </c>
      <c r="B233" s="1">
        <v>40553</v>
      </c>
      <c r="C233">
        <v>1</v>
      </c>
      <c r="D233">
        <v>0</v>
      </c>
      <c r="E233">
        <v>1</v>
      </c>
      <c r="F233">
        <v>22</v>
      </c>
      <c r="G233">
        <v>0</v>
      </c>
      <c r="H233">
        <v>1</v>
      </c>
      <c r="I233">
        <v>1</v>
      </c>
      <c r="J233">
        <v>0.14000000000000001</v>
      </c>
    </row>
    <row r="234" spans="1:10" x14ac:dyDescent="0.35">
      <c r="A234">
        <v>233</v>
      </c>
      <c r="B234" s="1">
        <v>40553</v>
      </c>
      <c r="C234">
        <v>1</v>
      </c>
      <c r="D234">
        <v>0</v>
      </c>
      <c r="E234">
        <v>1</v>
      </c>
      <c r="F234">
        <v>23</v>
      </c>
      <c r="G234">
        <v>0</v>
      </c>
      <c r="H234">
        <v>1</v>
      </c>
      <c r="I234">
        <v>1</v>
      </c>
      <c r="J234">
        <v>0.14000000000000001</v>
      </c>
    </row>
    <row r="235" spans="1:10" x14ac:dyDescent="0.35">
      <c r="A235">
        <v>234</v>
      </c>
      <c r="B235" s="1">
        <v>40554</v>
      </c>
      <c r="C235">
        <v>1</v>
      </c>
      <c r="D235">
        <v>0</v>
      </c>
      <c r="E235">
        <v>1</v>
      </c>
      <c r="F235">
        <v>0</v>
      </c>
      <c r="G235">
        <v>0</v>
      </c>
      <c r="H235">
        <v>2</v>
      </c>
      <c r="I235">
        <v>1</v>
      </c>
      <c r="J235">
        <v>0.14000000000000001</v>
      </c>
    </row>
    <row r="236" spans="1:10" x14ac:dyDescent="0.35">
      <c r="A236">
        <v>235</v>
      </c>
      <c r="B236" s="1">
        <v>40554</v>
      </c>
      <c r="C236">
        <v>1</v>
      </c>
      <c r="D236">
        <v>0</v>
      </c>
      <c r="E236">
        <v>1</v>
      </c>
      <c r="F236">
        <v>1</v>
      </c>
      <c r="G236">
        <v>0</v>
      </c>
      <c r="H236">
        <v>2</v>
      </c>
      <c r="I236">
        <v>1</v>
      </c>
      <c r="J236">
        <v>0.14000000000000001</v>
      </c>
    </row>
    <row r="237" spans="1:10" x14ac:dyDescent="0.35">
      <c r="A237">
        <v>236</v>
      </c>
      <c r="B237" s="1">
        <v>40554</v>
      </c>
      <c r="C237">
        <v>1</v>
      </c>
      <c r="D237">
        <v>0</v>
      </c>
      <c r="E237">
        <v>1</v>
      </c>
      <c r="F237">
        <v>2</v>
      </c>
      <c r="G237">
        <v>0</v>
      </c>
      <c r="H237">
        <v>2</v>
      </c>
      <c r="I237">
        <v>2</v>
      </c>
      <c r="J237">
        <v>0.16</v>
      </c>
    </row>
    <row r="238" spans="1:10" x14ac:dyDescent="0.35">
      <c r="A238">
        <v>237</v>
      </c>
      <c r="B238" s="1">
        <v>40554</v>
      </c>
      <c r="C238">
        <v>1</v>
      </c>
      <c r="D238">
        <v>0</v>
      </c>
      <c r="E238">
        <v>1</v>
      </c>
      <c r="F238">
        <v>5</v>
      </c>
      <c r="G238">
        <v>0</v>
      </c>
      <c r="H238">
        <v>2</v>
      </c>
      <c r="I238">
        <v>2</v>
      </c>
      <c r="J238">
        <v>0.16</v>
      </c>
    </row>
    <row r="239" spans="1:10" x14ac:dyDescent="0.35">
      <c r="A239">
        <v>238</v>
      </c>
      <c r="B239" s="1">
        <v>40554</v>
      </c>
      <c r="C239">
        <v>1</v>
      </c>
      <c r="D239">
        <v>0</v>
      </c>
      <c r="E239">
        <v>1</v>
      </c>
      <c r="F239">
        <v>6</v>
      </c>
      <c r="G239">
        <v>0</v>
      </c>
      <c r="H239">
        <v>2</v>
      </c>
      <c r="I239">
        <v>2</v>
      </c>
      <c r="J239">
        <v>0.16</v>
      </c>
    </row>
    <row r="240" spans="1:10" x14ac:dyDescent="0.35">
      <c r="A240">
        <v>239</v>
      </c>
      <c r="B240" s="1">
        <v>40554</v>
      </c>
      <c r="C240">
        <v>1</v>
      </c>
      <c r="D240">
        <v>0</v>
      </c>
      <c r="E240">
        <v>1</v>
      </c>
      <c r="F240">
        <v>7</v>
      </c>
      <c r="G240">
        <v>0</v>
      </c>
      <c r="H240">
        <v>2</v>
      </c>
      <c r="I240">
        <v>2</v>
      </c>
      <c r="J240">
        <v>0.16</v>
      </c>
    </row>
    <row r="241" spans="1:10" x14ac:dyDescent="0.35">
      <c r="A241">
        <v>240</v>
      </c>
      <c r="B241" s="1">
        <v>40554</v>
      </c>
      <c r="C241">
        <v>1</v>
      </c>
      <c r="D241">
        <v>0</v>
      </c>
      <c r="E241">
        <v>1</v>
      </c>
      <c r="F241">
        <v>8</v>
      </c>
      <c r="G241">
        <v>0</v>
      </c>
      <c r="H241">
        <v>2</v>
      </c>
      <c r="I241">
        <v>2</v>
      </c>
      <c r="J241">
        <v>0.18</v>
      </c>
    </row>
    <row r="242" spans="1:10" x14ac:dyDescent="0.35">
      <c r="A242">
        <v>241</v>
      </c>
      <c r="B242" s="1">
        <v>40554</v>
      </c>
      <c r="C242">
        <v>1</v>
      </c>
      <c r="D242">
        <v>0</v>
      </c>
      <c r="E242">
        <v>1</v>
      </c>
      <c r="F242">
        <v>9</v>
      </c>
      <c r="G242">
        <v>0</v>
      </c>
      <c r="H242">
        <v>2</v>
      </c>
      <c r="I242">
        <v>2</v>
      </c>
      <c r="J242">
        <v>0.18</v>
      </c>
    </row>
    <row r="243" spans="1:10" x14ac:dyDescent="0.35">
      <c r="A243">
        <v>242</v>
      </c>
      <c r="B243" s="1">
        <v>40554</v>
      </c>
      <c r="C243">
        <v>1</v>
      </c>
      <c r="D243">
        <v>0</v>
      </c>
      <c r="E243">
        <v>1</v>
      </c>
      <c r="F243">
        <v>10</v>
      </c>
      <c r="G243">
        <v>0</v>
      </c>
      <c r="H243">
        <v>2</v>
      </c>
      <c r="I243">
        <v>2</v>
      </c>
      <c r="J243">
        <v>0.2</v>
      </c>
    </row>
    <row r="244" spans="1:10" x14ac:dyDescent="0.35">
      <c r="A244">
        <v>243</v>
      </c>
      <c r="B244" s="1">
        <v>40554</v>
      </c>
      <c r="C244">
        <v>1</v>
      </c>
      <c r="D244">
        <v>0</v>
      </c>
      <c r="E244">
        <v>1</v>
      </c>
      <c r="F244">
        <v>11</v>
      </c>
      <c r="G244">
        <v>0</v>
      </c>
      <c r="H244">
        <v>2</v>
      </c>
      <c r="I244">
        <v>2</v>
      </c>
      <c r="J244">
        <v>0.2</v>
      </c>
    </row>
    <row r="245" spans="1:10" x14ac:dyDescent="0.35">
      <c r="A245">
        <v>244</v>
      </c>
      <c r="B245" s="1">
        <v>40554</v>
      </c>
      <c r="C245">
        <v>1</v>
      </c>
      <c r="D245">
        <v>0</v>
      </c>
      <c r="E245">
        <v>1</v>
      </c>
      <c r="F245">
        <v>12</v>
      </c>
      <c r="G245">
        <v>0</v>
      </c>
      <c r="H245">
        <v>2</v>
      </c>
      <c r="I245">
        <v>2</v>
      </c>
      <c r="J245">
        <v>0.2</v>
      </c>
    </row>
    <row r="246" spans="1:10" x14ac:dyDescent="0.35">
      <c r="A246">
        <v>245</v>
      </c>
      <c r="B246" s="1">
        <v>40554</v>
      </c>
      <c r="C246">
        <v>1</v>
      </c>
      <c r="D246">
        <v>0</v>
      </c>
      <c r="E246">
        <v>1</v>
      </c>
      <c r="F246">
        <v>13</v>
      </c>
      <c r="G246">
        <v>0</v>
      </c>
      <c r="H246">
        <v>2</v>
      </c>
      <c r="I246">
        <v>2</v>
      </c>
      <c r="J246">
        <v>0.2</v>
      </c>
    </row>
    <row r="247" spans="1:10" x14ac:dyDescent="0.35">
      <c r="A247">
        <v>246</v>
      </c>
      <c r="B247" s="1">
        <v>40554</v>
      </c>
      <c r="C247">
        <v>1</v>
      </c>
      <c r="D247">
        <v>0</v>
      </c>
      <c r="E247">
        <v>1</v>
      </c>
      <c r="F247">
        <v>14</v>
      </c>
      <c r="G247">
        <v>0</v>
      </c>
      <c r="H247">
        <v>2</v>
      </c>
      <c r="I247">
        <v>2</v>
      </c>
      <c r="J247">
        <v>0.2</v>
      </c>
    </row>
    <row r="248" spans="1:10" x14ac:dyDescent="0.35">
      <c r="A248">
        <v>247</v>
      </c>
      <c r="B248" s="1">
        <v>40554</v>
      </c>
      <c r="C248">
        <v>1</v>
      </c>
      <c r="D248">
        <v>0</v>
      </c>
      <c r="E248">
        <v>1</v>
      </c>
      <c r="F248">
        <v>15</v>
      </c>
      <c r="G248">
        <v>0</v>
      </c>
      <c r="H248">
        <v>2</v>
      </c>
      <c r="I248">
        <v>2</v>
      </c>
      <c r="J248">
        <v>0.16</v>
      </c>
    </row>
    <row r="249" spans="1:10" x14ac:dyDescent="0.35">
      <c r="A249">
        <v>248</v>
      </c>
      <c r="B249" s="1">
        <v>40554</v>
      </c>
      <c r="C249">
        <v>1</v>
      </c>
      <c r="D249">
        <v>0</v>
      </c>
      <c r="E249">
        <v>1</v>
      </c>
      <c r="F249">
        <v>16</v>
      </c>
      <c r="G249">
        <v>0</v>
      </c>
      <c r="H249">
        <v>2</v>
      </c>
      <c r="I249">
        <v>2</v>
      </c>
      <c r="J249">
        <v>0.16</v>
      </c>
    </row>
    <row r="250" spans="1:10" x14ac:dyDescent="0.35">
      <c r="A250">
        <v>249</v>
      </c>
      <c r="B250" s="1">
        <v>40554</v>
      </c>
      <c r="C250">
        <v>1</v>
      </c>
      <c r="D250">
        <v>0</v>
      </c>
      <c r="E250">
        <v>1</v>
      </c>
      <c r="F250">
        <v>17</v>
      </c>
      <c r="G250">
        <v>0</v>
      </c>
      <c r="H250">
        <v>2</v>
      </c>
      <c r="I250">
        <v>2</v>
      </c>
      <c r="J250">
        <v>0.16</v>
      </c>
    </row>
    <row r="251" spans="1:10" x14ac:dyDescent="0.35">
      <c r="A251">
        <v>250</v>
      </c>
      <c r="B251" s="1">
        <v>40554</v>
      </c>
      <c r="C251">
        <v>1</v>
      </c>
      <c r="D251">
        <v>0</v>
      </c>
      <c r="E251">
        <v>1</v>
      </c>
      <c r="F251">
        <v>18</v>
      </c>
      <c r="G251">
        <v>0</v>
      </c>
      <c r="H251">
        <v>2</v>
      </c>
      <c r="I251">
        <v>3</v>
      </c>
      <c r="J251">
        <v>0.16</v>
      </c>
    </row>
    <row r="252" spans="1:10" x14ac:dyDescent="0.35">
      <c r="A252">
        <v>251</v>
      </c>
      <c r="B252" s="1">
        <v>40554</v>
      </c>
      <c r="C252">
        <v>1</v>
      </c>
      <c r="D252">
        <v>0</v>
      </c>
      <c r="E252">
        <v>1</v>
      </c>
      <c r="F252">
        <v>19</v>
      </c>
      <c r="G252">
        <v>0</v>
      </c>
      <c r="H252">
        <v>2</v>
      </c>
      <c r="I252">
        <v>3</v>
      </c>
      <c r="J252">
        <v>0.16</v>
      </c>
    </row>
    <row r="253" spans="1:10" x14ac:dyDescent="0.35">
      <c r="A253">
        <v>252</v>
      </c>
      <c r="B253" s="1">
        <v>40554</v>
      </c>
      <c r="C253">
        <v>1</v>
      </c>
      <c r="D253">
        <v>0</v>
      </c>
      <c r="E253">
        <v>1</v>
      </c>
      <c r="F253">
        <v>20</v>
      </c>
      <c r="G253">
        <v>0</v>
      </c>
      <c r="H253">
        <v>2</v>
      </c>
      <c r="I253">
        <v>3</v>
      </c>
      <c r="J253">
        <v>0.16</v>
      </c>
    </row>
    <row r="254" spans="1:10" x14ac:dyDescent="0.35">
      <c r="A254">
        <v>253</v>
      </c>
      <c r="B254" s="1">
        <v>40554</v>
      </c>
      <c r="C254">
        <v>1</v>
      </c>
      <c r="D254">
        <v>0</v>
      </c>
      <c r="E254">
        <v>1</v>
      </c>
      <c r="F254">
        <v>21</v>
      </c>
      <c r="G254">
        <v>0</v>
      </c>
      <c r="H254">
        <v>2</v>
      </c>
      <c r="I254">
        <v>3</v>
      </c>
      <c r="J254">
        <v>0.16</v>
      </c>
    </row>
    <row r="255" spans="1:10" x14ac:dyDescent="0.35">
      <c r="A255">
        <v>254</v>
      </c>
      <c r="B255" s="1">
        <v>40554</v>
      </c>
      <c r="C255">
        <v>1</v>
      </c>
      <c r="D255">
        <v>0</v>
      </c>
      <c r="E255">
        <v>1</v>
      </c>
      <c r="F255">
        <v>22</v>
      </c>
      <c r="G255">
        <v>0</v>
      </c>
      <c r="H255">
        <v>2</v>
      </c>
      <c r="I255">
        <v>3</v>
      </c>
      <c r="J255">
        <v>0.16</v>
      </c>
    </row>
    <row r="256" spans="1:10" x14ac:dyDescent="0.35">
      <c r="A256">
        <v>255</v>
      </c>
      <c r="B256" s="1">
        <v>40554</v>
      </c>
      <c r="C256">
        <v>1</v>
      </c>
      <c r="D256">
        <v>0</v>
      </c>
      <c r="E256">
        <v>1</v>
      </c>
      <c r="F256">
        <v>23</v>
      </c>
      <c r="G256">
        <v>0</v>
      </c>
      <c r="H256">
        <v>2</v>
      </c>
      <c r="I256">
        <v>3</v>
      </c>
      <c r="J256">
        <v>0.16</v>
      </c>
    </row>
    <row r="257" spans="1:10" x14ac:dyDescent="0.35">
      <c r="A257">
        <v>256</v>
      </c>
      <c r="B257" s="1">
        <v>40555</v>
      </c>
      <c r="C257">
        <v>1</v>
      </c>
      <c r="D257">
        <v>0</v>
      </c>
      <c r="E257">
        <v>1</v>
      </c>
      <c r="F257">
        <v>0</v>
      </c>
      <c r="G257">
        <v>0</v>
      </c>
      <c r="H257">
        <v>3</v>
      </c>
      <c r="I257">
        <v>2</v>
      </c>
      <c r="J257">
        <v>0.16</v>
      </c>
    </row>
    <row r="258" spans="1:10" x14ac:dyDescent="0.35">
      <c r="A258">
        <v>257</v>
      </c>
      <c r="B258" s="1">
        <v>40555</v>
      </c>
      <c r="C258">
        <v>1</v>
      </c>
      <c r="D258">
        <v>0</v>
      </c>
      <c r="E258">
        <v>1</v>
      </c>
      <c r="F258">
        <v>1</v>
      </c>
      <c r="G258">
        <v>0</v>
      </c>
      <c r="H258">
        <v>3</v>
      </c>
      <c r="I258">
        <v>2</v>
      </c>
      <c r="J258">
        <v>0.16</v>
      </c>
    </row>
    <row r="259" spans="1:10" x14ac:dyDescent="0.35">
      <c r="A259">
        <v>258</v>
      </c>
      <c r="B259" s="1">
        <v>40555</v>
      </c>
      <c r="C259">
        <v>1</v>
      </c>
      <c r="D259">
        <v>0</v>
      </c>
      <c r="E259">
        <v>1</v>
      </c>
      <c r="F259">
        <v>2</v>
      </c>
      <c r="G259">
        <v>0</v>
      </c>
      <c r="H259">
        <v>3</v>
      </c>
      <c r="I259">
        <v>1</v>
      </c>
      <c r="J259">
        <v>0.14000000000000001</v>
      </c>
    </row>
    <row r="260" spans="1:10" x14ac:dyDescent="0.35">
      <c r="A260">
        <v>259</v>
      </c>
      <c r="B260" s="1">
        <v>40555</v>
      </c>
      <c r="C260">
        <v>1</v>
      </c>
      <c r="D260">
        <v>0</v>
      </c>
      <c r="E260">
        <v>1</v>
      </c>
      <c r="F260">
        <v>5</v>
      </c>
      <c r="G260">
        <v>0</v>
      </c>
      <c r="H260">
        <v>3</v>
      </c>
      <c r="I260">
        <v>1</v>
      </c>
      <c r="J260">
        <v>0.14000000000000001</v>
      </c>
    </row>
    <row r="261" spans="1:10" x14ac:dyDescent="0.35">
      <c r="A261">
        <v>260</v>
      </c>
      <c r="B261" s="1">
        <v>40555</v>
      </c>
      <c r="C261">
        <v>1</v>
      </c>
      <c r="D261">
        <v>0</v>
      </c>
      <c r="E261">
        <v>1</v>
      </c>
      <c r="F261">
        <v>6</v>
      </c>
      <c r="G261">
        <v>0</v>
      </c>
      <c r="H261">
        <v>3</v>
      </c>
      <c r="I261">
        <v>1</v>
      </c>
      <c r="J261">
        <v>0.12</v>
      </c>
    </row>
    <row r="262" spans="1:10" x14ac:dyDescent="0.35">
      <c r="A262">
        <v>261</v>
      </c>
      <c r="B262" s="1">
        <v>40555</v>
      </c>
      <c r="C262">
        <v>1</v>
      </c>
      <c r="D262">
        <v>0</v>
      </c>
      <c r="E262">
        <v>1</v>
      </c>
      <c r="F262">
        <v>7</v>
      </c>
      <c r="G262">
        <v>0</v>
      </c>
      <c r="H262">
        <v>3</v>
      </c>
      <c r="I262">
        <v>1</v>
      </c>
      <c r="J262">
        <v>0.14000000000000001</v>
      </c>
    </row>
    <row r="263" spans="1:10" x14ac:dyDescent="0.35">
      <c r="A263">
        <v>262</v>
      </c>
      <c r="B263" s="1">
        <v>40555</v>
      </c>
      <c r="C263">
        <v>1</v>
      </c>
      <c r="D263">
        <v>0</v>
      </c>
      <c r="E263">
        <v>1</v>
      </c>
      <c r="F263">
        <v>8</v>
      </c>
      <c r="G263">
        <v>0</v>
      </c>
      <c r="H263">
        <v>3</v>
      </c>
      <c r="I263">
        <v>1</v>
      </c>
      <c r="J263">
        <v>0.16</v>
      </c>
    </row>
    <row r="264" spans="1:10" x14ac:dyDescent="0.35">
      <c r="A264">
        <v>263</v>
      </c>
      <c r="B264" s="1">
        <v>40555</v>
      </c>
      <c r="C264">
        <v>1</v>
      </c>
      <c r="D264">
        <v>0</v>
      </c>
      <c r="E264">
        <v>1</v>
      </c>
      <c r="F264">
        <v>9</v>
      </c>
      <c r="G264">
        <v>0</v>
      </c>
      <c r="H264">
        <v>3</v>
      </c>
      <c r="I264">
        <v>1</v>
      </c>
      <c r="J264">
        <v>0.16</v>
      </c>
    </row>
    <row r="265" spans="1:10" x14ac:dyDescent="0.35">
      <c r="A265">
        <v>264</v>
      </c>
      <c r="B265" s="1">
        <v>40555</v>
      </c>
      <c r="C265">
        <v>1</v>
      </c>
      <c r="D265">
        <v>0</v>
      </c>
      <c r="E265">
        <v>1</v>
      </c>
      <c r="F265">
        <v>10</v>
      </c>
      <c r="G265">
        <v>0</v>
      </c>
      <c r="H265">
        <v>3</v>
      </c>
      <c r="I265">
        <v>1</v>
      </c>
      <c r="J265">
        <v>0.18</v>
      </c>
    </row>
    <row r="266" spans="1:10" x14ac:dyDescent="0.35">
      <c r="A266">
        <v>265</v>
      </c>
      <c r="B266" s="1">
        <v>40555</v>
      </c>
      <c r="C266">
        <v>1</v>
      </c>
      <c r="D266">
        <v>0</v>
      </c>
      <c r="E266">
        <v>1</v>
      </c>
      <c r="F266">
        <v>11</v>
      </c>
      <c r="G266">
        <v>0</v>
      </c>
      <c r="H266">
        <v>3</v>
      </c>
      <c r="I266">
        <v>1</v>
      </c>
      <c r="J266">
        <v>0.2</v>
      </c>
    </row>
    <row r="267" spans="1:10" x14ac:dyDescent="0.35">
      <c r="A267">
        <v>266</v>
      </c>
      <c r="B267" s="1">
        <v>40555</v>
      </c>
      <c r="C267">
        <v>1</v>
      </c>
      <c r="D267">
        <v>0</v>
      </c>
      <c r="E267">
        <v>1</v>
      </c>
      <c r="F267">
        <v>12</v>
      </c>
      <c r="G267">
        <v>0</v>
      </c>
      <c r="H267">
        <v>3</v>
      </c>
      <c r="I267">
        <v>1</v>
      </c>
      <c r="J267">
        <v>0.2</v>
      </c>
    </row>
    <row r="268" spans="1:10" x14ac:dyDescent="0.35">
      <c r="A268">
        <v>267</v>
      </c>
      <c r="B268" s="1">
        <v>40555</v>
      </c>
      <c r="C268">
        <v>1</v>
      </c>
      <c r="D268">
        <v>0</v>
      </c>
      <c r="E268">
        <v>1</v>
      </c>
      <c r="F268">
        <v>13</v>
      </c>
      <c r="G268">
        <v>0</v>
      </c>
      <c r="H268">
        <v>3</v>
      </c>
      <c r="I268">
        <v>1</v>
      </c>
      <c r="J268">
        <v>0.22</v>
      </c>
    </row>
    <row r="269" spans="1:10" x14ac:dyDescent="0.35">
      <c r="A269">
        <v>268</v>
      </c>
      <c r="B269" s="1">
        <v>40555</v>
      </c>
      <c r="C269">
        <v>1</v>
      </c>
      <c r="D269">
        <v>0</v>
      </c>
      <c r="E269">
        <v>1</v>
      </c>
      <c r="F269">
        <v>14</v>
      </c>
      <c r="G269">
        <v>0</v>
      </c>
      <c r="H269">
        <v>3</v>
      </c>
      <c r="I269">
        <v>1</v>
      </c>
      <c r="J269">
        <v>0.2</v>
      </c>
    </row>
    <row r="270" spans="1:10" x14ac:dyDescent="0.35">
      <c r="A270">
        <v>269</v>
      </c>
      <c r="B270" s="1">
        <v>40555</v>
      </c>
      <c r="C270">
        <v>1</v>
      </c>
      <c r="D270">
        <v>0</v>
      </c>
      <c r="E270">
        <v>1</v>
      </c>
      <c r="F270">
        <v>15</v>
      </c>
      <c r="G270">
        <v>0</v>
      </c>
      <c r="H270">
        <v>3</v>
      </c>
      <c r="I270">
        <v>1</v>
      </c>
      <c r="J270">
        <v>0.2</v>
      </c>
    </row>
    <row r="271" spans="1:10" x14ac:dyDescent="0.35">
      <c r="A271">
        <v>270</v>
      </c>
      <c r="B271" s="1">
        <v>40555</v>
      </c>
      <c r="C271">
        <v>1</v>
      </c>
      <c r="D271">
        <v>0</v>
      </c>
      <c r="E271">
        <v>1</v>
      </c>
      <c r="F271">
        <v>16</v>
      </c>
      <c r="G271">
        <v>0</v>
      </c>
      <c r="H271">
        <v>3</v>
      </c>
      <c r="I271">
        <v>1</v>
      </c>
      <c r="J271">
        <v>0.22</v>
      </c>
    </row>
    <row r="272" spans="1:10" x14ac:dyDescent="0.35">
      <c r="A272">
        <v>271</v>
      </c>
      <c r="B272" s="1">
        <v>40555</v>
      </c>
      <c r="C272">
        <v>1</v>
      </c>
      <c r="D272">
        <v>0</v>
      </c>
      <c r="E272">
        <v>1</v>
      </c>
      <c r="F272">
        <v>17</v>
      </c>
      <c r="G272">
        <v>0</v>
      </c>
      <c r="H272">
        <v>3</v>
      </c>
      <c r="I272">
        <v>1</v>
      </c>
      <c r="J272">
        <v>0.2</v>
      </c>
    </row>
    <row r="273" spans="1:10" x14ac:dyDescent="0.35">
      <c r="A273">
        <v>272</v>
      </c>
      <c r="B273" s="1">
        <v>40555</v>
      </c>
      <c r="C273">
        <v>1</v>
      </c>
      <c r="D273">
        <v>0</v>
      </c>
      <c r="E273">
        <v>1</v>
      </c>
      <c r="F273">
        <v>18</v>
      </c>
      <c r="G273">
        <v>0</v>
      </c>
      <c r="H273">
        <v>3</v>
      </c>
      <c r="I273">
        <v>1</v>
      </c>
      <c r="J273">
        <v>0.2</v>
      </c>
    </row>
    <row r="274" spans="1:10" x14ac:dyDescent="0.35">
      <c r="A274">
        <v>273</v>
      </c>
      <c r="B274" s="1">
        <v>40555</v>
      </c>
      <c r="C274">
        <v>1</v>
      </c>
      <c r="D274">
        <v>0</v>
      </c>
      <c r="E274">
        <v>1</v>
      </c>
      <c r="F274">
        <v>19</v>
      </c>
      <c r="G274">
        <v>0</v>
      </c>
      <c r="H274">
        <v>3</v>
      </c>
      <c r="I274">
        <v>1</v>
      </c>
      <c r="J274">
        <v>0.18</v>
      </c>
    </row>
    <row r="275" spans="1:10" x14ac:dyDescent="0.35">
      <c r="A275">
        <v>274</v>
      </c>
      <c r="B275" s="1">
        <v>40555</v>
      </c>
      <c r="C275">
        <v>1</v>
      </c>
      <c r="D275">
        <v>0</v>
      </c>
      <c r="E275">
        <v>1</v>
      </c>
      <c r="F275">
        <v>20</v>
      </c>
      <c r="G275">
        <v>0</v>
      </c>
      <c r="H275">
        <v>3</v>
      </c>
      <c r="I275">
        <v>1</v>
      </c>
      <c r="J275">
        <v>0.16</v>
      </c>
    </row>
    <row r="276" spans="1:10" x14ac:dyDescent="0.35">
      <c r="A276">
        <v>275</v>
      </c>
      <c r="B276" s="1">
        <v>40555</v>
      </c>
      <c r="C276">
        <v>1</v>
      </c>
      <c r="D276">
        <v>0</v>
      </c>
      <c r="E276">
        <v>1</v>
      </c>
      <c r="F276">
        <v>21</v>
      </c>
      <c r="G276">
        <v>0</v>
      </c>
      <c r="H276">
        <v>3</v>
      </c>
      <c r="I276">
        <v>1</v>
      </c>
      <c r="J276">
        <v>0.16</v>
      </c>
    </row>
    <row r="277" spans="1:10" x14ac:dyDescent="0.35">
      <c r="A277">
        <v>276</v>
      </c>
      <c r="B277" s="1">
        <v>40555</v>
      </c>
      <c r="C277">
        <v>1</v>
      </c>
      <c r="D277">
        <v>0</v>
      </c>
      <c r="E277">
        <v>1</v>
      </c>
      <c r="F277">
        <v>22</v>
      </c>
      <c r="G277">
        <v>0</v>
      </c>
      <c r="H277">
        <v>3</v>
      </c>
      <c r="I277">
        <v>1</v>
      </c>
      <c r="J277">
        <v>0.16</v>
      </c>
    </row>
    <row r="278" spans="1:10" x14ac:dyDescent="0.35">
      <c r="A278">
        <v>277</v>
      </c>
      <c r="B278" s="1">
        <v>40555</v>
      </c>
      <c r="C278">
        <v>1</v>
      </c>
      <c r="D278">
        <v>0</v>
      </c>
      <c r="E278">
        <v>1</v>
      </c>
      <c r="F278">
        <v>23</v>
      </c>
      <c r="G278">
        <v>0</v>
      </c>
      <c r="H278">
        <v>3</v>
      </c>
      <c r="I278">
        <v>1</v>
      </c>
      <c r="J278">
        <v>0.14000000000000001</v>
      </c>
    </row>
    <row r="279" spans="1:10" x14ac:dyDescent="0.35">
      <c r="A279">
        <v>278</v>
      </c>
      <c r="B279" s="1">
        <v>40556</v>
      </c>
      <c r="C279">
        <v>1</v>
      </c>
      <c r="D279">
        <v>0</v>
      </c>
      <c r="E279">
        <v>1</v>
      </c>
      <c r="F279">
        <v>0</v>
      </c>
      <c r="G279">
        <v>0</v>
      </c>
      <c r="H279">
        <v>4</v>
      </c>
      <c r="I279">
        <v>1</v>
      </c>
      <c r="J279">
        <v>0.14000000000000001</v>
      </c>
    </row>
    <row r="280" spans="1:10" x14ac:dyDescent="0.35">
      <c r="A280">
        <v>279</v>
      </c>
      <c r="B280" s="1">
        <v>40556</v>
      </c>
      <c r="C280">
        <v>1</v>
      </c>
      <c r="D280">
        <v>0</v>
      </c>
      <c r="E280">
        <v>1</v>
      </c>
      <c r="F280">
        <v>1</v>
      </c>
      <c r="G280">
        <v>0</v>
      </c>
      <c r="H280">
        <v>4</v>
      </c>
      <c r="I280">
        <v>1</v>
      </c>
      <c r="J280">
        <v>0.14000000000000001</v>
      </c>
    </row>
    <row r="281" spans="1:10" x14ac:dyDescent="0.35">
      <c r="A281">
        <v>280</v>
      </c>
      <c r="B281" s="1">
        <v>40556</v>
      </c>
      <c r="C281">
        <v>1</v>
      </c>
      <c r="D281">
        <v>0</v>
      </c>
      <c r="E281">
        <v>1</v>
      </c>
      <c r="F281">
        <v>2</v>
      </c>
      <c r="G281">
        <v>0</v>
      </c>
      <c r="H281">
        <v>4</v>
      </c>
      <c r="I281">
        <v>1</v>
      </c>
      <c r="J281">
        <v>0.14000000000000001</v>
      </c>
    </row>
    <row r="282" spans="1:10" x14ac:dyDescent="0.35">
      <c r="A282">
        <v>281</v>
      </c>
      <c r="B282" s="1">
        <v>40556</v>
      </c>
      <c r="C282">
        <v>1</v>
      </c>
      <c r="D282">
        <v>0</v>
      </c>
      <c r="E282">
        <v>1</v>
      </c>
      <c r="F282">
        <v>3</v>
      </c>
      <c r="G282">
        <v>0</v>
      </c>
      <c r="H282">
        <v>4</v>
      </c>
      <c r="I282">
        <v>1</v>
      </c>
      <c r="J282">
        <v>0.14000000000000001</v>
      </c>
    </row>
    <row r="283" spans="1:10" x14ac:dyDescent="0.35">
      <c r="A283">
        <v>282</v>
      </c>
      <c r="B283" s="1">
        <v>40556</v>
      </c>
      <c r="C283">
        <v>1</v>
      </c>
      <c r="D283">
        <v>0</v>
      </c>
      <c r="E283">
        <v>1</v>
      </c>
      <c r="F283">
        <v>4</v>
      </c>
      <c r="G283">
        <v>0</v>
      </c>
      <c r="H283">
        <v>4</v>
      </c>
      <c r="I283">
        <v>1</v>
      </c>
      <c r="J283">
        <v>0.14000000000000001</v>
      </c>
    </row>
    <row r="284" spans="1:10" x14ac:dyDescent="0.35">
      <c r="A284">
        <v>283</v>
      </c>
      <c r="B284" s="1">
        <v>40556</v>
      </c>
      <c r="C284">
        <v>1</v>
      </c>
      <c r="D284">
        <v>0</v>
      </c>
      <c r="E284">
        <v>1</v>
      </c>
      <c r="F284">
        <v>5</v>
      </c>
      <c r="G284">
        <v>0</v>
      </c>
      <c r="H284">
        <v>4</v>
      </c>
      <c r="I284">
        <v>1</v>
      </c>
      <c r="J284">
        <v>0.14000000000000001</v>
      </c>
    </row>
    <row r="285" spans="1:10" x14ac:dyDescent="0.35">
      <c r="A285">
        <v>284</v>
      </c>
      <c r="B285" s="1">
        <v>40556</v>
      </c>
      <c r="C285">
        <v>1</v>
      </c>
      <c r="D285">
        <v>0</v>
      </c>
      <c r="E285">
        <v>1</v>
      </c>
      <c r="F285">
        <v>6</v>
      </c>
      <c r="G285">
        <v>0</v>
      </c>
      <c r="H285">
        <v>4</v>
      </c>
      <c r="I285">
        <v>1</v>
      </c>
      <c r="J285">
        <v>0.12</v>
      </c>
    </row>
    <row r="286" spans="1:10" x14ac:dyDescent="0.35">
      <c r="A286">
        <v>285</v>
      </c>
      <c r="B286" s="1">
        <v>40556</v>
      </c>
      <c r="C286">
        <v>1</v>
      </c>
      <c r="D286">
        <v>0</v>
      </c>
      <c r="E286">
        <v>1</v>
      </c>
      <c r="F286">
        <v>7</v>
      </c>
      <c r="G286">
        <v>0</v>
      </c>
      <c r="H286">
        <v>4</v>
      </c>
      <c r="I286">
        <v>1</v>
      </c>
      <c r="J286">
        <v>0.12</v>
      </c>
    </row>
    <row r="287" spans="1:10" x14ac:dyDescent="0.35">
      <c r="A287">
        <v>286</v>
      </c>
      <c r="B287" s="1">
        <v>40556</v>
      </c>
      <c r="C287">
        <v>1</v>
      </c>
      <c r="D287">
        <v>0</v>
      </c>
      <c r="E287">
        <v>1</v>
      </c>
      <c r="F287">
        <v>8</v>
      </c>
      <c r="G287">
        <v>0</v>
      </c>
      <c r="H287">
        <v>4</v>
      </c>
      <c r="I287">
        <v>1</v>
      </c>
      <c r="J287">
        <v>0.14000000000000001</v>
      </c>
    </row>
    <row r="288" spans="1:10" x14ac:dyDescent="0.35">
      <c r="A288">
        <v>287</v>
      </c>
      <c r="B288" s="1">
        <v>40556</v>
      </c>
      <c r="C288">
        <v>1</v>
      </c>
      <c r="D288">
        <v>0</v>
      </c>
      <c r="E288">
        <v>1</v>
      </c>
      <c r="F288">
        <v>9</v>
      </c>
      <c r="G288">
        <v>0</v>
      </c>
      <c r="H288">
        <v>4</v>
      </c>
      <c r="I288">
        <v>1</v>
      </c>
      <c r="J288">
        <v>0.14000000000000001</v>
      </c>
    </row>
    <row r="289" spans="1:10" x14ac:dyDescent="0.35">
      <c r="A289">
        <v>288</v>
      </c>
      <c r="B289" s="1">
        <v>40556</v>
      </c>
      <c r="C289">
        <v>1</v>
      </c>
      <c r="D289">
        <v>0</v>
      </c>
      <c r="E289">
        <v>1</v>
      </c>
      <c r="F289">
        <v>10</v>
      </c>
      <c r="G289">
        <v>0</v>
      </c>
      <c r="H289">
        <v>4</v>
      </c>
      <c r="I289">
        <v>2</v>
      </c>
      <c r="J289">
        <v>0.16</v>
      </c>
    </row>
    <row r="290" spans="1:10" x14ac:dyDescent="0.35">
      <c r="A290">
        <v>289</v>
      </c>
      <c r="B290" s="1">
        <v>40556</v>
      </c>
      <c r="C290">
        <v>1</v>
      </c>
      <c r="D290">
        <v>0</v>
      </c>
      <c r="E290">
        <v>1</v>
      </c>
      <c r="F290">
        <v>11</v>
      </c>
      <c r="G290">
        <v>0</v>
      </c>
      <c r="H290">
        <v>4</v>
      </c>
      <c r="I290">
        <v>2</v>
      </c>
      <c r="J290">
        <v>0.2</v>
      </c>
    </row>
    <row r="291" spans="1:10" x14ac:dyDescent="0.35">
      <c r="A291">
        <v>290</v>
      </c>
      <c r="B291" s="1">
        <v>40556</v>
      </c>
      <c r="C291">
        <v>1</v>
      </c>
      <c r="D291">
        <v>0</v>
      </c>
      <c r="E291">
        <v>1</v>
      </c>
      <c r="F291">
        <v>12</v>
      </c>
      <c r="G291">
        <v>0</v>
      </c>
      <c r="H291">
        <v>4</v>
      </c>
      <c r="I291">
        <v>1</v>
      </c>
      <c r="J291">
        <v>0.2</v>
      </c>
    </row>
    <row r="292" spans="1:10" x14ac:dyDescent="0.35">
      <c r="A292">
        <v>291</v>
      </c>
      <c r="B292" s="1">
        <v>40556</v>
      </c>
      <c r="C292">
        <v>1</v>
      </c>
      <c r="D292">
        <v>0</v>
      </c>
      <c r="E292">
        <v>1</v>
      </c>
      <c r="F292">
        <v>13</v>
      </c>
      <c r="G292">
        <v>0</v>
      </c>
      <c r="H292">
        <v>4</v>
      </c>
      <c r="I292">
        <v>1</v>
      </c>
      <c r="J292">
        <v>0.22</v>
      </c>
    </row>
    <row r="293" spans="1:10" x14ac:dyDescent="0.35">
      <c r="A293">
        <v>292</v>
      </c>
      <c r="B293" s="1">
        <v>40556</v>
      </c>
      <c r="C293">
        <v>1</v>
      </c>
      <c r="D293">
        <v>0</v>
      </c>
      <c r="E293">
        <v>1</v>
      </c>
      <c r="F293">
        <v>14</v>
      </c>
      <c r="G293">
        <v>0</v>
      </c>
      <c r="H293">
        <v>4</v>
      </c>
      <c r="I293">
        <v>1</v>
      </c>
      <c r="J293">
        <v>0.22</v>
      </c>
    </row>
    <row r="294" spans="1:10" x14ac:dyDescent="0.35">
      <c r="A294">
        <v>293</v>
      </c>
      <c r="B294" s="1">
        <v>40556</v>
      </c>
      <c r="C294">
        <v>1</v>
      </c>
      <c r="D294">
        <v>0</v>
      </c>
      <c r="E294">
        <v>1</v>
      </c>
      <c r="F294">
        <v>15</v>
      </c>
      <c r="G294">
        <v>0</v>
      </c>
      <c r="H294">
        <v>4</v>
      </c>
      <c r="I294">
        <v>1</v>
      </c>
      <c r="J294">
        <v>0.24</v>
      </c>
    </row>
    <row r="295" spans="1:10" x14ac:dyDescent="0.35">
      <c r="A295">
        <v>294</v>
      </c>
      <c r="B295" s="1">
        <v>40556</v>
      </c>
      <c r="C295">
        <v>1</v>
      </c>
      <c r="D295">
        <v>0</v>
      </c>
      <c r="E295">
        <v>1</v>
      </c>
      <c r="F295">
        <v>16</v>
      </c>
      <c r="G295">
        <v>0</v>
      </c>
      <c r="H295">
        <v>4</v>
      </c>
      <c r="I295">
        <v>1</v>
      </c>
      <c r="J295">
        <v>0.24</v>
      </c>
    </row>
    <row r="296" spans="1:10" x14ac:dyDescent="0.35">
      <c r="A296">
        <v>295</v>
      </c>
      <c r="B296" s="1">
        <v>40556</v>
      </c>
      <c r="C296">
        <v>1</v>
      </c>
      <c r="D296">
        <v>0</v>
      </c>
      <c r="E296">
        <v>1</v>
      </c>
      <c r="F296">
        <v>17</v>
      </c>
      <c r="G296">
        <v>0</v>
      </c>
      <c r="H296">
        <v>4</v>
      </c>
      <c r="I296">
        <v>1</v>
      </c>
      <c r="J296">
        <v>0.2</v>
      </c>
    </row>
    <row r="297" spans="1:10" x14ac:dyDescent="0.35">
      <c r="A297">
        <v>296</v>
      </c>
      <c r="B297" s="1">
        <v>40556</v>
      </c>
      <c r="C297">
        <v>1</v>
      </c>
      <c r="D297">
        <v>0</v>
      </c>
      <c r="E297">
        <v>1</v>
      </c>
      <c r="F297">
        <v>18</v>
      </c>
      <c r="G297">
        <v>0</v>
      </c>
      <c r="H297">
        <v>4</v>
      </c>
      <c r="I297">
        <v>1</v>
      </c>
      <c r="J297">
        <v>0.2</v>
      </c>
    </row>
    <row r="298" spans="1:10" x14ac:dyDescent="0.35">
      <c r="A298">
        <v>297</v>
      </c>
      <c r="B298" s="1">
        <v>40556</v>
      </c>
      <c r="C298">
        <v>1</v>
      </c>
      <c r="D298">
        <v>0</v>
      </c>
      <c r="E298">
        <v>1</v>
      </c>
      <c r="F298">
        <v>19</v>
      </c>
      <c r="G298">
        <v>0</v>
      </c>
      <c r="H298">
        <v>4</v>
      </c>
      <c r="I298">
        <v>1</v>
      </c>
      <c r="J298">
        <v>0.16</v>
      </c>
    </row>
    <row r="299" spans="1:10" x14ac:dyDescent="0.35">
      <c r="A299">
        <v>298</v>
      </c>
      <c r="B299" s="1">
        <v>40556</v>
      </c>
      <c r="C299">
        <v>1</v>
      </c>
      <c r="D299">
        <v>0</v>
      </c>
      <c r="E299">
        <v>1</v>
      </c>
      <c r="F299">
        <v>20</v>
      </c>
      <c r="G299">
        <v>0</v>
      </c>
      <c r="H299">
        <v>4</v>
      </c>
      <c r="I299">
        <v>1</v>
      </c>
      <c r="J299">
        <v>0.16</v>
      </c>
    </row>
    <row r="300" spans="1:10" x14ac:dyDescent="0.35">
      <c r="A300">
        <v>299</v>
      </c>
      <c r="B300" s="1">
        <v>40556</v>
      </c>
      <c r="C300">
        <v>1</v>
      </c>
      <c r="D300">
        <v>0</v>
      </c>
      <c r="E300">
        <v>1</v>
      </c>
      <c r="F300">
        <v>21</v>
      </c>
      <c r="G300">
        <v>0</v>
      </c>
      <c r="H300">
        <v>4</v>
      </c>
      <c r="I300">
        <v>1</v>
      </c>
      <c r="J300">
        <v>0.14000000000000001</v>
      </c>
    </row>
    <row r="301" spans="1:10" x14ac:dyDescent="0.35">
      <c r="A301">
        <v>300</v>
      </c>
      <c r="B301" s="1">
        <v>40556</v>
      </c>
      <c r="C301">
        <v>1</v>
      </c>
      <c r="D301">
        <v>0</v>
      </c>
      <c r="E301">
        <v>1</v>
      </c>
      <c r="F301">
        <v>22</v>
      </c>
      <c r="G301">
        <v>0</v>
      </c>
      <c r="H301">
        <v>4</v>
      </c>
      <c r="I301">
        <v>1</v>
      </c>
      <c r="J301">
        <v>0.14000000000000001</v>
      </c>
    </row>
    <row r="302" spans="1:10" x14ac:dyDescent="0.35">
      <c r="A302">
        <v>301</v>
      </c>
      <c r="B302" s="1">
        <v>40556</v>
      </c>
      <c r="C302">
        <v>1</v>
      </c>
      <c r="D302">
        <v>0</v>
      </c>
      <c r="E302">
        <v>1</v>
      </c>
      <c r="F302">
        <v>23</v>
      </c>
      <c r="G302">
        <v>0</v>
      </c>
      <c r="H302">
        <v>4</v>
      </c>
      <c r="I302">
        <v>1</v>
      </c>
      <c r="J302">
        <v>0.12</v>
      </c>
    </row>
    <row r="303" spans="1:10" x14ac:dyDescent="0.35">
      <c r="A303">
        <v>302</v>
      </c>
      <c r="B303" s="1">
        <v>40557</v>
      </c>
      <c r="C303">
        <v>1</v>
      </c>
      <c r="D303">
        <v>0</v>
      </c>
      <c r="E303">
        <v>1</v>
      </c>
      <c r="F303">
        <v>0</v>
      </c>
      <c r="G303">
        <v>0</v>
      </c>
      <c r="H303">
        <v>5</v>
      </c>
      <c r="I303">
        <v>1</v>
      </c>
      <c r="J303">
        <v>0.12</v>
      </c>
    </row>
    <row r="304" spans="1:10" x14ac:dyDescent="0.35">
      <c r="A304">
        <v>303</v>
      </c>
      <c r="B304" s="1">
        <v>40557</v>
      </c>
      <c r="C304">
        <v>1</v>
      </c>
      <c r="D304">
        <v>0</v>
      </c>
      <c r="E304">
        <v>1</v>
      </c>
      <c r="F304">
        <v>1</v>
      </c>
      <c r="G304">
        <v>0</v>
      </c>
      <c r="H304">
        <v>5</v>
      </c>
      <c r="I304">
        <v>1</v>
      </c>
      <c r="J304">
        <v>0.1</v>
      </c>
    </row>
    <row r="305" spans="1:10" x14ac:dyDescent="0.35">
      <c r="A305">
        <v>304</v>
      </c>
      <c r="B305" s="1">
        <v>40557</v>
      </c>
      <c r="C305">
        <v>1</v>
      </c>
      <c r="D305">
        <v>0</v>
      </c>
      <c r="E305">
        <v>1</v>
      </c>
      <c r="F305">
        <v>2</v>
      </c>
      <c r="G305">
        <v>0</v>
      </c>
      <c r="H305">
        <v>5</v>
      </c>
      <c r="I305">
        <v>1</v>
      </c>
      <c r="J305">
        <v>0.1</v>
      </c>
    </row>
    <row r="306" spans="1:10" x14ac:dyDescent="0.35">
      <c r="A306">
        <v>305</v>
      </c>
      <c r="B306" s="1">
        <v>40557</v>
      </c>
      <c r="C306">
        <v>1</v>
      </c>
      <c r="D306">
        <v>0</v>
      </c>
      <c r="E306">
        <v>1</v>
      </c>
      <c r="F306">
        <v>3</v>
      </c>
      <c r="G306">
        <v>0</v>
      </c>
      <c r="H306">
        <v>5</v>
      </c>
      <c r="I306">
        <v>1</v>
      </c>
      <c r="J306">
        <v>0.1</v>
      </c>
    </row>
    <row r="307" spans="1:10" x14ac:dyDescent="0.35">
      <c r="A307">
        <v>306</v>
      </c>
      <c r="B307" s="1">
        <v>40557</v>
      </c>
      <c r="C307">
        <v>1</v>
      </c>
      <c r="D307">
        <v>0</v>
      </c>
      <c r="E307">
        <v>1</v>
      </c>
      <c r="F307">
        <v>5</v>
      </c>
      <c r="G307">
        <v>0</v>
      </c>
      <c r="H307">
        <v>5</v>
      </c>
      <c r="I307">
        <v>1</v>
      </c>
      <c r="J307">
        <v>0.1</v>
      </c>
    </row>
    <row r="308" spans="1:10" x14ac:dyDescent="0.35">
      <c r="A308">
        <v>307</v>
      </c>
      <c r="B308" s="1">
        <v>40557</v>
      </c>
      <c r="C308">
        <v>1</v>
      </c>
      <c r="D308">
        <v>0</v>
      </c>
      <c r="E308">
        <v>1</v>
      </c>
      <c r="F308">
        <v>6</v>
      </c>
      <c r="G308">
        <v>0</v>
      </c>
      <c r="H308">
        <v>5</v>
      </c>
      <c r="I308">
        <v>1</v>
      </c>
      <c r="J308">
        <v>0.1</v>
      </c>
    </row>
    <row r="309" spans="1:10" x14ac:dyDescent="0.35">
      <c r="A309">
        <v>308</v>
      </c>
      <c r="B309" s="1">
        <v>40557</v>
      </c>
      <c r="C309">
        <v>1</v>
      </c>
      <c r="D309">
        <v>0</v>
      </c>
      <c r="E309">
        <v>1</v>
      </c>
      <c r="F309">
        <v>7</v>
      </c>
      <c r="G309">
        <v>0</v>
      </c>
      <c r="H309">
        <v>5</v>
      </c>
      <c r="I309">
        <v>1</v>
      </c>
      <c r="J309">
        <v>0.1</v>
      </c>
    </row>
    <row r="310" spans="1:10" x14ac:dyDescent="0.35">
      <c r="A310">
        <v>309</v>
      </c>
      <c r="B310" s="1">
        <v>40557</v>
      </c>
      <c r="C310">
        <v>1</v>
      </c>
      <c r="D310">
        <v>0</v>
      </c>
      <c r="E310">
        <v>1</v>
      </c>
      <c r="F310">
        <v>8</v>
      </c>
      <c r="G310">
        <v>0</v>
      </c>
      <c r="H310">
        <v>5</v>
      </c>
      <c r="I310">
        <v>1</v>
      </c>
      <c r="J310">
        <v>0.12</v>
      </c>
    </row>
    <row r="311" spans="1:10" x14ac:dyDescent="0.35">
      <c r="A311">
        <v>310</v>
      </c>
      <c r="B311" s="1">
        <v>40557</v>
      </c>
      <c r="C311">
        <v>1</v>
      </c>
      <c r="D311">
        <v>0</v>
      </c>
      <c r="E311">
        <v>1</v>
      </c>
      <c r="F311">
        <v>9</v>
      </c>
      <c r="G311">
        <v>0</v>
      </c>
      <c r="H311">
        <v>5</v>
      </c>
      <c r="I311">
        <v>1</v>
      </c>
      <c r="J311">
        <v>0.14000000000000001</v>
      </c>
    </row>
    <row r="312" spans="1:10" x14ac:dyDescent="0.35">
      <c r="A312">
        <v>311</v>
      </c>
      <c r="B312" s="1">
        <v>40557</v>
      </c>
      <c r="C312">
        <v>1</v>
      </c>
      <c r="D312">
        <v>0</v>
      </c>
      <c r="E312">
        <v>1</v>
      </c>
      <c r="F312">
        <v>10</v>
      </c>
      <c r="G312">
        <v>0</v>
      </c>
      <c r="H312">
        <v>5</v>
      </c>
      <c r="I312">
        <v>1</v>
      </c>
      <c r="J312">
        <v>0.18</v>
      </c>
    </row>
    <row r="313" spans="1:10" x14ac:dyDescent="0.35">
      <c r="A313">
        <v>312</v>
      </c>
      <c r="B313" s="1">
        <v>40557</v>
      </c>
      <c r="C313">
        <v>1</v>
      </c>
      <c r="D313">
        <v>0</v>
      </c>
      <c r="E313">
        <v>1</v>
      </c>
      <c r="F313">
        <v>11</v>
      </c>
      <c r="G313">
        <v>0</v>
      </c>
      <c r="H313">
        <v>5</v>
      </c>
      <c r="I313">
        <v>1</v>
      </c>
      <c r="J313">
        <v>0.18</v>
      </c>
    </row>
    <row r="314" spans="1:10" x14ac:dyDescent="0.35">
      <c r="A314">
        <v>313</v>
      </c>
      <c r="B314" s="1">
        <v>40557</v>
      </c>
      <c r="C314">
        <v>1</v>
      </c>
      <c r="D314">
        <v>0</v>
      </c>
      <c r="E314">
        <v>1</v>
      </c>
      <c r="F314">
        <v>12</v>
      </c>
      <c r="G314">
        <v>0</v>
      </c>
      <c r="H314">
        <v>5</v>
      </c>
      <c r="I314">
        <v>1</v>
      </c>
      <c r="J314">
        <v>0.2</v>
      </c>
    </row>
    <row r="315" spans="1:10" x14ac:dyDescent="0.35">
      <c r="A315">
        <v>314</v>
      </c>
      <c r="B315" s="1">
        <v>40557</v>
      </c>
      <c r="C315">
        <v>1</v>
      </c>
      <c r="D315">
        <v>0</v>
      </c>
      <c r="E315">
        <v>1</v>
      </c>
      <c r="F315">
        <v>13</v>
      </c>
      <c r="G315">
        <v>0</v>
      </c>
      <c r="H315">
        <v>5</v>
      </c>
      <c r="I315">
        <v>1</v>
      </c>
      <c r="J315">
        <v>0.22</v>
      </c>
    </row>
    <row r="316" spans="1:10" x14ac:dyDescent="0.35">
      <c r="A316">
        <v>315</v>
      </c>
      <c r="B316" s="1">
        <v>40557</v>
      </c>
      <c r="C316">
        <v>1</v>
      </c>
      <c r="D316">
        <v>0</v>
      </c>
      <c r="E316">
        <v>1</v>
      </c>
      <c r="F316">
        <v>14</v>
      </c>
      <c r="G316">
        <v>0</v>
      </c>
      <c r="H316">
        <v>5</v>
      </c>
      <c r="I316">
        <v>1</v>
      </c>
      <c r="J316">
        <v>0.22</v>
      </c>
    </row>
    <row r="317" spans="1:10" x14ac:dyDescent="0.35">
      <c r="A317">
        <v>316</v>
      </c>
      <c r="B317" s="1">
        <v>40557</v>
      </c>
      <c r="C317">
        <v>1</v>
      </c>
      <c r="D317">
        <v>0</v>
      </c>
      <c r="E317">
        <v>1</v>
      </c>
      <c r="F317">
        <v>15</v>
      </c>
      <c r="G317">
        <v>0</v>
      </c>
      <c r="H317">
        <v>5</v>
      </c>
      <c r="I317">
        <v>1</v>
      </c>
      <c r="J317">
        <v>0.24</v>
      </c>
    </row>
    <row r="318" spans="1:10" x14ac:dyDescent="0.35">
      <c r="A318">
        <v>317</v>
      </c>
      <c r="B318" s="1">
        <v>40557</v>
      </c>
      <c r="C318">
        <v>1</v>
      </c>
      <c r="D318">
        <v>0</v>
      </c>
      <c r="E318">
        <v>1</v>
      </c>
      <c r="F318">
        <v>16</v>
      </c>
      <c r="G318">
        <v>0</v>
      </c>
      <c r="H318">
        <v>5</v>
      </c>
      <c r="I318">
        <v>1</v>
      </c>
      <c r="J318">
        <v>0.22</v>
      </c>
    </row>
    <row r="319" spans="1:10" x14ac:dyDescent="0.35">
      <c r="A319">
        <v>318</v>
      </c>
      <c r="B319" s="1">
        <v>40557</v>
      </c>
      <c r="C319">
        <v>1</v>
      </c>
      <c r="D319">
        <v>0</v>
      </c>
      <c r="E319">
        <v>1</v>
      </c>
      <c r="F319">
        <v>17</v>
      </c>
      <c r="G319">
        <v>0</v>
      </c>
      <c r="H319">
        <v>5</v>
      </c>
      <c r="I319">
        <v>1</v>
      </c>
      <c r="J319">
        <v>0.22</v>
      </c>
    </row>
    <row r="320" spans="1:10" x14ac:dyDescent="0.35">
      <c r="A320">
        <v>319</v>
      </c>
      <c r="B320" s="1">
        <v>40557</v>
      </c>
      <c r="C320">
        <v>1</v>
      </c>
      <c r="D320">
        <v>0</v>
      </c>
      <c r="E320">
        <v>1</v>
      </c>
      <c r="F320">
        <v>18</v>
      </c>
      <c r="G320">
        <v>0</v>
      </c>
      <c r="H320">
        <v>5</v>
      </c>
      <c r="I320">
        <v>1</v>
      </c>
      <c r="J320">
        <v>0.2</v>
      </c>
    </row>
    <row r="321" spans="1:10" x14ac:dyDescent="0.35">
      <c r="A321">
        <v>320</v>
      </c>
      <c r="B321" s="1">
        <v>40557</v>
      </c>
      <c r="C321">
        <v>1</v>
      </c>
      <c r="D321">
        <v>0</v>
      </c>
      <c r="E321">
        <v>1</v>
      </c>
      <c r="F321">
        <v>19</v>
      </c>
      <c r="G321">
        <v>0</v>
      </c>
      <c r="H321">
        <v>5</v>
      </c>
      <c r="I321">
        <v>1</v>
      </c>
      <c r="J321">
        <v>0.16</v>
      </c>
    </row>
    <row r="322" spans="1:10" x14ac:dyDescent="0.35">
      <c r="A322">
        <v>321</v>
      </c>
      <c r="B322" s="1">
        <v>40557</v>
      </c>
      <c r="C322">
        <v>1</v>
      </c>
      <c r="D322">
        <v>0</v>
      </c>
      <c r="E322">
        <v>1</v>
      </c>
      <c r="F322">
        <v>20</v>
      </c>
      <c r="G322">
        <v>0</v>
      </c>
      <c r="H322">
        <v>5</v>
      </c>
      <c r="I322">
        <v>1</v>
      </c>
      <c r="J322">
        <v>0.18</v>
      </c>
    </row>
    <row r="323" spans="1:10" x14ac:dyDescent="0.35">
      <c r="A323">
        <v>322</v>
      </c>
      <c r="B323" s="1">
        <v>40557</v>
      </c>
      <c r="C323">
        <v>1</v>
      </c>
      <c r="D323">
        <v>0</v>
      </c>
      <c r="E323">
        <v>1</v>
      </c>
      <c r="F323">
        <v>21</v>
      </c>
      <c r="G323">
        <v>0</v>
      </c>
      <c r="H323">
        <v>5</v>
      </c>
      <c r="I323">
        <v>1</v>
      </c>
      <c r="J323">
        <v>0.16</v>
      </c>
    </row>
    <row r="324" spans="1:10" x14ac:dyDescent="0.35">
      <c r="A324">
        <v>323</v>
      </c>
      <c r="B324" s="1">
        <v>40557</v>
      </c>
      <c r="C324">
        <v>1</v>
      </c>
      <c r="D324">
        <v>0</v>
      </c>
      <c r="E324">
        <v>1</v>
      </c>
      <c r="F324">
        <v>22</v>
      </c>
      <c r="G324">
        <v>0</v>
      </c>
      <c r="H324">
        <v>5</v>
      </c>
      <c r="I324">
        <v>2</v>
      </c>
      <c r="J324">
        <v>0.16</v>
      </c>
    </row>
    <row r="325" spans="1:10" x14ac:dyDescent="0.35">
      <c r="A325">
        <v>324</v>
      </c>
      <c r="B325" s="1">
        <v>40557</v>
      </c>
      <c r="C325">
        <v>1</v>
      </c>
      <c r="D325">
        <v>0</v>
      </c>
      <c r="E325">
        <v>1</v>
      </c>
      <c r="F325">
        <v>23</v>
      </c>
      <c r="G325">
        <v>0</v>
      </c>
      <c r="H325">
        <v>5</v>
      </c>
      <c r="I325">
        <v>2</v>
      </c>
      <c r="J325">
        <v>0.18</v>
      </c>
    </row>
    <row r="326" spans="1:10" x14ac:dyDescent="0.35">
      <c r="A326">
        <v>325</v>
      </c>
      <c r="B326" s="1">
        <v>40558</v>
      </c>
      <c r="C326">
        <v>1</v>
      </c>
      <c r="D326">
        <v>0</v>
      </c>
      <c r="E326">
        <v>1</v>
      </c>
      <c r="F326">
        <v>0</v>
      </c>
      <c r="G326">
        <v>0</v>
      </c>
      <c r="H326">
        <v>6</v>
      </c>
      <c r="I326">
        <v>1</v>
      </c>
      <c r="J326">
        <v>0.18</v>
      </c>
    </row>
    <row r="327" spans="1:10" x14ac:dyDescent="0.35">
      <c r="A327">
        <v>326</v>
      </c>
      <c r="B327" s="1">
        <v>40558</v>
      </c>
      <c r="C327">
        <v>1</v>
      </c>
      <c r="D327">
        <v>0</v>
      </c>
      <c r="E327">
        <v>1</v>
      </c>
      <c r="F327">
        <v>1</v>
      </c>
      <c r="G327">
        <v>0</v>
      </c>
      <c r="H327">
        <v>6</v>
      </c>
      <c r="I327">
        <v>2</v>
      </c>
      <c r="J327">
        <v>0.16</v>
      </c>
    </row>
    <row r="328" spans="1:10" x14ac:dyDescent="0.35">
      <c r="A328">
        <v>327</v>
      </c>
      <c r="B328" s="1">
        <v>40558</v>
      </c>
      <c r="C328">
        <v>1</v>
      </c>
      <c r="D328">
        <v>0</v>
      </c>
      <c r="E328">
        <v>1</v>
      </c>
      <c r="F328">
        <v>2</v>
      </c>
      <c r="G328">
        <v>0</v>
      </c>
      <c r="H328">
        <v>6</v>
      </c>
      <c r="I328">
        <v>2</v>
      </c>
      <c r="J328">
        <v>0.16</v>
      </c>
    </row>
    <row r="329" spans="1:10" x14ac:dyDescent="0.35">
      <c r="A329">
        <v>328</v>
      </c>
      <c r="B329" s="1">
        <v>40558</v>
      </c>
      <c r="C329">
        <v>1</v>
      </c>
      <c r="D329">
        <v>0</v>
      </c>
      <c r="E329">
        <v>1</v>
      </c>
      <c r="F329">
        <v>3</v>
      </c>
      <c r="G329">
        <v>0</v>
      </c>
      <c r="H329">
        <v>6</v>
      </c>
      <c r="I329">
        <v>2</v>
      </c>
      <c r="J329">
        <v>0.16</v>
      </c>
    </row>
    <row r="330" spans="1:10" x14ac:dyDescent="0.35">
      <c r="A330">
        <v>329</v>
      </c>
      <c r="B330" s="1">
        <v>40558</v>
      </c>
      <c r="C330">
        <v>1</v>
      </c>
      <c r="D330">
        <v>0</v>
      </c>
      <c r="E330">
        <v>1</v>
      </c>
      <c r="F330">
        <v>4</v>
      </c>
      <c r="G330">
        <v>0</v>
      </c>
      <c r="H330">
        <v>6</v>
      </c>
      <c r="I330">
        <v>2</v>
      </c>
      <c r="J330">
        <v>0.16</v>
      </c>
    </row>
    <row r="331" spans="1:10" x14ac:dyDescent="0.35">
      <c r="A331">
        <v>330</v>
      </c>
      <c r="B331" s="1">
        <v>40558</v>
      </c>
      <c r="C331">
        <v>1</v>
      </c>
      <c r="D331">
        <v>0</v>
      </c>
      <c r="E331">
        <v>1</v>
      </c>
      <c r="F331">
        <v>5</v>
      </c>
      <c r="G331">
        <v>0</v>
      </c>
      <c r="H331">
        <v>6</v>
      </c>
      <c r="I331">
        <v>1</v>
      </c>
      <c r="J331">
        <v>0.16</v>
      </c>
    </row>
    <row r="332" spans="1:10" x14ac:dyDescent="0.35">
      <c r="A332">
        <v>331</v>
      </c>
      <c r="B332" s="1">
        <v>40558</v>
      </c>
      <c r="C332">
        <v>1</v>
      </c>
      <c r="D332">
        <v>0</v>
      </c>
      <c r="E332">
        <v>1</v>
      </c>
      <c r="F332">
        <v>6</v>
      </c>
      <c r="G332">
        <v>0</v>
      </c>
      <c r="H332">
        <v>6</v>
      </c>
      <c r="I332">
        <v>1</v>
      </c>
      <c r="J332">
        <v>0.14000000000000001</v>
      </c>
    </row>
    <row r="333" spans="1:10" x14ac:dyDescent="0.35">
      <c r="A333">
        <v>332</v>
      </c>
      <c r="B333" s="1">
        <v>40558</v>
      </c>
      <c r="C333">
        <v>1</v>
      </c>
      <c r="D333">
        <v>0</v>
      </c>
      <c r="E333">
        <v>1</v>
      </c>
      <c r="F333">
        <v>7</v>
      </c>
      <c r="G333">
        <v>0</v>
      </c>
      <c r="H333">
        <v>6</v>
      </c>
      <c r="I333">
        <v>1</v>
      </c>
      <c r="J333">
        <v>0.14000000000000001</v>
      </c>
    </row>
    <row r="334" spans="1:10" x14ac:dyDescent="0.35">
      <c r="A334">
        <v>333</v>
      </c>
      <c r="B334" s="1">
        <v>40558</v>
      </c>
      <c r="C334">
        <v>1</v>
      </c>
      <c r="D334">
        <v>0</v>
      </c>
      <c r="E334">
        <v>1</v>
      </c>
      <c r="F334">
        <v>8</v>
      </c>
      <c r="G334">
        <v>0</v>
      </c>
      <c r="H334">
        <v>6</v>
      </c>
      <c r="I334">
        <v>1</v>
      </c>
      <c r="J334">
        <v>0.14000000000000001</v>
      </c>
    </row>
    <row r="335" spans="1:10" x14ac:dyDescent="0.35">
      <c r="A335">
        <v>334</v>
      </c>
      <c r="B335" s="1">
        <v>40558</v>
      </c>
      <c r="C335">
        <v>1</v>
      </c>
      <c r="D335">
        <v>0</v>
      </c>
      <c r="E335">
        <v>1</v>
      </c>
      <c r="F335">
        <v>9</v>
      </c>
      <c r="G335">
        <v>0</v>
      </c>
      <c r="H335">
        <v>6</v>
      </c>
      <c r="I335">
        <v>1</v>
      </c>
      <c r="J335">
        <v>0.16</v>
      </c>
    </row>
    <row r="336" spans="1:10" x14ac:dyDescent="0.35">
      <c r="A336">
        <v>335</v>
      </c>
      <c r="B336" s="1">
        <v>40558</v>
      </c>
      <c r="C336">
        <v>1</v>
      </c>
      <c r="D336">
        <v>0</v>
      </c>
      <c r="E336">
        <v>1</v>
      </c>
      <c r="F336">
        <v>10</v>
      </c>
      <c r="G336">
        <v>0</v>
      </c>
      <c r="H336">
        <v>6</v>
      </c>
      <c r="I336">
        <v>1</v>
      </c>
      <c r="J336">
        <v>0.18</v>
      </c>
    </row>
    <row r="337" spans="1:10" x14ac:dyDescent="0.35">
      <c r="A337">
        <v>336</v>
      </c>
      <c r="B337" s="1">
        <v>40558</v>
      </c>
      <c r="C337">
        <v>1</v>
      </c>
      <c r="D337">
        <v>0</v>
      </c>
      <c r="E337">
        <v>1</v>
      </c>
      <c r="F337">
        <v>11</v>
      </c>
      <c r="G337">
        <v>0</v>
      </c>
      <c r="H337">
        <v>6</v>
      </c>
      <c r="I337">
        <v>1</v>
      </c>
      <c r="J337">
        <v>0.2</v>
      </c>
    </row>
    <row r="338" spans="1:10" x14ac:dyDescent="0.35">
      <c r="A338">
        <v>337</v>
      </c>
      <c r="B338" s="1">
        <v>40558</v>
      </c>
      <c r="C338">
        <v>1</v>
      </c>
      <c r="D338">
        <v>0</v>
      </c>
      <c r="E338">
        <v>1</v>
      </c>
      <c r="F338">
        <v>12</v>
      </c>
      <c r="G338">
        <v>0</v>
      </c>
      <c r="H338">
        <v>6</v>
      </c>
      <c r="I338">
        <v>1</v>
      </c>
      <c r="J338">
        <v>0.24</v>
      </c>
    </row>
    <row r="339" spans="1:10" x14ac:dyDescent="0.35">
      <c r="A339">
        <v>338</v>
      </c>
      <c r="B339" s="1">
        <v>40558</v>
      </c>
      <c r="C339">
        <v>1</v>
      </c>
      <c r="D339">
        <v>0</v>
      </c>
      <c r="E339">
        <v>1</v>
      </c>
      <c r="F339">
        <v>13</v>
      </c>
      <c r="G339">
        <v>0</v>
      </c>
      <c r="H339">
        <v>6</v>
      </c>
      <c r="I339">
        <v>1</v>
      </c>
      <c r="J339">
        <v>0.28000000000000003</v>
      </c>
    </row>
    <row r="340" spans="1:10" x14ac:dyDescent="0.35">
      <c r="A340">
        <v>339</v>
      </c>
      <c r="B340" s="1">
        <v>40558</v>
      </c>
      <c r="C340">
        <v>1</v>
      </c>
      <c r="D340">
        <v>0</v>
      </c>
      <c r="E340">
        <v>1</v>
      </c>
      <c r="F340">
        <v>14</v>
      </c>
      <c r="G340">
        <v>0</v>
      </c>
      <c r="H340">
        <v>6</v>
      </c>
      <c r="I340">
        <v>1</v>
      </c>
      <c r="J340">
        <v>0.3</v>
      </c>
    </row>
    <row r="341" spans="1:10" x14ac:dyDescent="0.35">
      <c r="A341">
        <v>340</v>
      </c>
      <c r="B341" s="1">
        <v>40558</v>
      </c>
      <c r="C341">
        <v>1</v>
      </c>
      <c r="D341">
        <v>0</v>
      </c>
      <c r="E341">
        <v>1</v>
      </c>
      <c r="F341">
        <v>15</v>
      </c>
      <c r="G341">
        <v>0</v>
      </c>
      <c r="H341">
        <v>6</v>
      </c>
      <c r="I341">
        <v>2</v>
      </c>
      <c r="J341">
        <v>0.32</v>
      </c>
    </row>
    <row r="342" spans="1:10" x14ac:dyDescent="0.35">
      <c r="A342">
        <v>341</v>
      </c>
      <c r="B342" s="1">
        <v>40558</v>
      </c>
      <c r="C342">
        <v>1</v>
      </c>
      <c r="D342">
        <v>0</v>
      </c>
      <c r="E342">
        <v>1</v>
      </c>
      <c r="F342">
        <v>16</v>
      </c>
      <c r="G342">
        <v>0</v>
      </c>
      <c r="H342">
        <v>6</v>
      </c>
      <c r="I342">
        <v>2</v>
      </c>
      <c r="J342">
        <v>0.34</v>
      </c>
    </row>
    <row r="343" spans="1:10" x14ac:dyDescent="0.35">
      <c r="A343">
        <v>342</v>
      </c>
      <c r="B343" s="1">
        <v>40558</v>
      </c>
      <c r="C343">
        <v>1</v>
      </c>
      <c r="D343">
        <v>0</v>
      </c>
      <c r="E343">
        <v>1</v>
      </c>
      <c r="F343">
        <v>17</v>
      </c>
      <c r="G343">
        <v>0</v>
      </c>
      <c r="H343">
        <v>6</v>
      </c>
      <c r="I343">
        <v>2</v>
      </c>
      <c r="J343">
        <v>0.32</v>
      </c>
    </row>
    <row r="344" spans="1:10" x14ac:dyDescent="0.35">
      <c r="A344">
        <v>343</v>
      </c>
      <c r="B344" s="1">
        <v>40558</v>
      </c>
      <c r="C344">
        <v>1</v>
      </c>
      <c r="D344">
        <v>0</v>
      </c>
      <c r="E344">
        <v>1</v>
      </c>
      <c r="F344">
        <v>18</v>
      </c>
      <c r="G344">
        <v>0</v>
      </c>
      <c r="H344">
        <v>6</v>
      </c>
      <c r="I344">
        <v>2</v>
      </c>
      <c r="J344">
        <v>0.3</v>
      </c>
    </row>
    <row r="345" spans="1:10" x14ac:dyDescent="0.35">
      <c r="A345">
        <v>344</v>
      </c>
      <c r="B345" s="1">
        <v>40558</v>
      </c>
      <c r="C345">
        <v>1</v>
      </c>
      <c r="D345">
        <v>0</v>
      </c>
      <c r="E345">
        <v>1</v>
      </c>
      <c r="F345">
        <v>19</v>
      </c>
      <c r="G345">
        <v>0</v>
      </c>
      <c r="H345">
        <v>6</v>
      </c>
      <c r="I345">
        <v>2</v>
      </c>
      <c r="J345">
        <v>0.32</v>
      </c>
    </row>
    <row r="346" spans="1:10" x14ac:dyDescent="0.35">
      <c r="A346">
        <v>345</v>
      </c>
      <c r="B346" s="1">
        <v>40558</v>
      </c>
      <c r="C346">
        <v>1</v>
      </c>
      <c r="D346">
        <v>0</v>
      </c>
      <c r="E346">
        <v>1</v>
      </c>
      <c r="F346">
        <v>20</v>
      </c>
      <c r="G346">
        <v>0</v>
      </c>
      <c r="H346">
        <v>6</v>
      </c>
      <c r="I346">
        <v>2</v>
      </c>
      <c r="J346">
        <v>0.32</v>
      </c>
    </row>
    <row r="347" spans="1:10" x14ac:dyDescent="0.35">
      <c r="A347">
        <v>346</v>
      </c>
      <c r="B347" s="1">
        <v>40558</v>
      </c>
      <c r="C347">
        <v>1</v>
      </c>
      <c r="D347">
        <v>0</v>
      </c>
      <c r="E347">
        <v>1</v>
      </c>
      <c r="F347">
        <v>21</v>
      </c>
      <c r="G347">
        <v>0</v>
      </c>
      <c r="H347">
        <v>6</v>
      </c>
      <c r="I347">
        <v>2</v>
      </c>
      <c r="J347">
        <v>0.32</v>
      </c>
    </row>
    <row r="348" spans="1:10" x14ac:dyDescent="0.35">
      <c r="A348">
        <v>347</v>
      </c>
      <c r="B348" s="1">
        <v>40558</v>
      </c>
      <c r="C348">
        <v>1</v>
      </c>
      <c r="D348">
        <v>0</v>
      </c>
      <c r="E348">
        <v>1</v>
      </c>
      <c r="F348">
        <v>22</v>
      </c>
      <c r="G348">
        <v>0</v>
      </c>
      <c r="H348">
        <v>6</v>
      </c>
      <c r="I348">
        <v>2</v>
      </c>
      <c r="J348">
        <v>0.3</v>
      </c>
    </row>
    <row r="349" spans="1:10" x14ac:dyDescent="0.35">
      <c r="A349">
        <v>348</v>
      </c>
      <c r="B349" s="1">
        <v>40558</v>
      </c>
      <c r="C349">
        <v>1</v>
      </c>
      <c r="D349">
        <v>0</v>
      </c>
      <c r="E349">
        <v>1</v>
      </c>
      <c r="F349">
        <v>23</v>
      </c>
      <c r="G349">
        <v>0</v>
      </c>
      <c r="H349">
        <v>6</v>
      </c>
      <c r="I349">
        <v>1</v>
      </c>
      <c r="J349">
        <v>0.3</v>
      </c>
    </row>
    <row r="350" spans="1:10" x14ac:dyDescent="0.35">
      <c r="A350">
        <v>349</v>
      </c>
      <c r="B350" s="1">
        <v>40559</v>
      </c>
      <c r="C350">
        <v>1</v>
      </c>
      <c r="D350">
        <v>0</v>
      </c>
      <c r="E350">
        <v>1</v>
      </c>
      <c r="F350">
        <v>0</v>
      </c>
      <c r="G350">
        <v>0</v>
      </c>
      <c r="H350">
        <v>0</v>
      </c>
      <c r="I350">
        <v>1</v>
      </c>
      <c r="J350">
        <v>0.26</v>
      </c>
    </row>
    <row r="351" spans="1:10" x14ac:dyDescent="0.35">
      <c r="A351">
        <v>350</v>
      </c>
      <c r="B351" s="1">
        <v>40559</v>
      </c>
      <c r="C351">
        <v>1</v>
      </c>
      <c r="D351">
        <v>0</v>
      </c>
      <c r="E351">
        <v>1</v>
      </c>
      <c r="F351">
        <v>1</v>
      </c>
      <c r="G351">
        <v>0</v>
      </c>
      <c r="H351">
        <v>0</v>
      </c>
      <c r="I351">
        <v>1</v>
      </c>
      <c r="J351">
        <v>0.26</v>
      </c>
    </row>
    <row r="352" spans="1:10" x14ac:dyDescent="0.35">
      <c r="A352">
        <v>351</v>
      </c>
      <c r="B352" s="1">
        <v>40559</v>
      </c>
      <c r="C352">
        <v>1</v>
      </c>
      <c r="D352">
        <v>0</v>
      </c>
      <c r="E352">
        <v>1</v>
      </c>
      <c r="F352">
        <v>2</v>
      </c>
      <c r="G352">
        <v>0</v>
      </c>
      <c r="H352">
        <v>0</v>
      </c>
      <c r="I352">
        <v>1</v>
      </c>
      <c r="J352">
        <v>0.26</v>
      </c>
    </row>
    <row r="353" spans="1:10" x14ac:dyDescent="0.35">
      <c r="A353">
        <v>352</v>
      </c>
      <c r="B353" s="1">
        <v>40559</v>
      </c>
      <c r="C353">
        <v>1</v>
      </c>
      <c r="D353">
        <v>0</v>
      </c>
      <c r="E353">
        <v>1</v>
      </c>
      <c r="F353">
        <v>3</v>
      </c>
      <c r="G353">
        <v>0</v>
      </c>
      <c r="H353">
        <v>0</v>
      </c>
      <c r="I353">
        <v>1</v>
      </c>
      <c r="J353">
        <v>0.22</v>
      </c>
    </row>
    <row r="354" spans="1:10" x14ac:dyDescent="0.35">
      <c r="A354">
        <v>353</v>
      </c>
      <c r="B354" s="1">
        <v>40559</v>
      </c>
      <c r="C354">
        <v>1</v>
      </c>
      <c r="D354">
        <v>0</v>
      </c>
      <c r="E354">
        <v>1</v>
      </c>
      <c r="F354">
        <v>4</v>
      </c>
      <c r="G354">
        <v>0</v>
      </c>
      <c r="H354">
        <v>0</v>
      </c>
      <c r="I354">
        <v>1</v>
      </c>
      <c r="J354">
        <v>0.26</v>
      </c>
    </row>
    <row r="355" spans="1:10" x14ac:dyDescent="0.35">
      <c r="A355">
        <v>354</v>
      </c>
      <c r="B355" s="1">
        <v>40559</v>
      </c>
      <c r="C355">
        <v>1</v>
      </c>
      <c r="D355">
        <v>0</v>
      </c>
      <c r="E355">
        <v>1</v>
      </c>
      <c r="F355">
        <v>5</v>
      </c>
      <c r="G355">
        <v>0</v>
      </c>
      <c r="H355">
        <v>0</v>
      </c>
      <c r="I355">
        <v>2</v>
      </c>
      <c r="J355">
        <v>0.26</v>
      </c>
    </row>
    <row r="356" spans="1:10" x14ac:dyDescent="0.35">
      <c r="A356">
        <v>355</v>
      </c>
      <c r="B356" s="1">
        <v>40559</v>
      </c>
      <c r="C356">
        <v>1</v>
      </c>
      <c r="D356">
        <v>0</v>
      </c>
      <c r="E356">
        <v>1</v>
      </c>
      <c r="F356">
        <v>6</v>
      </c>
      <c r="G356">
        <v>0</v>
      </c>
      <c r="H356">
        <v>0</v>
      </c>
      <c r="I356">
        <v>2</v>
      </c>
      <c r="J356">
        <v>0.26</v>
      </c>
    </row>
    <row r="357" spans="1:10" x14ac:dyDescent="0.35">
      <c r="A357">
        <v>356</v>
      </c>
      <c r="B357" s="1">
        <v>40559</v>
      </c>
      <c r="C357">
        <v>1</v>
      </c>
      <c r="D357">
        <v>0</v>
      </c>
      <c r="E357">
        <v>1</v>
      </c>
      <c r="F357">
        <v>7</v>
      </c>
      <c r="G357">
        <v>0</v>
      </c>
      <c r="H357">
        <v>0</v>
      </c>
      <c r="I357">
        <v>2</v>
      </c>
      <c r="J357">
        <v>0.24</v>
      </c>
    </row>
    <row r="358" spans="1:10" x14ac:dyDescent="0.35">
      <c r="A358">
        <v>357</v>
      </c>
      <c r="B358" s="1">
        <v>40559</v>
      </c>
      <c r="C358">
        <v>1</v>
      </c>
      <c r="D358">
        <v>0</v>
      </c>
      <c r="E358">
        <v>1</v>
      </c>
      <c r="F358">
        <v>8</v>
      </c>
      <c r="G358">
        <v>0</v>
      </c>
      <c r="H358">
        <v>0</v>
      </c>
      <c r="I358">
        <v>1</v>
      </c>
      <c r="J358">
        <v>0.22</v>
      </c>
    </row>
    <row r="359" spans="1:10" x14ac:dyDescent="0.35">
      <c r="A359">
        <v>358</v>
      </c>
      <c r="B359" s="1">
        <v>40559</v>
      </c>
      <c r="C359">
        <v>1</v>
      </c>
      <c r="D359">
        <v>0</v>
      </c>
      <c r="E359">
        <v>1</v>
      </c>
      <c r="F359">
        <v>9</v>
      </c>
      <c r="G359">
        <v>0</v>
      </c>
      <c r="H359">
        <v>0</v>
      </c>
      <c r="I359">
        <v>1</v>
      </c>
      <c r="J359">
        <v>0.22</v>
      </c>
    </row>
    <row r="360" spans="1:10" x14ac:dyDescent="0.35">
      <c r="A360">
        <v>359</v>
      </c>
      <c r="B360" s="1">
        <v>40559</v>
      </c>
      <c r="C360">
        <v>1</v>
      </c>
      <c r="D360">
        <v>0</v>
      </c>
      <c r="E360">
        <v>1</v>
      </c>
      <c r="F360">
        <v>10</v>
      </c>
      <c r="G360">
        <v>0</v>
      </c>
      <c r="H360">
        <v>0</v>
      </c>
      <c r="I360">
        <v>1</v>
      </c>
      <c r="J360">
        <v>0.22</v>
      </c>
    </row>
    <row r="361" spans="1:10" x14ac:dyDescent="0.35">
      <c r="A361">
        <v>360</v>
      </c>
      <c r="B361" s="1">
        <v>40559</v>
      </c>
      <c r="C361">
        <v>1</v>
      </c>
      <c r="D361">
        <v>0</v>
      </c>
      <c r="E361">
        <v>1</v>
      </c>
      <c r="F361">
        <v>11</v>
      </c>
      <c r="G361">
        <v>0</v>
      </c>
      <c r="H361">
        <v>0</v>
      </c>
      <c r="I361">
        <v>1</v>
      </c>
      <c r="J361">
        <v>0.24</v>
      </c>
    </row>
    <row r="362" spans="1:10" x14ac:dyDescent="0.35">
      <c r="A362">
        <v>361</v>
      </c>
      <c r="B362" s="1">
        <v>40559</v>
      </c>
      <c r="C362">
        <v>1</v>
      </c>
      <c r="D362">
        <v>0</v>
      </c>
      <c r="E362">
        <v>1</v>
      </c>
      <c r="F362">
        <v>12</v>
      </c>
      <c r="G362">
        <v>0</v>
      </c>
      <c r="H362">
        <v>0</v>
      </c>
      <c r="I362">
        <v>1</v>
      </c>
      <c r="J362">
        <v>0.24</v>
      </c>
    </row>
    <row r="363" spans="1:10" x14ac:dyDescent="0.35">
      <c r="A363">
        <v>362</v>
      </c>
      <c r="B363" s="1">
        <v>40559</v>
      </c>
      <c r="C363">
        <v>1</v>
      </c>
      <c r="D363">
        <v>0</v>
      </c>
      <c r="E363">
        <v>1</v>
      </c>
      <c r="F363">
        <v>13</v>
      </c>
      <c r="G363">
        <v>0</v>
      </c>
      <c r="H363">
        <v>0</v>
      </c>
      <c r="I363">
        <v>1</v>
      </c>
      <c r="J363">
        <v>0.26</v>
      </c>
    </row>
    <row r="364" spans="1:10" x14ac:dyDescent="0.35">
      <c r="A364">
        <v>363</v>
      </c>
      <c r="B364" s="1">
        <v>40559</v>
      </c>
      <c r="C364">
        <v>1</v>
      </c>
      <c r="D364">
        <v>0</v>
      </c>
      <c r="E364">
        <v>1</v>
      </c>
      <c r="F364">
        <v>14</v>
      </c>
      <c r="G364">
        <v>0</v>
      </c>
      <c r="H364">
        <v>0</v>
      </c>
      <c r="I364">
        <v>1</v>
      </c>
      <c r="J364">
        <v>0.28000000000000003</v>
      </c>
    </row>
    <row r="365" spans="1:10" x14ac:dyDescent="0.35">
      <c r="A365">
        <v>364</v>
      </c>
      <c r="B365" s="1">
        <v>40559</v>
      </c>
      <c r="C365">
        <v>1</v>
      </c>
      <c r="D365">
        <v>0</v>
      </c>
      <c r="E365">
        <v>1</v>
      </c>
      <c r="F365">
        <v>15</v>
      </c>
      <c r="G365">
        <v>0</v>
      </c>
      <c r="H365">
        <v>0</v>
      </c>
      <c r="I365">
        <v>1</v>
      </c>
      <c r="J365">
        <v>0.26</v>
      </c>
    </row>
    <row r="366" spans="1:10" x14ac:dyDescent="0.35">
      <c r="A366">
        <v>365</v>
      </c>
      <c r="B366" s="1">
        <v>40559</v>
      </c>
      <c r="C366">
        <v>1</v>
      </c>
      <c r="D366">
        <v>0</v>
      </c>
      <c r="E366">
        <v>1</v>
      </c>
      <c r="F366">
        <v>16</v>
      </c>
      <c r="G366">
        <v>0</v>
      </c>
      <c r="H366">
        <v>0</v>
      </c>
      <c r="I366">
        <v>1</v>
      </c>
      <c r="J366">
        <v>0.24</v>
      </c>
    </row>
    <row r="367" spans="1:10" x14ac:dyDescent="0.35">
      <c r="A367">
        <v>366</v>
      </c>
      <c r="B367" s="1">
        <v>40559</v>
      </c>
      <c r="C367">
        <v>1</v>
      </c>
      <c r="D367">
        <v>0</v>
      </c>
      <c r="E367">
        <v>1</v>
      </c>
      <c r="F367">
        <v>17</v>
      </c>
      <c r="G367">
        <v>0</v>
      </c>
      <c r="H367">
        <v>0</v>
      </c>
      <c r="I367">
        <v>1</v>
      </c>
      <c r="J367">
        <v>0.22</v>
      </c>
    </row>
    <row r="368" spans="1:10" x14ac:dyDescent="0.35">
      <c r="A368">
        <v>367</v>
      </c>
      <c r="B368" s="1">
        <v>40559</v>
      </c>
      <c r="C368">
        <v>1</v>
      </c>
      <c r="D368">
        <v>0</v>
      </c>
      <c r="E368">
        <v>1</v>
      </c>
      <c r="F368">
        <v>18</v>
      </c>
      <c r="G368">
        <v>0</v>
      </c>
      <c r="H368">
        <v>0</v>
      </c>
      <c r="I368">
        <v>1</v>
      </c>
      <c r="J368">
        <v>0.2</v>
      </c>
    </row>
    <row r="369" spans="1:10" x14ac:dyDescent="0.35">
      <c r="A369">
        <v>368</v>
      </c>
      <c r="B369" s="1">
        <v>40559</v>
      </c>
      <c r="C369">
        <v>1</v>
      </c>
      <c r="D369">
        <v>0</v>
      </c>
      <c r="E369">
        <v>1</v>
      </c>
      <c r="F369">
        <v>19</v>
      </c>
      <c r="G369">
        <v>0</v>
      </c>
      <c r="H369">
        <v>0</v>
      </c>
      <c r="I369">
        <v>1</v>
      </c>
      <c r="J369">
        <v>0.18</v>
      </c>
    </row>
    <row r="370" spans="1:10" x14ac:dyDescent="0.35">
      <c r="A370">
        <v>369</v>
      </c>
      <c r="B370" s="1">
        <v>40559</v>
      </c>
      <c r="C370">
        <v>1</v>
      </c>
      <c r="D370">
        <v>0</v>
      </c>
      <c r="E370">
        <v>1</v>
      </c>
      <c r="F370">
        <v>20</v>
      </c>
      <c r="G370">
        <v>0</v>
      </c>
      <c r="H370">
        <v>0</v>
      </c>
      <c r="I370">
        <v>1</v>
      </c>
      <c r="J370">
        <v>0.18</v>
      </c>
    </row>
    <row r="371" spans="1:10" x14ac:dyDescent="0.35">
      <c r="A371">
        <v>370</v>
      </c>
      <c r="B371" s="1">
        <v>40559</v>
      </c>
      <c r="C371">
        <v>1</v>
      </c>
      <c r="D371">
        <v>0</v>
      </c>
      <c r="E371">
        <v>1</v>
      </c>
      <c r="F371">
        <v>21</v>
      </c>
      <c r="G371">
        <v>0</v>
      </c>
      <c r="H371">
        <v>0</v>
      </c>
      <c r="I371">
        <v>1</v>
      </c>
      <c r="J371">
        <v>0.18</v>
      </c>
    </row>
    <row r="372" spans="1:10" x14ac:dyDescent="0.35">
      <c r="A372">
        <v>371</v>
      </c>
      <c r="B372" s="1">
        <v>40559</v>
      </c>
      <c r="C372">
        <v>1</v>
      </c>
      <c r="D372">
        <v>0</v>
      </c>
      <c r="E372">
        <v>1</v>
      </c>
      <c r="F372">
        <v>22</v>
      </c>
      <c r="G372">
        <v>0</v>
      </c>
      <c r="H372">
        <v>0</v>
      </c>
      <c r="I372">
        <v>2</v>
      </c>
      <c r="J372">
        <v>0.2</v>
      </c>
    </row>
    <row r="373" spans="1:10" x14ac:dyDescent="0.35">
      <c r="A373">
        <v>372</v>
      </c>
      <c r="B373" s="1">
        <v>40559</v>
      </c>
      <c r="C373">
        <v>1</v>
      </c>
      <c r="D373">
        <v>0</v>
      </c>
      <c r="E373">
        <v>1</v>
      </c>
      <c r="F373">
        <v>23</v>
      </c>
      <c r="G373">
        <v>0</v>
      </c>
      <c r="H373">
        <v>0</v>
      </c>
      <c r="I373">
        <v>2</v>
      </c>
      <c r="J373">
        <v>0.2</v>
      </c>
    </row>
    <row r="374" spans="1:10" x14ac:dyDescent="0.35">
      <c r="A374">
        <v>373</v>
      </c>
      <c r="B374" s="1">
        <v>40560</v>
      </c>
      <c r="C374">
        <v>1</v>
      </c>
      <c r="D374">
        <v>0</v>
      </c>
      <c r="E374">
        <v>1</v>
      </c>
      <c r="F374">
        <v>0</v>
      </c>
      <c r="G374">
        <v>1</v>
      </c>
      <c r="H374">
        <v>1</v>
      </c>
      <c r="I374">
        <v>2</v>
      </c>
      <c r="J374">
        <v>0.2</v>
      </c>
    </row>
    <row r="375" spans="1:10" x14ac:dyDescent="0.35">
      <c r="A375">
        <v>374</v>
      </c>
      <c r="B375" s="1">
        <v>40560</v>
      </c>
      <c r="C375">
        <v>1</v>
      </c>
      <c r="D375">
        <v>0</v>
      </c>
      <c r="E375">
        <v>1</v>
      </c>
      <c r="F375">
        <v>1</v>
      </c>
      <c r="G375">
        <v>1</v>
      </c>
      <c r="H375">
        <v>1</v>
      </c>
      <c r="I375">
        <v>2</v>
      </c>
      <c r="J375">
        <v>0.2</v>
      </c>
    </row>
    <row r="376" spans="1:10" x14ac:dyDescent="0.35">
      <c r="A376">
        <v>375</v>
      </c>
      <c r="B376" s="1">
        <v>40560</v>
      </c>
      <c r="C376">
        <v>1</v>
      </c>
      <c r="D376">
        <v>0</v>
      </c>
      <c r="E376">
        <v>1</v>
      </c>
      <c r="F376">
        <v>2</v>
      </c>
      <c r="G376">
        <v>1</v>
      </c>
      <c r="H376">
        <v>1</v>
      </c>
      <c r="I376">
        <v>2</v>
      </c>
      <c r="J376">
        <v>0.18</v>
      </c>
    </row>
    <row r="377" spans="1:10" x14ac:dyDescent="0.35">
      <c r="A377">
        <v>376</v>
      </c>
      <c r="B377" s="1">
        <v>40560</v>
      </c>
      <c r="C377">
        <v>1</v>
      </c>
      <c r="D377">
        <v>0</v>
      </c>
      <c r="E377">
        <v>1</v>
      </c>
      <c r="F377">
        <v>3</v>
      </c>
      <c r="G377">
        <v>1</v>
      </c>
      <c r="H377">
        <v>1</v>
      </c>
      <c r="I377">
        <v>2</v>
      </c>
      <c r="J377">
        <v>0.18</v>
      </c>
    </row>
    <row r="378" spans="1:10" x14ac:dyDescent="0.35">
      <c r="A378">
        <v>377</v>
      </c>
      <c r="B378" s="1">
        <v>40560</v>
      </c>
      <c r="C378">
        <v>1</v>
      </c>
      <c r="D378">
        <v>0</v>
      </c>
      <c r="E378">
        <v>1</v>
      </c>
      <c r="F378">
        <v>4</v>
      </c>
      <c r="G378">
        <v>1</v>
      </c>
      <c r="H378">
        <v>1</v>
      </c>
      <c r="I378">
        <v>2</v>
      </c>
      <c r="J378">
        <v>0.18</v>
      </c>
    </row>
    <row r="379" spans="1:10" x14ac:dyDescent="0.35">
      <c r="A379">
        <v>378</v>
      </c>
      <c r="B379" s="1">
        <v>40560</v>
      </c>
      <c r="C379">
        <v>1</v>
      </c>
      <c r="D379">
        <v>0</v>
      </c>
      <c r="E379">
        <v>1</v>
      </c>
      <c r="F379">
        <v>5</v>
      </c>
      <c r="G379">
        <v>1</v>
      </c>
      <c r="H379">
        <v>1</v>
      </c>
      <c r="I379">
        <v>2</v>
      </c>
      <c r="J379">
        <v>0.18</v>
      </c>
    </row>
    <row r="380" spans="1:10" x14ac:dyDescent="0.35">
      <c r="A380">
        <v>379</v>
      </c>
      <c r="B380" s="1">
        <v>40560</v>
      </c>
      <c r="C380">
        <v>1</v>
      </c>
      <c r="D380">
        <v>0</v>
      </c>
      <c r="E380">
        <v>1</v>
      </c>
      <c r="F380">
        <v>6</v>
      </c>
      <c r="G380">
        <v>1</v>
      </c>
      <c r="H380">
        <v>1</v>
      </c>
      <c r="I380">
        <v>2</v>
      </c>
      <c r="J380">
        <v>0.18</v>
      </c>
    </row>
    <row r="381" spans="1:10" x14ac:dyDescent="0.35">
      <c r="A381">
        <v>380</v>
      </c>
      <c r="B381" s="1">
        <v>40560</v>
      </c>
      <c r="C381">
        <v>1</v>
      </c>
      <c r="D381">
        <v>0</v>
      </c>
      <c r="E381">
        <v>1</v>
      </c>
      <c r="F381">
        <v>7</v>
      </c>
      <c r="G381">
        <v>1</v>
      </c>
      <c r="H381">
        <v>1</v>
      </c>
      <c r="I381">
        <v>2</v>
      </c>
      <c r="J381">
        <v>0.16</v>
      </c>
    </row>
    <row r="382" spans="1:10" x14ac:dyDescent="0.35">
      <c r="A382">
        <v>381</v>
      </c>
      <c r="B382" s="1">
        <v>40560</v>
      </c>
      <c r="C382">
        <v>1</v>
      </c>
      <c r="D382">
        <v>0</v>
      </c>
      <c r="E382">
        <v>1</v>
      </c>
      <c r="F382">
        <v>8</v>
      </c>
      <c r="G382">
        <v>1</v>
      </c>
      <c r="H382">
        <v>1</v>
      </c>
      <c r="I382">
        <v>2</v>
      </c>
      <c r="J382">
        <v>0.16</v>
      </c>
    </row>
    <row r="383" spans="1:10" x14ac:dyDescent="0.35">
      <c r="A383">
        <v>382</v>
      </c>
      <c r="B383" s="1">
        <v>40560</v>
      </c>
      <c r="C383">
        <v>1</v>
      </c>
      <c r="D383">
        <v>0</v>
      </c>
      <c r="E383">
        <v>1</v>
      </c>
      <c r="F383">
        <v>9</v>
      </c>
      <c r="G383">
        <v>1</v>
      </c>
      <c r="H383">
        <v>1</v>
      </c>
      <c r="I383">
        <v>2</v>
      </c>
      <c r="J383">
        <v>0.16</v>
      </c>
    </row>
    <row r="384" spans="1:10" x14ac:dyDescent="0.35">
      <c r="A384">
        <v>383</v>
      </c>
      <c r="B384" s="1">
        <v>40560</v>
      </c>
      <c r="C384">
        <v>1</v>
      </c>
      <c r="D384">
        <v>0</v>
      </c>
      <c r="E384">
        <v>1</v>
      </c>
      <c r="F384">
        <v>10</v>
      </c>
      <c r="G384">
        <v>1</v>
      </c>
      <c r="H384">
        <v>1</v>
      </c>
      <c r="I384">
        <v>2</v>
      </c>
      <c r="J384">
        <v>0.16</v>
      </c>
    </row>
    <row r="385" spans="1:10" x14ac:dyDescent="0.35">
      <c r="A385">
        <v>384</v>
      </c>
      <c r="B385" s="1">
        <v>40560</v>
      </c>
      <c r="C385">
        <v>1</v>
      </c>
      <c r="D385">
        <v>0</v>
      </c>
      <c r="E385">
        <v>1</v>
      </c>
      <c r="F385">
        <v>11</v>
      </c>
      <c r="G385">
        <v>1</v>
      </c>
      <c r="H385">
        <v>1</v>
      </c>
      <c r="I385">
        <v>2</v>
      </c>
      <c r="J385">
        <v>0.16</v>
      </c>
    </row>
    <row r="386" spans="1:10" x14ac:dyDescent="0.35">
      <c r="A386">
        <v>385</v>
      </c>
      <c r="B386" s="1">
        <v>40560</v>
      </c>
      <c r="C386">
        <v>1</v>
      </c>
      <c r="D386">
        <v>0</v>
      </c>
      <c r="E386">
        <v>1</v>
      </c>
      <c r="F386">
        <v>12</v>
      </c>
      <c r="G386">
        <v>1</v>
      </c>
      <c r="H386">
        <v>1</v>
      </c>
      <c r="I386">
        <v>2</v>
      </c>
      <c r="J386">
        <v>0.18</v>
      </c>
    </row>
    <row r="387" spans="1:10" x14ac:dyDescent="0.35">
      <c r="A387">
        <v>386</v>
      </c>
      <c r="B387" s="1">
        <v>40560</v>
      </c>
      <c r="C387">
        <v>1</v>
      </c>
      <c r="D387">
        <v>0</v>
      </c>
      <c r="E387">
        <v>1</v>
      </c>
      <c r="F387">
        <v>13</v>
      </c>
      <c r="G387">
        <v>1</v>
      </c>
      <c r="H387">
        <v>1</v>
      </c>
      <c r="I387">
        <v>2</v>
      </c>
      <c r="J387">
        <v>0.18</v>
      </c>
    </row>
    <row r="388" spans="1:10" x14ac:dyDescent="0.35">
      <c r="A388">
        <v>387</v>
      </c>
      <c r="B388" s="1">
        <v>40560</v>
      </c>
      <c r="C388">
        <v>1</v>
      </c>
      <c r="D388">
        <v>0</v>
      </c>
      <c r="E388">
        <v>1</v>
      </c>
      <c r="F388">
        <v>14</v>
      </c>
      <c r="G388">
        <v>1</v>
      </c>
      <c r="H388">
        <v>1</v>
      </c>
      <c r="I388">
        <v>2</v>
      </c>
      <c r="J388">
        <v>0.18</v>
      </c>
    </row>
    <row r="389" spans="1:10" x14ac:dyDescent="0.35">
      <c r="A389">
        <v>388</v>
      </c>
      <c r="B389" s="1">
        <v>40560</v>
      </c>
      <c r="C389">
        <v>1</v>
      </c>
      <c r="D389">
        <v>0</v>
      </c>
      <c r="E389">
        <v>1</v>
      </c>
      <c r="F389">
        <v>15</v>
      </c>
      <c r="G389">
        <v>1</v>
      </c>
      <c r="H389">
        <v>1</v>
      </c>
      <c r="I389">
        <v>2</v>
      </c>
      <c r="J389">
        <v>0.2</v>
      </c>
    </row>
    <row r="390" spans="1:10" x14ac:dyDescent="0.35">
      <c r="A390">
        <v>389</v>
      </c>
      <c r="B390" s="1">
        <v>40560</v>
      </c>
      <c r="C390">
        <v>1</v>
      </c>
      <c r="D390">
        <v>0</v>
      </c>
      <c r="E390">
        <v>1</v>
      </c>
      <c r="F390">
        <v>16</v>
      </c>
      <c r="G390">
        <v>1</v>
      </c>
      <c r="H390">
        <v>1</v>
      </c>
      <c r="I390">
        <v>2</v>
      </c>
      <c r="J390">
        <v>0.2</v>
      </c>
    </row>
    <row r="391" spans="1:10" x14ac:dyDescent="0.35">
      <c r="A391">
        <v>390</v>
      </c>
      <c r="B391" s="1">
        <v>40560</v>
      </c>
      <c r="C391">
        <v>1</v>
      </c>
      <c r="D391">
        <v>0</v>
      </c>
      <c r="E391">
        <v>1</v>
      </c>
      <c r="F391">
        <v>17</v>
      </c>
      <c r="G391">
        <v>1</v>
      </c>
      <c r="H391">
        <v>1</v>
      </c>
      <c r="I391">
        <v>1</v>
      </c>
      <c r="J391">
        <v>0.2</v>
      </c>
    </row>
    <row r="392" spans="1:10" x14ac:dyDescent="0.35">
      <c r="A392">
        <v>391</v>
      </c>
      <c r="B392" s="1">
        <v>40560</v>
      </c>
      <c r="C392">
        <v>1</v>
      </c>
      <c r="D392">
        <v>0</v>
      </c>
      <c r="E392">
        <v>1</v>
      </c>
      <c r="F392">
        <v>18</v>
      </c>
      <c r="G392">
        <v>1</v>
      </c>
      <c r="H392">
        <v>1</v>
      </c>
      <c r="I392">
        <v>2</v>
      </c>
      <c r="J392">
        <v>0.18</v>
      </c>
    </row>
    <row r="393" spans="1:10" x14ac:dyDescent="0.35">
      <c r="A393">
        <v>392</v>
      </c>
      <c r="B393" s="1">
        <v>40560</v>
      </c>
      <c r="C393">
        <v>1</v>
      </c>
      <c r="D393">
        <v>0</v>
      </c>
      <c r="E393">
        <v>1</v>
      </c>
      <c r="F393">
        <v>19</v>
      </c>
      <c r="G393">
        <v>1</v>
      </c>
      <c r="H393">
        <v>1</v>
      </c>
      <c r="I393">
        <v>3</v>
      </c>
      <c r="J393">
        <v>0.18</v>
      </c>
    </row>
    <row r="394" spans="1:10" x14ac:dyDescent="0.35">
      <c r="A394">
        <v>393</v>
      </c>
      <c r="B394" s="1">
        <v>40560</v>
      </c>
      <c r="C394">
        <v>1</v>
      </c>
      <c r="D394">
        <v>0</v>
      </c>
      <c r="E394">
        <v>1</v>
      </c>
      <c r="F394">
        <v>20</v>
      </c>
      <c r="G394">
        <v>1</v>
      </c>
      <c r="H394">
        <v>1</v>
      </c>
      <c r="I394">
        <v>3</v>
      </c>
      <c r="J394">
        <v>0.16</v>
      </c>
    </row>
    <row r="395" spans="1:10" x14ac:dyDescent="0.35">
      <c r="A395">
        <v>394</v>
      </c>
      <c r="B395" s="1">
        <v>40560</v>
      </c>
      <c r="C395">
        <v>1</v>
      </c>
      <c r="D395">
        <v>0</v>
      </c>
      <c r="E395">
        <v>1</v>
      </c>
      <c r="F395">
        <v>21</v>
      </c>
      <c r="G395">
        <v>1</v>
      </c>
      <c r="H395">
        <v>1</v>
      </c>
      <c r="I395">
        <v>3</v>
      </c>
      <c r="J395">
        <v>0.16</v>
      </c>
    </row>
    <row r="396" spans="1:10" x14ac:dyDescent="0.35">
      <c r="A396">
        <v>395</v>
      </c>
      <c r="B396" s="1">
        <v>40560</v>
      </c>
      <c r="C396">
        <v>1</v>
      </c>
      <c r="D396">
        <v>0</v>
      </c>
      <c r="E396">
        <v>1</v>
      </c>
      <c r="F396">
        <v>22</v>
      </c>
      <c r="G396">
        <v>1</v>
      </c>
      <c r="H396">
        <v>1</v>
      </c>
      <c r="I396">
        <v>3</v>
      </c>
      <c r="J396">
        <v>0.14000000000000001</v>
      </c>
    </row>
    <row r="397" spans="1:10" x14ac:dyDescent="0.35">
      <c r="A397">
        <v>396</v>
      </c>
      <c r="B397" s="1">
        <v>40560</v>
      </c>
      <c r="C397">
        <v>1</v>
      </c>
      <c r="D397">
        <v>0</v>
      </c>
      <c r="E397">
        <v>1</v>
      </c>
      <c r="F397">
        <v>23</v>
      </c>
      <c r="G397">
        <v>1</v>
      </c>
      <c r="H397">
        <v>1</v>
      </c>
      <c r="I397">
        <v>3</v>
      </c>
      <c r="J397">
        <v>0.16</v>
      </c>
    </row>
    <row r="398" spans="1:10" x14ac:dyDescent="0.35">
      <c r="A398">
        <v>397</v>
      </c>
      <c r="B398" s="1">
        <v>40561</v>
      </c>
      <c r="C398">
        <v>1</v>
      </c>
      <c r="D398">
        <v>0</v>
      </c>
      <c r="E398">
        <v>1</v>
      </c>
      <c r="F398">
        <v>12</v>
      </c>
      <c r="G398">
        <v>0</v>
      </c>
      <c r="H398">
        <v>2</v>
      </c>
      <c r="I398">
        <v>2</v>
      </c>
      <c r="J398">
        <v>0.2</v>
      </c>
    </row>
    <row r="399" spans="1:10" x14ac:dyDescent="0.35">
      <c r="A399">
        <v>398</v>
      </c>
      <c r="B399" s="1">
        <v>40561</v>
      </c>
      <c r="C399">
        <v>1</v>
      </c>
      <c r="D399">
        <v>0</v>
      </c>
      <c r="E399">
        <v>1</v>
      </c>
      <c r="F399">
        <v>13</v>
      </c>
      <c r="G399">
        <v>0</v>
      </c>
      <c r="H399">
        <v>2</v>
      </c>
      <c r="I399">
        <v>2</v>
      </c>
      <c r="J399">
        <v>0.2</v>
      </c>
    </row>
    <row r="400" spans="1:10" x14ac:dyDescent="0.35">
      <c r="A400">
        <v>399</v>
      </c>
      <c r="B400" s="1">
        <v>40561</v>
      </c>
      <c r="C400">
        <v>1</v>
      </c>
      <c r="D400">
        <v>0</v>
      </c>
      <c r="E400">
        <v>1</v>
      </c>
      <c r="F400">
        <v>14</v>
      </c>
      <c r="G400">
        <v>0</v>
      </c>
      <c r="H400">
        <v>2</v>
      </c>
      <c r="I400">
        <v>2</v>
      </c>
      <c r="J400">
        <v>0.22</v>
      </c>
    </row>
    <row r="401" spans="1:10" x14ac:dyDescent="0.35">
      <c r="A401">
        <v>400</v>
      </c>
      <c r="B401" s="1">
        <v>40561</v>
      </c>
      <c r="C401">
        <v>1</v>
      </c>
      <c r="D401">
        <v>0</v>
      </c>
      <c r="E401">
        <v>1</v>
      </c>
      <c r="F401">
        <v>15</v>
      </c>
      <c r="G401">
        <v>0</v>
      </c>
      <c r="H401">
        <v>2</v>
      </c>
      <c r="I401">
        <v>2</v>
      </c>
      <c r="J401">
        <v>0.22</v>
      </c>
    </row>
    <row r="402" spans="1:10" x14ac:dyDescent="0.35">
      <c r="A402">
        <v>401</v>
      </c>
      <c r="B402" s="1">
        <v>40561</v>
      </c>
      <c r="C402">
        <v>1</v>
      </c>
      <c r="D402">
        <v>0</v>
      </c>
      <c r="E402">
        <v>1</v>
      </c>
      <c r="F402">
        <v>16</v>
      </c>
      <c r="G402">
        <v>0</v>
      </c>
      <c r="H402">
        <v>2</v>
      </c>
      <c r="I402">
        <v>2</v>
      </c>
      <c r="J402">
        <v>0.22</v>
      </c>
    </row>
    <row r="403" spans="1:10" x14ac:dyDescent="0.35">
      <c r="A403">
        <v>402</v>
      </c>
      <c r="B403" s="1">
        <v>40561</v>
      </c>
      <c r="C403">
        <v>1</v>
      </c>
      <c r="D403">
        <v>0</v>
      </c>
      <c r="E403">
        <v>1</v>
      </c>
      <c r="F403">
        <v>17</v>
      </c>
      <c r="G403">
        <v>0</v>
      </c>
      <c r="H403">
        <v>2</v>
      </c>
      <c r="I403">
        <v>2</v>
      </c>
      <c r="J403">
        <v>0.22</v>
      </c>
    </row>
    <row r="404" spans="1:10" x14ac:dyDescent="0.35">
      <c r="A404">
        <v>403</v>
      </c>
      <c r="B404" s="1">
        <v>40561</v>
      </c>
      <c r="C404">
        <v>1</v>
      </c>
      <c r="D404">
        <v>0</v>
      </c>
      <c r="E404">
        <v>1</v>
      </c>
      <c r="F404">
        <v>18</v>
      </c>
      <c r="G404">
        <v>0</v>
      </c>
      <c r="H404">
        <v>2</v>
      </c>
      <c r="I404">
        <v>2</v>
      </c>
      <c r="J404">
        <v>0.22</v>
      </c>
    </row>
    <row r="405" spans="1:10" x14ac:dyDescent="0.35">
      <c r="A405">
        <v>404</v>
      </c>
      <c r="B405" s="1">
        <v>40561</v>
      </c>
      <c r="C405">
        <v>1</v>
      </c>
      <c r="D405">
        <v>0</v>
      </c>
      <c r="E405">
        <v>1</v>
      </c>
      <c r="F405">
        <v>19</v>
      </c>
      <c r="G405">
        <v>0</v>
      </c>
      <c r="H405">
        <v>2</v>
      </c>
      <c r="I405">
        <v>2</v>
      </c>
      <c r="J405">
        <v>0.22</v>
      </c>
    </row>
    <row r="406" spans="1:10" x14ac:dyDescent="0.35">
      <c r="A406">
        <v>405</v>
      </c>
      <c r="B406" s="1">
        <v>40561</v>
      </c>
      <c r="C406">
        <v>1</v>
      </c>
      <c r="D406">
        <v>0</v>
      </c>
      <c r="E406">
        <v>1</v>
      </c>
      <c r="F406">
        <v>20</v>
      </c>
      <c r="G406">
        <v>0</v>
      </c>
      <c r="H406">
        <v>2</v>
      </c>
      <c r="I406">
        <v>2</v>
      </c>
      <c r="J406">
        <v>0.22</v>
      </c>
    </row>
    <row r="407" spans="1:10" x14ac:dyDescent="0.35">
      <c r="A407">
        <v>406</v>
      </c>
      <c r="B407" s="1">
        <v>40561</v>
      </c>
      <c r="C407">
        <v>1</v>
      </c>
      <c r="D407">
        <v>0</v>
      </c>
      <c r="E407">
        <v>1</v>
      </c>
      <c r="F407">
        <v>21</v>
      </c>
      <c r="G407">
        <v>0</v>
      </c>
      <c r="H407">
        <v>2</v>
      </c>
      <c r="I407">
        <v>2</v>
      </c>
      <c r="J407">
        <v>0.22</v>
      </c>
    </row>
    <row r="408" spans="1:10" x14ac:dyDescent="0.35">
      <c r="A408">
        <v>407</v>
      </c>
      <c r="B408" s="1">
        <v>40561</v>
      </c>
      <c r="C408">
        <v>1</v>
      </c>
      <c r="D408">
        <v>0</v>
      </c>
      <c r="E408">
        <v>1</v>
      </c>
      <c r="F408">
        <v>22</v>
      </c>
      <c r="G408">
        <v>0</v>
      </c>
      <c r="H408">
        <v>2</v>
      </c>
      <c r="I408">
        <v>2</v>
      </c>
      <c r="J408">
        <v>0.22</v>
      </c>
    </row>
    <row r="409" spans="1:10" x14ac:dyDescent="0.35">
      <c r="A409">
        <v>408</v>
      </c>
      <c r="B409" s="1">
        <v>40561</v>
      </c>
      <c r="C409">
        <v>1</v>
      </c>
      <c r="D409">
        <v>0</v>
      </c>
      <c r="E409">
        <v>1</v>
      </c>
      <c r="F409">
        <v>23</v>
      </c>
      <c r="G409">
        <v>0</v>
      </c>
      <c r="H409">
        <v>2</v>
      </c>
      <c r="I409">
        <v>2</v>
      </c>
      <c r="J409">
        <v>0.22</v>
      </c>
    </row>
    <row r="410" spans="1:10" x14ac:dyDescent="0.35">
      <c r="A410">
        <v>409</v>
      </c>
      <c r="B410" s="1">
        <v>40562</v>
      </c>
      <c r="C410">
        <v>1</v>
      </c>
      <c r="D410">
        <v>0</v>
      </c>
      <c r="E410">
        <v>1</v>
      </c>
      <c r="F410">
        <v>0</v>
      </c>
      <c r="G410">
        <v>0</v>
      </c>
      <c r="H410">
        <v>3</v>
      </c>
      <c r="I410">
        <v>2</v>
      </c>
      <c r="J410">
        <v>0.22</v>
      </c>
    </row>
    <row r="411" spans="1:10" x14ac:dyDescent="0.35">
      <c r="A411">
        <v>410</v>
      </c>
      <c r="B411" s="1">
        <v>40562</v>
      </c>
      <c r="C411">
        <v>1</v>
      </c>
      <c r="D411">
        <v>0</v>
      </c>
      <c r="E411">
        <v>1</v>
      </c>
      <c r="F411">
        <v>1</v>
      </c>
      <c r="G411">
        <v>0</v>
      </c>
      <c r="H411">
        <v>3</v>
      </c>
      <c r="I411">
        <v>3</v>
      </c>
      <c r="J411">
        <v>0.22</v>
      </c>
    </row>
    <row r="412" spans="1:10" x14ac:dyDescent="0.35">
      <c r="A412">
        <v>411</v>
      </c>
      <c r="B412" s="1">
        <v>40562</v>
      </c>
      <c r="C412">
        <v>1</v>
      </c>
      <c r="D412">
        <v>0</v>
      </c>
      <c r="E412">
        <v>1</v>
      </c>
      <c r="F412">
        <v>2</v>
      </c>
      <c r="G412">
        <v>0</v>
      </c>
      <c r="H412">
        <v>3</v>
      </c>
      <c r="I412">
        <v>3</v>
      </c>
      <c r="J412">
        <v>0.22</v>
      </c>
    </row>
    <row r="413" spans="1:10" x14ac:dyDescent="0.35">
      <c r="A413">
        <v>412</v>
      </c>
      <c r="B413" s="1">
        <v>40562</v>
      </c>
      <c r="C413">
        <v>1</v>
      </c>
      <c r="D413">
        <v>0</v>
      </c>
      <c r="E413">
        <v>1</v>
      </c>
      <c r="F413">
        <v>4</v>
      </c>
      <c r="G413">
        <v>0</v>
      </c>
      <c r="H413">
        <v>3</v>
      </c>
      <c r="I413">
        <v>3</v>
      </c>
      <c r="J413">
        <v>0.22</v>
      </c>
    </row>
    <row r="414" spans="1:10" x14ac:dyDescent="0.35">
      <c r="A414">
        <v>413</v>
      </c>
      <c r="B414" s="1">
        <v>40562</v>
      </c>
      <c r="C414">
        <v>1</v>
      </c>
      <c r="D414">
        <v>0</v>
      </c>
      <c r="E414">
        <v>1</v>
      </c>
      <c r="F414">
        <v>5</v>
      </c>
      <c r="G414">
        <v>0</v>
      </c>
      <c r="H414">
        <v>3</v>
      </c>
      <c r="I414">
        <v>2</v>
      </c>
      <c r="J414">
        <v>0.22</v>
      </c>
    </row>
    <row r="415" spans="1:10" x14ac:dyDescent="0.35">
      <c r="A415">
        <v>414</v>
      </c>
      <c r="B415" s="1">
        <v>40562</v>
      </c>
      <c r="C415">
        <v>1</v>
      </c>
      <c r="D415">
        <v>0</v>
      </c>
      <c r="E415">
        <v>1</v>
      </c>
      <c r="F415">
        <v>6</v>
      </c>
      <c r="G415">
        <v>0</v>
      </c>
      <c r="H415">
        <v>3</v>
      </c>
      <c r="I415">
        <v>2</v>
      </c>
      <c r="J415">
        <v>0.22</v>
      </c>
    </row>
    <row r="416" spans="1:10" x14ac:dyDescent="0.35">
      <c r="A416">
        <v>415</v>
      </c>
      <c r="B416" s="1">
        <v>40562</v>
      </c>
      <c r="C416">
        <v>1</v>
      </c>
      <c r="D416">
        <v>0</v>
      </c>
      <c r="E416">
        <v>1</v>
      </c>
      <c r="F416">
        <v>7</v>
      </c>
      <c r="G416">
        <v>0</v>
      </c>
      <c r="H416">
        <v>3</v>
      </c>
      <c r="I416">
        <v>2</v>
      </c>
      <c r="J416">
        <v>0.24</v>
      </c>
    </row>
    <row r="417" spans="1:10" x14ac:dyDescent="0.35">
      <c r="A417">
        <v>416</v>
      </c>
      <c r="B417" s="1">
        <v>40562</v>
      </c>
      <c r="C417">
        <v>1</v>
      </c>
      <c r="D417">
        <v>0</v>
      </c>
      <c r="E417">
        <v>1</v>
      </c>
      <c r="F417">
        <v>8</v>
      </c>
      <c r="G417">
        <v>0</v>
      </c>
      <c r="H417">
        <v>3</v>
      </c>
      <c r="I417">
        <v>2</v>
      </c>
      <c r="J417">
        <v>0.24</v>
      </c>
    </row>
    <row r="418" spans="1:10" x14ac:dyDescent="0.35">
      <c r="A418">
        <v>417</v>
      </c>
      <c r="B418" s="1">
        <v>40562</v>
      </c>
      <c r="C418">
        <v>1</v>
      </c>
      <c r="D418">
        <v>0</v>
      </c>
      <c r="E418">
        <v>1</v>
      </c>
      <c r="F418">
        <v>9</v>
      </c>
      <c r="G418">
        <v>0</v>
      </c>
      <c r="H418">
        <v>3</v>
      </c>
      <c r="I418">
        <v>2</v>
      </c>
      <c r="J418">
        <v>0.24</v>
      </c>
    </row>
    <row r="419" spans="1:10" x14ac:dyDescent="0.35">
      <c r="A419">
        <v>418</v>
      </c>
      <c r="B419" s="1">
        <v>40562</v>
      </c>
      <c r="C419">
        <v>1</v>
      </c>
      <c r="D419">
        <v>0</v>
      </c>
      <c r="E419">
        <v>1</v>
      </c>
      <c r="F419">
        <v>10</v>
      </c>
      <c r="G419">
        <v>0</v>
      </c>
      <c r="H419">
        <v>3</v>
      </c>
      <c r="I419">
        <v>2</v>
      </c>
      <c r="J419">
        <v>0.26</v>
      </c>
    </row>
    <row r="420" spans="1:10" x14ac:dyDescent="0.35">
      <c r="A420">
        <v>419</v>
      </c>
      <c r="B420" s="1">
        <v>40562</v>
      </c>
      <c r="C420">
        <v>1</v>
      </c>
      <c r="D420">
        <v>0</v>
      </c>
      <c r="E420">
        <v>1</v>
      </c>
      <c r="F420">
        <v>11</v>
      </c>
      <c r="G420">
        <v>0</v>
      </c>
      <c r="H420">
        <v>3</v>
      </c>
      <c r="I420">
        <v>2</v>
      </c>
      <c r="J420">
        <v>0.28000000000000003</v>
      </c>
    </row>
    <row r="421" spans="1:10" x14ac:dyDescent="0.35">
      <c r="A421">
        <v>420</v>
      </c>
      <c r="B421" s="1">
        <v>40562</v>
      </c>
      <c r="C421">
        <v>1</v>
      </c>
      <c r="D421">
        <v>0</v>
      </c>
      <c r="E421">
        <v>1</v>
      </c>
      <c r="F421">
        <v>12</v>
      </c>
      <c r="G421">
        <v>0</v>
      </c>
      <c r="H421">
        <v>3</v>
      </c>
      <c r="I421">
        <v>2</v>
      </c>
      <c r="J421">
        <v>0.3</v>
      </c>
    </row>
    <row r="422" spans="1:10" x14ac:dyDescent="0.35">
      <c r="A422">
        <v>421</v>
      </c>
      <c r="B422" s="1">
        <v>40562</v>
      </c>
      <c r="C422">
        <v>1</v>
      </c>
      <c r="D422">
        <v>0</v>
      </c>
      <c r="E422">
        <v>1</v>
      </c>
      <c r="F422">
        <v>13</v>
      </c>
      <c r="G422">
        <v>0</v>
      </c>
      <c r="H422">
        <v>3</v>
      </c>
      <c r="I422">
        <v>1</v>
      </c>
      <c r="J422">
        <v>0.4</v>
      </c>
    </row>
    <row r="423" spans="1:10" x14ac:dyDescent="0.35">
      <c r="A423">
        <v>422</v>
      </c>
      <c r="B423" s="1">
        <v>40562</v>
      </c>
      <c r="C423">
        <v>1</v>
      </c>
      <c r="D423">
        <v>0</v>
      </c>
      <c r="E423">
        <v>1</v>
      </c>
      <c r="F423">
        <v>14</v>
      </c>
      <c r="G423">
        <v>0</v>
      </c>
      <c r="H423">
        <v>3</v>
      </c>
      <c r="I423">
        <v>1</v>
      </c>
      <c r="J423">
        <v>0.4</v>
      </c>
    </row>
    <row r="424" spans="1:10" x14ac:dyDescent="0.35">
      <c r="A424">
        <v>423</v>
      </c>
      <c r="B424" s="1">
        <v>40562</v>
      </c>
      <c r="C424">
        <v>1</v>
      </c>
      <c r="D424">
        <v>0</v>
      </c>
      <c r="E424">
        <v>1</v>
      </c>
      <c r="F424">
        <v>15</v>
      </c>
      <c r="G424">
        <v>0</v>
      </c>
      <c r="H424">
        <v>3</v>
      </c>
      <c r="I424">
        <v>1</v>
      </c>
      <c r="J424">
        <v>0.4</v>
      </c>
    </row>
    <row r="425" spans="1:10" x14ac:dyDescent="0.35">
      <c r="A425">
        <v>424</v>
      </c>
      <c r="B425" s="1">
        <v>40562</v>
      </c>
      <c r="C425">
        <v>1</v>
      </c>
      <c r="D425">
        <v>0</v>
      </c>
      <c r="E425">
        <v>1</v>
      </c>
      <c r="F425">
        <v>16</v>
      </c>
      <c r="G425">
        <v>0</v>
      </c>
      <c r="H425">
        <v>3</v>
      </c>
      <c r="I425">
        <v>1</v>
      </c>
      <c r="J425">
        <v>0.38</v>
      </c>
    </row>
    <row r="426" spans="1:10" x14ac:dyDescent="0.35">
      <c r="A426">
        <v>425</v>
      </c>
      <c r="B426" s="1">
        <v>40562</v>
      </c>
      <c r="C426">
        <v>1</v>
      </c>
      <c r="D426">
        <v>0</v>
      </c>
      <c r="E426">
        <v>1</v>
      </c>
      <c r="F426">
        <v>17</v>
      </c>
      <c r="G426">
        <v>0</v>
      </c>
      <c r="H426">
        <v>3</v>
      </c>
      <c r="I426">
        <v>1</v>
      </c>
      <c r="J426">
        <v>0.36</v>
      </c>
    </row>
    <row r="427" spans="1:10" x14ac:dyDescent="0.35">
      <c r="A427">
        <v>426</v>
      </c>
      <c r="B427" s="1">
        <v>40562</v>
      </c>
      <c r="C427">
        <v>1</v>
      </c>
      <c r="D427">
        <v>0</v>
      </c>
      <c r="E427">
        <v>1</v>
      </c>
      <c r="F427">
        <v>18</v>
      </c>
      <c r="G427">
        <v>0</v>
      </c>
      <c r="H427">
        <v>3</v>
      </c>
      <c r="I427">
        <v>1</v>
      </c>
      <c r="J427">
        <v>0.34</v>
      </c>
    </row>
    <row r="428" spans="1:10" x14ac:dyDescent="0.35">
      <c r="A428">
        <v>427</v>
      </c>
      <c r="B428" s="1">
        <v>40562</v>
      </c>
      <c r="C428">
        <v>1</v>
      </c>
      <c r="D428">
        <v>0</v>
      </c>
      <c r="E428">
        <v>1</v>
      </c>
      <c r="F428">
        <v>19</v>
      </c>
      <c r="G428">
        <v>0</v>
      </c>
      <c r="H428">
        <v>3</v>
      </c>
      <c r="I428">
        <v>1</v>
      </c>
      <c r="J428">
        <v>0.32</v>
      </c>
    </row>
    <row r="429" spans="1:10" x14ac:dyDescent="0.35">
      <c r="A429">
        <v>428</v>
      </c>
      <c r="B429" s="1">
        <v>40562</v>
      </c>
      <c r="C429">
        <v>1</v>
      </c>
      <c r="D429">
        <v>0</v>
      </c>
      <c r="E429">
        <v>1</v>
      </c>
      <c r="F429">
        <v>20</v>
      </c>
      <c r="G429">
        <v>0</v>
      </c>
      <c r="H429">
        <v>3</v>
      </c>
      <c r="I429">
        <v>1</v>
      </c>
      <c r="J429">
        <v>0.32</v>
      </c>
    </row>
    <row r="430" spans="1:10" x14ac:dyDescent="0.35">
      <c r="A430">
        <v>429</v>
      </c>
      <c r="B430" s="1">
        <v>40562</v>
      </c>
      <c r="C430">
        <v>1</v>
      </c>
      <c r="D430">
        <v>0</v>
      </c>
      <c r="E430">
        <v>1</v>
      </c>
      <c r="F430">
        <v>21</v>
      </c>
      <c r="G430">
        <v>0</v>
      </c>
      <c r="H430">
        <v>3</v>
      </c>
      <c r="I430">
        <v>1</v>
      </c>
      <c r="J430">
        <v>0.32</v>
      </c>
    </row>
    <row r="431" spans="1:10" x14ac:dyDescent="0.35">
      <c r="A431">
        <v>430</v>
      </c>
      <c r="B431" s="1">
        <v>40562</v>
      </c>
      <c r="C431">
        <v>1</v>
      </c>
      <c r="D431">
        <v>0</v>
      </c>
      <c r="E431">
        <v>1</v>
      </c>
      <c r="F431">
        <v>22</v>
      </c>
      <c r="G431">
        <v>0</v>
      </c>
      <c r="H431">
        <v>3</v>
      </c>
      <c r="I431">
        <v>1</v>
      </c>
      <c r="J431">
        <v>0.3</v>
      </c>
    </row>
    <row r="432" spans="1:10" x14ac:dyDescent="0.35">
      <c r="A432">
        <v>431</v>
      </c>
      <c r="B432" s="1">
        <v>40562</v>
      </c>
      <c r="C432">
        <v>1</v>
      </c>
      <c r="D432">
        <v>0</v>
      </c>
      <c r="E432">
        <v>1</v>
      </c>
      <c r="F432">
        <v>23</v>
      </c>
      <c r="G432">
        <v>0</v>
      </c>
      <c r="H432">
        <v>3</v>
      </c>
      <c r="I432">
        <v>1</v>
      </c>
      <c r="J432">
        <v>0.3</v>
      </c>
    </row>
    <row r="433" spans="1:10" x14ac:dyDescent="0.35">
      <c r="A433">
        <v>432</v>
      </c>
      <c r="B433" s="1">
        <v>40563</v>
      </c>
      <c r="C433">
        <v>1</v>
      </c>
      <c r="D433">
        <v>0</v>
      </c>
      <c r="E433">
        <v>1</v>
      </c>
      <c r="F433">
        <v>0</v>
      </c>
      <c r="G433">
        <v>0</v>
      </c>
      <c r="H433">
        <v>4</v>
      </c>
      <c r="I433">
        <v>1</v>
      </c>
      <c r="J433">
        <v>0.26</v>
      </c>
    </row>
    <row r="434" spans="1:10" x14ac:dyDescent="0.35">
      <c r="A434">
        <v>433</v>
      </c>
      <c r="B434" s="1">
        <v>40563</v>
      </c>
      <c r="C434">
        <v>1</v>
      </c>
      <c r="D434">
        <v>0</v>
      </c>
      <c r="E434">
        <v>1</v>
      </c>
      <c r="F434">
        <v>1</v>
      </c>
      <c r="G434">
        <v>0</v>
      </c>
      <c r="H434">
        <v>4</v>
      </c>
      <c r="I434">
        <v>1</v>
      </c>
      <c r="J434">
        <v>0.26</v>
      </c>
    </row>
    <row r="435" spans="1:10" x14ac:dyDescent="0.35">
      <c r="A435">
        <v>434</v>
      </c>
      <c r="B435" s="1">
        <v>40563</v>
      </c>
      <c r="C435">
        <v>1</v>
      </c>
      <c r="D435">
        <v>0</v>
      </c>
      <c r="E435">
        <v>1</v>
      </c>
      <c r="F435">
        <v>2</v>
      </c>
      <c r="G435">
        <v>0</v>
      </c>
      <c r="H435">
        <v>4</v>
      </c>
      <c r="I435">
        <v>1</v>
      </c>
      <c r="J435">
        <v>0.26</v>
      </c>
    </row>
    <row r="436" spans="1:10" x14ac:dyDescent="0.35">
      <c r="A436">
        <v>435</v>
      </c>
      <c r="B436" s="1">
        <v>40563</v>
      </c>
      <c r="C436">
        <v>1</v>
      </c>
      <c r="D436">
        <v>0</v>
      </c>
      <c r="E436">
        <v>1</v>
      </c>
      <c r="F436">
        <v>3</v>
      </c>
      <c r="G436">
        <v>0</v>
      </c>
      <c r="H436">
        <v>4</v>
      </c>
      <c r="I436">
        <v>1</v>
      </c>
      <c r="J436">
        <v>0.26</v>
      </c>
    </row>
    <row r="437" spans="1:10" x14ac:dyDescent="0.35">
      <c r="A437">
        <v>436</v>
      </c>
      <c r="B437" s="1">
        <v>40563</v>
      </c>
      <c r="C437">
        <v>1</v>
      </c>
      <c r="D437">
        <v>0</v>
      </c>
      <c r="E437">
        <v>1</v>
      </c>
      <c r="F437">
        <v>4</v>
      </c>
      <c r="G437">
        <v>0</v>
      </c>
      <c r="H437">
        <v>4</v>
      </c>
      <c r="I437">
        <v>1</v>
      </c>
      <c r="J437">
        <v>0.26</v>
      </c>
    </row>
    <row r="438" spans="1:10" x14ac:dyDescent="0.35">
      <c r="A438">
        <v>437</v>
      </c>
      <c r="B438" s="1">
        <v>40563</v>
      </c>
      <c r="C438">
        <v>1</v>
      </c>
      <c r="D438">
        <v>0</v>
      </c>
      <c r="E438">
        <v>1</v>
      </c>
      <c r="F438">
        <v>5</v>
      </c>
      <c r="G438">
        <v>0</v>
      </c>
      <c r="H438">
        <v>4</v>
      </c>
      <c r="I438">
        <v>1</v>
      </c>
      <c r="J438">
        <v>0.24</v>
      </c>
    </row>
    <row r="439" spans="1:10" x14ac:dyDescent="0.35">
      <c r="A439">
        <v>438</v>
      </c>
      <c r="B439" s="1">
        <v>40563</v>
      </c>
      <c r="C439">
        <v>1</v>
      </c>
      <c r="D439">
        <v>0</v>
      </c>
      <c r="E439">
        <v>1</v>
      </c>
      <c r="F439">
        <v>6</v>
      </c>
      <c r="G439">
        <v>0</v>
      </c>
      <c r="H439">
        <v>4</v>
      </c>
      <c r="I439">
        <v>1</v>
      </c>
      <c r="J439">
        <v>0.22</v>
      </c>
    </row>
    <row r="440" spans="1:10" x14ac:dyDescent="0.35">
      <c r="A440">
        <v>439</v>
      </c>
      <c r="B440" s="1">
        <v>40563</v>
      </c>
      <c r="C440">
        <v>1</v>
      </c>
      <c r="D440">
        <v>0</v>
      </c>
      <c r="E440">
        <v>1</v>
      </c>
      <c r="F440">
        <v>7</v>
      </c>
      <c r="G440">
        <v>0</v>
      </c>
      <c r="H440">
        <v>4</v>
      </c>
      <c r="I440">
        <v>1</v>
      </c>
      <c r="J440">
        <v>0.22</v>
      </c>
    </row>
    <row r="441" spans="1:10" x14ac:dyDescent="0.35">
      <c r="A441">
        <v>440</v>
      </c>
      <c r="B441" s="1">
        <v>40563</v>
      </c>
      <c r="C441">
        <v>1</v>
      </c>
      <c r="D441">
        <v>0</v>
      </c>
      <c r="E441">
        <v>1</v>
      </c>
      <c r="F441">
        <v>8</v>
      </c>
      <c r="G441">
        <v>0</v>
      </c>
      <c r="H441">
        <v>4</v>
      </c>
      <c r="I441">
        <v>1</v>
      </c>
      <c r="J441">
        <v>0.22</v>
      </c>
    </row>
    <row r="442" spans="1:10" x14ac:dyDescent="0.35">
      <c r="A442">
        <v>441</v>
      </c>
      <c r="B442" s="1">
        <v>40563</v>
      </c>
      <c r="C442">
        <v>1</v>
      </c>
      <c r="D442">
        <v>0</v>
      </c>
      <c r="E442">
        <v>1</v>
      </c>
      <c r="F442">
        <v>9</v>
      </c>
      <c r="G442">
        <v>0</v>
      </c>
      <c r="H442">
        <v>4</v>
      </c>
      <c r="I442">
        <v>2</v>
      </c>
      <c r="J442">
        <v>0.24</v>
      </c>
    </row>
    <row r="443" spans="1:10" x14ac:dyDescent="0.35">
      <c r="A443">
        <v>442</v>
      </c>
      <c r="B443" s="1">
        <v>40563</v>
      </c>
      <c r="C443">
        <v>1</v>
      </c>
      <c r="D443">
        <v>0</v>
      </c>
      <c r="E443">
        <v>1</v>
      </c>
      <c r="F443">
        <v>10</v>
      </c>
      <c r="G443">
        <v>0</v>
      </c>
      <c r="H443">
        <v>4</v>
      </c>
      <c r="I443">
        <v>1</v>
      </c>
      <c r="J443">
        <v>0.26</v>
      </c>
    </row>
    <row r="444" spans="1:10" x14ac:dyDescent="0.35">
      <c r="A444">
        <v>443</v>
      </c>
      <c r="B444" s="1">
        <v>40563</v>
      </c>
      <c r="C444">
        <v>1</v>
      </c>
      <c r="D444">
        <v>0</v>
      </c>
      <c r="E444">
        <v>1</v>
      </c>
      <c r="F444">
        <v>11</v>
      </c>
      <c r="G444">
        <v>0</v>
      </c>
      <c r="H444">
        <v>4</v>
      </c>
      <c r="I444">
        <v>2</v>
      </c>
      <c r="J444">
        <v>0.28000000000000003</v>
      </c>
    </row>
    <row r="445" spans="1:10" x14ac:dyDescent="0.35">
      <c r="A445">
        <v>444</v>
      </c>
      <c r="B445" s="1">
        <v>40563</v>
      </c>
      <c r="C445">
        <v>1</v>
      </c>
      <c r="D445">
        <v>0</v>
      </c>
      <c r="E445">
        <v>1</v>
      </c>
      <c r="F445">
        <v>12</v>
      </c>
      <c r="G445">
        <v>0</v>
      </c>
      <c r="H445">
        <v>4</v>
      </c>
      <c r="I445">
        <v>2</v>
      </c>
      <c r="J445">
        <v>0.3</v>
      </c>
    </row>
    <row r="446" spans="1:10" x14ac:dyDescent="0.35">
      <c r="A446">
        <v>445</v>
      </c>
      <c r="B446" s="1">
        <v>40563</v>
      </c>
      <c r="C446">
        <v>1</v>
      </c>
      <c r="D446">
        <v>0</v>
      </c>
      <c r="E446">
        <v>1</v>
      </c>
      <c r="F446">
        <v>13</v>
      </c>
      <c r="G446">
        <v>0</v>
      </c>
      <c r="H446">
        <v>4</v>
      </c>
      <c r="I446">
        <v>2</v>
      </c>
      <c r="J446">
        <v>0.28000000000000003</v>
      </c>
    </row>
    <row r="447" spans="1:10" x14ac:dyDescent="0.35">
      <c r="A447">
        <v>446</v>
      </c>
      <c r="B447" s="1">
        <v>40563</v>
      </c>
      <c r="C447">
        <v>1</v>
      </c>
      <c r="D447">
        <v>0</v>
      </c>
      <c r="E447">
        <v>1</v>
      </c>
      <c r="F447">
        <v>14</v>
      </c>
      <c r="G447">
        <v>0</v>
      </c>
      <c r="H447">
        <v>4</v>
      </c>
      <c r="I447">
        <v>2</v>
      </c>
      <c r="J447">
        <v>0.3</v>
      </c>
    </row>
    <row r="448" spans="1:10" x14ac:dyDescent="0.35">
      <c r="A448">
        <v>447</v>
      </c>
      <c r="B448" s="1">
        <v>40563</v>
      </c>
      <c r="C448">
        <v>1</v>
      </c>
      <c r="D448">
        <v>0</v>
      </c>
      <c r="E448">
        <v>1</v>
      </c>
      <c r="F448">
        <v>15</v>
      </c>
      <c r="G448">
        <v>0</v>
      </c>
      <c r="H448">
        <v>4</v>
      </c>
      <c r="I448">
        <v>2</v>
      </c>
      <c r="J448">
        <v>0.32</v>
      </c>
    </row>
    <row r="449" spans="1:10" x14ac:dyDescent="0.35">
      <c r="A449">
        <v>448</v>
      </c>
      <c r="B449" s="1">
        <v>40563</v>
      </c>
      <c r="C449">
        <v>1</v>
      </c>
      <c r="D449">
        <v>0</v>
      </c>
      <c r="E449">
        <v>1</v>
      </c>
      <c r="F449">
        <v>16</v>
      </c>
      <c r="G449">
        <v>0</v>
      </c>
      <c r="H449">
        <v>4</v>
      </c>
      <c r="I449">
        <v>2</v>
      </c>
      <c r="J449">
        <v>0.3</v>
      </c>
    </row>
    <row r="450" spans="1:10" x14ac:dyDescent="0.35">
      <c r="A450">
        <v>449</v>
      </c>
      <c r="B450" s="1">
        <v>40563</v>
      </c>
      <c r="C450">
        <v>1</v>
      </c>
      <c r="D450">
        <v>0</v>
      </c>
      <c r="E450">
        <v>1</v>
      </c>
      <c r="F450">
        <v>17</v>
      </c>
      <c r="G450">
        <v>0</v>
      </c>
      <c r="H450">
        <v>4</v>
      </c>
      <c r="I450">
        <v>2</v>
      </c>
      <c r="J450">
        <v>0.3</v>
      </c>
    </row>
    <row r="451" spans="1:10" x14ac:dyDescent="0.35">
      <c r="A451">
        <v>450</v>
      </c>
      <c r="B451" s="1">
        <v>40563</v>
      </c>
      <c r="C451">
        <v>1</v>
      </c>
      <c r="D451">
        <v>0</v>
      </c>
      <c r="E451">
        <v>1</v>
      </c>
      <c r="F451">
        <v>18</v>
      </c>
      <c r="G451">
        <v>0</v>
      </c>
      <c r="H451">
        <v>4</v>
      </c>
      <c r="I451">
        <v>2</v>
      </c>
      <c r="J451">
        <v>0.26</v>
      </c>
    </row>
    <row r="452" spans="1:10" x14ac:dyDescent="0.35">
      <c r="A452">
        <v>451</v>
      </c>
      <c r="B452" s="1">
        <v>40563</v>
      </c>
      <c r="C452">
        <v>1</v>
      </c>
      <c r="D452">
        <v>0</v>
      </c>
      <c r="E452">
        <v>1</v>
      </c>
      <c r="F452">
        <v>19</v>
      </c>
      <c r="G452">
        <v>0</v>
      </c>
      <c r="H452">
        <v>4</v>
      </c>
      <c r="I452">
        <v>1</v>
      </c>
      <c r="J452">
        <v>0.26</v>
      </c>
    </row>
    <row r="453" spans="1:10" x14ac:dyDescent="0.35">
      <c r="A453">
        <v>452</v>
      </c>
      <c r="B453" s="1">
        <v>40563</v>
      </c>
      <c r="C453">
        <v>1</v>
      </c>
      <c r="D453">
        <v>0</v>
      </c>
      <c r="E453">
        <v>1</v>
      </c>
      <c r="F453">
        <v>20</v>
      </c>
      <c r="G453">
        <v>0</v>
      </c>
      <c r="H453">
        <v>4</v>
      </c>
      <c r="I453">
        <v>2</v>
      </c>
      <c r="J453">
        <v>0.26</v>
      </c>
    </row>
    <row r="454" spans="1:10" x14ac:dyDescent="0.35">
      <c r="A454">
        <v>453</v>
      </c>
      <c r="B454" s="1">
        <v>40563</v>
      </c>
      <c r="C454">
        <v>1</v>
      </c>
      <c r="D454">
        <v>0</v>
      </c>
      <c r="E454">
        <v>1</v>
      </c>
      <c r="F454">
        <v>21</v>
      </c>
      <c r="G454">
        <v>0</v>
      </c>
      <c r="H454">
        <v>4</v>
      </c>
      <c r="I454">
        <v>2</v>
      </c>
      <c r="J454">
        <v>0.24</v>
      </c>
    </row>
    <row r="455" spans="1:10" x14ac:dyDescent="0.35">
      <c r="A455">
        <v>454</v>
      </c>
      <c r="B455" s="1">
        <v>40563</v>
      </c>
      <c r="C455">
        <v>1</v>
      </c>
      <c r="D455">
        <v>0</v>
      </c>
      <c r="E455">
        <v>1</v>
      </c>
      <c r="F455">
        <v>22</v>
      </c>
      <c r="G455">
        <v>0</v>
      </c>
      <c r="H455">
        <v>4</v>
      </c>
      <c r="I455">
        <v>2</v>
      </c>
      <c r="J455">
        <v>0.24</v>
      </c>
    </row>
    <row r="456" spans="1:10" x14ac:dyDescent="0.35">
      <c r="A456">
        <v>455</v>
      </c>
      <c r="B456" s="1">
        <v>40563</v>
      </c>
      <c r="C456">
        <v>1</v>
      </c>
      <c r="D456">
        <v>0</v>
      </c>
      <c r="E456">
        <v>1</v>
      </c>
      <c r="F456">
        <v>23</v>
      </c>
      <c r="G456">
        <v>0</v>
      </c>
      <c r="H456">
        <v>4</v>
      </c>
      <c r="I456">
        <v>2</v>
      </c>
      <c r="J456">
        <v>0.24</v>
      </c>
    </row>
    <row r="457" spans="1:10" x14ac:dyDescent="0.35">
      <c r="A457">
        <v>456</v>
      </c>
      <c r="B457" s="1">
        <v>40564</v>
      </c>
      <c r="C457">
        <v>1</v>
      </c>
      <c r="D457">
        <v>0</v>
      </c>
      <c r="E457">
        <v>1</v>
      </c>
      <c r="F457">
        <v>0</v>
      </c>
      <c r="G457">
        <v>0</v>
      </c>
      <c r="H457">
        <v>5</v>
      </c>
      <c r="I457">
        <v>2</v>
      </c>
      <c r="J457">
        <v>0.24</v>
      </c>
    </row>
    <row r="458" spans="1:10" x14ac:dyDescent="0.35">
      <c r="A458">
        <v>457</v>
      </c>
      <c r="B458" s="1">
        <v>40564</v>
      </c>
      <c r="C458">
        <v>1</v>
      </c>
      <c r="D458">
        <v>0</v>
      </c>
      <c r="E458">
        <v>1</v>
      </c>
      <c r="F458">
        <v>1</v>
      </c>
      <c r="G458">
        <v>0</v>
      </c>
      <c r="H458">
        <v>5</v>
      </c>
      <c r="I458">
        <v>2</v>
      </c>
      <c r="J458">
        <v>0.24</v>
      </c>
    </row>
    <row r="459" spans="1:10" x14ac:dyDescent="0.35">
      <c r="A459">
        <v>458</v>
      </c>
      <c r="B459" s="1">
        <v>40564</v>
      </c>
      <c r="C459">
        <v>1</v>
      </c>
      <c r="D459">
        <v>0</v>
      </c>
      <c r="E459">
        <v>1</v>
      </c>
      <c r="F459">
        <v>2</v>
      </c>
      <c r="G459">
        <v>0</v>
      </c>
      <c r="H459">
        <v>5</v>
      </c>
      <c r="I459">
        <v>3</v>
      </c>
      <c r="J459">
        <v>0.24</v>
      </c>
    </row>
    <row r="460" spans="1:10" x14ac:dyDescent="0.35">
      <c r="A460">
        <v>459</v>
      </c>
      <c r="B460" s="1">
        <v>40564</v>
      </c>
      <c r="C460">
        <v>1</v>
      </c>
      <c r="D460">
        <v>0</v>
      </c>
      <c r="E460">
        <v>1</v>
      </c>
      <c r="F460">
        <v>3</v>
      </c>
      <c r="G460">
        <v>0</v>
      </c>
      <c r="H460">
        <v>5</v>
      </c>
      <c r="I460">
        <v>3</v>
      </c>
      <c r="J460">
        <v>0.22</v>
      </c>
    </row>
    <row r="461" spans="1:10" x14ac:dyDescent="0.35">
      <c r="A461">
        <v>460</v>
      </c>
      <c r="B461" s="1">
        <v>40564</v>
      </c>
      <c r="C461">
        <v>1</v>
      </c>
      <c r="D461">
        <v>0</v>
      </c>
      <c r="E461">
        <v>1</v>
      </c>
      <c r="F461">
        <v>4</v>
      </c>
      <c r="G461">
        <v>0</v>
      </c>
      <c r="H461">
        <v>5</v>
      </c>
      <c r="I461">
        <v>2</v>
      </c>
      <c r="J461">
        <v>0.22</v>
      </c>
    </row>
    <row r="462" spans="1:10" x14ac:dyDescent="0.35">
      <c r="A462">
        <v>461</v>
      </c>
      <c r="B462" s="1">
        <v>40564</v>
      </c>
      <c r="C462">
        <v>1</v>
      </c>
      <c r="D462">
        <v>0</v>
      </c>
      <c r="E462">
        <v>1</v>
      </c>
      <c r="F462">
        <v>5</v>
      </c>
      <c r="G462">
        <v>0</v>
      </c>
      <c r="H462">
        <v>5</v>
      </c>
      <c r="I462">
        <v>1</v>
      </c>
      <c r="J462">
        <v>0.24</v>
      </c>
    </row>
    <row r="463" spans="1:10" x14ac:dyDescent="0.35">
      <c r="A463">
        <v>462</v>
      </c>
      <c r="B463" s="1">
        <v>40564</v>
      </c>
      <c r="C463">
        <v>1</v>
      </c>
      <c r="D463">
        <v>0</v>
      </c>
      <c r="E463">
        <v>1</v>
      </c>
      <c r="F463">
        <v>6</v>
      </c>
      <c r="G463">
        <v>0</v>
      </c>
      <c r="H463">
        <v>5</v>
      </c>
      <c r="I463">
        <v>1</v>
      </c>
      <c r="J463">
        <v>0.22</v>
      </c>
    </row>
    <row r="464" spans="1:10" x14ac:dyDescent="0.35">
      <c r="A464">
        <v>463</v>
      </c>
      <c r="B464" s="1">
        <v>40564</v>
      </c>
      <c r="C464">
        <v>1</v>
      </c>
      <c r="D464">
        <v>0</v>
      </c>
      <c r="E464">
        <v>1</v>
      </c>
      <c r="F464">
        <v>7</v>
      </c>
      <c r="G464">
        <v>0</v>
      </c>
      <c r="H464">
        <v>5</v>
      </c>
      <c r="I464">
        <v>1</v>
      </c>
      <c r="J464">
        <v>0.2</v>
      </c>
    </row>
    <row r="465" spans="1:10" x14ac:dyDescent="0.35">
      <c r="A465">
        <v>464</v>
      </c>
      <c r="B465" s="1">
        <v>40564</v>
      </c>
      <c r="C465">
        <v>1</v>
      </c>
      <c r="D465">
        <v>0</v>
      </c>
      <c r="E465">
        <v>1</v>
      </c>
      <c r="F465">
        <v>8</v>
      </c>
      <c r="G465">
        <v>0</v>
      </c>
      <c r="H465">
        <v>5</v>
      </c>
      <c r="I465">
        <v>1</v>
      </c>
      <c r="J465">
        <v>0.2</v>
      </c>
    </row>
    <row r="466" spans="1:10" x14ac:dyDescent="0.35">
      <c r="A466">
        <v>465</v>
      </c>
      <c r="B466" s="1">
        <v>40564</v>
      </c>
      <c r="C466">
        <v>1</v>
      </c>
      <c r="D466">
        <v>0</v>
      </c>
      <c r="E466">
        <v>1</v>
      </c>
      <c r="F466">
        <v>9</v>
      </c>
      <c r="G466">
        <v>0</v>
      </c>
      <c r="H466">
        <v>5</v>
      </c>
      <c r="I466">
        <v>1</v>
      </c>
      <c r="J466">
        <v>0.2</v>
      </c>
    </row>
    <row r="467" spans="1:10" x14ac:dyDescent="0.35">
      <c r="A467">
        <v>466</v>
      </c>
      <c r="B467" s="1">
        <v>40564</v>
      </c>
      <c r="C467">
        <v>1</v>
      </c>
      <c r="D467">
        <v>0</v>
      </c>
      <c r="E467">
        <v>1</v>
      </c>
      <c r="F467">
        <v>10</v>
      </c>
      <c r="G467">
        <v>0</v>
      </c>
      <c r="H467">
        <v>5</v>
      </c>
      <c r="I467">
        <v>1</v>
      </c>
      <c r="J467">
        <v>0.2</v>
      </c>
    </row>
    <row r="468" spans="1:10" x14ac:dyDescent="0.35">
      <c r="A468">
        <v>467</v>
      </c>
      <c r="B468" s="1">
        <v>40564</v>
      </c>
      <c r="C468">
        <v>1</v>
      </c>
      <c r="D468">
        <v>0</v>
      </c>
      <c r="E468">
        <v>1</v>
      </c>
      <c r="F468">
        <v>11</v>
      </c>
      <c r="G468">
        <v>0</v>
      </c>
      <c r="H468">
        <v>5</v>
      </c>
      <c r="I468">
        <v>1</v>
      </c>
      <c r="J468">
        <v>0.22</v>
      </c>
    </row>
    <row r="469" spans="1:10" x14ac:dyDescent="0.35">
      <c r="A469">
        <v>468</v>
      </c>
      <c r="B469" s="1">
        <v>40564</v>
      </c>
      <c r="C469">
        <v>1</v>
      </c>
      <c r="D469">
        <v>0</v>
      </c>
      <c r="E469">
        <v>1</v>
      </c>
      <c r="F469">
        <v>12</v>
      </c>
      <c r="G469">
        <v>0</v>
      </c>
      <c r="H469">
        <v>5</v>
      </c>
      <c r="I469">
        <v>1</v>
      </c>
      <c r="J469">
        <v>0.22</v>
      </c>
    </row>
    <row r="470" spans="1:10" x14ac:dyDescent="0.35">
      <c r="A470">
        <v>469</v>
      </c>
      <c r="B470" s="1">
        <v>40564</v>
      </c>
      <c r="C470">
        <v>1</v>
      </c>
      <c r="D470">
        <v>0</v>
      </c>
      <c r="E470">
        <v>1</v>
      </c>
      <c r="F470">
        <v>13</v>
      </c>
      <c r="G470">
        <v>0</v>
      </c>
      <c r="H470">
        <v>5</v>
      </c>
      <c r="I470">
        <v>1</v>
      </c>
      <c r="J470">
        <v>0.2</v>
      </c>
    </row>
    <row r="471" spans="1:10" x14ac:dyDescent="0.35">
      <c r="A471">
        <v>470</v>
      </c>
      <c r="B471" s="1">
        <v>40564</v>
      </c>
      <c r="C471">
        <v>1</v>
      </c>
      <c r="D471">
        <v>0</v>
      </c>
      <c r="E471">
        <v>1</v>
      </c>
      <c r="F471">
        <v>14</v>
      </c>
      <c r="G471">
        <v>0</v>
      </c>
      <c r="H471">
        <v>5</v>
      </c>
      <c r="I471">
        <v>1</v>
      </c>
      <c r="J471">
        <v>0.2</v>
      </c>
    </row>
    <row r="472" spans="1:10" x14ac:dyDescent="0.35">
      <c r="A472">
        <v>471</v>
      </c>
      <c r="B472" s="1">
        <v>40564</v>
      </c>
      <c r="C472">
        <v>1</v>
      </c>
      <c r="D472">
        <v>0</v>
      </c>
      <c r="E472">
        <v>1</v>
      </c>
      <c r="F472">
        <v>15</v>
      </c>
      <c r="G472">
        <v>0</v>
      </c>
      <c r="H472">
        <v>5</v>
      </c>
      <c r="I472">
        <v>1</v>
      </c>
      <c r="J472">
        <v>0.16</v>
      </c>
    </row>
    <row r="473" spans="1:10" x14ac:dyDescent="0.35">
      <c r="A473">
        <v>472</v>
      </c>
      <c r="B473" s="1">
        <v>40564</v>
      </c>
      <c r="C473">
        <v>1</v>
      </c>
      <c r="D473">
        <v>0</v>
      </c>
      <c r="E473">
        <v>1</v>
      </c>
      <c r="F473">
        <v>16</v>
      </c>
      <c r="G473">
        <v>0</v>
      </c>
      <c r="H473">
        <v>5</v>
      </c>
      <c r="I473">
        <v>1</v>
      </c>
      <c r="J473">
        <v>0.16</v>
      </c>
    </row>
    <row r="474" spans="1:10" x14ac:dyDescent="0.35">
      <c r="A474">
        <v>473</v>
      </c>
      <c r="B474" s="1">
        <v>40564</v>
      </c>
      <c r="C474">
        <v>1</v>
      </c>
      <c r="D474">
        <v>0</v>
      </c>
      <c r="E474">
        <v>1</v>
      </c>
      <c r="F474">
        <v>17</v>
      </c>
      <c r="G474">
        <v>0</v>
      </c>
      <c r="H474">
        <v>5</v>
      </c>
      <c r="I474">
        <v>1</v>
      </c>
      <c r="J474">
        <v>0.14000000000000001</v>
      </c>
    </row>
    <row r="475" spans="1:10" x14ac:dyDescent="0.35">
      <c r="A475">
        <v>474</v>
      </c>
      <c r="B475" s="1">
        <v>40564</v>
      </c>
      <c r="C475">
        <v>1</v>
      </c>
      <c r="D475">
        <v>0</v>
      </c>
      <c r="E475">
        <v>1</v>
      </c>
      <c r="F475">
        <v>18</v>
      </c>
      <c r="G475">
        <v>0</v>
      </c>
      <c r="H475">
        <v>5</v>
      </c>
      <c r="I475">
        <v>1</v>
      </c>
      <c r="J475">
        <v>0.12</v>
      </c>
    </row>
    <row r="476" spans="1:10" x14ac:dyDescent="0.35">
      <c r="A476">
        <v>475</v>
      </c>
      <c r="B476" s="1">
        <v>40564</v>
      </c>
      <c r="C476">
        <v>1</v>
      </c>
      <c r="D476">
        <v>0</v>
      </c>
      <c r="E476">
        <v>1</v>
      </c>
      <c r="F476">
        <v>19</v>
      </c>
      <c r="G476">
        <v>0</v>
      </c>
      <c r="H476">
        <v>5</v>
      </c>
      <c r="I476">
        <v>1</v>
      </c>
      <c r="J476">
        <v>0.12</v>
      </c>
    </row>
    <row r="477" spans="1:10" x14ac:dyDescent="0.35">
      <c r="A477">
        <v>476</v>
      </c>
      <c r="B477" s="1">
        <v>40564</v>
      </c>
      <c r="C477">
        <v>1</v>
      </c>
      <c r="D477">
        <v>0</v>
      </c>
      <c r="E477">
        <v>1</v>
      </c>
      <c r="F477">
        <v>20</v>
      </c>
      <c r="G477">
        <v>0</v>
      </c>
      <c r="H477">
        <v>5</v>
      </c>
      <c r="I477">
        <v>1</v>
      </c>
      <c r="J477">
        <v>0.1</v>
      </c>
    </row>
    <row r="478" spans="1:10" x14ac:dyDescent="0.35">
      <c r="A478">
        <v>477</v>
      </c>
      <c r="B478" s="1">
        <v>40564</v>
      </c>
      <c r="C478">
        <v>1</v>
      </c>
      <c r="D478">
        <v>0</v>
      </c>
      <c r="E478">
        <v>1</v>
      </c>
      <c r="F478">
        <v>21</v>
      </c>
      <c r="G478">
        <v>0</v>
      </c>
      <c r="H478">
        <v>5</v>
      </c>
      <c r="I478">
        <v>1</v>
      </c>
      <c r="J478">
        <v>0.08</v>
      </c>
    </row>
    <row r="479" spans="1:10" x14ac:dyDescent="0.35">
      <c r="A479">
        <v>478</v>
      </c>
      <c r="B479" s="1">
        <v>40564</v>
      </c>
      <c r="C479">
        <v>1</v>
      </c>
      <c r="D479">
        <v>0</v>
      </c>
      <c r="E479">
        <v>1</v>
      </c>
      <c r="F479">
        <v>22</v>
      </c>
      <c r="G479">
        <v>0</v>
      </c>
      <c r="H479">
        <v>5</v>
      </c>
      <c r="I479">
        <v>1</v>
      </c>
      <c r="J479">
        <v>0.06</v>
      </c>
    </row>
    <row r="480" spans="1:10" x14ac:dyDescent="0.35">
      <c r="A480">
        <v>479</v>
      </c>
      <c r="B480" s="1">
        <v>40564</v>
      </c>
      <c r="C480">
        <v>1</v>
      </c>
      <c r="D480">
        <v>0</v>
      </c>
      <c r="E480">
        <v>1</v>
      </c>
      <c r="F480">
        <v>23</v>
      </c>
      <c r="G480">
        <v>0</v>
      </c>
      <c r="H480">
        <v>5</v>
      </c>
      <c r="I480">
        <v>1</v>
      </c>
      <c r="J480">
        <v>0.06</v>
      </c>
    </row>
    <row r="481" spans="1:10" x14ac:dyDescent="0.35">
      <c r="A481">
        <v>480</v>
      </c>
      <c r="B481" s="1">
        <v>40565</v>
      </c>
      <c r="C481">
        <v>1</v>
      </c>
      <c r="D481">
        <v>0</v>
      </c>
      <c r="E481">
        <v>1</v>
      </c>
      <c r="F481">
        <v>0</v>
      </c>
      <c r="G481">
        <v>0</v>
      </c>
      <c r="H481">
        <v>6</v>
      </c>
      <c r="I481">
        <v>1</v>
      </c>
      <c r="J481">
        <v>0.04</v>
      </c>
    </row>
    <row r="482" spans="1:10" x14ac:dyDescent="0.35">
      <c r="A482">
        <v>481</v>
      </c>
      <c r="B482" s="1">
        <v>40565</v>
      </c>
      <c r="C482">
        <v>1</v>
      </c>
      <c r="D482">
        <v>0</v>
      </c>
      <c r="E482">
        <v>1</v>
      </c>
      <c r="F482">
        <v>1</v>
      </c>
      <c r="G482">
        <v>0</v>
      </c>
      <c r="H482">
        <v>6</v>
      </c>
      <c r="I482">
        <v>2</v>
      </c>
      <c r="J482">
        <v>0.04</v>
      </c>
    </row>
    <row r="483" spans="1:10" x14ac:dyDescent="0.35">
      <c r="A483">
        <v>482</v>
      </c>
      <c r="B483" s="1">
        <v>40565</v>
      </c>
      <c r="C483">
        <v>1</v>
      </c>
      <c r="D483">
        <v>0</v>
      </c>
      <c r="E483">
        <v>1</v>
      </c>
      <c r="F483">
        <v>2</v>
      </c>
      <c r="G483">
        <v>0</v>
      </c>
      <c r="H483">
        <v>6</v>
      </c>
      <c r="I483">
        <v>2</v>
      </c>
      <c r="J483">
        <v>0.04</v>
      </c>
    </row>
    <row r="484" spans="1:10" x14ac:dyDescent="0.35">
      <c r="A484">
        <v>483</v>
      </c>
      <c r="B484" s="1">
        <v>40565</v>
      </c>
      <c r="C484">
        <v>1</v>
      </c>
      <c r="D484">
        <v>0</v>
      </c>
      <c r="E484">
        <v>1</v>
      </c>
      <c r="F484">
        <v>3</v>
      </c>
      <c r="G484">
        <v>0</v>
      </c>
      <c r="H484">
        <v>6</v>
      </c>
      <c r="I484">
        <v>2</v>
      </c>
      <c r="J484">
        <v>0.04</v>
      </c>
    </row>
    <row r="485" spans="1:10" x14ac:dyDescent="0.35">
      <c r="A485">
        <v>484</v>
      </c>
      <c r="B485" s="1">
        <v>40565</v>
      </c>
      <c r="C485">
        <v>1</v>
      </c>
      <c r="D485">
        <v>0</v>
      </c>
      <c r="E485">
        <v>1</v>
      </c>
      <c r="F485">
        <v>4</v>
      </c>
      <c r="G485">
        <v>0</v>
      </c>
      <c r="H485">
        <v>6</v>
      </c>
      <c r="I485">
        <v>2</v>
      </c>
      <c r="J485">
        <v>0.02</v>
      </c>
    </row>
    <row r="486" spans="1:10" x14ac:dyDescent="0.35">
      <c r="A486">
        <v>485</v>
      </c>
      <c r="B486" s="1">
        <v>40565</v>
      </c>
      <c r="C486">
        <v>1</v>
      </c>
      <c r="D486">
        <v>0</v>
      </c>
      <c r="E486">
        <v>1</v>
      </c>
      <c r="F486">
        <v>6</v>
      </c>
      <c r="G486">
        <v>0</v>
      </c>
      <c r="H486">
        <v>6</v>
      </c>
      <c r="I486">
        <v>2</v>
      </c>
      <c r="J486">
        <v>0.02</v>
      </c>
    </row>
    <row r="487" spans="1:10" x14ac:dyDescent="0.35">
      <c r="A487">
        <v>486</v>
      </c>
      <c r="B487" s="1">
        <v>40565</v>
      </c>
      <c r="C487">
        <v>1</v>
      </c>
      <c r="D487">
        <v>0</v>
      </c>
      <c r="E487">
        <v>1</v>
      </c>
      <c r="F487">
        <v>7</v>
      </c>
      <c r="G487">
        <v>0</v>
      </c>
      <c r="H487">
        <v>6</v>
      </c>
      <c r="I487">
        <v>1</v>
      </c>
      <c r="J487">
        <v>0.02</v>
      </c>
    </row>
    <row r="488" spans="1:10" x14ac:dyDescent="0.35">
      <c r="A488">
        <v>487</v>
      </c>
      <c r="B488" s="1">
        <v>40565</v>
      </c>
      <c r="C488">
        <v>1</v>
      </c>
      <c r="D488">
        <v>0</v>
      </c>
      <c r="E488">
        <v>1</v>
      </c>
      <c r="F488">
        <v>8</v>
      </c>
      <c r="G488">
        <v>0</v>
      </c>
      <c r="H488">
        <v>6</v>
      </c>
      <c r="I488">
        <v>1</v>
      </c>
      <c r="J488">
        <v>0.02</v>
      </c>
    </row>
    <row r="489" spans="1:10" x14ac:dyDescent="0.35">
      <c r="A489">
        <v>488</v>
      </c>
      <c r="B489" s="1">
        <v>40565</v>
      </c>
      <c r="C489">
        <v>1</v>
      </c>
      <c r="D489">
        <v>0</v>
      </c>
      <c r="E489">
        <v>1</v>
      </c>
      <c r="F489">
        <v>9</v>
      </c>
      <c r="G489">
        <v>0</v>
      </c>
      <c r="H489">
        <v>6</v>
      </c>
      <c r="I489">
        <v>1</v>
      </c>
      <c r="J489">
        <v>0.04</v>
      </c>
    </row>
    <row r="490" spans="1:10" x14ac:dyDescent="0.35">
      <c r="A490">
        <v>489</v>
      </c>
      <c r="B490" s="1">
        <v>40565</v>
      </c>
      <c r="C490">
        <v>1</v>
      </c>
      <c r="D490">
        <v>0</v>
      </c>
      <c r="E490">
        <v>1</v>
      </c>
      <c r="F490">
        <v>10</v>
      </c>
      <c r="G490">
        <v>0</v>
      </c>
      <c r="H490">
        <v>6</v>
      </c>
      <c r="I490">
        <v>2</v>
      </c>
      <c r="J490">
        <v>0.04</v>
      </c>
    </row>
    <row r="491" spans="1:10" x14ac:dyDescent="0.35">
      <c r="A491">
        <v>490</v>
      </c>
      <c r="B491" s="1">
        <v>40565</v>
      </c>
      <c r="C491">
        <v>1</v>
      </c>
      <c r="D491">
        <v>0</v>
      </c>
      <c r="E491">
        <v>1</v>
      </c>
      <c r="F491">
        <v>11</v>
      </c>
      <c r="G491">
        <v>0</v>
      </c>
      <c r="H491">
        <v>6</v>
      </c>
      <c r="I491">
        <v>2</v>
      </c>
      <c r="J491">
        <v>0.06</v>
      </c>
    </row>
    <row r="492" spans="1:10" x14ac:dyDescent="0.35">
      <c r="A492">
        <v>491</v>
      </c>
      <c r="B492" s="1">
        <v>40565</v>
      </c>
      <c r="C492">
        <v>1</v>
      </c>
      <c r="D492">
        <v>0</v>
      </c>
      <c r="E492">
        <v>1</v>
      </c>
      <c r="F492">
        <v>12</v>
      </c>
      <c r="G492">
        <v>0</v>
      </c>
      <c r="H492">
        <v>6</v>
      </c>
      <c r="I492">
        <v>2</v>
      </c>
      <c r="J492">
        <v>0.06</v>
      </c>
    </row>
    <row r="493" spans="1:10" x14ac:dyDescent="0.35">
      <c r="A493">
        <v>492</v>
      </c>
      <c r="B493" s="1">
        <v>40565</v>
      </c>
      <c r="C493">
        <v>1</v>
      </c>
      <c r="D493">
        <v>0</v>
      </c>
      <c r="E493">
        <v>1</v>
      </c>
      <c r="F493">
        <v>13</v>
      </c>
      <c r="G493">
        <v>0</v>
      </c>
      <c r="H493">
        <v>6</v>
      </c>
      <c r="I493">
        <v>1</v>
      </c>
      <c r="J493">
        <v>0.08</v>
      </c>
    </row>
    <row r="494" spans="1:10" x14ac:dyDescent="0.35">
      <c r="A494">
        <v>493</v>
      </c>
      <c r="B494" s="1">
        <v>40565</v>
      </c>
      <c r="C494">
        <v>1</v>
      </c>
      <c r="D494">
        <v>0</v>
      </c>
      <c r="E494">
        <v>1</v>
      </c>
      <c r="F494">
        <v>14</v>
      </c>
      <c r="G494">
        <v>0</v>
      </c>
      <c r="H494">
        <v>6</v>
      </c>
      <c r="I494">
        <v>1</v>
      </c>
      <c r="J494">
        <v>0.1</v>
      </c>
    </row>
    <row r="495" spans="1:10" x14ac:dyDescent="0.35">
      <c r="A495">
        <v>494</v>
      </c>
      <c r="B495" s="1">
        <v>40565</v>
      </c>
      <c r="C495">
        <v>1</v>
      </c>
      <c r="D495">
        <v>0</v>
      </c>
      <c r="E495">
        <v>1</v>
      </c>
      <c r="F495">
        <v>15</v>
      </c>
      <c r="G495">
        <v>0</v>
      </c>
      <c r="H495">
        <v>6</v>
      </c>
      <c r="I495">
        <v>1</v>
      </c>
      <c r="J495">
        <v>0.12</v>
      </c>
    </row>
    <row r="496" spans="1:10" x14ac:dyDescent="0.35">
      <c r="A496">
        <v>495</v>
      </c>
      <c r="B496" s="1">
        <v>40565</v>
      </c>
      <c r="C496">
        <v>1</v>
      </c>
      <c r="D496">
        <v>0</v>
      </c>
      <c r="E496">
        <v>1</v>
      </c>
      <c r="F496">
        <v>16</v>
      </c>
      <c r="G496">
        <v>0</v>
      </c>
      <c r="H496">
        <v>6</v>
      </c>
      <c r="I496">
        <v>1</v>
      </c>
      <c r="J496">
        <v>0.12</v>
      </c>
    </row>
    <row r="497" spans="1:10" x14ac:dyDescent="0.35">
      <c r="A497">
        <v>496</v>
      </c>
      <c r="B497" s="1">
        <v>40565</v>
      </c>
      <c r="C497">
        <v>1</v>
      </c>
      <c r="D497">
        <v>0</v>
      </c>
      <c r="E497">
        <v>1</v>
      </c>
      <c r="F497">
        <v>17</v>
      </c>
      <c r="G497">
        <v>0</v>
      </c>
      <c r="H497">
        <v>6</v>
      </c>
      <c r="I497">
        <v>1</v>
      </c>
      <c r="J497">
        <v>0.12</v>
      </c>
    </row>
    <row r="498" spans="1:10" x14ac:dyDescent="0.35">
      <c r="A498">
        <v>497</v>
      </c>
      <c r="B498" s="1">
        <v>40565</v>
      </c>
      <c r="C498">
        <v>1</v>
      </c>
      <c r="D498">
        <v>0</v>
      </c>
      <c r="E498">
        <v>1</v>
      </c>
      <c r="F498">
        <v>18</v>
      </c>
      <c r="G498">
        <v>0</v>
      </c>
      <c r="H498">
        <v>6</v>
      </c>
      <c r="I498">
        <v>1</v>
      </c>
      <c r="J498">
        <v>0.08</v>
      </c>
    </row>
    <row r="499" spans="1:10" x14ac:dyDescent="0.35">
      <c r="A499">
        <v>498</v>
      </c>
      <c r="B499" s="1">
        <v>40565</v>
      </c>
      <c r="C499">
        <v>1</v>
      </c>
      <c r="D499">
        <v>0</v>
      </c>
      <c r="E499">
        <v>1</v>
      </c>
      <c r="F499">
        <v>19</v>
      </c>
      <c r="G499">
        <v>0</v>
      </c>
      <c r="H499">
        <v>6</v>
      </c>
      <c r="I499">
        <v>1</v>
      </c>
      <c r="J499">
        <v>0.08</v>
      </c>
    </row>
    <row r="500" spans="1:10" x14ac:dyDescent="0.35">
      <c r="A500">
        <v>499</v>
      </c>
      <c r="B500" s="1">
        <v>40565</v>
      </c>
      <c r="C500">
        <v>1</v>
      </c>
      <c r="D500">
        <v>0</v>
      </c>
      <c r="E500">
        <v>1</v>
      </c>
      <c r="F500">
        <v>20</v>
      </c>
      <c r="G500">
        <v>0</v>
      </c>
      <c r="H500">
        <v>6</v>
      </c>
      <c r="I500">
        <v>1</v>
      </c>
      <c r="J500">
        <v>0.06</v>
      </c>
    </row>
    <row r="501" spans="1:10" x14ac:dyDescent="0.35">
      <c r="A501">
        <v>500</v>
      </c>
      <c r="B501" s="1">
        <v>40565</v>
      </c>
      <c r="C501">
        <v>1</v>
      </c>
      <c r="D501">
        <v>0</v>
      </c>
      <c r="E501">
        <v>1</v>
      </c>
      <c r="F501">
        <v>21</v>
      </c>
      <c r="G501">
        <v>0</v>
      </c>
      <c r="H501">
        <v>6</v>
      </c>
      <c r="I501">
        <v>1</v>
      </c>
      <c r="J501">
        <v>0.06</v>
      </c>
    </row>
    <row r="502" spans="1:10" x14ac:dyDescent="0.35">
      <c r="A502">
        <v>501</v>
      </c>
      <c r="B502" s="1">
        <v>40565</v>
      </c>
      <c r="C502">
        <v>1</v>
      </c>
      <c r="D502">
        <v>0</v>
      </c>
      <c r="E502">
        <v>1</v>
      </c>
      <c r="F502">
        <v>22</v>
      </c>
      <c r="G502">
        <v>0</v>
      </c>
      <c r="H502">
        <v>6</v>
      </c>
      <c r="I502">
        <v>1</v>
      </c>
      <c r="J502">
        <v>0.06</v>
      </c>
    </row>
    <row r="503" spans="1:10" x14ac:dyDescent="0.35">
      <c r="A503">
        <v>502</v>
      </c>
      <c r="B503" s="1">
        <v>40565</v>
      </c>
      <c r="C503">
        <v>1</v>
      </c>
      <c r="D503">
        <v>0</v>
      </c>
      <c r="E503">
        <v>1</v>
      </c>
      <c r="F503">
        <v>23</v>
      </c>
      <c r="G503">
        <v>0</v>
      </c>
      <c r="H503">
        <v>6</v>
      </c>
      <c r="I503">
        <v>1</v>
      </c>
      <c r="J503">
        <v>0.04</v>
      </c>
    </row>
    <row r="504" spans="1:10" x14ac:dyDescent="0.35">
      <c r="A504">
        <v>503</v>
      </c>
      <c r="B504" s="1">
        <v>40566</v>
      </c>
      <c r="C504">
        <v>1</v>
      </c>
      <c r="D504">
        <v>0</v>
      </c>
      <c r="E504">
        <v>1</v>
      </c>
      <c r="F504">
        <v>0</v>
      </c>
      <c r="G504">
        <v>0</v>
      </c>
      <c r="H504">
        <v>0</v>
      </c>
      <c r="I504">
        <v>1</v>
      </c>
      <c r="J504">
        <v>0.04</v>
      </c>
    </row>
    <row r="505" spans="1:10" x14ac:dyDescent="0.35">
      <c r="A505">
        <v>504</v>
      </c>
      <c r="B505" s="1">
        <v>40566</v>
      </c>
      <c r="C505">
        <v>1</v>
      </c>
      <c r="D505">
        <v>0</v>
      </c>
      <c r="E505">
        <v>1</v>
      </c>
      <c r="F505">
        <v>1</v>
      </c>
      <c r="G505">
        <v>0</v>
      </c>
      <c r="H505">
        <v>0</v>
      </c>
      <c r="I505">
        <v>1</v>
      </c>
      <c r="J505">
        <v>0.04</v>
      </c>
    </row>
    <row r="506" spans="1:10" x14ac:dyDescent="0.35">
      <c r="A506">
        <v>505</v>
      </c>
      <c r="B506" s="1">
        <v>40566</v>
      </c>
      <c r="C506">
        <v>1</v>
      </c>
      <c r="D506">
        <v>0</v>
      </c>
      <c r="E506">
        <v>1</v>
      </c>
      <c r="F506">
        <v>2</v>
      </c>
      <c r="G506">
        <v>0</v>
      </c>
      <c r="H506">
        <v>0</v>
      </c>
      <c r="I506">
        <v>1</v>
      </c>
      <c r="J506">
        <v>0.02</v>
      </c>
    </row>
    <row r="507" spans="1:10" x14ac:dyDescent="0.35">
      <c r="A507">
        <v>506</v>
      </c>
      <c r="B507" s="1">
        <v>40566</v>
      </c>
      <c r="C507">
        <v>1</v>
      </c>
      <c r="D507">
        <v>0</v>
      </c>
      <c r="E507">
        <v>1</v>
      </c>
      <c r="F507">
        <v>3</v>
      </c>
      <c r="G507">
        <v>0</v>
      </c>
      <c r="H507">
        <v>0</v>
      </c>
      <c r="I507">
        <v>1</v>
      </c>
      <c r="J507">
        <v>0.02</v>
      </c>
    </row>
    <row r="508" spans="1:10" x14ac:dyDescent="0.35">
      <c r="A508">
        <v>507</v>
      </c>
      <c r="B508" s="1">
        <v>40566</v>
      </c>
      <c r="C508">
        <v>1</v>
      </c>
      <c r="D508">
        <v>0</v>
      </c>
      <c r="E508">
        <v>1</v>
      </c>
      <c r="F508">
        <v>5</v>
      </c>
      <c r="G508">
        <v>0</v>
      </c>
      <c r="H508">
        <v>0</v>
      </c>
      <c r="I508">
        <v>2</v>
      </c>
      <c r="J508">
        <v>0.04</v>
      </c>
    </row>
    <row r="509" spans="1:10" x14ac:dyDescent="0.35">
      <c r="A509">
        <v>508</v>
      </c>
      <c r="B509" s="1">
        <v>40566</v>
      </c>
      <c r="C509">
        <v>1</v>
      </c>
      <c r="D509">
        <v>0</v>
      </c>
      <c r="E509">
        <v>1</v>
      </c>
      <c r="F509">
        <v>6</v>
      </c>
      <c r="G509">
        <v>0</v>
      </c>
      <c r="H509">
        <v>0</v>
      </c>
      <c r="I509">
        <v>2</v>
      </c>
      <c r="J509">
        <v>0.04</v>
      </c>
    </row>
    <row r="510" spans="1:10" x14ac:dyDescent="0.35">
      <c r="A510">
        <v>509</v>
      </c>
      <c r="B510" s="1">
        <v>40566</v>
      </c>
      <c r="C510">
        <v>1</v>
      </c>
      <c r="D510">
        <v>0</v>
      </c>
      <c r="E510">
        <v>1</v>
      </c>
      <c r="F510">
        <v>7</v>
      </c>
      <c r="G510">
        <v>0</v>
      </c>
      <c r="H510">
        <v>0</v>
      </c>
      <c r="I510">
        <v>1</v>
      </c>
      <c r="J510">
        <v>0.08</v>
      </c>
    </row>
    <row r="511" spans="1:10" x14ac:dyDescent="0.35">
      <c r="A511">
        <v>510</v>
      </c>
      <c r="B511" s="1">
        <v>40566</v>
      </c>
      <c r="C511">
        <v>1</v>
      </c>
      <c r="D511">
        <v>0</v>
      </c>
      <c r="E511">
        <v>1</v>
      </c>
      <c r="F511">
        <v>8</v>
      </c>
      <c r="G511">
        <v>0</v>
      </c>
      <c r="H511">
        <v>0</v>
      </c>
      <c r="I511">
        <v>1</v>
      </c>
      <c r="J511">
        <v>0.06</v>
      </c>
    </row>
    <row r="512" spans="1:10" x14ac:dyDescent="0.35">
      <c r="A512">
        <v>511</v>
      </c>
      <c r="B512" s="1">
        <v>40566</v>
      </c>
      <c r="C512">
        <v>1</v>
      </c>
      <c r="D512">
        <v>0</v>
      </c>
      <c r="E512">
        <v>1</v>
      </c>
      <c r="F512">
        <v>9</v>
      </c>
      <c r="G512">
        <v>0</v>
      </c>
      <c r="H512">
        <v>0</v>
      </c>
      <c r="I512">
        <v>1</v>
      </c>
      <c r="J512">
        <v>0.1</v>
      </c>
    </row>
    <row r="513" spans="1:10" x14ac:dyDescent="0.35">
      <c r="A513">
        <v>512</v>
      </c>
      <c r="B513" s="1">
        <v>40566</v>
      </c>
      <c r="C513">
        <v>1</v>
      </c>
      <c r="D513">
        <v>0</v>
      </c>
      <c r="E513">
        <v>1</v>
      </c>
      <c r="F513">
        <v>10</v>
      </c>
      <c r="G513">
        <v>0</v>
      </c>
      <c r="H513">
        <v>0</v>
      </c>
      <c r="I513">
        <v>1</v>
      </c>
      <c r="J513">
        <v>0.14000000000000001</v>
      </c>
    </row>
    <row r="514" spans="1:10" x14ac:dyDescent="0.35">
      <c r="A514">
        <v>513</v>
      </c>
      <c r="B514" s="1">
        <v>40566</v>
      </c>
      <c r="C514">
        <v>1</v>
      </c>
      <c r="D514">
        <v>0</v>
      </c>
      <c r="E514">
        <v>1</v>
      </c>
      <c r="F514">
        <v>11</v>
      </c>
      <c r="G514">
        <v>0</v>
      </c>
      <c r="H514">
        <v>0</v>
      </c>
      <c r="I514">
        <v>1</v>
      </c>
      <c r="J514">
        <v>0.14000000000000001</v>
      </c>
    </row>
    <row r="515" spans="1:10" x14ac:dyDescent="0.35">
      <c r="A515">
        <v>514</v>
      </c>
      <c r="B515" s="1">
        <v>40566</v>
      </c>
      <c r="C515">
        <v>1</v>
      </c>
      <c r="D515">
        <v>0</v>
      </c>
      <c r="E515">
        <v>1</v>
      </c>
      <c r="F515">
        <v>12</v>
      </c>
      <c r="G515">
        <v>0</v>
      </c>
      <c r="H515">
        <v>0</v>
      </c>
      <c r="I515">
        <v>1</v>
      </c>
      <c r="J515">
        <v>0.16</v>
      </c>
    </row>
    <row r="516" spans="1:10" x14ac:dyDescent="0.35">
      <c r="A516">
        <v>515</v>
      </c>
      <c r="B516" s="1">
        <v>40566</v>
      </c>
      <c r="C516">
        <v>1</v>
      </c>
      <c r="D516">
        <v>0</v>
      </c>
      <c r="E516">
        <v>1</v>
      </c>
      <c r="F516">
        <v>13</v>
      </c>
      <c r="G516">
        <v>0</v>
      </c>
      <c r="H516">
        <v>0</v>
      </c>
      <c r="I516">
        <v>1</v>
      </c>
      <c r="J516">
        <v>0.14000000000000001</v>
      </c>
    </row>
    <row r="517" spans="1:10" x14ac:dyDescent="0.35">
      <c r="A517">
        <v>516</v>
      </c>
      <c r="B517" s="1">
        <v>40566</v>
      </c>
      <c r="C517">
        <v>1</v>
      </c>
      <c r="D517">
        <v>0</v>
      </c>
      <c r="E517">
        <v>1</v>
      </c>
      <c r="F517">
        <v>14</v>
      </c>
      <c r="G517">
        <v>0</v>
      </c>
      <c r="H517">
        <v>0</v>
      </c>
      <c r="I517">
        <v>1</v>
      </c>
      <c r="J517">
        <v>0.16</v>
      </c>
    </row>
    <row r="518" spans="1:10" x14ac:dyDescent="0.35">
      <c r="A518">
        <v>517</v>
      </c>
      <c r="B518" s="1">
        <v>40566</v>
      </c>
      <c r="C518">
        <v>1</v>
      </c>
      <c r="D518">
        <v>0</v>
      </c>
      <c r="E518">
        <v>1</v>
      </c>
      <c r="F518">
        <v>15</v>
      </c>
      <c r="G518">
        <v>0</v>
      </c>
      <c r="H518">
        <v>0</v>
      </c>
      <c r="I518">
        <v>1</v>
      </c>
      <c r="J518">
        <v>0.16</v>
      </c>
    </row>
    <row r="519" spans="1:10" x14ac:dyDescent="0.35">
      <c r="A519">
        <v>518</v>
      </c>
      <c r="B519" s="1">
        <v>40566</v>
      </c>
      <c r="C519">
        <v>1</v>
      </c>
      <c r="D519">
        <v>0</v>
      </c>
      <c r="E519">
        <v>1</v>
      </c>
      <c r="F519">
        <v>16</v>
      </c>
      <c r="G519">
        <v>0</v>
      </c>
      <c r="H519">
        <v>0</v>
      </c>
      <c r="I519">
        <v>1</v>
      </c>
      <c r="J519">
        <v>0.16</v>
      </c>
    </row>
    <row r="520" spans="1:10" x14ac:dyDescent="0.35">
      <c r="A520">
        <v>519</v>
      </c>
      <c r="B520" s="1">
        <v>40566</v>
      </c>
      <c r="C520">
        <v>1</v>
      </c>
      <c r="D520">
        <v>0</v>
      </c>
      <c r="E520">
        <v>1</v>
      </c>
      <c r="F520">
        <v>17</v>
      </c>
      <c r="G520">
        <v>0</v>
      </c>
      <c r="H520">
        <v>0</v>
      </c>
      <c r="I520">
        <v>1</v>
      </c>
      <c r="J520">
        <v>0.14000000000000001</v>
      </c>
    </row>
    <row r="521" spans="1:10" x14ac:dyDescent="0.35">
      <c r="A521">
        <v>520</v>
      </c>
      <c r="B521" s="1">
        <v>40566</v>
      </c>
      <c r="C521">
        <v>1</v>
      </c>
      <c r="D521">
        <v>0</v>
      </c>
      <c r="E521">
        <v>1</v>
      </c>
      <c r="F521">
        <v>18</v>
      </c>
      <c r="G521">
        <v>0</v>
      </c>
      <c r="H521">
        <v>0</v>
      </c>
      <c r="I521">
        <v>1</v>
      </c>
      <c r="J521">
        <v>0.12</v>
      </c>
    </row>
    <row r="522" spans="1:10" x14ac:dyDescent="0.35">
      <c r="A522">
        <v>521</v>
      </c>
      <c r="B522" s="1">
        <v>40566</v>
      </c>
      <c r="C522">
        <v>1</v>
      </c>
      <c r="D522">
        <v>0</v>
      </c>
      <c r="E522">
        <v>1</v>
      </c>
      <c r="F522">
        <v>19</v>
      </c>
      <c r="G522">
        <v>0</v>
      </c>
      <c r="H522">
        <v>0</v>
      </c>
      <c r="I522">
        <v>1</v>
      </c>
      <c r="J522">
        <v>0.12</v>
      </c>
    </row>
    <row r="523" spans="1:10" x14ac:dyDescent="0.35">
      <c r="A523">
        <v>522</v>
      </c>
      <c r="B523" s="1">
        <v>40566</v>
      </c>
      <c r="C523">
        <v>1</v>
      </c>
      <c r="D523">
        <v>0</v>
      </c>
      <c r="E523">
        <v>1</v>
      </c>
      <c r="F523">
        <v>20</v>
      </c>
      <c r="G523">
        <v>0</v>
      </c>
      <c r="H523">
        <v>0</v>
      </c>
      <c r="I523">
        <v>1</v>
      </c>
      <c r="J523">
        <v>0.1</v>
      </c>
    </row>
    <row r="524" spans="1:10" x14ac:dyDescent="0.35">
      <c r="A524">
        <v>523</v>
      </c>
      <c r="B524" s="1">
        <v>40566</v>
      </c>
      <c r="C524">
        <v>1</v>
      </c>
      <c r="D524">
        <v>0</v>
      </c>
      <c r="E524">
        <v>1</v>
      </c>
      <c r="F524">
        <v>21</v>
      </c>
      <c r="G524">
        <v>0</v>
      </c>
      <c r="H524">
        <v>0</v>
      </c>
      <c r="I524">
        <v>1</v>
      </c>
      <c r="J524">
        <v>0.1</v>
      </c>
    </row>
    <row r="525" spans="1:10" x14ac:dyDescent="0.35">
      <c r="A525">
        <v>524</v>
      </c>
      <c r="B525" s="1">
        <v>40566</v>
      </c>
      <c r="C525">
        <v>1</v>
      </c>
      <c r="D525">
        <v>0</v>
      </c>
      <c r="E525">
        <v>1</v>
      </c>
      <c r="F525">
        <v>22</v>
      </c>
      <c r="G525">
        <v>0</v>
      </c>
      <c r="H525">
        <v>0</v>
      </c>
      <c r="I525">
        <v>1</v>
      </c>
      <c r="J525">
        <v>0.08</v>
      </c>
    </row>
    <row r="526" spans="1:10" x14ac:dyDescent="0.35">
      <c r="A526">
        <v>525</v>
      </c>
      <c r="B526" s="1">
        <v>40566</v>
      </c>
      <c r="C526">
        <v>1</v>
      </c>
      <c r="D526">
        <v>0</v>
      </c>
      <c r="E526">
        <v>1</v>
      </c>
      <c r="F526">
        <v>23</v>
      </c>
      <c r="G526">
        <v>0</v>
      </c>
      <c r="H526">
        <v>0</v>
      </c>
      <c r="I526">
        <v>1</v>
      </c>
      <c r="J526">
        <v>0.06</v>
      </c>
    </row>
    <row r="527" spans="1:10" x14ac:dyDescent="0.35">
      <c r="A527">
        <v>526</v>
      </c>
      <c r="B527" s="1">
        <v>40567</v>
      </c>
      <c r="C527">
        <v>1</v>
      </c>
      <c r="D527">
        <v>0</v>
      </c>
      <c r="E527">
        <v>1</v>
      </c>
      <c r="F527">
        <v>0</v>
      </c>
      <c r="G527">
        <v>0</v>
      </c>
      <c r="H527">
        <v>1</v>
      </c>
      <c r="I527">
        <v>1</v>
      </c>
      <c r="J527">
        <v>0.06</v>
      </c>
    </row>
    <row r="528" spans="1:10" x14ac:dyDescent="0.35">
      <c r="A528">
        <v>527</v>
      </c>
      <c r="B528" s="1">
        <v>40567</v>
      </c>
      <c r="C528">
        <v>1</v>
      </c>
      <c r="D528">
        <v>0</v>
      </c>
      <c r="E528">
        <v>1</v>
      </c>
      <c r="F528">
        <v>1</v>
      </c>
      <c r="G528">
        <v>0</v>
      </c>
      <c r="H528">
        <v>1</v>
      </c>
      <c r="I528">
        <v>1</v>
      </c>
      <c r="J528">
        <v>0.04</v>
      </c>
    </row>
    <row r="529" spans="1:10" x14ac:dyDescent="0.35">
      <c r="A529">
        <v>528</v>
      </c>
      <c r="B529" s="1">
        <v>40567</v>
      </c>
      <c r="C529">
        <v>1</v>
      </c>
      <c r="D529">
        <v>0</v>
      </c>
      <c r="E529">
        <v>1</v>
      </c>
      <c r="F529">
        <v>3</v>
      </c>
      <c r="G529">
        <v>0</v>
      </c>
      <c r="H529">
        <v>1</v>
      </c>
      <c r="I529">
        <v>1</v>
      </c>
      <c r="J529">
        <v>0.04</v>
      </c>
    </row>
    <row r="530" spans="1:10" x14ac:dyDescent="0.35">
      <c r="A530">
        <v>529</v>
      </c>
      <c r="B530" s="1">
        <v>40567</v>
      </c>
      <c r="C530">
        <v>1</v>
      </c>
      <c r="D530">
        <v>0</v>
      </c>
      <c r="E530">
        <v>1</v>
      </c>
      <c r="F530">
        <v>4</v>
      </c>
      <c r="G530">
        <v>0</v>
      </c>
      <c r="H530">
        <v>1</v>
      </c>
      <c r="I530">
        <v>1</v>
      </c>
      <c r="J530">
        <v>0.02</v>
      </c>
    </row>
    <row r="531" spans="1:10" x14ac:dyDescent="0.35">
      <c r="A531">
        <v>530</v>
      </c>
      <c r="B531" s="1">
        <v>40567</v>
      </c>
      <c r="C531">
        <v>1</v>
      </c>
      <c r="D531">
        <v>0</v>
      </c>
      <c r="E531">
        <v>1</v>
      </c>
      <c r="F531">
        <v>5</v>
      </c>
      <c r="G531">
        <v>0</v>
      </c>
      <c r="H531">
        <v>1</v>
      </c>
      <c r="I531">
        <v>1</v>
      </c>
      <c r="J531">
        <v>0.02</v>
      </c>
    </row>
    <row r="532" spans="1:10" x14ac:dyDescent="0.35">
      <c r="A532">
        <v>531</v>
      </c>
      <c r="B532" s="1">
        <v>40567</v>
      </c>
      <c r="C532">
        <v>1</v>
      </c>
      <c r="D532">
        <v>0</v>
      </c>
      <c r="E532">
        <v>1</v>
      </c>
      <c r="F532">
        <v>6</v>
      </c>
      <c r="G532">
        <v>0</v>
      </c>
      <c r="H532">
        <v>1</v>
      </c>
      <c r="I532">
        <v>1</v>
      </c>
      <c r="J532">
        <v>0.02</v>
      </c>
    </row>
    <row r="533" spans="1:10" x14ac:dyDescent="0.35">
      <c r="A533">
        <v>532</v>
      </c>
      <c r="B533" s="1">
        <v>40567</v>
      </c>
      <c r="C533">
        <v>1</v>
      </c>
      <c r="D533">
        <v>0</v>
      </c>
      <c r="E533">
        <v>1</v>
      </c>
      <c r="F533">
        <v>7</v>
      </c>
      <c r="G533">
        <v>0</v>
      </c>
      <c r="H533">
        <v>1</v>
      </c>
      <c r="I533">
        <v>1</v>
      </c>
      <c r="J533">
        <v>0.02</v>
      </c>
    </row>
    <row r="534" spans="1:10" x14ac:dyDescent="0.35">
      <c r="A534">
        <v>533</v>
      </c>
      <c r="B534" s="1">
        <v>40567</v>
      </c>
      <c r="C534">
        <v>1</v>
      </c>
      <c r="D534">
        <v>0</v>
      </c>
      <c r="E534">
        <v>1</v>
      </c>
      <c r="F534">
        <v>8</v>
      </c>
      <c r="G534">
        <v>0</v>
      </c>
      <c r="H534">
        <v>1</v>
      </c>
      <c r="I534">
        <v>1</v>
      </c>
      <c r="J534">
        <v>0.04</v>
      </c>
    </row>
    <row r="535" spans="1:10" x14ac:dyDescent="0.35">
      <c r="A535">
        <v>534</v>
      </c>
      <c r="B535" s="1">
        <v>40567</v>
      </c>
      <c r="C535">
        <v>1</v>
      </c>
      <c r="D535">
        <v>0</v>
      </c>
      <c r="E535">
        <v>1</v>
      </c>
      <c r="F535">
        <v>9</v>
      </c>
      <c r="G535">
        <v>0</v>
      </c>
      <c r="H535">
        <v>1</v>
      </c>
      <c r="I535">
        <v>1</v>
      </c>
      <c r="J535">
        <v>0.06</v>
      </c>
    </row>
    <row r="536" spans="1:10" x14ac:dyDescent="0.35">
      <c r="A536">
        <v>535</v>
      </c>
      <c r="B536" s="1">
        <v>40567</v>
      </c>
      <c r="C536">
        <v>1</v>
      </c>
      <c r="D536">
        <v>0</v>
      </c>
      <c r="E536">
        <v>1</v>
      </c>
      <c r="F536">
        <v>10</v>
      </c>
      <c r="G536">
        <v>0</v>
      </c>
      <c r="H536">
        <v>1</v>
      </c>
      <c r="I536">
        <v>1</v>
      </c>
      <c r="J536">
        <v>0.1</v>
      </c>
    </row>
    <row r="537" spans="1:10" x14ac:dyDescent="0.35">
      <c r="A537">
        <v>536</v>
      </c>
      <c r="B537" s="1">
        <v>40567</v>
      </c>
      <c r="C537">
        <v>1</v>
      </c>
      <c r="D537">
        <v>0</v>
      </c>
      <c r="E537">
        <v>1</v>
      </c>
      <c r="F537">
        <v>11</v>
      </c>
      <c r="G537">
        <v>0</v>
      </c>
      <c r="H537">
        <v>1</v>
      </c>
      <c r="I537">
        <v>1</v>
      </c>
      <c r="J537">
        <v>0.1</v>
      </c>
    </row>
    <row r="538" spans="1:10" x14ac:dyDescent="0.35">
      <c r="A538">
        <v>537</v>
      </c>
      <c r="B538" s="1">
        <v>40567</v>
      </c>
      <c r="C538">
        <v>1</v>
      </c>
      <c r="D538">
        <v>0</v>
      </c>
      <c r="E538">
        <v>1</v>
      </c>
      <c r="F538">
        <v>12</v>
      </c>
      <c r="G538">
        <v>0</v>
      </c>
      <c r="H538">
        <v>1</v>
      </c>
      <c r="I538">
        <v>2</v>
      </c>
      <c r="J538">
        <v>0.12</v>
      </c>
    </row>
    <row r="539" spans="1:10" x14ac:dyDescent="0.35">
      <c r="A539">
        <v>538</v>
      </c>
      <c r="B539" s="1">
        <v>40567</v>
      </c>
      <c r="C539">
        <v>1</v>
      </c>
      <c r="D539">
        <v>0</v>
      </c>
      <c r="E539">
        <v>1</v>
      </c>
      <c r="F539">
        <v>13</v>
      </c>
      <c r="G539">
        <v>0</v>
      </c>
      <c r="H539">
        <v>1</v>
      </c>
      <c r="I539">
        <v>2</v>
      </c>
      <c r="J539">
        <v>0.14000000000000001</v>
      </c>
    </row>
    <row r="540" spans="1:10" x14ac:dyDescent="0.35">
      <c r="A540">
        <v>539</v>
      </c>
      <c r="B540" s="1">
        <v>40567</v>
      </c>
      <c r="C540">
        <v>1</v>
      </c>
      <c r="D540">
        <v>0</v>
      </c>
      <c r="E540">
        <v>1</v>
      </c>
      <c r="F540">
        <v>14</v>
      </c>
      <c r="G540">
        <v>0</v>
      </c>
      <c r="H540">
        <v>1</v>
      </c>
      <c r="I540">
        <v>2</v>
      </c>
      <c r="J540">
        <v>0.14000000000000001</v>
      </c>
    </row>
    <row r="541" spans="1:10" x14ac:dyDescent="0.35">
      <c r="A541">
        <v>540</v>
      </c>
      <c r="B541" s="1">
        <v>40567</v>
      </c>
      <c r="C541">
        <v>1</v>
      </c>
      <c r="D541">
        <v>0</v>
      </c>
      <c r="E541">
        <v>1</v>
      </c>
      <c r="F541">
        <v>15</v>
      </c>
      <c r="G541">
        <v>0</v>
      </c>
      <c r="H541">
        <v>1</v>
      </c>
      <c r="I541">
        <v>1</v>
      </c>
      <c r="J541">
        <v>0.16</v>
      </c>
    </row>
    <row r="542" spans="1:10" x14ac:dyDescent="0.35">
      <c r="A542">
        <v>541</v>
      </c>
      <c r="B542" s="1">
        <v>40567</v>
      </c>
      <c r="C542">
        <v>1</v>
      </c>
      <c r="D542">
        <v>0</v>
      </c>
      <c r="E542">
        <v>1</v>
      </c>
      <c r="F542">
        <v>16</v>
      </c>
      <c r="G542">
        <v>0</v>
      </c>
      <c r="H542">
        <v>1</v>
      </c>
      <c r="I542">
        <v>1</v>
      </c>
      <c r="J542">
        <v>0.16</v>
      </c>
    </row>
    <row r="543" spans="1:10" x14ac:dyDescent="0.35">
      <c r="A543">
        <v>542</v>
      </c>
      <c r="B543" s="1">
        <v>40567</v>
      </c>
      <c r="C543">
        <v>1</v>
      </c>
      <c r="D543">
        <v>0</v>
      </c>
      <c r="E543">
        <v>1</v>
      </c>
      <c r="F543">
        <v>17</v>
      </c>
      <c r="G543">
        <v>0</v>
      </c>
      <c r="H543">
        <v>1</v>
      </c>
      <c r="I543">
        <v>1</v>
      </c>
      <c r="J543">
        <v>0.14000000000000001</v>
      </c>
    </row>
    <row r="544" spans="1:10" x14ac:dyDescent="0.35">
      <c r="A544">
        <v>543</v>
      </c>
      <c r="B544" s="1">
        <v>40567</v>
      </c>
      <c r="C544">
        <v>1</v>
      </c>
      <c r="D544">
        <v>0</v>
      </c>
      <c r="E544">
        <v>1</v>
      </c>
      <c r="F544">
        <v>18</v>
      </c>
      <c r="G544">
        <v>0</v>
      </c>
      <c r="H544">
        <v>1</v>
      </c>
      <c r="I544">
        <v>1</v>
      </c>
      <c r="J544">
        <v>0.14000000000000001</v>
      </c>
    </row>
    <row r="545" spans="1:10" x14ac:dyDescent="0.35">
      <c r="A545">
        <v>544</v>
      </c>
      <c r="B545" s="1">
        <v>40567</v>
      </c>
      <c r="C545">
        <v>1</v>
      </c>
      <c r="D545">
        <v>0</v>
      </c>
      <c r="E545">
        <v>1</v>
      </c>
      <c r="F545">
        <v>19</v>
      </c>
      <c r="G545">
        <v>0</v>
      </c>
      <c r="H545">
        <v>1</v>
      </c>
      <c r="I545">
        <v>1</v>
      </c>
      <c r="J545">
        <v>0.14000000000000001</v>
      </c>
    </row>
    <row r="546" spans="1:10" x14ac:dyDescent="0.35">
      <c r="A546">
        <v>545</v>
      </c>
      <c r="B546" s="1">
        <v>40567</v>
      </c>
      <c r="C546">
        <v>1</v>
      </c>
      <c r="D546">
        <v>0</v>
      </c>
      <c r="E546">
        <v>1</v>
      </c>
      <c r="F546">
        <v>20</v>
      </c>
      <c r="G546">
        <v>0</v>
      </c>
      <c r="H546">
        <v>1</v>
      </c>
      <c r="I546">
        <v>1</v>
      </c>
      <c r="J546">
        <v>0.14000000000000001</v>
      </c>
    </row>
    <row r="547" spans="1:10" x14ac:dyDescent="0.35">
      <c r="A547">
        <v>546</v>
      </c>
      <c r="B547" s="1">
        <v>40567</v>
      </c>
      <c r="C547">
        <v>1</v>
      </c>
      <c r="D547">
        <v>0</v>
      </c>
      <c r="E547">
        <v>1</v>
      </c>
      <c r="F547">
        <v>21</v>
      </c>
      <c r="G547">
        <v>0</v>
      </c>
      <c r="H547">
        <v>1</v>
      </c>
      <c r="I547">
        <v>1</v>
      </c>
      <c r="J547">
        <v>0.14000000000000001</v>
      </c>
    </row>
    <row r="548" spans="1:10" x14ac:dyDescent="0.35">
      <c r="A548">
        <v>547</v>
      </c>
      <c r="B548" s="1">
        <v>40567</v>
      </c>
      <c r="C548">
        <v>1</v>
      </c>
      <c r="D548">
        <v>0</v>
      </c>
      <c r="E548">
        <v>1</v>
      </c>
      <c r="F548">
        <v>22</v>
      </c>
      <c r="G548">
        <v>0</v>
      </c>
      <c r="H548">
        <v>1</v>
      </c>
      <c r="I548">
        <v>2</v>
      </c>
      <c r="J548">
        <v>0.14000000000000001</v>
      </c>
    </row>
    <row r="549" spans="1:10" x14ac:dyDescent="0.35">
      <c r="A549">
        <v>548</v>
      </c>
      <c r="B549" s="1">
        <v>40567</v>
      </c>
      <c r="C549">
        <v>1</v>
      </c>
      <c r="D549">
        <v>0</v>
      </c>
      <c r="E549">
        <v>1</v>
      </c>
      <c r="F549">
        <v>23</v>
      </c>
      <c r="G549">
        <v>0</v>
      </c>
      <c r="H549">
        <v>1</v>
      </c>
      <c r="I549">
        <v>2</v>
      </c>
      <c r="J549">
        <v>0.16</v>
      </c>
    </row>
    <row r="550" spans="1:10" x14ac:dyDescent="0.35">
      <c r="A550">
        <v>549</v>
      </c>
      <c r="B550" s="1">
        <v>40568</v>
      </c>
      <c r="C550">
        <v>1</v>
      </c>
      <c r="D550">
        <v>0</v>
      </c>
      <c r="E550">
        <v>1</v>
      </c>
      <c r="F550">
        <v>0</v>
      </c>
      <c r="G550">
        <v>0</v>
      </c>
      <c r="H550">
        <v>2</v>
      </c>
      <c r="I550">
        <v>2</v>
      </c>
      <c r="J550">
        <v>0.16</v>
      </c>
    </row>
    <row r="551" spans="1:10" x14ac:dyDescent="0.35">
      <c r="A551">
        <v>550</v>
      </c>
      <c r="B551" s="1">
        <v>40568</v>
      </c>
      <c r="C551">
        <v>1</v>
      </c>
      <c r="D551">
        <v>0</v>
      </c>
      <c r="E551">
        <v>1</v>
      </c>
      <c r="F551">
        <v>1</v>
      </c>
      <c r="G551">
        <v>0</v>
      </c>
      <c r="H551">
        <v>2</v>
      </c>
      <c r="I551">
        <v>2</v>
      </c>
      <c r="J551">
        <v>0.16</v>
      </c>
    </row>
    <row r="552" spans="1:10" x14ac:dyDescent="0.35">
      <c r="A552">
        <v>551</v>
      </c>
      <c r="B552" s="1">
        <v>40568</v>
      </c>
      <c r="C552">
        <v>1</v>
      </c>
      <c r="D552">
        <v>0</v>
      </c>
      <c r="E552">
        <v>1</v>
      </c>
      <c r="F552">
        <v>2</v>
      </c>
      <c r="G552">
        <v>0</v>
      </c>
      <c r="H552">
        <v>2</v>
      </c>
      <c r="I552">
        <v>1</v>
      </c>
      <c r="J552">
        <v>0.16</v>
      </c>
    </row>
    <row r="553" spans="1:10" x14ac:dyDescent="0.35">
      <c r="A553">
        <v>552</v>
      </c>
      <c r="B553" s="1">
        <v>40568</v>
      </c>
      <c r="C553">
        <v>1</v>
      </c>
      <c r="D553">
        <v>0</v>
      </c>
      <c r="E553">
        <v>1</v>
      </c>
      <c r="F553">
        <v>4</v>
      </c>
      <c r="G553">
        <v>0</v>
      </c>
      <c r="H553">
        <v>2</v>
      </c>
      <c r="I553">
        <v>1</v>
      </c>
      <c r="J553">
        <v>0.14000000000000001</v>
      </c>
    </row>
    <row r="554" spans="1:10" x14ac:dyDescent="0.35">
      <c r="A554">
        <v>553</v>
      </c>
      <c r="B554" s="1">
        <v>40568</v>
      </c>
      <c r="C554">
        <v>1</v>
      </c>
      <c r="D554">
        <v>0</v>
      </c>
      <c r="E554">
        <v>1</v>
      </c>
      <c r="F554">
        <v>5</v>
      </c>
      <c r="G554">
        <v>0</v>
      </c>
      <c r="H554">
        <v>2</v>
      </c>
      <c r="I554">
        <v>1</v>
      </c>
      <c r="J554">
        <v>0.14000000000000001</v>
      </c>
    </row>
    <row r="555" spans="1:10" x14ac:dyDescent="0.35">
      <c r="A555">
        <v>554</v>
      </c>
      <c r="B555" s="1">
        <v>40568</v>
      </c>
      <c r="C555">
        <v>1</v>
      </c>
      <c r="D555">
        <v>0</v>
      </c>
      <c r="E555">
        <v>1</v>
      </c>
      <c r="F555">
        <v>6</v>
      </c>
      <c r="G555">
        <v>0</v>
      </c>
      <c r="H555">
        <v>2</v>
      </c>
      <c r="I555">
        <v>1</v>
      </c>
      <c r="J555">
        <v>0.16</v>
      </c>
    </row>
    <row r="556" spans="1:10" x14ac:dyDescent="0.35">
      <c r="A556">
        <v>555</v>
      </c>
      <c r="B556" s="1">
        <v>40568</v>
      </c>
      <c r="C556">
        <v>1</v>
      </c>
      <c r="D556">
        <v>0</v>
      </c>
      <c r="E556">
        <v>1</v>
      </c>
      <c r="F556">
        <v>7</v>
      </c>
      <c r="G556">
        <v>0</v>
      </c>
      <c r="H556">
        <v>2</v>
      </c>
      <c r="I556">
        <v>1</v>
      </c>
      <c r="J556">
        <v>0.16</v>
      </c>
    </row>
    <row r="557" spans="1:10" x14ac:dyDescent="0.35">
      <c r="A557">
        <v>556</v>
      </c>
      <c r="B557" s="1">
        <v>40568</v>
      </c>
      <c r="C557">
        <v>1</v>
      </c>
      <c r="D557">
        <v>0</v>
      </c>
      <c r="E557">
        <v>1</v>
      </c>
      <c r="F557">
        <v>8</v>
      </c>
      <c r="G557">
        <v>0</v>
      </c>
      <c r="H557">
        <v>2</v>
      </c>
      <c r="I557">
        <v>2</v>
      </c>
      <c r="J557">
        <v>0.16</v>
      </c>
    </row>
    <row r="558" spans="1:10" x14ac:dyDescent="0.35">
      <c r="A558">
        <v>557</v>
      </c>
      <c r="B558" s="1">
        <v>40568</v>
      </c>
      <c r="C558">
        <v>1</v>
      </c>
      <c r="D558">
        <v>0</v>
      </c>
      <c r="E558">
        <v>1</v>
      </c>
      <c r="F558">
        <v>9</v>
      </c>
      <c r="G558">
        <v>0</v>
      </c>
      <c r="H558">
        <v>2</v>
      </c>
      <c r="I558">
        <v>2</v>
      </c>
      <c r="J558">
        <v>0.2</v>
      </c>
    </row>
    <row r="559" spans="1:10" x14ac:dyDescent="0.35">
      <c r="A559">
        <v>558</v>
      </c>
      <c r="B559" s="1">
        <v>40568</v>
      </c>
      <c r="C559">
        <v>1</v>
      </c>
      <c r="D559">
        <v>0</v>
      </c>
      <c r="E559">
        <v>1</v>
      </c>
      <c r="F559">
        <v>10</v>
      </c>
      <c r="G559">
        <v>0</v>
      </c>
      <c r="H559">
        <v>2</v>
      </c>
      <c r="I559">
        <v>2</v>
      </c>
      <c r="J559">
        <v>0.22</v>
      </c>
    </row>
    <row r="560" spans="1:10" x14ac:dyDescent="0.35">
      <c r="A560">
        <v>559</v>
      </c>
      <c r="B560" s="1">
        <v>40568</v>
      </c>
      <c r="C560">
        <v>1</v>
      </c>
      <c r="D560">
        <v>0</v>
      </c>
      <c r="E560">
        <v>1</v>
      </c>
      <c r="F560">
        <v>11</v>
      </c>
      <c r="G560">
        <v>0</v>
      </c>
      <c r="H560">
        <v>2</v>
      </c>
      <c r="I560">
        <v>2</v>
      </c>
      <c r="J560">
        <v>0.24</v>
      </c>
    </row>
    <row r="561" spans="1:10" x14ac:dyDescent="0.35">
      <c r="A561">
        <v>560</v>
      </c>
      <c r="B561" s="1">
        <v>40568</v>
      </c>
      <c r="C561">
        <v>1</v>
      </c>
      <c r="D561">
        <v>0</v>
      </c>
      <c r="E561">
        <v>1</v>
      </c>
      <c r="F561">
        <v>12</v>
      </c>
      <c r="G561">
        <v>0</v>
      </c>
      <c r="H561">
        <v>2</v>
      </c>
      <c r="I561">
        <v>2</v>
      </c>
      <c r="J561">
        <v>0.26</v>
      </c>
    </row>
    <row r="562" spans="1:10" x14ac:dyDescent="0.35">
      <c r="A562">
        <v>561</v>
      </c>
      <c r="B562" s="1">
        <v>40568</v>
      </c>
      <c r="C562">
        <v>1</v>
      </c>
      <c r="D562">
        <v>0</v>
      </c>
      <c r="E562">
        <v>1</v>
      </c>
      <c r="F562">
        <v>13</v>
      </c>
      <c r="G562">
        <v>0</v>
      </c>
      <c r="H562">
        <v>2</v>
      </c>
      <c r="I562">
        <v>2</v>
      </c>
      <c r="J562">
        <v>0.26</v>
      </c>
    </row>
    <row r="563" spans="1:10" x14ac:dyDescent="0.35">
      <c r="A563">
        <v>562</v>
      </c>
      <c r="B563" s="1">
        <v>40568</v>
      </c>
      <c r="C563">
        <v>1</v>
      </c>
      <c r="D563">
        <v>0</v>
      </c>
      <c r="E563">
        <v>1</v>
      </c>
      <c r="F563">
        <v>14</v>
      </c>
      <c r="G563">
        <v>0</v>
      </c>
      <c r="H563">
        <v>2</v>
      </c>
      <c r="I563">
        <v>2</v>
      </c>
      <c r="J563">
        <v>0.3</v>
      </c>
    </row>
    <row r="564" spans="1:10" x14ac:dyDescent="0.35">
      <c r="A564">
        <v>563</v>
      </c>
      <c r="B564" s="1">
        <v>40568</v>
      </c>
      <c r="C564">
        <v>1</v>
      </c>
      <c r="D564">
        <v>0</v>
      </c>
      <c r="E564">
        <v>1</v>
      </c>
      <c r="F564">
        <v>15</v>
      </c>
      <c r="G564">
        <v>0</v>
      </c>
      <c r="H564">
        <v>2</v>
      </c>
      <c r="I564">
        <v>2</v>
      </c>
      <c r="J564">
        <v>0.32</v>
      </c>
    </row>
    <row r="565" spans="1:10" x14ac:dyDescent="0.35">
      <c r="A565">
        <v>564</v>
      </c>
      <c r="B565" s="1">
        <v>40568</v>
      </c>
      <c r="C565">
        <v>1</v>
      </c>
      <c r="D565">
        <v>0</v>
      </c>
      <c r="E565">
        <v>1</v>
      </c>
      <c r="F565">
        <v>16</v>
      </c>
      <c r="G565">
        <v>0</v>
      </c>
      <c r="H565">
        <v>2</v>
      </c>
      <c r="I565">
        <v>2</v>
      </c>
      <c r="J565">
        <v>0.32</v>
      </c>
    </row>
    <row r="566" spans="1:10" x14ac:dyDescent="0.35">
      <c r="A566">
        <v>565</v>
      </c>
      <c r="B566" s="1">
        <v>40568</v>
      </c>
      <c r="C566">
        <v>1</v>
      </c>
      <c r="D566">
        <v>0</v>
      </c>
      <c r="E566">
        <v>1</v>
      </c>
      <c r="F566">
        <v>17</v>
      </c>
      <c r="G566">
        <v>0</v>
      </c>
      <c r="H566">
        <v>2</v>
      </c>
      <c r="I566">
        <v>1</v>
      </c>
      <c r="J566">
        <v>0.3</v>
      </c>
    </row>
    <row r="567" spans="1:10" x14ac:dyDescent="0.35">
      <c r="A567">
        <v>566</v>
      </c>
      <c r="B567" s="1">
        <v>40568</v>
      </c>
      <c r="C567">
        <v>1</v>
      </c>
      <c r="D567">
        <v>0</v>
      </c>
      <c r="E567">
        <v>1</v>
      </c>
      <c r="F567">
        <v>18</v>
      </c>
      <c r="G567">
        <v>0</v>
      </c>
      <c r="H567">
        <v>2</v>
      </c>
      <c r="I567">
        <v>2</v>
      </c>
      <c r="J567">
        <v>0.3</v>
      </c>
    </row>
    <row r="568" spans="1:10" x14ac:dyDescent="0.35">
      <c r="A568">
        <v>567</v>
      </c>
      <c r="B568" s="1">
        <v>40568</v>
      </c>
      <c r="C568">
        <v>1</v>
      </c>
      <c r="D568">
        <v>0</v>
      </c>
      <c r="E568">
        <v>1</v>
      </c>
      <c r="F568">
        <v>19</v>
      </c>
      <c r="G568">
        <v>0</v>
      </c>
      <c r="H568">
        <v>2</v>
      </c>
      <c r="I568">
        <v>2</v>
      </c>
      <c r="J568">
        <v>0.26</v>
      </c>
    </row>
    <row r="569" spans="1:10" x14ac:dyDescent="0.35">
      <c r="A569">
        <v>568</v>
      </c>
      <c r="B569" s="1">
        <v>40568</v>
      </c>
      <c r="C569">
        <v>1</v>
      </c>
      <c r="D569">
        <v>0</v>
      </c>
      <c r="E569">
        <v>1</v>
      </c>
      <c r="F569">
        <v>20</v>
      </c>
      <c r="G569">
        <v>0</v>
      </c>
      <c r="H569">
        <v>2</v>
      </c>
      <c r="I569">
        <v>1</v>
      </c>
      <c r="J569">
        <v>0.24</v>
      </c>
    </row>
    <row r="570" spans="1:10" x14ac:dyDescent="0.35">
      <c r="A570">
        <v>569</v>
      </c>
      <c r="B570" s="1">
        <v>40568</v>
      </c>
      <c r="C570">
        <v>1</v>
      </c>
      <c r="D570">
        <v>0</v>
      </c>
      <c r="E570">
        <v>1</v>
      </c>
      <c r="F570">
        <v>21</v>
      </c>
      <c r="G570">
        <v>0</v>
      </c>
      <c r="H570">
        <v>2</v>
      </c>
      <c r="I570">
        <v>1</v>
      </c>
      <c r="J570">
        <v>0.24</v>
      </c>
    </row>
    <row r="571" spans="1:10" x14ac:dyDescent="0.35">
      <c r="A571">
        <v>570</v>
      </c>
      <c r="B571" s="1">
        <v>40568</v>
      </c>
      <c r="C571">
        <v>1</v>
      </c>
      <c r="D571">
        <v>0</v>
      </c>
      <c r="E571">
        <v>1</v>
      </c>
      <c r="F571">
        <v>22</v>
      </c>
      <c r="G571">
        <v>0</v>
      </c>
      <c r="H571">
        <v>2</v>
      </c>
      <c r="I571">
        <v>1</v>
      </c>
      <c r="J571">
        <v>0.22</v>
      </c>
    </row>
    <row r="572" spans="1:10" x14ac:dyDescent="0.35">
      <c r="A572">
        <v>571</v>
      </c>
      <c r="B572" s="1">
        <v>40568</v>
      </c>
      <c r="C572">
        <v>1</v>
      </c>
      <c r="D572">
        <v>0</v>
      </c>
      <c r="E572">
        <v>1</v>
      </c>
      <c r="F572">
        <v>23</v>
      </c>
      <c r="G572">
        <v>0</v>
      </c>
      <c r="H572">
        <v>2</v>
      </c>
      <c r="I572">
        <v>2</v>
      </c>
      <c r="J572">
        <v>0.22</v>
      </c>
    </row>
    <row r="573" spans="1:10" x14ac:dyDescent="0.35">
      <c r="A573">
        <v>572</v>
      </c>
      <c r="B573" s="1">
        <v>40569</v>
      </c>
      <c r="C573">
        <v>1</v>
      </c>
      <c r="D573">
        <v>0</v>
      </c>
      <c r="E573">
        <v>1</v>
      </c>
      <c r="F573">
        <v>0</v>
      </c>
      <c r="G573">
        <v>0</v>
      </c>
      <c r="H573">
        <v>3</v>
      </c>
      <c r="I573">
        <v>2</v>
      </c>
      <c r="J573">
        <v>0.22</v>
      </c>
    </row>
    <row r="574" spans="1:10" x14ac:dyDescent="0.35">
      <c r="A574">
        <v>573</v>
      </c>
      <c r="B574" s="1">
        <v>40569</v>
      </c>
      <c r="C574">
        <v>1</v>
      </c>
      <c r="D574">
        <v>0</v>
      </c>
      <c r="E574">
        <v>1</v>
      </c>
      <c r="F574">
        <v>1</v>
      </c>
      <c r="G574">
        <v>0</v>
      </c>
      <c r="H574">
        <v>3</v>
      </c>
      <c r="I574">
        <v>2</v>
      </c>
      <c r="J574">
        <v>0.24</v>
      </c>
    </row>
    <row r="575" spans="1:10" x14ac:dyDescent="0.35">
      <c r="A575">
        <v>574</v>
      </c>
      <c r="B575" s="1">
        <v>40569</v>
      </c>
      <c r="C575">
        <v>1</v>
      </c>
      <c r="D575">
        <v>0</v>
      </c>
      <c r="E575">
        <v>1</v>
      </c>
      <c r="F575">
        <v>2</v>
      </c>
      <c r="G575">
        <v>0</v>
      </c>
      <c r="H575">
        <v>3</v>
      </c>
      <c r="I575">
        <v>3</v>
      </c>
      <c r="J575">
        <v>0.22</v>
      </c>
    </row>
    <row r="576" spans="1:10" x14ac:dyDescent="0.35">
      <c r="A576">
        <v>575</v>
      </c>
      <c r="B576" s="1">
        <v>40569</v>
      </c>
      <c r="C576">
        <v>1</v>
      </c>
      <c r="D576">
        <v>0</v>
      </c>
      <c r="E576">
        <v>1</v>
      </c>
      <c r="F576">
        <v>5</v>
      </c>
      <c r="G576">
        <v>0</v>
      </c>
      <c r="H576">
        <v>3</v>
      </c>
      <c r="I576">
        <v>3</v>
      </c>
      <c r="J576">
        <v>0.2</v>
      </c>
    </row>
    <row r="577" spans="1:10" x14ac:dyDescent="0.35">
      <c r="A577">
        <v>576</v>
      </c>
      <c r="B577" s="1">
        <v>40569</v>
      </c>
      <c r="C577">
        <v>1</v>
      </c>
      <c r="D577">
        <v>0</v>
      </c>
      <c r="E577">
        <v>1</v>
      </c>
      <c r="F577">
        <v>6</v>
      </c>
      <c r="G577">
        <v>0</v>
      </c>
      <c r="H577">
        <v>3</v>
      </c>
      <c r="I577">
        <v>3</v>
      </c>
      <c r="J577">
        <v>0.2</v>
      </c>
    </row>
    <row r="578" spans="1:10" x14ac:dyDescent="0.35">
      <c r="A578">
        <v>577</v>
      </c>
      <c r="B578" s="1">
        <v>40569</v>
      </c>
      <c r="C578">
        <v>1</v>
      </c>
      <c r="D578">
        <v>0</v>
      </c>
      <c r="E578">
        <v>1</v>
      </c>
      <c r="F578">
        <v>7</v>
      </c>
      <c r="G578">
        <v>0</v>
      </c>
      <c r="H578">
        <v>3</v>
      </c>
      <c r="I578">
        <v>3</v>
      </c>
      <c r="J578">
        <v>0.22</v>
      </c>
    </row>
    <row r="579" spans="1:10" x14ac:dyDescent="0.35">
      <c r="A579">
        <v>578</v>
      </c>
      <c r="B579" s="1">
        <v>40569</v>
      </c>
      <c r="C579">
        <v>1</v>
      </c>
      <c r="D579">
        <v>0</v>
      </c>
      <c r="E579">
        <v>1</v>
      </c>
      <c r="F579">
        <v>8</v>
      </c>
      <c r="G579">
        <v>0</v>
      </c>
      <c r="H579">
        <v>3</v>
      </c>
      <c r="I579">
        <v>3</v>
      </c>
      <c r="J579">
        <v>0.22</v>
      </c>
    </row>
    <row r="580" spans="1:10" x14ac:dyDescent="0.35">
      <c r="A580">
        <v>579</v>
      </c>
      <c r="B580" s="1">
        <v>40569</v>
      </c>
      <c r="C580">
        <v>1</v>
      </c>
      <c r="D580">
        <v>0</v>
      </c>
      <c r="E580">
        <v>1</v>
      </c>
      <c r="F580">
        <v>9</v>
      </c>
      <c r="G580">
        <v>0</v>
      </c>
      <c r="H580">
        <v>3</v>
      </c>
      <c r="I580">
        <v>3</v>
      </c>
      <c r="J580">
        <v>0.22</v>
      </c>
    </row>
    <row r="581" spans="1:10" x14ac:dyDescent="0.35">
      <c r="A581">
        <v>580</v>
      </c>
      <c r="B581" s="1">
        <v>40569</v>
      </c>
      <c r="C581">
        <v>1</v>
      </c>
      <c r="D581">
        <v>0</v>
      </c>
      <c r="E581">
        <v>1</v>
      </c>
      <c r="F581">
        <v>10</v>
      </c>
      <c r="G581">
        <v>0</v>
      </c>
      <c r="H581">
        <v>3</v>
      </c>
      <c r="I581">
        <v>3</v>
      </c>
      <c r="J581">
        <v>0.22</v>
      </c>
    </row>
    <row r="582" spans="1:10" x14ac:dyDescent="0.35">
      <c r="A582">
        <v>581</v>
      </c>
      <c r="B582" s="1">
        <v>40569</v>
      </c>
      <c r="C582">
        <v>1</v>
      </c>
      <c r="D582">
        <v>0</v>
      </c>
      <c r="E582">
        <v>1</v>
      </c>
      <c r="F582">
        <v>11</v>
      </c>
      <c r="G582">
        <v>0</v>
      </c>
      <c r="H582">
        <v>3</v>
      </c>
      <c r="I582">
        <v>3</v>
      </c>
      <c r="J582">
        <v>0.22</v>
      </c>
    </row>
    <row r="583" spans="1:10" x14ac:dyDescent="0.35">
      <c r="A583">
        <v>582</v>
      </c>
      <c r="B583" s="1">
        <v>40569</v>
      </c>
      <c r="C583">
        <v>1</v>
      </c>
      <c r="D583">
        <v>0</v>
      </c>
      <c r="E583">
        <v>1</v>
      </c>
      <c r="F583">
        <v>12</v>
      </c>
      <c r="G583">
        <v>0</v>
      </c>
      <c r="H583">
        <v>3</v>
      </c>
      <c r="I583">
        <v>3</v>
      </c>
      <c r="J583">
        <v>0.22</v>
      </c>
    </row>
    <row r="584" spans="1:10" x14ac:dyDescent="0.35">
      <c r="A584">
        <v>583</v>
      </c>
      <c r="B584" s="1">
        <v>40569</v>
      </c>
      <c r="C584">
        <v>1</v>
      </c>
      <c r="D584">
        <v>0</v>
      </c>
      <c r="E584">
        <v>1</v>
      </c>
      <c r="F584">
        <v>13</v>
      </c>
      <c r="G584">
        <v>0</v>
      </c>
      <c r="H584">
        <v>3</v>
      </c>
      <c r="I584">
        <v>3</v>
      </c>
      <c r="J584">
        <v>0.22</v>
      </c>
    </row>
    <row r="585" spans="1:10" x14ac:dyDescent="0.35">
      <c r="A585">
        <v>584</v>
      </c>
      <c r="B585" s="1">
        <v>40569</v>
      </c>
      <c r="C585">
        <v>1</v>
      </c>
      <c r="D585">
        <v>0</v>
      </c>
      <c r="E585">
        <v>1</v>
      </c>
      <c r="F585">
        <v>14</v>
      </c>
      <c r="G585">
        <v>0</v>
      </c>
      <c r="H585">
        <v>3</v>
      </c>
      <c r="I585">
        <v>3</v>
      </c>
      <c r="J585">
        <v>0.22</v>
      </c>
    </row>
    <row r="586" spans="1:10" x14ac:dyDescent="0.35">
      <c r="A586">
        <v>585</v>
      </c>
      <c r="B586" s="1">
        <v>40569</v>
      </c>
      <c r="C586">
        <v>1</v>
      </c>
      <c r="D586">
        <v>0</v>
      </c>
      <c r="E586">
        <v>1</v>
      </c>
      <c r="F586">
        <v>15</v>
      </c>
      <c r="G586">
        <v>0</v>
      </c>
      <c r="H586">
        <v>3</v>
      </c>
      <c r="I586">
        <v>3</v>
      </c>
      <c r="J586">
        <v>0.22</v>
      </c>
    </row>
    <row r="587" spans="1:10" x14ac:dyDescent="0.35">
      <c r="A587">
        <v>586</v>
      </c>
      <c r="B587" s="1">
        <v>40569</v>
      </c>
      <c r="C587">
        <v>1</v>
      </c>
      <c r="D587">
        <v>0</v>
      </c>
      <c r="E587">
        <v>1</v>
      </c>
      <c r="F587">
        <v>16</v>
      </c>
      <c r="G587">
        <v>0</v>
      </c>
      <c r="H587">
        <v>3</v>
      </c>
      <c r="I587">
        <v>4</v>
      </c>
      <c r="J587">
        <v>0.22</v>
      </c>
    </row>
    <row r="588" spans="1:10" x14ac:dyDescent="0.35">
      <c r="A588">
        <v>587</v>
      </c>
      <c r="B588" s="1">
        <v>40569</v>
      </c>
      <c r="C588">
        <v>1</v>
      </c>
      <c r="D588">
        <v>0</v>
      </c>
      <c r="E588">
        <v>1</v>
      </c>
      <c r="F588">
        <v>17</v>
      </c>
      <c r="G588">
        <v>0</v>
      </c>
      <c r="H588">
        <v>3</v>
      </c>
      <c r="I588">
        <v>3</v>
      </c>
      <c r="J588">
        <v>0.2</v>
      </c>
    </row>
    <row r="589" spans="1:10" x14ac:dyDescent="0.35">
      <c r="A589">
        <v>588</v>
      </c>
      <c r="B589" s="1">
        <v>40570</v>
      </c>
      <c r="C589">
        <v>1</v>
      </c>
      <c r="D589">
        <v>0</v>
      </c>
      <c r="E589">
        <v>1</v>
      </c>
      <c r="F589">
        <v>16</v>
      </c>
      <c r="G589">
        <v>0</v>
      </c>
      <c r="H589">
        <v>4</v>
      </c>
      <c r="I589">
        <v>1</v>
      </c>
      <c r="J589">
        <v>0.22</v>
      </c>
    </row>
    <row r="590" spans="1:10" x14ac:dyDescent="0.35">
      <c r="A590">
        <v>589</v>
      </c>
      <c r="B590" s="1">
        <v>40570</v>
      </c>
      <c r="C590">
        <v>1</v>
      </c>
      <c r="D590">
        <v>0</v>
      </c>
      <c r="E590">
        <v>1</v>
      </c>
      <c r="F590">
        <v>17</v>
      </c>
      <c r="G590">
        <v>0</v>
      </c>
      <c r="H590">
        <v>4</v>
      </c>
      <c r="I590">
        <v>1</v>
      </c>
      <c r="J590">
        <v>0.22</v>
      </c>
    </row>
    <row r="591" spans="1:10" x14ac:dyDescent="0.35">
      <c r="A591">
        <v>590</v>
      </c>
      <c r="B591" s="1">
        <v>40570</v>
      </c>
      <c r="C591">
        <v>1</v>
      </c>
      <c r="D591">
        <v>0</v>
      </c>
      <c r="E591">
        <v>1</v>
      </c>
      <c r="F591">
        <v>18</v>
      </c>
      <c r="G591">
        <v>0</v>
      </c>
      <c r="H591">
        <v>4</v>
      </c>
      <c r="I591">
        <v>1</v>
      </c>
      <c r="J591">
        <v>0.2</v>
      </c>
    </row>
    <row r="592" spans="1:10" x14ac:dyDescent="0.35">
      <c r="A592">
        <v>591</v>
      </c>
      <c r="B592" s="1">
        <v>40570</v>
      </c>
      <c r="C592">
        <v>1</v>
      </c>
      <c r="D592">
        <v>0</v>
      </c>
      <c r="E592">
        <v>1</v>
      </c>
      <c r="F592">
        <v>19</v>
      </c>
      <c r="G592">
        <v>0</v>
      </c>
      <c r="H592">
        <v>4</v>
      </c>
      <c r="I592">
        <v>1</v>
      </c>
      <c r="J592">
        <v>0.2</v>
      </c>
    </row>
    <row r="593" spans="1:10" x14ac:dyDescent="0.35">
      <c r="A593">
        <v>592</v>
      </c>
      <c r="B593" s="1">
        <v>40570</v>
      </c>
      <c r="C593">
        <v>1</v>
      </c>
      <c r="D593">
        <v>0</v>
      </c>
      <c r="E593">
        <v>1</v>
      </c>
      <c r="F593">
        <v>20</v>
      </c>
      <c r="G593">
        <v>0</v>
      </c>
      <c r="H593">
        <v>4</v>
      </c>
      <c r="I593">
        <v>1</v>
      </c>
      <c r="J593">
        <v>0.18</v>
      </c>
    </row>
    <row r="594" spans="1:10" x14ac:dyDescent="0.35">
      <c r="A594">
        <v>593</v>
      </c>
      <c r="B594" s="1">
        <v>40570</v>
      </c>
      <c r="C594">
        <v>1</v>
      </c>
      <c r="D594">
        <v>0</v>
      </c>
      <c r="E594">
        <v>1</v>
      </c>
      <c r="F594">
        <v>21</v>
      </c>
      <c r="G594">
        <v>0</v>
      </c>
      <c r="H594">
        <v>4</v>
      </c>
      <c r="I594">
        <v>1</v>
      </c>
      <c r="J594">
        <v>0.18</v>
      </c>
    </row>
    <row r="595" spans="1:10" x14ac:dyDescent="0.35">
      <c r="A595">
        <v>594</v>
      </c>
      <c r="B595" s="1">
        <v>40570</v>
      </c>
      <c r="C595">
        <v>1</v>
      </c>
      <c r="D595">
        <v>0</v>
      </c>
      <c r="E595">
        <v>1</v>
      </c>
      <c r="F595">
        <v>22</v>
      </c>
      <c r="G595">
        <v>0</v>
      </c>
      <c r="H595">
        <v>4</v>
      </c>
      <c r="I595">
        <v>1</v>
      </c>
      <c r="J595">
        <v>0.18</v>
      </c>
    </row>
    <row r="596" spans="1:10" x14ac:dyDescent="0.35">
      <c r="A596">
        <v>595</v>
      </c>
      <c r="B596" s="1">
        <v>40570</v>
      </c>
      <c r="C596">
        <v>1</v>
      </c>
      <c r="D596">
        <v>0</v>
      </c>
      <c r="E596">
        <v>1</v>
      </c>
      <c r="F596">
        <v>23</v>
      </c>
      <c r="G596">
        <v>0</v>
      </c>
      <c r="H596">
        <v>4</v>
      </c>
      <c r="I596">
        <v>1</v>
      </c>
      <c r="J596">
        <v>0.18</v>
      </c>
    </row>
    <row r="597" spans="1:10" x14ac:dyDescent="0.35">
      <c r="A597">
        <v>596</v>
      </c>
      <c r="B597" s="1">
        <v>40571</v>
      </c>
      <c r="C597">
        <v>1</v>
      </c>
      <c r="D597">
        <v>0</v>
      </c>
      <c r="E597">
        <v>1</v>
      </c>
      <c r="F597">
        <v>0</v>
      </c>
      <c r="G597">
        <v>0</v>
      </c>
      <c r="H597">
        <v>5</v>
      </c>
      <c r="I597">
        <v>2</v>
      </c>
      <c r="J597">
        <v>0.2</v>
      </c>
    </row>
    <row r="598" spans="1:10" x14ac:dyDescent="0.35">
      <c r="A598">
        <v>597</v>
      </c>
      <c r="B598" s="1">
        <v>40571</v>
      </c>
      <c r="C598">
        <v>1</v>
      </c>
      <c r="D598">
        <v>0</v>
      </c>
      <c r="E598">
        <v>1</v>
      </c>
      <c r="F598">
        <v>1</v>
      </c>
      <c r="G598">
        <v>0</v>
      </c>
      <c r="H598">
        <v>5</v>
      </c>
      <c r="I598">
        <v>2</v>
      </c>
      <c r="J598">
        <v>0.2</v>
      </c>
    </row>
    <row r="599" spans="1:10" x14ac:dyDescent="0.35">
      <c r="A599">
        <v>598</v>
      </c>
      <c r="B599" s="1">
        <v>40571</v>
      </c>
      <c r="C599">
        <v>1</v>
      </c>
      <c r="D599">
        <v>0</v>
      </c>
      <c r="E599">
        <v>1</v>
      </c>
      <c r="F599">
        <v>2</v>
      </c>
      <c r="G599">
        <v>0</v>
      </c>
      <c r="H599">
        <v>5</v>
      </c>
      <c r="I599">
        <v>2</v>
      </c>
      <c r="J599">
        <v>0.2</v>
      </c>
    </row>
    <row r="600" spans="1:10" x14ac:dyDescent="0.35">
      <c r="A600">
        <v>599</v>
      </c>
      <c r="B600" s="1">
        <v>40571</v>
      </c>
      <c r="C600">
        <v>1</v>
      </c>
      <c r="D600">
        <v>0</v>
      </c>
      <c r="E600">
        <v>1</v>
      </c>
      <c r="F600">
        <v>3</v>
      </c>
      <c r="G600">
        <v>0</v>
      </c>
      <c r="H600">
        <v>5</v>
      </c>
      <c r="I600">
        <v>2</v>
      </c>
      <c r="J600">
        <v>0.2</v>
      </c>
    </row>
    <row r="601" spans="1:10" x14ac:dyDescent="0.35">
      <c r="A601">
        <v>600</v>
      </c>
      <c r="B601" s="1">
        <v>40571</v>
      </c>
      <c r="C601">
        <v>1</v>
      </c>
      <c r="D601">
        <v>0</v>
      </c>
      <c r="E601">
        <v>1</v>
      </c>
      <c r="F601">
        <v>5</v>
      </c>
      <c r="G601">
        <v>0</v>
      </c>
      <c r="H601">
        <v>5</v>
      </c>
      <c r="I601">
        <v>2</v>
      </c>
      <c r="J601">
        <v>0.18</v>
      </c>
    </row>
    <row r="602" spans="1:10" x14ac:dyDescent="0.35">
      <c r="A602">
        <v>601</v>
      </c>
      <c r="B602" s="1">
        <v>40571</v>
      </c>
      <c r="C602">
        <v>1</v>
      </c>
      <c r="D602">
        <v>0</v>
      </c>
      <c r="E602">
        <v>1</v>
      </c>
      <c r="F602">
        <v>6</v>
      </c>
      <c r="G602">
        <v>0</v>
      </c>
      <c r="H602">
        <v>5</v>
      </c>
      <c r="I602">
        <v>2</v>
      </c>
      <c r="J602">
        <v>0.18</v>
      </c>
    </row>
    <row r="603" spans="1:10" x14ac:dyDescent="0.35">
      <c r="A603">
        <v>602</v>
      </c>
      <c r="B603" s="1">
        <v>40571</v>
      </c>
      <c r="C603">
        <v>1</v>
      </c>
      <c r="D603">
        <v>0</v>
      </c>
      <c r="E603">
        <v>1</v>
      </c>
      <c r="F603">
        <v>7</v>
      </c>
      <c r="G603">
        <v>0</v>
      </c>
      <c r="H603">
        <v>5</v>
      </c>
      <c r="I603">
        <v>2</v>
      </c>
      <c r="J603">
        <v>0.16</v>
      </c>
    </row>
    <row r="604" spans="1:10" x14ac:dyDescent="0.35">
      <c r="A604">
        <v>603</v>
      </c>
      <c r="B604" s="1">
        <v>40571</v>
      </c>
      <c r="C604">
        <v>1</v>
      </c>
      <c r="D604">
        <v>0</v>
      </c>
      <c r="E604">
        <v>1</v>
      </c>
      <c r="F604">
        <v>8</v>
      </c>
      <c r="G604">
        <v>0</v>
      </c>
      <c r="H604">
        <v>5</v>
      </c>
      <c r="I604">
        <v>2</v>
      </c>
      <c r="J604">
        <v>0.16</v>
      </c>
    </row>
    <row r="605" spans="1:10" x14ac:dyDescent="0.35">
      <c r="A605">
        <v>604</v>
      </c>
      <c r="B605" s="1">
        <v>40571</v>
      </c>
      <c r="C605">
        <v>1</v>
      </c>
      <c r="D605">
        <v>0</v>
      </c>
      <c r="E605">
        <v>1</v>
      </c>
      <c r="F605">
        <v>9</v>
      </c>
      <c r="G605">
        <v>0</v>
      </c>
      <c r="H605">
        <v>5</v>
      </c>
      <c r="I605">
        <v>3</v>
      </c>
      <c r="J605">
        <v>0.18</v>
      </c>
    </row>
    <row r="606" spans="1:10" x14ac:dyDescent="0.35">
      <c r="A606">
        <v>605</v>
      </c>
      <c r="B606" s="1">
        <v>40571</v>
      </c>
      <c r="C606">
        <v>1</v>
      </c>
      <c r="D606">
        <v>0</v>
      </c>
      <c r="E606">
        <v>1</v>
      </c>
      <c r="F606">
        <v>10</v>
      </c>
      <c r="G606">
        <v>0</v>
      </c>
      <c r="H606">
        <v>5</v>
      </c>
      <c r="I606">
        <v>3</v>
      </c>
      <c r="J606">
        <v>0.18</v>
      </c>
    </row>
    <row r="607" spans="1:10" x14ac:dyDescent="0.35">
      <c r="A607">
        <v>606</v>
      </c>
      <c r="B607" s="1">
        <v>40571</v>
      </c>
      <c r="C607">
        <v>1</v>
      </c>
      <c r="D607">
        <v>0</v>
      </c>
      <c r="E607">
        <v>1</v>
      </c>
      <c r="F607">
        <v>11</v>
      </c>
      <c r="G607">
        <v>0</v>
      </c>
      <c r="H607">
        <v>5</v>
      </c>
      <c r="I607">
        <v>3</v>
      </c>
      <c r="J607">
        <v>0.18</v>
      </c>
    </row>
    <row r="608" spans="1:10" x14ac:dyDescent="0.35">
      <c r="A608">
        <v>607</v>
      </c>
      <c r="B608" s="1">
        <v>40571</v>
      </c>
      <c r="C608">
        <v>1</v>
      </c>
      <c r="D608">
        <v>0</v>
      </c>
      <c r="E608">
        <v>1</v>
      </c>
      <c r="F608">
        <v>12</v>
      </c>
      <c r="G608">
        <v>0</v>
      </c>
      <c r="H608">
        <v>5</v>
      </c>
      <c r="I608">
        <v>3</v>
      </c>
      <c r="J608">
        <v>0.18</v>
      </c>
    </row>
    <row r="609" spans="1:10" x14ac:dyDescent="0.35">
      <c r="A609">
        <v>608</v>
      </c>
      <c r="B609" s="1">
        <v>40571</v>
      </c>
      <c r="C609">
        <v>1</v>
      </c>
      <c r="D609">
        <v>0</v>
      </c>
      <c r="E609">
        <v>1</v>
      </c>
      <c r="F609">
        <v>13</v>
      </c>
      <c r="G609">
        <v>0</v>
      </c>
      <c r="H609">
        <v>5</v>
      </c>
      <c r="I609">
        <v>3</v>
      </c>
      <c r="J609">
        <v>0.18</v>
      </c>
    </row>
    <row r="610" spans="1:10" x14ac:dyDescent="0.35">
      <c r="A610">
        <v>609</v>
      </c>
      <c r="B610" s="1">
        <v>40571</v>
      </c>
      <c r="C610">
        <v>1</v>
      </c>
      <c r="D610">
        <v>0</v>
      </c>
      <c r="E610">
        <v>1</v>
      </c>
      <c r="F610">
        <v>14</v>
      </c>
      <c r="G610">
        <v>0</v>
      </c>
      <c r="H610">
        <v>5</v>
      </c>
      <c r="I610">
        <v>3</v>
      </c>
      <c r="J610">
        <v>0.22</v>
      </c>
    </row>
    <row r="611" spans="1:10" x14ac:dyDescent="0.35">
      <c r="A611">
        <v>610</v>
      </c>
      <c r="B611" s="1">
        <v>40571</v>
      </c>
      <c r="C611">
        <v>1</v>
      </c>
      <c r="D611">
        <v>0</v>
      </c>
      <c r="E611">
        <v>1</v>
      </c>
      <c r="F611">
        <v>15</v>
      </c>
      <c r="G611">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7813-17E9-462A-9471-3005DB157680}">
  <dimension ref="A1:G1000"/>
  <sheetViews>
    <sheetView workbookViewId="0">
      <selection activeCell="K25" activeCellId="1" sqref="L1:L10 K25"/>
    </sheetView>
  </sheetViews>
  <sheetFormatPr defaultRowHeight="14.5" x14ac:dyDescent="0.35"/>
  <cols>
    <col min="1" max="1" width="9" bestFit="1" customWidth="1"/>
    <col min="2" max="2" width="11.81640625" bestFit="1" customWidth="1"/>
    <col min="3" max="3" width="6.90625" bestFit="1" customWidth="1"/>
    <col min="4" max="4" width="12.1796875" bestFit="1" customWidth="1"/>
    <col min="5" max="5" width="8.26953125" bestFit="1" customWidth="1"/>
    <col min="6" max="6" width="11.54296875" bestFit="1" customWidth="1"/>
    <col min="7" max="7" width="5.7265625" bestFit="1" customWidth="1"/>
    <col min="8" max="8" width="14.1796875" bestFit="1" customWidth="1"/>
  </cols>
  <sheetData>
    <row r="1" spans="1:7" x14ac:dyDescent="0.35">
      <c r="A1" t="s">
        <v>2</v>
      </c>
      <c r="B1" t="s">
        <v>12</v>
      </c>
      <c r="C1" t="s">
        <v>13</v>
      </c>
      <c r="D1" t="s">
        <v>14</v>
      </c>
      <c r="E1" t="s">
        <v>15</v>
      </c>
      <c r="F1" t="s">
        <v>16</v>
      </c>
      <c r="G1" t="s">
        <v>17</v>
      </c>
    </row>
    <row r="2" spans="1:7" x14ac:dyDescent="0.35">
      <c r="A2">
        <v>1</v>
      </c>
      <c r="B2">
        <v>0.28789999999999999</v>
      </c>
      <c r="C2">
        <v>0.81</v>
      </c>
      <c r="D2">
        <v>0</v>
      </c>
      <c r="E2">
        <v>3</v>
      </c>
      <c r="F2">
        <v>13</v>
      </c>
      <c r="G2">
        <v>16</v>
      </c>
    </row>
    <row r="3" spans="1:7" x14ac:dyDescent="0.35">
      <c r="A3">
        <v>2</v>
      </c>
      <c r="B3">
        <v>0.2727</v>
      </c>
      <c r="C3">
        <v>0.8</v>
      </c>
      <c r="D3">
        <v>0</v>
      </c>
      <c r="E3">
        <v>8</v>
      </c>
      <c r="F3">
        <v>32</v>
      </c>
      <c r="G3">
        <v>40</v>
      </c>
    </row>
    <row r="4" spans="1:7" x14ac:dyDescent="0.35">
      <c r="A4">
        <v>3</v>
      </c>
      <c r="B4">
        <v>0.2727</v>
      </c>
      <c r="C4">
        <v>0.8</v>
      </c>
      <c r="D4">
        <v>0</v>
      </c>
      <c r="E4">
        <v>5</v>
      </c>
      <c r="F4">
        <v>27</v>
      </c>
      <c r="G4">
        <v>32</v>
      </c>
    </row>
    <row r="5" spans="1:7" x14ac:dyDescent="0.35">
      <c r="A5">
        <v>4</v>
      </c>
      <c r="B5">
        <v>0.28789999999999999</v>
      </c>
      <c r="C5">
        <v>0.75</v>
      </c>
      <c r="D5">
        <v>0</v>
      </c>
      <c r="E5">
        <v>3</v>
      </c>
      <c r="F5">
        <v>10</v>
      </c>
      <c r="G5">
        <v>13</v>
      </c>
    </row>
    <row r="6" spans="1:7" x14ac:dyDescent="0.35">
      <c r="A6">
        <v>5</v>
      </c>
      <c r="B6">
        <v>0.28789999999999999</v>
      </c>
      <c r="C6">
        <v>0.75</v>
      </c>
      <c r="D6">
        <v>0</v>
      </c>
      <c r="E6">
        <v>0</v>
      </c>
      <c r="F6">
        <v>1</v>
      </c>
      <c r="G6">
        <v>1</v>
      </c>
    </row>
    <row r="7" spans="1:7" x14ac:dyDescent="0.35">
      <c r="A7">
        <v>6</v>
      </c>
      <c r="B7">
        <v>0.2576</v>
      </c>
      <c r="C7">
        <v>0.75</v>
      </c>
      <c r="D7">
        <v>8.9599999999999999E-2</v>
      </c>
      <c r="E7">
        <v>0</v>
      </c>
      <c r="F7">
        <v>1</v>
      </c>
      <c r="G7">
        <v>1</v>
      </c>
    </row>
    <row r="8" spans="1:7" x14ac:dyDescent="0.35">
      <c r="A8">
        <v>7</v>
      </c>
      <c r="B8">
        <v>0.2727</v>
      </c>
      <c r="C8">
        <v>0.8</v>
      </c>
      <c r="D8">
        <v>0</v>
      </c>
      <c r="E8">
        <v>2</v>
      </c>
      <c r="F8">
        <v>0</v>
      </c>
      <c r="G8">
        <v>2</v>
      </c>
    </row>
    <row r="9" spans="1:7" x14ac:dyDescent="0.35">
      <c r="A9">
        <v>8</v>
      </c>
      <c r="B9">
        <v>0.2576</v>
      </c>
      <c r="C9">
        <v>0.86</v>
      </c>
      <c r="D9">
        <v>0</v>
      </c>
      <c r="E9">
        <v>1</v>
      </c>
      <c r="F9">
        <v>2</v>
      </c>
      <c r="G9">
        <v>3</v>
      </c>
    </row>
    <row r="10" spans="1:7" x14ac:dyDescent="0.35">
      <c r="A10">
        <v>9</v>
      </c>
      <c r="B10">
        <v>0.19993489148580967</v>
      </c>
      <c r="C10">
        <v>0.75</v>
      </c>
      <c r="D10">
        <v>0</v>
      </c>
      <c r="E10">
        <v>1</v>
      </c>
      <c r="F10">
        <v>7</v>
      </c>
      <c r="G10">
        <v>8</v>
      </c>
    </row>
    <row r="11" spans="1:7" x14ac:dyDescent="0.35">
      <c r="A11">
        <v>10</v>
      </c>
      <c r="B11">
        <v>0.34849999999999998</v>
      </c>
      <c r="C11">
        <v>0.76</v>
      </c>
      <c r="D11">
        <v>0</v>
      </c>
      <c r="E11">
        <v>8</v>
      </c>
      <c r="F11">
        <v>6</v>
      </c>
      <c r="G11">
        <v>14</v>
      </c>
    </row>
    <row r="12" spans="1:7" x14ac:dyDescent="0.35">
      <c r="A12">
        <v>11</v>
      </c>
      <c r="B12">
        <v>0.39389999999999997</v>
      </c>
      <c r="C12">
        <v>0.76</v>
      </c>
      <c r="D12">
        <v>0.25369999999999998</v>
      </c>
      <c r="E12">
        <v>12</v>
      </c>
      <c r="F12">
        <v>24</v>
      </c>
      <c r="G12">
        <v>36</v>
      </c>
    </row>
    <row r="13" spans="1:7" x14ac:dyDescent="0.35">
      <c r="A13">
        <v>12</v>
      </c>
      <c r="B13">
        <v>0.33329999999999999</v>
      </c>
      <c r="C13">
        <v>0.81</v>
      </c>
      <c r="D13">
        <v>0.28360000000000002</v>
      </c>
      <c r="E13">
        <v>26</v>
      </c>
      <c r="F13">
        <v>30</v>
      </c>
      <c r="G13">
        <v>56</v>
      </c>
    </row>
    <row r="14" spans="1:7" x14ac:dyDescent="0.35">
      <c r="A14">
        <v>13</v>
      </c>
      <c r="B14">
        <v>0.42420000000000002</v>
      </c>
      <c r="C14">
        <v>0.77</v>
      </c>
      <c r="D14">
        <v>0.28360000000000002</v>
      </c>
      <c r="E14">
        <v>29</v>
      </c>
      <c r="F14">
        <v>55</v>
      </c>
      <c r="G14">
        <v>84</v>
      </c>
    </row>
    <row r="15" spans="1:7" x14ac:dyDescent="0.35">
      <c r="A15">
        <v>14</v>
      </c>
      <c r="B15">
        <v>0.45450000000000002</v>
      </c>
      <c r="C15">
        <v>0.72</v>
      </c>
      <c r="D15">
        <v>0.29849999999999999</v>
      </c>
      <c r="E15">
        <v>47</v>
      </c>
      <c r="F15">
        <v>47</v>
      </c>
      <c r="G15">
        <v>94</v>
      </c>
    </row>
    <row r="16" spans="1:7" x14ac:dyDescent="0.35">
      <c r="A16">
        <v>15</v>
      </c>
      <c r="B16">
        <v>0.45450000000000002</v>
      </c>
      <c r="C16">
        <v>0.72</v>
      </c>
      <c r="D16">
        <v>0.28360000000000002</v>
      </c>
      <c r="E16">
        <v>35</v>
      </c>
      <c r="F16">
        <v>71</v>
      </c>
      <c r="G16">
        <v>106</v>
      </c>
    </row>
    <row r="17" spans="1:7" x14ac:dyDescent="0.35">
      <c r="A17">
        <v>16</v>
      </c>
      <c r="B17">
        <v>0.43940000000000001</v>
      </c>
      <c r="C17">
        <v>0.77</v>
      </c>
      <c r="D17">
        <v>0.29849999999999999</v>
      </c>
      <c r="E17">
        <v>40</v>
      </c>
      <c r="F17">
        <v>70</v>
      </c>
      <c r="G17">
        <v>110</v>
      </c>
    </row>
    <row r="18" spans="1:7" x14ac:dyDescent="0.35">
      <c r="A18">
        <v>17</v>
      </c>
      <c r="B18">
        <v>0.42420000000000002</v>
      </c>
      <c r="C18">
        <v>0.82</v>
      </c>
      <c r="D18">
        <v>0.29849999999999999</v>
      </c>
      <c r="E18">
        <v>41</v>
      </c>
      <c r="F18">
        <v>52</v>
      </c>
      <c r="G18">
        <v>93</v>
      </c>
    </row>
    <row r="19" spans="1:7" x14ac:dyDescent="0.35">
      <c r="A19">
        <v>18</v>
      </c>
      <c r="B19">
        <v>0.19993489148580967</v>
      </c>
      <c r="C19">
        <v>0.82</v>
      </c>
      <c r="D19">
        <v>0.28360000000000002</v>
      </c>
      <c r="E19">
        <v>15</v>
      </c>
      <c r="F19">
        <v>52</v>
      </c>
      <c r="G19">
        <v>67</v>
      </c>
    </row>
    <row r="20" spans="1:7" x14ac:dyDescent="0.35">
      <c r="A20">
        <v>19</v>
      </c>
      <c r="B20">
        <v>0.42420000000000002</v>
      </c>
      <c r="C20">
        <v>0.88</v>
      </c>
      <c r="D20">
        <v>0.25369999999999998</v>
      </c>
      <c r="E20">
        <v>9</v>
      </c>
      <c r="F20">
        <v>26</v>
      </c>
      <c r="G20">
        <v>35</v>
      </c>
    </row>
    <row r="21" spans="1:7" x14ac:dyDescent="0.35">
      <c r="A21">
        <v>20</v>
      </c>
      <c r="B21">
        <v>0.42420000000000002</v>
      </c>
      <c r="C21">
        <v>0.88</v>
      </c>
      <c r="D21">
        <v>0.25369999999999998</v>
      </c>
      <c r="E21">
        <v>6</v>
      </c>
      <c r="F21">
        <v>31</v>
      </c>
      <c r="G21">
        <v>37</v>
      </c>
    </row>
    <row r="22" spans="1:7" x14ac:dyDescent="0.35">
      <c r="A22">
        <v>21</v>
      </c>
      <c r="B22">
        <v>0.40910000000000002</v>
      </c>
      <c r="C22">
        <v>0.87</v>
      </c>
      <c r="D22">
        <v>0.25369999999999998</v>
      </c>
      <c r="E22">
        <v>11</v>
      </c>
      <c r="F22">
        <v>25</v>
      </c>
      <c r="G22">
        <v>36</v>
      </c>
    </row>
    <row r="23" spans="1:7" x14ac:dyDescent="0.35">
      <c r="A23">
        <v>22</v>
      </c>
      <c r="B23">
        <v>0.40910000000000002</v>
      </c>
      <c r="C23">
        <v>0.87</v>
      </c>
      <c r="D23">
        <v>0.19400000000000001</v>
      </c>
      <c r="E23">
        <v>3</v>
      </c>
      <c r="F23">
        <v>31</v>
      </c>
      <c r="G23">
        <v>34</v>
      </c>
    </row>
    <row r="24" spans="1:7" x14ac:dyDescent="0.35">
      <c r="A24">
        <v>23</v>
      </c>
      <c r="B24">
        <v>0.40910000000000002</v>
      </c>
      <c r="C24">
        <v>0.94</v>
      </c>
      <c r="D24">
        <v>0.22389999999999999</v>
      </c>
      <c r="E24">
        <v>11</v>
      </c>
      <c r="F24">
        <v>17</v>
      </c>
      <c r="G24">
        <v>28</v>
      </c>
    </row>
    <row r="25" spans="1:7" x14ac:dyDescent="0.35">
      <c r="A25">
        <v>24</v>
      </c>
      <c r="B25">
        <v>0.19993489148580967</v>
      </c>
      <c r="C25">
        <v>0.88</v>
      </c>
      <c r="D25">
        <v>0.29849999999999999</v>
      </c>
      <c r="E25">
        <v>15</v>
      </c>
      <c r="F25">
        <v>24</v>
      </c>
      <c r="G25">
        <v>39</v>
      </c>
    </row>
    <row r="26" spans="1:7" x14ac:dyDescent="0.35">
      <c r="A26">
        <v>25</v>
      </c>
      <c r="B26">
        <v>0.45450000000000002</v>
      </c>
      <c r="C26">
        <v>0.88</v>
      </c>
      <c r="D26">
        <v>0.29849999999999999</v>
      </c>
      <c r="E26">
        <v>4</v>
      </c>
      <c r="F26">
        <v>13</v>
      </c>
      <c r="G26">
        <v>17</v>
      </c>
    </row>
    <row r="27" spans="1:7" x14ac:dyDescent="0.35">
      <c r="A27">
        <v>26</v>
      </c>
      <c r="B27">
        <v>0.43940000000000001</v>
      </c>
      <c r="C27">
        <v>0.94</v>
      </c>
      <c r="D27">
        <v>0.25369999999999998</v>
      </c>
      <c r="E27">
        <v>1</v>
      </c>
      <c r="F27">
        <v>16</v>
      </c>
      <c r="G27">
        <v>17</v>
      </c>
    </row>
    <row r="28" spans="1:7" x14ac:dyDescent="0.35">
      <c r="A28">
        <v>27</v>
      </c>
      <c r="B28">
        <v>0.42420000000000002</v>
      </c>
      <c r="C28">
        <v>1</v>
      </c>
      <c r="D28">
        <v>0.28360000000000002</v>
      </c>
      <c r="E28">
        <v>1</v>
      </c>
      <c r="F28">
        <v>8</v>
      </c>
      <c r="G28">
        <v>9</v>
      </c>
    </row>
    <row r="29" spans="1:7" x14ac:dyDescent="0.35">
      <c r="A29">
        <v>28</v>
      </c>
      <c r="B29">
        <v>0.45450000000000002</v>
      </c>
      <c r="C29">
        <v>0.94</v>
      </c>
      <c r="D29">
        <v>0.19400000000000001</v>
      </c>
      <c r="E29">
        <v>2</v>
      </c>
      <c r="F29">
        <v>4</v>
      </c>
      <c r="G29">
        <v>6</v>
      </c>
    </row>
    <row r="30" spans="1:7" x14ac:dyDescent="0.35">
      <c r="A30">
        <v>29</v>
      </c>
      <c r="B30">
        <v>0.19993489148580967</v>
      </c>
      <c r="C30">
        <v>0.94</v>
      </c>
      <c r="D30">
        <v>0.19400000000000001</v>
      </c>
      <c r="E30">
        <v>2</v>
      </c>
      <c r="F30">
        <v>1</v>
      </c>
      <c r="G30">
        <v>3</v>
      </c>
    </row>
    <row r="31" spans="1:7" x14ac:dyDescent="0.35">
      <c r="A31">
        <v>30</v>
      </c>
      <c r="B31">
        <v>0.42420000000000002</v>
      </c>
      <c r="C31">
        <v>0.77</v>
      </c>
      <c r="D31">
        <v>0.29849999999999999</v>
      </c>
      <c r="E31">
        <v>0</v>
      </c>
      <c r="F31">
        <v>2</v>
      </c>
      <c r="G31">
        <v>2</v>
      </c>
    </row>
    <row r="32" spans="1:7" x14ac:dyDescent="0.35">
      <c r="A32">
        <v>31</v>
      </c>
      <c r="B32">
        <v>0.40910000000000002</v>
      </c>
      <c r="C32">
        <v>0.76</v>
      </c>
      <c r="D32">
        <v>0.19400000000000001</v>
      </c>
      <c r="E32">
        <v>0</v>
      </c>
      <c r="F32">
        <v>1</v>
      </c>
      <c r="G32">
        <v>1</v>
      </c>
    </row>
    <row r="33" spans="1:7" x14ac:dyDescent="0.35">
      <c r="A33">
        <v>32</v>
      </c>
      <c r="B33">
        <v>0.40910000000000002</v>
      </c>
      <c r="C33">
        <v>0.71</v>
      </c>
      <c r="D33">
        <v>0.22389999999999999</v>
      </c>
      <c r="E33">
        <v>0</v>
      </c>
      <c r="F33">
        <v>8</v>
      </c>
      <c r="G33">
        <v>8</v>
      </c>
    </row>
    <row r="34" spans="1:7" x14ac:dyDescent="0.35">
      <c r="A34">
        <v>33</v>
      </c>
      <c r="B34">
        <v>0.19993489148580967</v>
      </c>
      <c r="C34">
        <v>0.76</v>
      </c>
      <c r="D34">
        <v>0.22389999999999999</v>
      </c>
      <c r="E34">
        <v>1</v>
      </c>
      <c r="F34">
        <v>19</v>
      </c>
      <c r="G34">
        <v>20</v>
      </c>
    </row>
    <row r="35" spans="1:7" x14ac:dyDescent="0.35">
      <c r="A35">
        <v>34</v>
      </c>
      <c r="B35">
        <v>0.34849999999999998</v>
      </c>
      <c r="C35">
        <v>0.81</v>
      </c>
      <c r="D35">
        <v>0.22389999999999999</v>
      </c>
      <c r="E35">
        <v>7</v>
      </c>
      <c r="F35">
        <v>46</v>
      </c>
      <c r="G35">
        <v>53</v>
      </c>
    </row>
    <row r="36" spans="1:7" x14ac:dyDescent="0.35">
      <c r="A36">
        <v>35</v>
      </c>
      <c r="B36">
        <v>0.33329999999999999</v>
      </c>
      <c r="C36">
        <v>0.71</v>
      </c>
      <c r="D36">
        <v>0.25369999999999998</v>
      </c>
      <c r="E36">
        <v>16</v>
      </c>
      <c r="F36">
        <v>54</v>
      </c>
      <c r="G36">
        <v>70</v>
      </c>
    </row>
    <row r="37" spans="1:7" x14ac:dyDescent="0.35">
      <c r="A37">
        <v>36</v>
      </c>
      <c r="B37">
        <v>0.33329999999999999</v>
      </c>
      <c r="C37">
        <v>0.66</v>
      </c>
      <c r="D37">
        <v>0.29849999999999999</v>
      </c>
      <c r="E37">
        <v>20</v>
      </c>
      <c r="F37">
        <v>73</v>
      </c>
      <c r="G37">
        <v>93</v>
      </c>
    </row>
    <row r="38" spans="1:7" x14ac:dyDescent="0.35">
      <c r="A38">
        <v>37</v>
      </c>
      <c r="B38">
        <v>0.34849999999999998</v>
      </c>
      <c r="C38">
        <v>0.66</v>
      </c>
      <c r="D38">
        <v>0.1343</v>
      </c>
      <c r="E38">
        <v>11</v>
      </c>
      <c r="F38">
        <v>64</v>
      </c>
      <c r="G38">
        <v>75</v>
      </c>
    </row>
    <row r="39" spans="1:7" x14ac:dyDescent="0.35">
      <c r="A39">
        <v>38</v>
      </c>
      <c r="B39">
        <v>0.19993489148580967</v>
      </c>
      <c r="C39">
        <v>0.76</v>
      </c>
      <c r="D39">
        <v>0.19400000000000001</v>
      </c>
      <c r="E39">
        <v>4</v>
      </c>
      <c r="F39">
        <v>55</v>
      </c>
      <c r="G39">
        <v>59</v>
      </c>
    </row>
    <row r="40" spans="1:7" x14ac:dyDescent="0.35">
      <c r="A40">
        <v>39</v>
      </c>
      <c r="B40">
        <v>0.33329999999999999</v>
      </c>
      <c r="C40">
        <v>0.81</v>
      </c>
      <c r="D40">
        <v>0.16420000000000001</v>
      </c>
      <c r="E40">
        <v>19</v>
      </c>
      <c r="F40">
        <v>55</v>
      </c>
      <c r="G40">
        <v>74</v>
      </c>
    </row>
    <row r="41" spans="1:7" x14ac:dyDescent="0.35">
      <c r="A41">
        <v>40</v>
      </c>
      <c r="B41">
        <v>0.33329999999999999</v>
      </c>
      <c r="C41">
        <v>0.71</v>
      </c>
      <c r="D41">
        <v>0.16420000000000001</v>
      </c>
      <c r="E41">
        <v>9</v>
      </c>
      <c r="F41">
        <v>67</v>
      </c>
      <c r="G41">
        <v>76</v>
      </c>
    </row>
    <row r="42" spans="1:7" x14ac:dyDescent="0.35">
      <c r="A42">
        <v>41</v>
      </c>
      <c r="B42">
        <v>0.33329999999999999</v>
      </c>
      <c r="C42">
        <v>0.56999999999999995</v>
      </c>
      <c r="D42">
        <v>0.19400000000000001</v>
      </c>
      <c r="E42">
        <v>7</v>
      </c>
      <c r="F42">
        <v>58</v>
      </c>
      <c r="G42">
        <v>65</v>
      </c>
    </row>
    <row r="43" spans="1:7" x14ac:dyDescent="0.35">
      <c r="A43">
        <v>42</v>
      </c>
      <c r="B43">
        <v>0.33329999999999999</v>
      </c>
      <c r="C43">
        <v>0.46</v>
      </c>
      <c r="D43">
        <v>0.32840000000000003</v>
      </c>
      <c r="E43">
        <v>10</v>
      </c>
      <c r="F43">
        <v>43</v>
      </c>
      <c r="G43">
        <v>53</v>
      </c>
    </row>
    <row r="44" spans="1:7" x14ac:dyDescent="0.35">
      <c r="A44">
        <v>43</v>
      </c>
      <c r="B44">
        <v>0.28789999999999999</v>
      </c>
      <c r="C44">
        <v>0.42</v>
      </c>
      <c r="D44">
        <v>0.44779999999999998</v>
      </c>
      <c r="E44">
        <v>1</v>
      </c>
      <c r="F44">
        <v>29</v>
      </c>
      <c r="G44">
        <v>30</v>
      </c>
    </row>
    <row r="45" spans="1:7" x14ac:dyDescent="0.35">
      <c r="A45">
        <v>44</v>
      </c>
      <c r="B45">
        <v>0.19993489148580967</v>
      </c>
      <c r="C45">
        <v>0.39</v>
      </c>
      <c r="D45">
        <v>0.35820000000000002</v>
      </c>
      <c r="E45">
        <v>5</v>
      </c>
      <c r="F45">
        <v>17</v>
      </c>
      <c r="G45">
        <v>22</v>
      </c>
    </row>
    <row r="46" spans="1:7" x14ac:dyDescent="0.35">
      <c r="A46">
        <v>45</v>
      </c>
      <c r="B46">
        <v>0.2273</v>
      </c>
      <c r="C46">
        <v>0.44</v>
      </c>
      <c r="D46">
        <v>0.32840000000000003</v>
      </c>
      <c r="E46">
        <v>11</v>
      </c>
      <c r="F46">
        <v>20</v>
      </c>
      <c r="G46">
        <v>31</v>
      </c>
    </row>
    <row r="47" spans="1:7" x14ac:dyDescent="0.35">
      <c r="A47">
        <v>46</v>
      </c>
      <c r="B47">
        <v>0.21210000000000001</v>
      </c>
      <c r="C47">
        <v>0.44</v>
      </c>
      <c r="D47">
        <v>0.29849999999999999</v>
      </c>
      <c r="E47">
        <v>0</v>
      </c>
      <c r="F47">
        <v>9</v>
      </c>
      <c r="G47">
        <v>9</v>
      </c>
    </row>
    <row r="48" spans="1:7" x14ac:dyDescent="0.35">
      <c r="A48">
        <v>47</v>
      </c>
      <c r="B48">
        <v>0.2273</v>
      </c>
      <c r="C48">
        <v>0.47</v>
      </c>
      <c r="D48">
        <v>0.16420000000000001</v>
      </c>
      <c r="E48">
        <v>0</v>
      </c>
      <c r="F48">
        <v>8</v>
      </c>
      <c r="G48">
        <v>8</v>
      </c>
    </row>
    <row r="49" spans="1:7" x14ac:dyDescent="0.35">
      <c r="A49">
        <v>48</v>
      </c>
      <c r="B49">
        <v>0.19700000000000001</v>
      </c>
      <c r="C49">
        <v>0.44</v>
      </c>
      <c r="D49">
        <v>0.35820000000000002</v>
      </c>
      <c r="E49">
        <v>0</v>
      </c>
      <c r="F49">
        <v>5</v>
      </c>
      <c r="G49">
        <v>5</v>
      </c>
    </row>
    <row r="50" spans="1:7" x14ac:dyDescent="0.35">
      <c r="A50">
        <v>49</v>
      </c>
      <c r="B50">
        <v>0.19993489148580967</v>
      </c>
      <c r="C50">
        <v>0.44</v>
      </c>
      <c r="D50">
        <v>0.41789999999999999</v>
      </c>
      <c r="E50">
        <v>0</v>
      </c>
      <c r="F50">
        <v>2</v>
      </c>
      <c r="G50">
        <v>2</v>
      </c>
    </row>
    <row r="51" spans="1:7" x14ac:dyDescent="0.35">
      <c r="A51">
        <v>50</v>
      </c>
      <c r="B51">
        <v>0.13639999999999999</v>
      </c>
      <c r="C51">
        <v>0.47</v>
      </c>
      <c r="D51">
        <v>0.3881</v>
      </c>
      <c r="E51">
        <v>0</v>
      </c>
      <c r="F51">
        <v>1</v>
      </c>
      <c r="G51">
        <v>1</v>
      </c>
    </row>
    <row r="52" spans="1:7" x14ac:dyDescent="0.35">
      <c r="A52">
        <v>51</v>
      </c>
      <c r="B52">
        <v>0.13639999999999999</v>
      </c>
      <c r="C52">
        <v>0.47</v>
      </c>
      <c r="D52">
        <v>0.28360000000000002</v>
      </c>
      <c r="E52">
        <v>0</v>
      </c>
      <c r="F52">
        <v>3</v>
      </c>
      <c r="G52">
        <v>3</v>
      </c>
    </row>
    <row r="53" spans="1:7" x14ac:dyDescent="0.35">
      <c r="A53">
        <v>52</v>
      </c>
      <c r="B53">
        <v>0.1061</v>
      </c>
      <c r="C53">
        <v>0.5</v>
      </c>
      <c r="D53">
        <v>0.3881</v>
      </c>
      <c r="E53">
        <v>0</v>
      </c>
      <c r="F53">
        <v>30</v>
      </c>
      <c r="G53">
        <v>30</v>
      </c>
    </row>
    <row r="54" spans="1:7" x14ac:dyDescent="0.35">
      <c r="A54">
        <v>53</v>
      </c>
      <c r="B54">
        <v>0.13639999999999999</v>
      </c>
      <c r="C54">
        <v>0.5</v>
      </c>
      <c r="D54">
        <v>0.19400000000000001</v>
      </c>
      <c r="E54">
        <v>1</v>
      </c>
      <c r="F54">
        <v>63</v>
      </c>
      <c r="G54">
        <v>64</v>
      </c>
    </row>
    <row r="55" spans="1:7" x14ac:dyDescent="0.35">
      <c r="A55">
        <v>54</v>
      </c>
      <c r="B55">
        <v>0.1212</v>
      </c>
      <c r="C55">
        <v>0.5</v>
      </c>
      <c r="D55">
        <v>0.28360000000000002</v>
      </c>
      <c r="E55">
        <v>1</v>
      </c>
      <c r="F55">
        <v>153</v>
      </c>
      <c r="G55">
        <v>154</v>
      </c>
    </row>
    <row r="56" spans="1:7" x14ac:dyDescent="0.35">
      <c r="A56">
        <v>55</v>
      </c>
      <c r="B56">
        <v>0.13639999999999999</v>
      </c>
      <c r="C56">
        <v>0.43</v>
      </c>
      <c r="D56">
        <v>0.3881</v>
      </c>
      <c r="E56">
        <v>7</v>
      </c>
      <c r="F56">
        <v>81</v>
      </c>
      <c r="G56">
        <v>88</v>
      </c>
    </row>
    <row r="57" spans="1:7" x14ac:dyDescent="0.35">
      <c r="A57">
        <v>56</v>
      </c>
      <c r="B57">
        <v>0.16669999999999999</v>
      </c>
      <c r="C57">
        <v>0.43</v>
      </c>
      <c r="D57">
        <v>0.25369999999999998</v>
      </c>
      <c r="E57">
        <v>11</v>
      </c>
      <c r="F57">
        <v>33</v>
      </c>
      <c r="G57">
        <v>44</v>
      </c>
    </row>
    <row r="58" spans="1:7" x14ac:dyDescent="0.35">
      <c r="A58">
        <v>57</v>
      </c>
      <c r="B58">
        <v>0.18179999999999999</v>
      </c>
      <c r="C58">
        <v>0.4</v>
      </c>
      <c r="D58">
        <v>0.32840000000000003</v>
      </c>
      <c r="E58">
        <v>10</v>
      </c>
      <c r="F58">
        <v>41</v>
      </c>
      <c r="G58">
        <v>51</v>
      </c>
    </row>
    <row r="59" spans="1:7" x14ac:dyDescent="0.35">
      <c r="A59">
        <v>58</v>
      </c>
      <c r="B59">
        <v>0.21210000000000001</v>
      </c>
      <c r="C59">
        <v>0.35</v>
      </c>
      <c r="D59">
        <v>0.29849999999999999</v>
      </c>
      <c r="E59">
        <v>13</v>
      </c>
      <c r="F59">
        <v>48</v>
      </c>
      <c r="G59">
        <v>61</v>
      </c>
    </row>
    <row r="60" spans="1:7" x14ac:dyDescent="0.35">
      <c r="A60">
        <v>59</v>
      </c>
      <c r="B60">
        <v>0.19993489148580967</v>
      </c>
      <c r="C60">
        <v>0.35</v>
      </c>
      <c r="D60">
        <v>0.28360000000000002</v>
      </c>
      <c r="E60">
        <v>8</v>
      </c>
      <c r="F60">
        <v>53</v>
      </c>
      <c r="G60">
        <v>61</v>
      </c>
    </row>
    <row r="61" spans="1:7" x14ac:dyDescent="0.35">
      <c r="A61">
        <v>60</v>
      </c>
      <c r="B61">
        <v>0.2424</v>
      </c>
      <c r="C61">
        <v>0.3</v>
      </c>
      <c r="D61">
        <v>0.28360000000000002</v>
      </c>
      <c r="E61">
        <v>11</v>
      </c>
      <c r="F61">
        <v>66</v>
      </c>
      <c r="G61">
        <v>77</v>
      </c>
    </row>
    <row r="62" spans="1:7" x14ac:dyDescent="0.35">
      <c r="A62">
        <v>61</v>
      </c>
      <c r="B62">
        <v>0.2424</v>
      </c>
      <c r="C62">
        <v>0.3</v>
      </c>
      <c r="D62">
        <v>0.25369999999999998</v>
      </c>
      <c r="E62">
        <v>14</v>
      </c>
      <c r="F62">
        <v>58</v>
      </c>
      <c r="G62">
        <v>72</v>
      </c>
    </row>
    <row r="63" spans="1:7" x14ac:dyDescent="0.35">
      <c r="A63">
        <v>62</v>
      </c>
      <c r="B63">
        <v>0.2424</v>
      </c>
      <c r="C63">
        <v>0.3</v>
      </c>
      <c r="D63">
        <v>0.25369999999999998</v>
      </c>
      <c r="E63">
        <v>9</v>
      </c>
      <c r="F63">
        <v>67</v>
      </c>
      <c r="G63">
        <v>76</v>
      </c>
    </row>
    <row r="64" spans="1:7" x14ac:dyDescent="0.35">
      <c r="A64">
        <v>63</v>
      </c>
      <c r="B64">
        <v>0.2273</v>
      </c>
      <c r="C64">
        <v>0.3</v>
      </c>
      <c r="D64">
        <v>0.22389999999999999</v>
      </c>
      <c r="E64">
        <v>11</v>
      </c>
      <c r="F64">
        <v>146</v>
      </c>
      <c r="G64">
        <v>157</v>
      </c>
    </row>
    <row r="65" spans="1:7" x14ac:dyDescent="0.35">
      <c r="A65">
        <v>64</v>
      </c>
      <c r="B65">
        <v>0.2576</v>
      </c>
      <c r="C65">
        <v>0.32</v>
      </c>
      <c r="D65">
        <v>0.1045</v>
      </c>
      <c r="E65">
        <v>9</v>
      </c>
      <c r="F65">
        <v>148</v>
      </c>
      <c r="G65">
        <v>157</v>
      </c>
    </row>
    <row r="66" spans="1:7" x14ac:dyDescent="0.35">
      <c r="A66">
        <v>65</v>
      </c>
      <c r="B66">
        <v>0.2576</v>
      </c>
      <c r="C66">
        <v>0.47</v>
      </c>
      <c r="D66">
        <v>0</v>
      </c>
      <c r="E66">
        <v>8</v>
      </c>
      <c r="F66">
        <v>102</v>
      </c>
      <c r="G66">
        <v>110</v>
      </c>
    </row>
    <row r="67" spans="1:7" x14ac:dyDescent="0.35">
      <c r="A67">
        <v>66</v>
      </c>
      <c r="B67">
        <v>0.19993489148580967</v>
      </c>
      <c r="C67">
        <v>0.47</v>
      </c>
      <c r="D67">
        <v>0.1045</v>
      </c>
      <c r="E67">
        <v>3</v>
      </c>
      <c r="F67">
        <v>49</v>
      </c>
      <c r="G67">
        <v>52</v>
      </c>
    </row>
    <row r="68" spans="1:7" x14ac:dyDescent="0.35">
      <c r="A68">
        <v>67</v>
      </c>
      <c r="B68">
        <v>0.19700000000000001</v>
      </c>
      <c r="C68">
        <v>0.64</v>
      </c>
      <c r="D68">
        <v>0.1343</v>
      </c>
      <c r="E68">
        <v>3</v>
      </c>
      <c r="F68">
        <v>49</v>
      </c>
      <c r="G68">
        <v>52</v>
      </c>
    </row>
    <row r="69" spans="1:7" x14ac:dyDescent="0.35">
      <c r="A69">
        <v>68</v>
      </c>
      <c r="B69">
        <v>0.1515</v>
      </c>
      <c r="C69">
        <v>0.69</v>
      </c>
      <c r="D69">
        <v>0.1343</v>
      </c>
      <c r="E69">
        <v>0</v>
      </c>
      <c r="F69">
        <v>20</v>
      </c>
      <c r="G69">
        <v>20</v>
      </c>
    </row>
    <row r="70" spans="1:7" x14ac:dyDescent="0.35">
      <c r="A70">
        <v>69</v>
      </c>
      <c r="B70">
        <v>0.21210000000000001</v>
      </c>
      <c r="C70">
        <v>0.55000000000000004</v>
      </c>
      <c r="D70">
        <v>0.1045</v>
      </c>
      <c r="E70">
        <v>1</v>
      </c>
      <c r="F70">
        <v>11</v>
      </c>
      <c r="G70">
        <v>12</v>
      </c>
    </row>
    <row r="71" spans="1:7" x14ac:dyDescent="0.35">
      <c r="A71">
        <v>70</v>
      </c>
      <c r="B71">
        <v>0.19993489148580967</v>
      </c>
      <c r="C71">
        <v>0.55000000000000004</v>
      </c>
      <c r="D71">
        <v>0.1045</v>
      </c>
      <c r="E71">
        <v>0</v>
      </c>
      <c r="F71">
        <v>5</v>
      </c>
      <c r="G71">
        <v>5</v>
      </c>
    </row>
    <row r="72" spans="1:7" x14ac:dyDescent="0.35">
      <c r="A72">
        <v>71</v>
      </c>
      <c r="B72">
        <v>0.18179999999999999</v>
      </c>
      <c r="C72">
        <v>0.59</v>
      </c>
      <c r="D72">
        <v>0.1045</v>
      </c>
      <c r="E72">
        <v>0</v>
      </c>
      <c r="F72">
        <v>2</v>
      </c>
      <c r="G72">
        <v>2</v>
      </c>
    </row>
    <row r="73" spans="1:7" x14ac:dyDescent="0.35">
      <c r="A73">
        <v>72</v>
      </c>
      <c r="B73">
        <v>0.1515</v>
      </c>
      <c r="C73">
        <v>0.63</v>
      </c>
      <c r="D73">
        <v>0.1343</v>
      </c>
      <c r="E73">
        <v>0</v>
      </c>
      <c r="F73">
        <v>1</v>
      </c>
      <c r="G73">
        <v>1</v>
      </c>
    </row>
    <row r="74" spans="1:7" x14ac:dyDescent="0.35">
      <c r="A74">
        <v>73</v>
      </c>
      <c r="B74">
        <v>0.18179999999999999</v>
      </c>
      <c r="C74">
        <v>0.63</v>
      </c>
      <c r="D74">
        <v>8.9599999999999999E-2</v>
      </c>
      <c r="E74">
        <v>0</v>
      </c>
      <c r="F74">
        <v>2</v>
      </c>
      <c r="G74">
        <v>2</v>
      </c>
    </row>
    <row r="75" spans="1:7" x14ac:dyDescent="0.35">
      <c r="A75">
        <v>74</v>
      </c>
      <c r="B75">
        <v>0.1515</v>
      </c>
      <c r="C75">
        <v>0.68</v>
      </c>
      <c r="D75">
        <v>0.1045</v>
      </c>
      <c r="E75">
        <v>0</v>
      </c>
      <c r="F75">
        <v>4</v>
      </c>
      <c r="G75">
        <v>4</v>
      </c>
    </row>
    <row r="76" spans="1:7" x14ac:dyDescent="0.35">
      <c r="A76">
        <v>75</v>
      </c>
      <c r="B76">
        <v>0.1515</v>
      </c>
      <c r="C76">
        <v>0.74</v>
      </c>
      <c r="D76">
        <v>0.1045</v>
      </c>
      <c r="E76">
        <v>0</v>
      </c>
      <c r="F76">
        <v>36</v>
      </c>
      <c r="G76">
        <v>36</v>
      </c>
    </row>
    <row r="77" spans="1:7" x14ac:dyDescent="0.35">
      <c r="A77">
        <v>76</v>
      </c>
      <c r="B77">
        <v>0.1515</v>
      </c>
      <c r="C77">
        <v>0.74</v>
      </c>
      <c r="D77">
        <v>0.1343</v>
      </c>
      <c r="E77">
        <v>2</v>
      </c>
      <c r="F77">
        <v>92</v>
      </c>
      <c r="G77">
        <v>94</v>
      </c>
    </row>
    <row r="78" spans="1:7" x14ac:dyDescent="0.35">
      <c r="A78">
        <v>77</v>
      </c>
      <c r="B78">
        <v>0.1515</v>
      </c>
      <c r="C78">
        <v>0.69</v>
      </c>
      <c r="D78">
        <v>0.16420000000000001</v>
      </c>
      <c r="E78">
        <v>2</v>
      </c>
      <c r="F78">
        <v>177</v>
      </c>
      <c r="G78">
        <v>179</v>
      </c>
    </row>
    <row r="79" spans="1:7" x14ac:dyDescent="0.35">
      <c r="A79">
        <v>78</v>
      </c>
      <c r="B79">
        <v>0.1515</v>
      </c>
      <c r="C79">
        <v>0.64</v>
      </c>
      <c r="D79">
        <v>0.22389999999999999</v>
      </c>
      <c r="E79">
        <v>2</v>
      </c>
      <c r="F79">
        <v>98</v>
      </c>
      <c r="G79">
        <v>100</v>
      </c>
    </row>
    <row r="80" spans="1:7" x14ac:dyDescent="0.35">
      <c r="A80">
        <v>79</v>
      </c>
      <c r="B80">
        <v>0.13639999999999999</v>
      </c>
      <c r="C80">
        <v>0.69</v>
      </c>
      <c r="D80">
        <v>0.32840000000000003</v>
      </c>
      <c r="E80">
        <v>5</v>
      </c>
      <c r="F80">
        <v>37</v>
      </c>
      <c r="G80">
        <v>42</v>
      </c>
    </row>
    <row r="81" spans="1:7" x14ac:dyDescent="0.35">
      <c r="A81">
        <v>80</v>
      </c>
      <c r="B81">
        <v>0.21210000000000001</v>
      </c>
      <c r="C81">
        <v>0.51</v>
      </c>
      <c r="D81">
        <v>0.29849999999999999</v>
      </c>
      <c r="E81">
        <v>7</v>
      </c>
      <c r="F81">
        <v>50</v>
      </c>
      <c r="G81">
        <v>57</v>
      </c>
    </row>
    <row r="82" spans="1:7" x14ac:dyDescent="0.35">
      <c r="A82">
        <v>81</v>
      </c>
      <c r="B82">
        <v>0.2273</v>
      </c>
      <c r="C82">
        <v>0.51</v>
      </c>
      <c r="D82">
        <v>0.16420000000000001</v>
      </c>
      <c r="E82">
        <v>12</v>
      </c>
      <c r="F82">
        <v>66</v>
      </c>
      <c r="G82">
        <v>78</v>
      </c>
    </row>
    <row r="83" spans="1:7" x14ac:dyDescent="0.35">
      <c r="A83">
        <v>82</v>
      </c>
      <c r="B83">
        <v>0.2273</v>
      </c>
      <c r="C83">
        <v>0.56000000000000005</v>
      </c>
      <c r="D83">
        <v>0.19400000000000001</v>
      </c>
      <c r="E83">
        <v>18</v>
      </c>
      <c r="F83">
        <v>79</v>
      </c>
      <c r="G83">
        <v>97</v>
      </c>
    </row>
    <row r="84" spans="1:7" x14ac:dyDescent="0.35">
      <c r="A84">
        <v>83</v>
      </c>
      <c r="B84">
        <v>0.2576</v>
      </c>
      <c r="C84">
        <v>0.52</v>
      </c>
      <c r="D84">
        <v>0.22389999999999999</v>
      </c>
      <c r="E84">
        <v>9</v>
      </c>
      <c r="F84">
        <v>54</v>
      </c>
      <c r="G84">
        <v>63</v>
      </c>
    </row>
    <row r="85" spans="1:7" x14ac:dyDescent="0.35">
      <c r="A85">
        <v>84</v>
      </c>
      <c r="B85">
        <v>0.2727</v>
      </c>
      <c r="C85">
        <v>0.52</v>
      </c>
      <c r="D85">
        <v>0.25369999999999998</v>
      </c>
      <c r="E85">
        <v>17</v>
      </c>
      <c r="F85">
        <v>48</v>
      </c>
      <c r="G85">
        <v>65</v>
      </c>
    </row>
    <row r="86" spans="1:7" x14ac:dyDescent="0.35">
      <c r="A86">
        <v>85</v>
      </c>
      <c r="B86">
        <v>0.28789999999999999</v>
      </c>
      <c r="C86">
        <v>0.49</v>
      </c>
      <c r="D86">
        <v>0.25369999999999998</v>
      </c>
      <c r="E86">
        <v>15</v>
      </c>
      <c r="F86">
        <v>68</v>
      </c>
      <c r="G86">
        <v>83</v>
      </c>
    </row>
    <row r="87" spans="1:7" x14ac:dyDescent="0.35">
      <c r="A87">
        <v>86</v>
      </c>
      <c r="B87">
        <v>0.2727</v>
      </c>
      <c r="C87">
        <v>0.48</v>
      </c>
      <c r="D87">
        <v>0.22389999999999999</v>
      </c>
      <c r="E87">
        <v>10</v>
      </c>
      <c r="F87">
        <v>202</v>
      </c>
      <c r="G87">
        <v>212</v>
      </c>
    </row>
    <row r="88" spans="1:7" x14ac:dyDescent="0.35">
      <c r="A88">
        <v>87</v>
      </c>
      <c r="B88">
        <v>0.2576</v>
      </c>
      <c r="C88">
        <v>0.48</v>
      </c>
      <c r="D88">
        <v>0.19400000000000001</v>
      </c>
      <c r="E88">
        <v>3</v>
      </c>
      <c r="F88">
        <v>179</v>
      </c>
      <c r="G88">
        <v>182</v>
      </c>
    </row>
    <row r="89" spans="1:7" x14ac:dyDescent="0.35">
      <c r="A89">
        <v>88</v>
      </c>
      <c r="B89">
        <v>0.2576</v>
      </c>
      <c r="C89">
        <v>0.48</v>
      </c>
      <c r="D89">
        <v>0.1045</v>
      </c>
      <c r="E89">
        <v>2</v>
      </c>
      <c r="F89">
        <v>110</v>
      </c>
      <c r="G89">
        <v>112</v>
      </c>
    </row>
    <row r="90" spans="1:7" x14ac:dyDescent="0.35">
      <c r="A90">
        <v>89</v>
      </c>
      <c r="B90">
        <v>0.2576</v>
      </c>
      <c r="C90">
        <v>0.48</v>
      </c>
      <c r="D90">
        <v>0.1045</v>
      </c>
      <c r="E90">
        <v>1</v>
      </c>
      <c r="F90">
        <v>53</v>
      </c>
      <c r="G90">
        <v>54</v>
      </c>
    </row>
    <row r="91" spans="1:7" x14ac:dyDescent="0.35">
      <c r="A91">
        <v>90</v>
      </c>
      <c r="B91">
        <v>0.2727</v>
      </c>
      <c r="C91">
        <v>0.64</v>
      </c>
      <c r="D91">
        <v>0</v>
      </c>
      <c r="E91">
        <v>0</v>
      </c>
      <c r="F91">
        <v>48</v>
      </c>
      <c r="G91">
        <v>48</v>
      </c>
    </row>
    <row r="92" spans="1:7" x14ac:dyDescent="0.35">
      <c r="A92">
        <v>91</v>
      </c>
      <c r="B92">
        <v>0.2576</v>
      </c>
      <c r="C92">
        <v>0.64</v>
      </c>
      <c r="D92">
        <v>8.9599999999999999E-2</v>
      </c>
      <c r="E92">
        <v>1</v>
      </c>
      <c r="F92">
        <v>34</v>
      </c>
      <c r="G92">
        <v>35</v>
      </c>
    </row>
    <row r="93" spans="1:7" x14ac:dyDescent="0.35">
      <c r="A93">
        <v>92</v>
      </c>
      <c r="B93">
        <v>0.2273</v>
      </c>
      <c r="C93">
        <v>0.69</v>
      </c>
      <c r="D93">
        <v>8.9599999999999999E-2</v>
      </c>
      <c r="E93">
        <v>2</v>
      </c>
      <c r="F93">
        <v>9</v>
      </c>
      <c r="G93">
        <v>11</v>
      </c>
    </row>
    <row r="94" spans="1:7" x14ac:dyDescent="0.35">
      <c r="A94">
        <v>93</v>
      </c>
      <c r="B94">
        <v>0.2576</v>
      </c>
      <c r="C94">
        <v>0.64</v>
      </c>
      <c r="D94">
        <v>0</v>
      </c>
      <c r="E94">
        <v>0</v>
      </c>
      <c r="F94">
        <v>6</v>
      </c>
      <c r="G94">
        <v>6</v>
      </c>
    </row>
    <row r="95" spans="1:7" x14ac:dyDescent="0.35">
      <c r="A95">
        <v>94</v>
      </c>
      <c r="B95">
        <v>0.19700000000000001</v>
      </c>
      <c r="C95">
        <v>0.74</v>
      </c>
      <c r="D95">
        <v>8.9599999999999999E-2</v>
      </c>
      <c r="E95">
        <v>0</v>
      </c>
      <c r="F95">
        <v>6</v>
      </c>
      <c r="G95">
        <v>6</v>
      </c>
    </row>
    <row r="96" spans="1:7" x14ac:dyDescent="0.35">
      <c r="A96">
        <v>95</v>
      </c>
      <c r="B96">
        <v>0.19700000000000001</v>
      </c>
      <c r="C96">
        <v>0.74</v>
      </c>
      <c r="D96">
        <v>8.9599999999999999E-2</v>
      </c>
      <c r="E96">
        <v>0</v>
      </c>
      <c r="F96">
        <v>2</v>
      </c>
      <c r="G96">
        <v>2</v>
      </c>
    </row>
    <row r="97" spans="1:7" x14ac:dyDescent="0.35">
      <c r="A97">
        <v>96</v>
      </c>
      <c r="B97">
        <v>0.2273</v>
      </c>
      <c r="C97">
        <v>0.48</v>
      </c>
      <c r="D97">
        <v>0.22389999999999999</v>
      </c>
      <c r="E97">
        <v>0</v>
      </c>
      <c r="F97">
        <v>2</v>
      </c>
      <c r="G97">
        <v>2</v>
      </c>
    </row>
    <row r="98" spans="1:7" x14ac:dyDescent="0.35">
      <c r="A98">
        <v>97</v>
      </c>
      <c r="B98">
        <v>0.2273</v>
      </c>
      <c r="C98">
        <v>0.47</v>
      </c>
      <c r="D98">
        <v>0.16420000000000001</v>
      </c>
      <c r="E98">
        <v>0</v>
      </c>
      <c r="F98">
        <v>3</v>
      </c>
      <c r="G98">
        <v>3</v>
      </c>
    </row>
    <row r="99" spans="1:7" x14ac:dyDescent="0.35">
      <c r="A99">
        <v>98</v>
      </c>
      <c r="B99">
        <v>0.19700000000000001</v>
      </c>
      <c r="C99">
        <v>0.47</v>
      </c>
      <c r="D99">
        <v>0.22389999999999999</v>
      </c>
      <c r="E99">
        <v>0</v>
      </c>
      <c r="F99">
        <v>33</v>
      </c>
      <c r="G99">
        <v>33</v>
      </c>
    </row>
    <row r="100" spans="1:7" x14ac:dyDescent="0.35">
      <c r="A100">
        <v>99</v>
      </c>
      <c r="B100">
        <v>0.18179999999999999</v>
      </c>
      <c r="C100">
        <v>0.43</v>
      </c>
      <c r="D100">
        <v>0.19400000000000001</v>
      </c>
      <c r="E100">
        <v>1</v>
      </c>
      <c r="F100">
        <v>87</v>
      </c>
      <c r="G100">
        <v>88</v>
      </c>
    </row>
    <row r="101" spans="1:7" x14ac:dyDescent="0.35">
      <c r="A101">
        <v>100</v>
      </c>
      <c r="B101">
        <v>0.18179999999999999</v>
      </c>
      <c r="C101">
        <v>0.4</v>
      </c>
      <c r="D101">
        <v>0.29849999999999999</v>
      </c>
      <c r="E101">
        <v>3</v>
      </c>
      <c r="F101">
        <v>192</v>
      </c>
      <c r="G101">
        <v>195</v>
      </c>
    </row>
    <row r="102" spans="1:7" x14ac:dyDescent="0.35">
      <c r="A102">
        <v>101</v>
      </c>
      <c r="B102">
        <v>0.19700000000000001</v>
      </c>
      <c r="C102">
        <v>0.37</v>
      </c>
      <c r="D102">
        <v>0.32840000000000003</v>
      </c>
      <c r="E102">
        <v>6</v>
      </c>
      <c r="F102">
        <v>109</v>
      </c>
      <c r="G102">
        <v>115</v>
      </c>
    </row>
    <row r="103" spans="1:7" x14ac:dyDescent="0.35">
      <c r="A103">
        <v>102</v>
      </c>
      <c r="B103">
        <v>0.19700000000000001</v>
      </c>
      <c r="C103">
        <v>0.37</v>
      </c>
      <c r="D103">
        <v>0.32840000000000003</v>
      </c>
      <c r="E103">
        <v>4</v>
      </c>
      <c r="F103">
        <v>53</v>
      </c>
      <c r="G103">
        <v>57</v>
      </c>
    </row>
    <row r="104" spans="1:7" x14ac:dyDescent="0.35">
      <c r="A104">
        <v>103</v>
      </c>
      <c r="B104">
        <v>0.2273</v>
      </c>
      <c r="C104">
        <v>0.33</v>
      </c>
      <c r="D104">
        <v>0.32840000000000003</v>
      </c>
      <c r="E104">
        <v>12</v>
      </c>
      <c r="F104">
        <v>34</v>
      </c>
      <c r="G104">
        <v>46</v>
      </c>
    </row>
    <row r="105" spans="1:7" x14ac:dyDescent="0.35">
      <c r="A105">
        <v>104</v>
      </c>
      <c r="B105">
        <v>0.2273</v>
      </c>
      <c r="C105">
        <v>0.33</v>
      </c>
      <c r="D105">
        <v>0.32840000000000003</v>
      </c>
      <c r="E105">
        <v>5</v>
      </c>
      <c r="F105">
        <v>74</v>
      </c>
      <c r="G105">
        <v>79</v>
      </c>
    </row>
    <row r="106" spans="1:7" x14ac:dyDescent="0.35">
      <c r="A106">
        <v>105</v>
      </c>
      <c r="B106">
        <v>0.2576</v>
      </c>
      <c r="C106">
        <v>0.3</v>
      </c>
      <c r="D106">
        <v>0.29849999999999999</v>
      </c>
      <c r="E106">
        <v>6</v>
      </c>
      <c r="F106">
        <v>65</v>
      </c>
      <c r="G106">
        <v>71</v>
      </c>
    </row>
    <row r="107" spans="1:7" x14ac:dyDescent="0.35">
      <c r="A107">
        <v>106</v>
      </c>
      <c r="B107">
        <v>0.28789999999999999</v>
      </c>
      <c r="C107">
        <v>0.28000000000000003</v>
      </c>
      <c r="D107">
        <v>0.19400000000000001</v>
      </c>
      <c r="E107">
        <v>10</v>
      </c>
      <c r="F107">
        <v>52</v>
      </c>
      <c r="G107">
        <v>62</v>
      </c>
    </row>
    <row r="108" spans="1:7" x14ac:dyDescent="0.35">
      <c r="A108">
        <v>107</v>
      </c>
      <c r="B108">
        <v>0.28789999999999999</v>
      </c>
      <c r="C108">
        <v>0.28000000000000003</v>
      </c>
      <c r="D108">
        <v>0.19400000000000001</v>
      </c>
      <c r="E108">
        <v>7</v>
      </c>
      <c r="F108">
        <v>55</v>
      </c>
      <c r="G108">
        <v>62</v>
      </c>
    </row>
    <row r="109" spans="1:7" x14ac:dyDescent="0.35">
      <c r="A109">
        <v>108</v>
      </c>
      <c r="B109">
        <v>0.31819999999999998</v>
      </c>
      <c r="C109">
        <v>0.28000000000000003</v>
      </c>
      <c r="D109">
        <v>8.9599999999999999E-2</v>
      </c>
      <c r="E109">
        <v>4</v>
      </c>
      <c r="F109">
        <v>85</v>
      </c>
      <c r="G109">
        <v>89</v>
      </c>
    </row>
    <row r="110" spans="1:7" x14ac:dyDescent="0.35">
      <c r="A110">
        <v>109</v>
      </c>
      <c r="B110">
        <v>0.2273</v>
      </c>
      <c r="C110">
        <v>0.38</v>
      </c>
      <c r="D110">
        <v>0.19400000000000001</v>
      </c>
      <c r="E110">
        <v>4</v>
      </c>
      <c r="F110">
        <v>186</v>
      </c>
      <c r="G110">
        <v>190</v>
      </c>
    </row>
    <row r="111" spans="1:7" x14ac:dyDescent="0.35">
      <c r="A111">
        <v>110</v>
      </c>
      <c r="B111">
        <v>0.2424</v>
      </c>
      <c r="C111">
        <v>0.38</v>
      </c>
      <c r="D111">
        <v>0.1343</v>
      </c>
      <c r="E111">
        <v>3</v>
      </c>
      <c r="F111">
        <v>166</v>
      </c>
      <c r="G111">
        <v>169</v>
      </c>
    </row>
    <row r="112" spans="1:7" x14ac:dyDescent="0.35">
      <c r="A112">
        <v>111</v>
      </c>
      <c r="B112">
        <v>0.2576</v>
      </c>
      <c r="C112">
        <v>0.38</v>
      </c>
      <c r="D112">
        <v>0.1045</v>
      </c>
      <c r="E112">
        <v>5</v>
      </c>
      <c r="F112">
        <v>127</v>
      </c>
      <c r="G112">
        <v>132</v>
      </c>
    </row>
    <row r="113" spans="1:7" x14ac:dyDescent="0.35">
      <c r="A113">
        <v>112</v>
      </c>
      <c r="B113">
        <v>0.2273</v>
      </c>
      <c r="C113">
        <v>0.47</v>
      </c>
      <c r="D113">
        <v>0.16420000000000001</v>
      </c>
      <c r="E113">
        <v>7</v>
      </c>
      <c r="F113">
        <v>82</v>
      </c>
      <c r="G113">
        <v>89</v>
      </c>
    </row>
    <row r="114" spans="1:7" x14ac:dyDescent="0.35">
      <c r="A114">
        <v>113</v>
      </c>
      <c r="B114">
        <v>0.19700000000000001</v>
      </c>
      <c r="C114">
        <v>0.51</v>
      </c>
      <c r="D114">
        <v>0.19400000000000001</v>
      </c>
      <c r="E114">
        <v>3</v>
      </c>
      <c r="F114">
        <v>40</v>
      </c>
      <c r="G114">
        <v>43</v>
      </c>
    </row>
    <row r="115" spans="1:7" x14ac:dyDescent="0.35">
      <c r="A115">
        <v>114</v>
      </c>
      <c r="B115">
        <v>0.19700000000000001</v>
      </c>
      <c r="C115">
        <v>0.55000000000000004</v>
      </c>
      <c r="D115">
        <v>0.1343</v>
      </c>
      <c r="E115">
        <v>1</v>
      </c>
      <c r="F115">
        <v>41</v>
      </c>
      <c r="G115">
        <v>42</v>
      </c>
    </row>
    <row r="116" spans="1:7" x14ac:dyDescent="0.35">
      <c r="A116">
        <v>115</v>
      </c>
      <c r="B116">
        <v>0.2576</v>
      </c>
      <c r="C116">
        <v>0.47</v>
      </c>
      <c r="D116">
        <v>0</v>
      </c>
      <c r="E116">
        <v>1</v>
      </c>
      <c r="F116">
        <v>18</v>
      </c>
      <c r="G116">
        <v>19</v>
      </c>
    </row>
    <row r="117" spans="1:7" x14ac:dyDescent="0.35">
      <c r="A117">
        <v>116</v>
      </c>
      <c r="B117">
        <v>0.2424</v>
      </c>
      <c r="C117">
        <v>0.55000000000000004</v>
      </c>
      <c r="D117">
        <v>0</v>
      </c>
      <c r="E117">
        <v>0</v>
      </c>
      <c r="F117">
        <v>11</v>
      </c>
      <c r="G117">
        <v>11</v>
      </c>
    </row>
    <row r="118" spans="1:7" x14ac:dyDescent="0.35">
      <c r="A118">
        <v>117</v>
      </c>
      <c r="B118">
        <v>0.2273</v>
      </c>
      <c r="C118">
        <v>0.64</v>
      </c>
      <c r="D118">
        <v>0</v>
      </c>
      <c r="E118">
        <v>0</v>
      </c>
      <c r="F118">
        <v>4</v>
      </c>
      <c r="G118">
        <v>4</v>
      </c>
    </row>
    <row r="119" spans="1:7" x14ac:dyDescent="0.35">
      <c r="A119">
        <v>118</v>
      </c>
      <c r="B119">
        <v>0.2273</v>
      </c>
      <c r="C119">
        <v>0.64</v>
      </c>
      <c r="D119">
        <v>0</v>
      </c>
      <c r="E119">
        <v>0</v>
      </c>
      <c r="F119">
        <v>2</v>
      </c>
      <c r="G119">
        <v>2</v>
      </c>
    </row>
    <row r="120" spans="1:7" x14ac:dyDescent="0.35">
      <c r="A120">
        <v>119</v>
      </c>
      <c r="B120">
        <v>0.19700000000000001</v>
      </c>
      <c r="C120">
        <v>0.64</v>
      </c>
      <c r="D120">
        <v>8.9599999999999999E-2</v>
      </c>
      <c r="E120">
        <v>0</v>
      </c>
      <c r="F120">
        <v>1</v>
      </c>
      <c r="G120">
        <v>1</v>
      </c>
    </row>
    <row r="121" spans="1:7" x14ac:dyDescent="0.35">
      <c r="A121">
        <v>120</v>
      </c>
      <c r="B121">
        <v>0.18179999999999999</v>
      </c>
      <c r="C121">
        <v>0.69</v>
      </c>
      <c r="D121">
        <v>8.9599999999999999E-2</v>
      </c>
      <c r="E121">
        <v>0</v>
      </c>
      <c r="F121">
        <v>4</v>
      </c>
      <c r="G121">
        <v>4</v>
      </c>
    </row>
    <row r="122" spans="1:7" x14ac:dyDescent="0.35">
      <c r="A122">
        <v>121</v>
      </c>
      <c r="B122">
        <v>0.16669999999999999</v>
      </c>
      <c r="C122">
        <v>0.63</v>
      </c>
      <c r="D122">
        <v>0.1045</v>
      </c>
      <c r="E122">
        <v>0</v>
      </c>
      <c r="F122">
        <v>36</v>
      </c>
      <c r="G122">
        <v>36</v>
      </c>
    </row>
    <row r="123" spans="1:7" x14ac:dyDescent="0.35">
      <c r="A123">
        <v>122</v>
      </c>
      <c r="B123">
        <v>0.2273</v>
      </c>
      <c r="C123">
        <v>0.59</v>
      </c>
      <c r="D123">
        <v>0</v>
      </c>
      <c r="E123">
        <v>0</v>
      </c>
      <c r="F123">
        <v>95</v>
      </c>
      <c r="G123">
        <v>95</v>
      </c>
    </row>
    <row r="124" spans="1:7" x14ac:dyDescent="0.35">
      <c r="A124">
        <v>123</v>
      </c>
      <c r="B124">
        <v>0.2273</v>
      </c>
      <c r="C124">
        <v>0.59</v>
      </c>
      <c r="D124">
        <v>0</v>
      </c>
      <c r="E124">
        <v>3</v>
      </c>
      <c r="F124">
        <v>216</v>
      </c>
      <c r="G124">
        <v>219</v>
      </c>
    </row>
    <row r="125" spans="1:7" x14ac:dyDescent="0.35">
      <c r="A125">
        <v>124</v>
      </c>
      <c r="B125">
        <v>0.2424</v>
      </c>
      <c r="C125">
        <v>0.51</v>
      </c>
      <c r="D125">
        <v>0</v>
      </c>
      <c r="E125">
        <v>6</v>
      </c>
      <c r="F125">
        <v>116</v>
      </c>
      <c r="G125">
        <v>122</v>
      </c>
    </row>
    <row r="126" spans="1:7" x14ac:dyDescent="0.35">
      <c r="A126">
        <v>125</v>
      </c>
      <c r="B126">
        <v>0.2576</v>
      </c>
      <c r="C126">
        <v>0.47</v>
      </c>
      <c r="D126">
        <v>0</v>
      </c>
      <c r="E126">
        <v>3</v>
      </c>
      <c r="F126">
        <v>42</v>
      </c>
      <c r="G126">
        <v>45</v>
      </c>
    </row>
    <row r="127" spans="1:7" x14ac:dyDescent="0.35">
      <c r="A127">
        <v>126</v>
      </c>
      <c r="B127">
        <v>0.2576</v>
      </c>
      <c r="C127">
        <v>0.44</v>
      </c>
      <c r="D127">
        <v>8.9599999999999999E-2</v>
      </c>
      <c r="E127">
        <v>2</v>
      </c>
      <c r="F127">
        <v>57</v>
      </c>
      <c r="G127">
        <v>59</v>
      </c>
    </row>
    <row r="128" spans="1:7" x14ac:dyDescent="0.35">
      <c r="A128">
        <v>127</v>
      </c>
      <c r="B128">
        <v>0.28789999999999999</v>
      </c>
      <c r="C128">
        <v>0.35</v>
      </c>
      <c r="D128">
        <v>0</v>
      </c>
      <c r="E128">
        <v>6</v>
      </c>
      <c r="F128">
        <v>78</v>
      </c>
      <c r="G128">
        <v>84</v>
      </c>
    </row>
    <row r="129" spans="1:7" x14ac:dyDescent="0.35">
      <c r="A129">
        <v>128</v>
      </c>
      <c r="B129">
        <v>0.2727</v>
      </c>
      <c r="C129">
        <v>0.35</v>
      </c>
      <c r="D129">
        <v>0.1045</v>
      </c>
      <c r="E129">
        <v>12</v>
      </c>
      <c r="F129">
        <v>55</v>
      </c>
      <c r="G129">
        <v>67</v>
      </c>
    </row>
    <row r="130" spans="1:7" x14ac:dyDescent="0.35">
      <c r="A130">
        <v>129</v>
      </c>
      <c r="B130">
        <v>0.2727</v>
      </c>
      <c r="C130">
        <v>0.36</v>
      </c>
      <c r="D130">
        <v>0.16420000000000001</v>
      </c>
      <c r="E130">
        <v>11</v>
      </c>
      <c r="F130">
        <v>59</v>
      </c>
      <c r="G130">
        <v>70</v>
      </c>
    </row>
    <row r="131" spans="1:7" x14ac:dyDescent="0.35">
      <c r="A131">
        <v>130</v>
      </c>
      <c r="B131">
        <v>0.2727</v>
      </c>
      <c r="C131">
        <v>0.36</v>
      </c>
      <c r="D131">
        <v>0</v>
      </c>
      <c r="E131">
        <v>8</v>
      </c>
      <c r="F131">
        <v>54</v>
      </c>
      <c r="G131">
        <v>62</v>
      </c>
    </row>
    <row r="132" spans="1:7" x14ac:dyDescent="0.35">
      <c r="A132">
        <v>131</v>
      </c>
      <c r="B132">
        <v>0.2576</v>
      </c>
      <c r="C132">
        <v>0.38</v>
      </c>
      <c r="D132">
        <v>0.16420000000000001</v>
      </c>
      <c r="E132">
        <v>12</v>
      </c>
      <c r="F132">
        <v>74</v>
      </c>
      <c r="G132">
        <v>86</v>
      </c>
    </row>
    <row r="133" spans="1:7" x14ac:dyDescent="0.35">
      <c r="A133">
        <v>132</v>
      </c>
      <c r="B133">
        <v>0.2273</v>
      </c>
      <c r="C133">
        <v>0.51</v>
      </c>
      <c r="D133">
        <v>0.16420000000000001</v>
      </c>
      <c r="E133">
        <v>9</v>
      </c>
      <c r="F133">
        <v>163</v>
      </c>
      <c r="G133">
        <v>172</v>
      </c>
    </row>
    <row r="134" spans="1:7" x14ac:dyDescent="0.35">
      <c r="A134">
        <v>133</v>
      </c>
      <c r="B134">
        <v>0.2273</v>
      </c>
      <c r="C134">
        <v>0.51</v>
      </c>
      <c r="D134">
        <v>0.1343</v>
      </c>
      <c r="E134">
        <v>5</v>
      </c>
      <c r="F134">
        <v>158</v>
      </c>
      <c r="G134">
        <v>163</v>
      </c>
    </row>
    <row r="135" spans="1:7" x14ac:dyDescent="0.35">
      <c r="A135">
        <v>134</v>
      </c>
      <c r="B135">
        <v>0.2576</v>
      </c>
      <c r="C135">
        <v>0.55000000000000004</v>
      </c>
      <c r="D135">
        <v>8.9599999999999999E-2</v>
      </c>
      <c r="E135">
        <v>3</v>
      </c>
      <c r="F135">
        <v>109</v>
      </c>
      <c r="G135">
        <v>112</v>
      </c>
    </row>
    <row r="136" spans="1:7" x14ac:dyDescent="0.35">
      <c r="A136">
        <v>135</v>
      </c>
      <c r="B136">
        <v>0.21210000000000001</v>
      </c>
      <c r="C136">
        <v>0.51</v>
      </c>
      <c r="D136">
        <v>0.16420000000000001</v>
      </c>
      <c r="E136">
        <v>3</v>
      </c>
      <c r="F136">
        <v>66</v>
      </c>
      <c r="G136">
        <v>69</v>
      </c>
    </row>
    <row r="137" spans="1:7" x14ac:dyDescent="0.35">
      <c r="A137">
        <v>136</v>
      </c>
      <c r="B137">
        <v>0.21210000000000001</v>
      </c>
      <c r="C137">
        <v>0.55000000000000004</v>
      </c>
      <c r="D137">
        <v>0.22389999999999999</v>
      </c>
      <c r="E137">
        <v>0</v>
      </c>
      <c r="F137">
        <v>48</v>
      </c>
      <c r="G137">
        <v>48</v>
      </c>
    </row>
    <row r="138" spans="1:7" x14ac:dyDescent="0.35">
      <c r="A138">
        <v>137</v>
      </c>
      <c r="B138">
        <v>0.21210000000000001</v>
      </c>
      <c r="C138">
        <v>0.51</v>
      </c>
      <c r="D138">
        <v>0.28360000000000002</v>
      </c>
      <c r="E138">
        <v>1</v>
      </c>
      <c r="F138">
        <v>51</v>
      </c>
      <c r="G138">
        <v>52</v>
      </c>
    </row>
    <row r="139" spans="1:7" x14ac:dyDescent="0.35">
      <c r="A139">
        <v>138</v>
      </c>
      <c r="B139">
        <v>0.19700000000000001</v>
      </c>
      <c r="C139">
        <v>0.59</v>
      </c>
      <c r="D139">
        <v>0.19400000000000001</v>
      </c>
      <c r="E139">
        <v>4</v>
      </c>
      <c r="F139">
        <v>19</v>
      </c>
      <c r="G139">
        <v>23</v>
      </c>
    </row>
    <row r="140" spans="1:7" x14ac:dyDescent="0.35">
      <c r="A140">
        <v>139</v>
      </c>
      <c r="B140">
        <v>0.19700000000000001</v>
      </c>
      <c r="C140">
        <v>0.64</v>
      </c>
      <c r="D140">
        <v>0.19400000000000001</v>
      </c>
      <c r="E140">
        <v>4</v>
      </c>
      <c r="F140">
        <v>13</v>
      </c>
      <c r="G140">
        <v>17</v>
      </c>
    </row>
    <row r="141" spans="1:7" x14ac:dyDescent="0.35">
      <c r="A141">
        <v>140</v>
      </c>
      <c r="B141">
        <v>0.19700000000000001</v>
      </c>
      <c r="C141">
        <v>0.69</v>
      </c>
      <c r="D141">
        <v>0.22389999999999999</v>
      </c>
      <c r="E141">
        <v>2</v>
      </c>
      <c r="F141">
        <v>5</v>
      </c>
      <c r="G141">
        <v>7</v>
      </c>
    </row>
    <row r="142" spans="1:7" x14ac:dyDescent="0.35">
      <c r="A142">
        <v>141</v>
      </c>
      <c r="B142">
        <v>0.19700000000000001</v>
      </c>
      <c r="C142">
        <v>0.69</v>
      </c>
      <c r="D142">
        <v>0.22389999999999999</v>
      </c>
      <c r="E142">
        <v>0</v>
      </c>
      <c r="F142">
        <v>1</v>
      </c>
      <c r="G142">
        <v>1</v>
      </c>
    </row>
    <row r="143" spans="1:7" x14ac:dyDescent="0.35">
      <c r="A143">
        <v>142</v>
      </c>
      <c r="B143">
        <v>0.21210000000000001</v>
      </c>
      <c r="C143">
        <v>0.69</v>
      </c>
      <c r="D143">
        <v>0.1343</v>
      </c>
      <c r="E143">
        <v>0</v>
      </c>
      <c r="F143">
        <v>1</v>
      </c>
      <c r="G143">
        <v>1</v>
      </c>
    </row>
    <row r="144" spans="1:7" x14ac:dyDescent="0.35">
      <c r="A144">
        <v>143</v>
      </c>
      <c r="B144">
        <v>0.2727</v>
      </c>
      <c r="C144">
        <v>0.55000000000000004</v>
      </c>
      <c r="D144">
        <v>0</v>
      </c>
      <c r="E144">
        <v>0</v>
      </c>
      <c r="F144">
        <v>5</v>
      </c>
      <c r="G144">
        <v>5</v>
      </c>
    </row>
    <row r="145" spans="1:7" x14ac:dyDescent="0.35">
      <c r="A145">
        <v>144</v>
      </c>
      <c r="B145">
        <v>0.2576</v>
      </c>
      <c r="C145">
        <v>0.69</v>
      </c>
      <c r="D145">
        <v>0</v>
      </c>
      <c r="E145">
        <v>8</v>
      </c>
      <c r="F145">
        <v>26</v>
      </c>
      <c r="G145">
        <v>34</v>
      </c>
    </row>
    <row r="146" spans="1:7" x14ac:dyDescent="0.35">
      <c r="A146">
        <v>145</v>
      </c>
      <c r="B146">
        <v>0.21210000000000001</v>
      </c>
      <c r="C146">
        <v>0.69</v>
      </c>
      <c r="D146">
        <v>0.1343</v>
      </c>
      <c r="E146">
        <v>8</v>
      </c>
      <c r="F146">
        <v>76</v>
      </c>
      <c r="G146">
        <v>84</v>
      </c>
    </row>
    <row r="147" spans="1:7" x14ac:dyDescent="0.35">
      <c r="A147">
        <v>146</v>
      </c>
      <c r="B147">
        <v>0.19700000000000001</v>
      </c>
      <c r="C147">
        <v>0.51</v>
      </c>
      <c r="D147">
        <v>0.25369999999999998</v>
      </c>
      <c r="E147">
        <v>20</v>
      </c>
      <c r="F147">
        <v>190</v>
      </c>
      <c r="G147">
        <v>210</v>
      </c>
    </row>
    <row r="148" spans="1:7" x14ac:dyDescent="0.35">
      <c r="A148">
        <v>147</v>
      </c>
      <c r="B148">
        <v>0.18179999999999999</v>
      </c>
      <c r="C148">
        <v>0.47</v>
      </c>
      <c r="D148">
        <v>0.29849999999999999</v>
      </c>
      <c r="E148">
        <v>9</v>
      </c>
      <c r="F148">
        <v>125</v>
      </c>
      <c r="G148">
        <v>134</v>
      </c>
    </row>
    <row r="149" spans="1:7" x14ac:dyDescent="0.35">
      <c r="A149">
        <v>148</v>
      </c>
      <c r="B149">
        <v>0.19700000000000001</v>
      </c>
      <c r="C149">
        <v>0.37</v>
      </c>
      <c r="D149">
        <v>0.32840000000000003</v>
      </c>
      <c r="E149">
        <v>16</v>
      </c>
      <c r="F149">
        <v>47</v>
      </c>
      <c r="G149">
        <v>63</v>
      </c>
    </row>
    <row r="150" spans="1:7" x14ac:dyDescent="0.35">
      <c r="A150">
        <v>149</v>
      </c>
      <c r="B150">
        <v>0.19700000000000001</v>
      </c>
      <c r="C150">
        <v>0.4</v>
      </c>
      <c r="D150">
        <v>0.22389999999999999</v>
      </c>
      <c r="E150">
        <v>19</v>
      </c>
      <c r="F150">
        <v>48</v>
      </c>
      <c r="G150">
        <v>67</v>
      </c>
    </row>
    <row r="151" spans="1:7" x14ac:dyDescent="0.35">
      <c r="A151">
        <v>150</v>
      </c>
      <c r="B151">
        <v>0.19700000000000001</v>
      </c>
      <c r="C151">
        <v>0.37</v>
      </c>
      <c r="D151">
        <v>0.25369999999999998</v>
      </c>
      <c r="E151">
        <v>9</v>
      </c>
      <c r="F151">
        <v>50</v>
      </c>
      <c r="G151">
        <v>59</v>
      </c>
    </row>
    <row r="152" spans="1:7" x14ac:dyDescent="0.35">
      <c r="A152">
        <v>151</v>
      </c>
      <c r="B152">
        <v>0.18179999999999999</v>
      </c>
      <c r="C152">
        <v>0.37</v>
      </c>
      <c r="D152">
        <v>0.28360000000000002</v>
      </c>
      <c r="E152">
        <v>9</v>
      </c>
      <c r="F152">
        <v>64</v>
      </c>
      <c r="G152">
        <v>73</v>
      </c>
    </row>
    <row r="153" spans="1:7" x14ac:dyDescent="0.35">
      <c r="A153">
        <v>152</v>
      </c>
      <c r="B153">
        <v>0.19700000000000001</v>
      </c>
      <c r="C153">
        <v>0.4</v>
      </c>
      <c r="D153">
        <v>0.25369999999999998</v>
      </c>
      <c r="E153">
        <v>7</v>
      </c>
      <c r="F153">
        <v>43</v>
      </c>
      <c r="G153">
        <v>50</v>
      </c>
    </row>
    <row r="154" spans="1:7" x14ac:dyDescent="0.35">
      <c r="A154">
        <v>153</v>
      </c>
      <c r="B154">
        <v>0.21210000000000001</v>
      </c>
      <c r="C154">
        <v>0.37</v>
      </c>
      <c r="D154">
        <v>0.16420000000000001</v>
      </c>
      <c r="E154">
        <v>9</v>
      </c>
      <c r="F154">
        <v>63</v>
      </c>
      <c r="G154">
        <v>72</v>
      </c>
    </row>
    <row r="155" spans="1:7" x14ac:dyDescent="0.35">
      <c r="A155">
        <v>154</v>
      </c>
      <c r="B155">
        <v>0.21210000000000001</v>
      </c>
      <c r="C155">
        <v>0.37</v>
      </c>
      <c r="D155">
        <v>0.16420000000000001</v>
      </c>
      <c r="E155">
        <v>5</v>
      </c>
      <c r="F155">
        <v>82</v>
      </c>
      <c r="G155">
        <v>87</v>
      </c>
    </row>
    <row r="156" spans="1:7" x14ac:dyDescent="0.35">
      <c r="A156">
        <v>155</v>
      </c>
      <c r="B156">
        <v>0.2576</v>
      </c>
      <c r="C156">
        <v>0.37</v>
      </c>
      <c r="D156">
        <v>0</v>
      </c>
      <c r="E156">
        <v>9</v>
      </c>
      <c r="F156">
        <v>178</v>
      </c>
      <c r="G156">
        <v>187</v>
      </c>
    </row>
    <row r="157" spans="1:7" x14ac:dyDescent="0.35">
      <c r="A157">
        <v>156</v>
      </c>
      <c r="B157">
        <v>0.2273</v>
      </c>
      <c r="C157">
        <v>0.4</v>
      </c>
      <c r="D157">
        <v>8.9599999999999999E-2</v>
      </c>
      <c r="E157">
        <v>7</v>
      </c>
      <c r="F157">
        <v>116</v>
      </c>
      <c r="G157">
        <v>123</v>
      </c>
    </row>
    <row r="158" spans="1:7" x14ac:dyDescent="0.35">
      <c r="A158">
        <v>157</v>
      </c>
      <c r="B158">
        <v>0.19700000000000001</v>
      </c>
      <c r="C158">
        <v>0.55000000000000004</v>
      </c>
      <c r="D158">
        <v>8.9599999999999999E-2</v>
      </c>
      <c r="E158">
        <v>3</v>
      </c>
      <c r="F158">
        <v>92</v>
      </c>
      <c r="G158">
        <v>95</v>
      </c>
    </row>
    <row r="159" spans="1:7" x14ac:dyDescent="0.35">
      <c r="A159">
        <v>158</v>
      </c>
      <c r="B159">
        <v>0.21210000000000001</v>
      </c>
      <c r="C159">
        <v>0.47</v>
      </c>
      <c r="D159">
        <v>0.1045</v>
      </c>
      <c r="E159">
        <v>1</v>
      </c>
      <c r="F159">
        <v>50</v>
      </c>
      <c r="G159">
        <v>51</v>
      </c>
    </row>
    <row r="160" spans="1:7" x14ac:dyDescent="0.35">
      <c r="A160">
        <v>159</v>
      </c>
      <c r="B160">
        <v>0.19700000000000001</v>
      </c>
      <c r="C160">
        <v>0.47</v>
      </c>
      <c r="D160">
        <v>0.1343</v>
      </c>
      <c r="E160">
        <v>0</v>
      </c>
      <c r="F160">
        <v>39</v>
      </c>
      <c r="G160">
        <v>39</v>
      </c>
    </row>
    <row r="161" spans="1:7" x14ac:dyDescent="0.35">
      <c r="A161">
        <v>160</v>
      </c>
      <c r="B161">
        <v>0.19700000000000001</v>
      </c>
      <c r="C161">
        <v>0.43</v>
      </c>
      <c r="D161">
        <v>0.16420000000000001</v>
      </c>
      <c r="E161">
        <v>2</v>
      </c>
      <c r="F161">
        <v>34</v>
      </c>
      <c r="G161">
        <v>36</v>
      </c>
    </row>
    <row r="162" spans="1:7" x14ac:dyDescent="0.35">
      <c r="A162">
        <v>161</v>
      </c>
      <c r="B162">
        <v>0.19700000000000001</v>
      </c>
      <c r="C162">
        <v>0.51</v>
      </c>
      <c r="D162">
        <v>0.16420000000000001</v>
      </c>
      <c r="E162">
        <v>1</v>
      </c>
      <c r="F162">
        <v>14</v>
      </c>
      <c r="G162">
        <v>15</v>
      </c>
    </row>
    <row r="163" spans="1:7" x14ac:dyDescent="0.35">
      <c r="A163">
        <v>162</v>
      </c>
      <c r="B163">
        <v>0.19700000000000001</v>
      </c>
      <c r="C163">
        <v>0.51</v>
      </c>
      <c r="D163">
        <v>0.16420000000000001</v>
      </c>
      <c r="E163">
        <v>1</v>
      </c>
      <c r="F163">
        <v>24</v>
      </c>
      <c r="G163">
        <v>25</v>
      </c>
    </row>
    <row r="164" spans="1:7" x14ac:dyDescent="0.35">
      <c r="A164">
        <v>163</v>
      </c>
      <c r="B164">
        <v>0.21210000000000001</v>
      </c>
      <c r="C164">
        <v>0.55000000000000004</v>
      </c>
      <c r="D164">
        <v>8.9599999999999999E-2</v>
      </c>
      <c r="E164">
        <v>1</v>
      </c>
      <c r="F164">
        <v>15</v>
      </c>
      <c r="G164">
        <v>16</v>
      </c>
    </row>
    <row r="165" spans="1:7" x14ac:dyDescent="0.35">
      <c r="A165">
        <v>164</v>
      </c>
      <c r="B165">
        <v>0.2424</v>
      </c>
      <c r="C165">
        <v>0.55000000000000004</v>
      </c>
      <c r="D165">
        <v>0</v>
      </c>
      <c r="E165">
        <v>3</v>
      </c>
      <c r="F165">
        <v>13</v>
      </c>
      <c r="G165">
        <v>16</v>
      </c>
    </row>
    <row r="166" spans="1:7" x14ac:dyDescent="0.35">
      <c r="A166">
        <v>165</v>
      </c>
      <c r="B166">
        <v>0.19700000000000001</v>
      </c>
      <c r="C166">
        <v>0.55000000000000004</v>
      </c>
      <c r="D166">
        <v>0.16420000000000001</v>
      </c>
      <c r="E166">
        <v>0</v>
      </c>
      <c r="F166">
        <v>7</v>
      </c>
      <c r="G166">
        <v>7</v>
      </c>
    </row>
    <row r="167" spans="1:7" x14ac:dyDescent="0.35">
      <c r="A167">
        <v>166</v>
      </c>
      <c r="B167">
        <v>0.19700000000000001</v>
      </c>
      <c r="C167">
        <v>0.55000000000000004</v>
      </c>
      <c r="D167">
        <v>0.16420000000000001</v>
      </c>
      <c r="E167">
        <v>0</v>
      </c>
      <c r="F167">
        <v>1</v>
      </c>
      <c r="G167">
        <v>1</v>
      </c>
    </row>
    <row r="168" spans="1:7" x14ac:dyDescent="0.35">
      <c r="A168">
        <v>167</v>
      </c>
      <c r="B168">
        <v>0.16669999999999999</v>
      </c>
      <c r="C168">
        <v>0.74</v>
      </c>
      <c r="D168">
        <v>0.16420000000000001</v>
      </c>
      <c r="E168">
        <v>0</v>
      </c>
      <c r="F168">
        <v>5</v>
      </c>
      <c r="G168">
        <v>5</v>
      </c>
    </row>
    <row r="169" spans="1:7" x14ac:dyDescent="0.35">
      <c r="A169">
        <v>168</v>
      </c>
      <c r="B169">
        <v>0.16669999999999999</v>
      </c>
      <c r="C169">
        <v>0.74</v>
      </c>
      <c r="D169">
        <v>0.16420000000000001</v>
      </c>
      <c r="E169">
        <v>0</v>
      </c>
      <c r="F169">
        <v>2</v>
      </c>
      <c r="G169">
        <v>2</v>
      </c>
    </row>
    <row r="170" spans="1:7" x14ac:dyDescent="0.35">
      <c r="A170">
        <v>169</v>
      </c>
      <c r="B170">
        <v>0.18179999999999999</v>
      </c>
      <c r="C170">
        <v>0.74</v>
      </c>
      <c r="D170">
        <v>0.1045</v>
      </c>
      <c r="E170">
        <v>1</v>
      </c>
      <c r="F170">
        <v>8</v>
      </c>
      <c r="G170">
        <v>9</v>
      </c>
    </row>
    <row r="171" spans="1:7" x14ac:dyDescent="0.35">
      <c r="A171">
        <v>170</v>
      </c>
      <c r="B171">
        <v>0.18179999999999999</v>
      </c>
      <c r="C171">
        <v>0.93</v>
      </c>
      <c r="D171">
        <v>0.1045</v>
      </c>
      <c r="E171">
        <v>0</v>
      </c>
      <c r="F171">
        <v>15</v>
      </c>
      <c r="G171">
        <v>15</v>
      </c>
    </row>
    <row r="172" spans="1:7" x14ac:dyDescent="0.35">
      <c r="A172">
        <v>171</v>
      </c>
      <c r="B172">
        <v>0.18179999999999999</v>
      </c>
      <c r="C172">
        <v>0.93</v>
      </c>
      <c r="D172">
        <v>0.1045</v>
      </c>
      <c r="E172">
        <v>0</v>
      </c>
      <c r="F172">
        <v>20</v>
      </c>
      <c r="G172">
        <v>20</v>
      </c>
    </row>
    <row r="173" spans="1:7" x14ac:dyDescent="0.35">
      <c r="A173">
        <v>172</v>
      </c>
      <c r="B173">
        <v>0.19700000000000001</v>
      </c>
      <c r="C173">
        <v>0.8</v>
      </c>
      <c r="D173">
        <v>0.16420000000000001</v>
      </c>
      <c r="E173">
        <v>5</v>
      </c>
      <c r="F173">
        <v>56</v>
      </c>
      <c r="G173">
        <v>61</v>
      </c>
    </row>
    <row r="174" spans="1:7" x14ac:dyDescent="0.35">
      <c r="A174">
        <v>173</v>
      </c>
      <c r="B174">
        <v>0.18179999999999999</v>
      </c>
      <c r="C174">
        <v>0.69</v>
      </c>
      <c r="D174">
        <v>0.3881</v>
      </c>
      <c r="E174">
        <v>2</v>
      </c>
      <c r="F174">
        <v>60</v>
      </c>
      <c r="G174">
        <v>62</v>
      </c>
    </row>
    <row r="175" spans="1:7" x14ac:dyDescent="0.35">
      <c r="A175">
        <v>174</v>
      </c>
      <c r="B175">
        <v>0.18179999999999999</v>
      </c>
      <c r="C175">
        <v>0.59</v>
      </c>
      <c r="D175">
        <v>0.35820000000000002</v>
      </c>
      <c r="E175">
        <v>8</v>
      </c>
      <c r="F175">
        <v>90</v>
      </c>
      <c r="G175">
        <v>98</v>
      </c>
    </row>
    <row r="176" spans="1:7" x14ac:dyDescent="0.35">
      <c r="A176">
        <v>175</v>
      </c>
      <c r="B176">
        <v>0.18179999999999999</v>
      </c>
      <c r="C176">
        <v>0.44</v>
      </c>
      <c r="D176">
        <v>0.32840000000000003</v>
      </c>
      <c r="E176">
        <v>7</v>
      </c>
      <c r="F176">
        <v>95</v>
      </c>
      <c r="G176">
        <v>102</v>
      </c>
    </row>
    <row r="177" spans="1:7" x14ac:dyDescent="0.35">
      <c r="A177">
        <v>176</v>
      </c>
      <c r="B177">
        <v>0.16669999999999999</v>
      </c>
      <c r="C177">
        <v>0.32</v>
      </c>
      <c r="D177">
        <v>0.49249999999999999</v>
      </c>
      <c r="E177">
        <v>12</v>
      </c>
      <c r="F177">
        <v>83</v>
      </c>
      <c r="G177">
        <v>95</v>
      </c>
    </row>
    <row r="178" spans="1:7" x14ac:dyDescent="0.35">
      <c r="A178">
        <v>177</v>
      </c>
      <c r="B178">
        <v>0.16669999999999999</v>
      </c>
      <c r="C178">
        <v>0.32</v>
      </c>
      <c r="D178">
        <v>0.44779999999999998</v>
      </c>
      <c r="E178">
        <v>5</v>
      </c>
      <c r="F178">
        <v>69</v>
      </c>
      <c r="G178">
        <v>74</v>
      </c>
    </row>
    <row r="179" spans="1:7" x14ac:dyDescent="0.35">
      <c r="A179">
        <v>178</v>
      </c>
      <c r="B179">
        <v>0.13639999999999999</v>
      </c>
      <c r="C179">
        <v>0.28999999999999998</v>
      </c>
      <c r="D179">
        <v>0.44779999999999998</v>
      </c>
      <c r="E179">
        <v>8</v>
      </c>
      <c r="F179">
        <v>68</v>
      </c>
      <c r="G179">
        <v>76</v>
      </c>
    </row>
    <row r="180" spans="1:7" x14ac:dyDescent="0.35">
      <c r="A180">
        <v>179</v>
      </c>
      <c r="B180">
        <v>0.1212</v>
      </c>
      <c r="C180">
        <v>0.37</v>
      </c>
      <c r="D180">
        <v>0.55220000000000002</v>
      </c>
      <c r="E180">
        <v>5</v>
      </c>
      <c r="F180">
        <v>64</v>
      </c>
      <c r="G180">
        <v>69</v>
      </c>
    </row>
    <row r="181" spans="1:7" x14ac:dyDescent="0.35">
      <c r="A181">
        <v>180</v>
      </c>
      <c r="B181">
        <v>0.1212</v>
      </c>
      <c r="C181">
        <v>0.39</v>
      </c>
      <c r="D181">
        <v>0.29849999999999999</v>
      </c>
      <c r="E181">
        <v>3</v>
      </c>
      <c r="F181">
        <v>52</v>
      </c>
      <c r="G181">
        <v>55</v>
      </c>
    </row>
    <row r="182" spans="1:7" x14ac:dyDescent="0.35">
      <c r="A182">
        <v>181</v>
      </c>
      <c r="B182">
        <v>0.1212</v>
      </c>
      <c r="C182">
        <v>0.36</v>
      </c>
      <c r="D182">
        <v>0.25369999999999998</v>
      </c>
      <c r="E182">
        <v>4</v>
      </c>
      <c r="F182">
        <v>26</v>
      </c>
      <c r="G182">
        <v>30</v>
      </c>
    </row>
    <row r="183" spans="1:7" x14ac:dyDescent="0.35">
      <c r="A183">
        <v>182</v>
      </c>
      <c r="B183">
        <v>0.1212</v>
      </c>
      <c r="C183">
        <v>0.36</v>
      </c>
      <c r="D183">
        <v>0.25369999999999998</v>
      </c>
      <c r="E183">
        <v>0</v>
      </c>
      <c r="F183">
        <v>28</v>
      </c>
      <c r="G183">
        <v>28</v>
      </c>
    </row>
    <row r="184" spans="1:7" x14ac:dyDescent="0.35">
      <c r="A184">
        <v>183</v>
      </c>
      <c r="B184">
        <v>0.1061</v>
      </c>
      <c r="C184">
        <v>0.39</v>
      </c>
      <c r="D184">
        <v>0.35820000000000002</v>
      </c>
      <c r="E184">
        <v>2</v>
      </c>
      <c r="F184">
        <v>35</v>
      </c>
      <c r="G184">
        <v>37</v>
      </c>
    </row>
    <row r="185" spans="1:7" x14ac:dyDescent="0.35">
      <c r="A185">
        <v>184</v>
      </c>
      <c r="B185">
        <v>0.1061</v>
      </c>
      <c r="C185">
        <v>0.36</v>
      </c>
      <c r="D185">
        <v>0.3881</v>
      </c>
      <c r="E185">
        <v>1</v>
      </c>
      <c r="F185">
        <v>33</v>
      </c>
      <c r="G185">
        <v>34</v>
      </c>
    </row>
    <row r="186" spans="1:7" x14ac:dyDescent="0.35">
      <c r="A186">
        <v>185</v>
      </c>
      <c r="B186">
        <v>6.0600000000000001E-2</v>
      </c>
      <c r="C186">
        <v>0.39</v>
      </c>
      <c r="D186">
        <v>0.44779999999999998</v>
      </c>
      <c r="E186">
        <v>0</v>
      </c>
      <c r="F186">
        <v>22</v>
      </c>
      <c r="G186">
        <v>22</v>
      </c>
    </row>
    <row r="187" spans="1:7" x14ac:dyDescent="0.35">
      <c r="A187">
        <v>186</v>
      </c>
      <c r="B187">
        <v>7.5800000000000006E-2</v>
      </c>
      <c r="C187">
        <v>0.42</v>
      </c>
      <c r="D187">
        <v>0.3881</v>
      </c>
      <c r="E187">
        <v>1</v>
      </c>
      <c r="F187">
        <v>24</v>
      </c>
      <c r="G187">
        <v>25</v>
      </c>
    </row>
    <row r="188" spans="1:7" x14ac:dyDescent="0.35">
      <c r="A188">
        <v>187</v>
      </c>
      <c r="B188">
        <v>6.0600000000000001E-2</v>
      </c>
      <c r="C188">
        <v>0.42</v>
      </c>
      <c r="D188">
        <v>0.4627</v>
      </c>
      <c r="E188">
        <v>0</v>
      </c>
      <c r="F188">
        <v>12</v>
      </c>
      <c r="G188">
        <v>12</v>
      </c>
    </row>
    <row r="189" spans="1:7" x14ac:dyDescent="0.35">
      <c r="A189">
        <v>188</v>
      </c>
      <c r="B189">
        <v>6.0600000000000001E-2</v>
      </c>
      <c r="C189">
        <v>0.46</v>
      </c>
      <c r="D189">
        <v>0.4627</v>
      </c>
      <c r="E189">
        <v>0</v>
      </c>
      <c r="F189">
        <v>11</v>
      </c>
      <c r="G189">
        <v>11</v>
      </c>
    </row>
    <row r="190" spans="1:7" x14ac:dyDescent="0.35">
      <c r="A190">
        <v>189</v>
      </c>
      <c r="B190">
        <v>7.5800000000000006E-2</v>
      </c>
      <c r="C190">
        <v>0.46</v>
      </c>
      <c r="D190">
        <v>0.41789999999999999</v>
      </c>
      <c r="E190">
        <v>0</v>
      </c>
      <c r="F190">
        <v>4</v>
      </c>
      <c r="G190">
        <v>4</v>
      </c>
    </row>
    <row r="191" spans="1:7" x14ac:dyDescent="0.35">
      <c r="A191">
        <v>190</v>
      </c>
      <c r="B191">
        <v>9.0899999999999995E-2</v>
      </c>
      <c r="C191">
        <v>0.53</v>
      </c>
      <c r="D191">
        <v>0.19400000000000001</v>
      </c>
      <c r="E191">
        <v>0</v>
      </c>
      <c r="F191">
        <v>1</v>
      </c>
      <c r="G191">
        <v>1</v>
      </c>
    </row>
    <row r="192" spans="1:7" x14ac:dyDescent="0.35">
      <c r="A192">
        <v>191</v>
      </c>
      <c r="B192">
        <v>9.0899999999999995E-2</v>
      </c>
      <c r="C192">
        <v>0.53</v>
      </c>
      <c r="D192">
        <v>0.19400000000000001</v>
      </c>
      <c r="E192">
        <v>0</v>
      </c>
      <c r="F192">
        <v>1</v>
      </c>
      <c r="G192">
        <v>1</v>
      </c>
    </row>
    <row r="193" spans="1:7" x14ac:dyDescent="0.35">
      <c r="A193">
        <v>192</v>
      </c>
      <c r="B193">
        <v>9.0899999999999995E-2</v>
      </c>
      <c r="C193">
        <v>0.49</v>
      </c>
      <c r="D193">
        <v>0.28360000000000002</v>
      </c>
      <c r="E193">
        <v>0</v>
      </c>
      <c r="F193">
        <v>1</v>
      </c>
      <c r="G193">
        <v>1</v>
      </c>
    </row>
    <row r="194" spans="1:7" x14ac:dyDescent="0.35">
      <c r="A194">
        <v>193</v>
      </c>
      <c r="B194">
        <v>9.0899999999999995E-2</v>
      </c>
      <c r="C194">
        <v>0.53</v>
      </c>
      <c r="D194">
        <v>0.19400000000000001</v>
      </c>
      <c r="E194">
        <v>1</v>
      </c>
      <c r="F194">
        <v>5</v>
      </c>
      <c r="G194">
        <v>6</v>
      </c>
    </row>
    <row r="195" spans="1:7" x14ac:dyDescent="0.35">
      <c r="A195">
        <v>194</v>
      </c>
      <c r="B195">
        <v>9.0899999999999995E-2</v>
      </c>
      <c r="C195">
        <v>0.49</v>
      </c>
      <c r="D195">
        <v>0.28360000000000002</v>
      </c>
      <c r="E195">
        <v>0</v>
      </c>
      <c r="F195">
        <v>10</v>
      </c>
      <c r="G195">
        <v>10</v>
      </c>
    </row>
    <row r="196" spans="1:7" x14ac:dyDescent="0.35">
      <c r="A196">
        <v>195</v>
      </c>
      <c r="B196">
        <v>7.5800000000000006E-2</v>
      </c>
      <c r="C196">
        <v>0.46</v>
      </c>
      <c r="D196">
        <v>0.52239999999999998</v>
      </c>
      <c r="E196">
        <v>0</v>
      </c>
      <c r="F196">
        <v>19</v>
      </c>
      <c r="G196">
        <v>19</v>
      </c>
    </row>
    <row r="197" spans="1:7" x14ac:dyDescent="0.35">
      <c r="A197">
        <v>196</v>
      </c>
      <c r="B197">
        <v>0.1061</v>
      </c>
      <c r="C197">
        <v>0.43</v>
      </c>
      <c r="D197">
        <v>0.3881</v>
      </c>
      <c r="E197">
        <v>0</v>
      </c>
      <c r="F197">
        <v>49</v>
      </c>
      <c r="G197">
        <v>49</v>
      </c>
    </row>
    <row r="198" spans="1:7" x14ac:dyDescent="0.35">
      <c r="A198">
        <v>197</v>
      </c>
      <c r="B198">
        <v>0.1212</v>
      </c>
      <c r="C198">
        <v>0.4</v>
      </c>
      <c r="D198">
        <v>0.52239999999999998</v>
      </c>
      <c r="E198">
        <v>2</v>
      </c>
      <c r="F198">
        <v>47</v>
      </c>
      <c r="G198">
        <v>49</v>
      </c>
    </row>
    <row r="199" spans="1:7" x14ac:dyDescent="0.35">
      <c r="A199">
        <v>198</v>
      </c>
      <c r="B199">
        <v>0.13639999999999999</v>
      </c>
      <c r="C199">
        <v>0.37</v>
      </c>
      <c r="D199">
        <v>0.44779999999999998</v>
      </c>
      <c r="E199">
        <v>4</v>
      </c>
      <c r="F199">
        <v>79</v>
      </c>
      <c r="G199">
        <v>83</v>
      </c>
    </row>
    <row r="200" spans="1:7" x14ac:dyDescent="0.35">
      <c r="A200">
        <v>199</v>
      </c>
      <c r="B200">
        <v>0.16669999999999999</v>
      </c>
      <c r="C200">
        <v>0.34</v>
      </c>
      <c r="D200">
        <v>0.44779999999999998</v>
      </c>
      <c r="E200">
        <v>6</v>
      </c>
      <c r="F200">
        <v>69</v>
      </c>
      <c r="G200">
        <v>75</v>
      </c>
    </row>
    <row r="201" spans="1:7" x14ac:dyDescent="0.35">
      <c r="A201">
        <v>200</v>
      </c>
      <c r="B201">
        <v>0.18179999999999999</v>
      </c>
      <c r="C201">
        <v>0.32</v>
      </c>
      <c r="D201">
        <v>0.4627</v>
      </c>
      <c r="E201">
        <v>8</v>
      </c>
      <c r="F201">
        <v>64</v>
      </c>
      <c r="G201">
        <v>72</v>
      </c>
    </row>
    <row r="202" spans="1:7" x14ac:dyDescent="0.35">
      <c r="A202">
        <v>201</v>
      </c>
      <c r="B202">
        <v>0.19700000000000001</v>
      </c>
      <c r="C202">
        <v>0.35</v>
      </c>
      <c r="D202">
        <v>0.35820000000000002</v>
      </c>
      <c r="E202">
        <v>5</v>
      </c>
      <c r="F202">
        <v>77</v>
      </c>
      <c r="G202">
        <v>82</v>
      </c>
    </row>
    <row r="203" spans="1:7" x14ac:dyDescent="0.35">
      <c r="A203">
        <v>202</v>
      </c>
      <c r="B203">
        <v>0.16669999999999999</v>
      </c>
      <c r="C203">
        <v>0.34</v>
      </c>
      <c r="D203">
        <v>0.44779999999999998</v>
      </c>
      <c r="E203">
        <v>13</v>
      </c>
      <c r="F203">
        <v>79</v>
      </c>
      <c r="G203">
        <v>92</v>
      </c>
    </row>
    <row r="204" spans="1:7" x14ac:dyDescent="0.35">
      <c r="A204">
        <v>203</v>
      </c>
      <c r="B204">
        <v>0.1515</v>
      </c>
      <c r="C204">
        <v>0.37</v>
      </c>
      <c r="D204">
        <v>0.3881</v>
      </c>
      <c r="E204">
        <v>3</v>
      </c>
      <c r="F204">
        <v>59</v>
      </c>
      <c r="G204">
        <v>62</v>
      </c>
    </row>
    <row r="205" spans="1:7" x14ac:dyDescent="0.35">
      <c r="A205">
        <v>204</v>
      </c>
      <c r="B205">
        <v>0.13639999999999999</v>
      </c>
      <c r="C205">
        <v>0.4</v>
      </c>
      <c r="D205">
        <v>0.32840000000000003</v>
      </c>
      <c r="E205">
        <v>4</v>
      </c>
      <c r="F205">
        <v>44</v>
      </c>
      <c r="G205">
        <v>48</v>
      </c>
    </row>
    <row r="206" spans="1:7" x14ac:dyDescent="0.35">
      <c r="A206">
        <v>205</v>
      </c>
      <c r="B206">
        <v>0.13639999999999999</v>
      </c>
      <c r="C206">
        <v>0.43</v>
      </c>
      <c r="D206">
        <v>0.32840000000000003</v>
      </c>
      <c r="E206">
        <v>1</v>
      </c>
      <c r="F206">
        <v>40</v>
      </c>
      <c r="G206">
        <v>41</v>
      </c>
    </row>
    <row r="207" spans="1:7" x14ac:dyDescent="0.35">
      <c r="A207">
        <v>206</v>
      </c>
      <c r="B207">
        <v>0.1212</v>
      </c>
      <c r="C207">
        <v>0.46</v>
      </c>
      <c r="D207">
        <v>0.25369999999999998</v>
      </c>
      <c r="E207">
        <v>0</v>
      </c>
      <c r="F207">
        <v>38</v>
      </c>
      <c r="G207">
        <v>38</v>
      </c>
    </row>
    <row r="208" spans="1:7" x14ac:dyDescent="0.35">
      <c r="A208">
        <v>207</v>
      </c>
      <c r="B208">
        <v>0.1061</v>
      </c>
      <c r="C208">
        <v>0.46</v>
      </c>
      <c r="D208">
        <v>0.41789999999999999</v>
      </c>
      <c r="E208">
        <v>1</v>
      </c>
      <c r="F208">
        <v>19</v>
      </c>
      <c r="G208">
        <v>20</v>
      </c>
    </row>
    <row r="209" spans="1:7" x14ac:dyDescent="0.35">
      <c r="A209">
        <v>208</v>
      </c>
      <c r="B209">
        <v>0.1212</v>
      </c>
      <c r="C209">
        <v>0.46</v>
      </c>
      <c r="D209">
        <v>0.29849999999999999</v>
      </c>
      <c r="E209">
        <v>5</v>
      </c>
      <c r="F209">
        <v>10</v>
      </c>
      <c r="G209">
        <v>15</v>
      </c>
    </row>
    <row r="210" spans="1:7" x14ac:dyDescent="0.35">
      <c r="A210">
        <v>209</v>
      </c>
      <c r="B210">
        <v>0.13639999999999999</v>
      </c>
      <c r="C210">
        <v>0.5</v>
      </c>
      <c r="D210">
        <v>0.19400000000000001</v>
      </c>
      <c r="E210">
        <v>0</v>
      </c>
      <c r="F210">
        <v>6</v>
      </c>
      <c r="G210">
        <v>6</v>
      </c>
    </row>
    <row r="211" spans="1:7" x14ac:dyDescent="0.35">
      <c r="A211">
        <v>210</v>
      </c>
      <c r="B211">
        <v>0.1212</v>
      </c>
      <c r="C211">
        <v>0.5</v>
      </c>
      <c r="D211">
        <v>0.28360000000000002</v>
      </c>
      <c r="E211">
        <v>2</v>
      </c>
      <c r="F211">
        <v>3</v>
      </c>
      <c r="G211">
        <v>5</v>
      </c>
    </row>
    <row r="212" spans="1:7" x14ac:dyDescent="0.35">
      <c r="A212">
        <v>211</v>
      </c>
      <c r="B212">
        <v>0.1212</v>
      </c>
      <c r="C212">
        <v>0.5</v>
      </c>
      <c r="D212">
        <v>0.28360000000000002</v>
      </c>
      <c r="E212">
        <v>1</v>
      </c>
      <c r="F212">
        <v>0</v>
      </c>
      <c r="G212">
        <v>1</v>
      </c>
    </row>
    <row r="213" spans="1:7" x14ac:dyDescent="0.35">
      <c r="A213">
        <v>212</v>
      </c>
      <c r="B213">
        <v>0.1212</v>
      </c>
      <c r="C213">
        <v>0.5</v>
      </c>
      <c r="D213">
        <v>0.22389999999999999</v>
      </c>
      <c r="E213">
        <v>0</v>
      </c>
      <c r="F213">
        <v>3</v>
      </c>
      <c r="G213">
        <v>3</v>
      </c>
    </row>
    <row r="214" spans="1:7" x14ac:dyDescent="0.35">
      <c r="A214">
        <v>213</v>
      </c>
      <c r="B214">
        <v>0.1212</v>
      </c>
      <c r="C214">
        <v>0.5</v>
      </c>
      <c r="D214">
        <v>0.22389999999999999</v>
      </c>
      <c r="E214">
        <v>0</v>
      </c>
      <c r="F214">
        <v>1</v>
      </c>
      <c r="G214">
        <v>1</v>
      </c>
    </row>
    <row r="215" spans="1:7" x14ac:dyDescent="0.35">
      <c r="A215">
        <v>214</v>
      </c>
      <c r="B215">
        <v>0.1212</v>
      </c>
      <c r="C215">
        <v>0.54</v>
      </c>
      <c r="D215">
        <v>0.1343</v>
      </c>
      <c r="E215">
        <v>1</v>
      </c>
      <c r="F215">
        <v>2</v>
      </c>
      <c r="G215">
        <v>3</v>
      </c>
    </row>
    <row r="216" spans="1:7" x14ac:dyDescent="0.35">
      <c r="A216">
        <v>215</v>
      </c>
      <c r="B216">
        <v>0.1061</v>
      </c>
      <c r="C216">
        <v>0.54</v>
      </c>
      <c r="D216">
        <v>0.25369999999999998</v>
      </c>
      <c r="E216">
        <v>0</v>
      </c>
      <c r="F216">
        <v>3</v>
      </c>
      <c r="G216">
        <v>3</v>
      </c>
    </row>
    <row r="217" spans="1:7" x14ac:dyDescent="0.35">
      <c r="A217">
        <v>216</v>
      </c>
      <c r="B217">
        <v>0.1212</v>
      </c>
      <c r="C217">
        <v>0.5</v>
      </c>
      <c r="D217">
        <v>0.28360000000000002</v>
      </c>
      <c r="E217">
        <v>0</v>
      </c>
      <c r="F217">
        <v>31</v>
      </c>
      <c r="G217">
        <v>31</v>
      </c>
    </row>
    <row r="218" spans="1:7" x14ac:dyDescent="0.35">
      <c r="A218">
        <v>217</v>
      </c>
      <c r="B218">
        <v>0.1212</v>
      </c>
      <c r="C218">
        <v>0.5</v>
      </c>
      <c r="D218">
        <v>0.22389999999999999</v>
      </c>
      <c r="E218">
        <v>2</v>
      </c>
      <c r="F218">
        <v>75</v>
      </c>
      <c r="G218">
        <v>77</v>
      </c>
    </row>
    <row r="219" spans="1:7" x14ac:dyDescent="0.35">
      <c r="A219">
        <v>218</v>
      </c>
      <c r="B219">
        <v>0.1212</v>
      </c>
      <c r="C219">
        <v>0.5</v>
      </c>
      <c r="D219">
        <v>0.28360000000000002</v>
      </c>
      <c r="E219">
        <v>4</v>
      </c>
      <c r="F219">
        <v>184</v>
      </c>
      <c r="G219">
        <v>188</v>
      </c>
    </row>
    <row r="220" spans="1:7" x14ac:dyDescent="0.35">
      <c r="A220">
        <v>219</v>
      </c>
      <c r="B220">
        <v>0.1212</v>
      </c>
      <c r="C220">
        <v>0.5</v>
      </c>
      <c r="D220">
        <v>0.25369999999999998</v>
      </c>
      <c r="E220">
        <v>2</v>
      </c>
      <c r="F220">
        <v>92</v>
      </c>
      <c r="G220">
        <v>94</v>
      </c>
    </row>
    <row r="221" spans="1:7" x14ac:dyDescent="0.35">
      <c r="A221">
        <v>220</v>
      </c>
      <c r="B221">
        <v>0.1212</v>
      </c>
      <c r="C221">
        <v>0.5</v>
      </c>
      <c r="D221">
        <v>0.29849999999999999</v>
      </c>
      <c r="E221">
        <v>0</v>
      </c>
      <c r="F221">
        <v>31</v>
      </c>
      <c r="G221">
        <v>31</v>
      </c>
    </row>
    <row r="222" spans="1:7" x14ac:dyDescent="0.35">
      <c r="A222">
        <v>221</v>
      </c>
      <c r="B222">
        <v>0.13639999999999999</v>
      </c>
      <c r="C222">
        <v>0.47</v>
      </c>
      <c r="D222">
        <v>0.28360000000000002</v>
      </c>
      <c r="E222">
        <v>2</v>
      </c>
      <c r="F222">
        <v>28</v>
      </c>
      <c r="G222">
        <v>30</v>
      </c>
    </row>
    <row r="223" spans="1:7" x14ac:dyDescent="0.35">
      <c r="A223">
        <v>222</v>
      </c>
      <c r="B223">
        <v>0.18179999999999999</v>
      </c>
      <c r="C223">
        <v>0.4</v>
      </c>
      <c r="D223">
        <v>0.28360000000000002</v>
      </c>
      <c r="E223">
        <v>5</v>
      </c>
      <c r="F223">
        <v>47</v>
      </c>
      <c r="G223">
        <v>52</v>
      </c>
    </row>
    <row r="224" spans="1:7" x14ac:dyDescent="0.35">
      <c r="A224">
        <v>223</v>
      </c>
      <c r="B224">
        <v>0.18179999999999999</v>
      </c>
      <c r="C224">
        <v>0.4</v>
      </c>
      <c r="D224">
        <v>0.28360000000000002</v>
      </c>
      <c r="E224">
        <v>4</v>
      </c>
      <c r="F224">
        <v>50</v>
      </c>
      <c r="G224">
        <v>54</v>
      </c>
    </row>
    <row r="225" spans="1:7" x14ac:dyDescent="0.35">
      <c r="A225">
        <v>224</v>
      </c>
      <c r="B225">
        <v>0.19700000000000001</v>
      </c>
      <c r="C225">
        <v>0.4</v>
      </c>
      <c r="D225">
        <v>0.22389999999999999</v>
      </c>
      <c r="E225">
        <v>0</v>
      </c>
      <c r="F225">
        <v>47</v>
      </c>
      <c r="G225">
        <v>47</v>
      </c>
    </row>
    <row r="226" spans="1:7" x14ac:dyDescent="0.35">
      <c r="A226">
        <v>225</v>
      </c>
      <c r="B226">
        <v>0.19700000000000001</v>
      </c>
      <c r="C226">
        <v>0.4</v>
      </c>
      <c r="D226">
        <v>0.22389999999999999</v>
      </c>
      <c r="E226">
        <v>2</v>
      </c>
      <c r="F226">
        <v>43</v>
      </c>
      <c r="G226">
        <v>45</v>
      </c>
    </row>
    <row r="227" spans="1:7" x14ac:dyDescent="0.35">
      <c r="A227">
        <v>226</v>
      </c>
      <c r="B227">
        <v>0.21210000000000001</v>
      </c>
      <c r="C227">
        <v>0.4</v>
      </c>
      <c r="D227">
        <v>0.1343</v>
      </c>
      <c r="E227">
        <v>4</v>
      </c>
      <c r="F227">
        <v>70</v>
      </c>
      <c r="G227">
        <v>74</v>
      </c>
    </row>
    <row r="228" spans="1:7" x14ac:dyDescent="0.35">
      <c r="A228">
        <v>227</v>
      </c>
      <c r="B228">
        <v>0.2273</v>
      </c>
      <c r="C228">
        <v>0.4</v>
      </c>
      <c r="D228">
        <v>0.1045</v>
      </c>
      <c r="E228">
        <v>4</v>
      </c>
      <c r="F228">
        <v>174</v>
      </c>
      <c r="G228">
        <v>178</v>
      </c>
    </row>
    <row r="229" spans="1:7" x14ac:dyDescent="0.35">
      <c r="A229">
        <v>228</v>
      </c>
      <c r="B229">
        <v>0.19700000000000001</v>
      </c>
      <c r="C229">
        <v>0.4</v>
      </c>
      <c r="D229">
        <v>0.22389999999999999</v>
      </c>
      <c r="E229">
        <v>1</v>
      </c>
      <c r="F229">
        <v>154</v>
      </c>
      <c r="G229">
        <v>155</v>
      </c>
    </row>
    <row r="230" spans="1:7" x14ac:dyDescent="0.35">
      <c r="A230">
        <v>229</v>
      </c>
      <c r="B230">
        <v>0.16669999999999999</v>
      </c>
      <c r="C230">
        <v>0.47</v>
      </c>
      <c r="D230">
        <v>0.16420000000000001</v>
      </c>
      <c r="E230">
        <v>3</v>
      </c>
      <c r="F230">
        <v>92</v>
      </c>
      <c r="G230">
        <v>95</v>
      </c>
    </row>
    <row r="231" spans="1:7" x14ac:dyDescent="0.35">
      <c r="A231">
        <v>230</v>
      </c>
      <c r="B231">
        <v>0.16669999999999999</v>
      </c>
      <c r="C231">
        <v>0.5</v>
      </c>
      <c r="D231">
        <v>0.16420000000000001</v>
      </c>
      <c r="E231">
        <v>1</v>
      </c>
      <c r="F231">
        <v>73</v>
      </c>
      <c r="G231">
        <v>74</v>
      </c>
    </row>
    <row r="232" spans="1:7" x14ac:dyDescent="0.35">
      <c r="A232">
        <v>231</v>
      </c>
      <c r="B232">
        <v>0.13639999999999999</v>
      </c>
      <c r="C232">
        <v>0.59</v>
      </c>
      <c r="D232">
        <v>0.19400000000000001</v>
      </c>
      <c r="E232">
        <v>1</v>
      </c>
      <c r="F232">
        <v>37</v>
      </c>
      <c r="G232">
        <v>38</v>
      </c>
    </row>
    <row r="233" spans="1:7" x14ac:dyDescent="0.35">
      <c r="A233">
        <v>232</v>
      </c>
      <c r="B233">
        <v>0.1515</v>
      </c>
      <c r="C233">
        <v>0.59</v>
      </c>
      <c r="D233">
        <v>0.16420000000000001</v>
      </c>
      <c r="E233">
        <v>2</v>
      </c>
      <c r="F233">
        <v>22</v>
      </c>
      <c r="G233">
        <v>24</v>
      </c>
    </row>
    <row r="234" spans="1:7" x14ac:dyDescent="0.35">
      <c r="A234">
        <v>233</v>
      </c>
      <c r="B234">
        <v>0.1515</v>
      </c>
      <c r="C234">
        <v>0.59</v>
      </c>
      <c r="D234">
        <v>0.16420000000000001</v>
      </c>
      <c r="E234">
        <v>0</v>
      </c>
      <c r="F234">
        <v>18</v>
      </c>
      <c r="G234">
        <v>18</v>
      </c>
    </row>
    <row r="235" spans="1:7" x14ac:dyDescent="0.35">
      <c r="A235">
        <v>234</v>
      </c>
      <c r="B235">
        <v>0.16669999999999999</v>
      </c>
      <c r="C235">
        <v>0.59</v>
      </c>
      <c r="D235">
        <v>0.1045</v>
      </c>
      <c r="E235">
        <v>2</v>
      </c>
      <c r="F235">
        <v>10</v>
      </c>
      <c r="G235">
        <v>12</v>
      </c>
    </row>
    <row r="236" spans="1:7" x14ac:dyDescent="0.35">
      <c r="A236">
        <v>235</v>
      </c>
      <c r="B236">
        <v>0.1515</v>
      </c>
      <c r="C236">
        <v>0.59</v>
      </c>
      <c r="D236">
        <v>0.16420000000000001</v>
      </c>
      <c r="E236">
        <v>0</v>
      </c>
      <c r="F236">
        <v>3</v>
      </c>
      <c r="G236">
        <v>3</v>
      </c>
    </row>
    <row r="237" spans="1:7" x14ac:dyDescent="0.35">
      <c r="A237">
        <v>236</v>
      </c>
      <c r="B237">
        <v>0.1515</v>
      </c>
      <c r="C237">
        <v>0.55000000000000004</v>
      </c>
      <c r="D237">
        <v>0.19400000000000001</v>
      </c>
      <c r="E237">
        <v>0</v>
      </c>
      <c r="F237">
        <v>3</v>
      </c>
      <c r="G237">
        <v>3</v>
      </c>
    </row>
    <row r="238" spans="1:7" x14ac:dyDescent="0.35">
      <c r="A238">
        <v>237</v>
      </c>
      <c r="B238">
        <v>0.18179999999999999</v>
      </c>
      <c r="C238">
        <v>0.55000000000000004</v>
      </c>
      <c r="D238">
        <v>0.1343</v>
      </c>
      <c r="E238">
        <v>0</v>
      </c>
      <c r="F238">
        <v>6</v>
      </c>
      <c r="G238">
        <v>6</v>
      </c>
    </row>
    <row r="239" spans="1:7" x14ac:dyDescent="0.35">
      <c r="A239">
        <v>238</v>
      </c>
      <c r="B239">
        <v>0.18179999999999999</v>
      </c>
      <c r="C239">
        <v>0.55000000000000004</v>
      </c>
      <c r="D239">
        <v>0.1343</v>
      </c>
      <c r="E239">
        <v>0</v>
      </c>
      <c r="F239">
        <v>27</v>
      </c>
      <c r="G239">
        <v>27</v>
      </c>
    </row>
    <row r="240" spans="1:7" x14ac:dyDescent="0.35">
      <c r="A240">
        <v>239</v>
      </c>
      <c r="B240">
        <v>0.2273</v>
      </c>
      <c r="C240">
        <v>0.55000000000000004</v>
      </c>
      <c r="D240">
        <v>0</v>
      </c>
      <c r="E240">
        <v>2</v>
      </c>
      <c r="F240">
        <v>97</v>
      </c>
      <c r="G240">
        <v>99</v>
      </c>
    </row>
    <row r="241" spans="1:7" x14ac:dyDescent="0.35">
      <c r="A241">
        <v>240</v>
      </c>
      <c r="B241">
        <v>0.21210000000000001</v>
      </c>
      <c r="C241">
        <v>0.51</v>
      </c>
      <c r="D241">
        <v>8.9599999999999999E-2</v>
      </c>
      <c r="E241">
        <v>3</v>
      </c>
      <c r="F241">
        <v>214</v>
      </c>
      <c r="G241">
        <v>217</v>
      </c>
    </row>
    <row r="242" spans="1:7" x14ac:dyDescent="0.35">
      <c r="A242">
        <v>241</v>
      </c>
      <c r="B242">
        <v>0.19700000000000001</v>
      </c>
      <c r="C242">
        <v>0.51</v>
      </c>
      <c r="D242">
        <v>0.16420000000000001</v>
      </c>
      <c r="E242">
        <v>3</v>
      </c>
      <c r="F242">
        <v>127</v>
      </c>
      <c r="G242">
        <v>130</v>
      </c>
    </row>
    <row r="243" spans="1:7" x14ac:dyDescent="0.35">
      <c r="A243">
        <v>242</v>
      </c>
      <c r="B243">
        <v>0.21210000000000001</v>
      </c>
      <c r="C243">
        <v>0.51</v>
      </c>
      <c r="D243">
        <v>0.16420000000000001</v>
      </c>
      <c r="E243">
        <v>3</v>
      </c>
      <c r="F243">
        <v>51</v>
      </c>
      <c r="G243">
        <v>54</v>
      </c>
    </row>
    <row r="244" spans="1:7" x14ac:dyDescent="0.35">
      <c r="A244">
        <v>243</v>
      </c>
      <c r="B244">
        <v>0.21210000000000001</v>
      </c>
      <c r="C244">
        <v>0.47</v>
      </c>
      <c r="D244">
        <v>0.1343</v>
      </c>
      <c r="E244">
        <v>4</v>
      </c>
      <c r="F244">
        <v>31</v>
      </c>
      <c r="G244">
        <v>35</v>
      </c>
    </row>
    <row r="245" spans="1:7" x14ac:dyDescent="0.35">
      <c r="A245">
        <v>244</v>
      </c>
      <c r="B245">
        <v>0.2273</v>
      </c>
      <c r="C245">
        <v>0.51</v>
      </c>
      <c r="D245">
        <v>0.1045</v>
      </c>
      <c r="E245">
        <v>2</v>
      </c>
      <c r="F245">
        <v>55</v>
      </c>
      <c r="G245">
        <v>57</v>
      </c>
    </row>
    <row r="246" spans="1:7" x14ac:dyDescent="0.35">
      <c r="A246">
        <v>245</v>
      </c>
      <c r="B246">
        <v>0.2273</v>
      </c>
      <c r="C246">
        <v>0.59</v>
      </c>
      <c r="D246">
        <v>8.9599999999999999E-2</v>
      </c>
      <c r="E246">
        <v>6</v>
      </c>
      <c r="F246">
        <v>46</v>
      </c>
      <c r="G246">
        <v>52</v>
      </c>
    </row>
    <row r="247" spans="1:7" x14ac:dyDescent="0.35">
      <c r="A247">
        <v>246</v>
      </c>
      <c r="B247">
        <v>0.2273</v>
      </c>
      <c r="C247">
        <v>0.59</v>
      </c>
      <c r="D247">
        <v>8.9599999999999999E-2</v>
      </c>
      <c r="E247">
        <v>3</v>
      </c>
      <c r="F247">
        <v>60</v>
      </c>
      <c r="G247">
        <v>63</v>
      </c>
    </row>
    <row r="248" spans="1:7" x14ac:dyDescent="0.35">
      <c r="A248">
        <v>247</v>
      </c>
      <c r="B248">
        <v>0.19700000000000001</v>
      </c>
      <c r="C248">
        <v>0.8</v>
      </c>
      <c r="D248">
        <v>8.9599999999999999E-2</v>
      </c>
      <c r="E248">
        <v>2</v>
      </c>
      <c r="F248">
        <v>45</v>
      </c>
      <c r="G248">
        <v>47</v>
      </c>
    </row>
    <row r="249" spans="1:7" x14ac:dyDescent="0.35">
      <c r="A249">
        <v>248</v>
      </c>
      <c r="B249">
        <v>0.1515</v>
      </c>
      <c r="C249">
        <v>0.86</v>
      </c>
      <c r="D249">
        <v>0.22389999999999999</v>
      </c>
      <c r="E249">
        <v>4</v>
      </c>
      <c r="F249">
        <v>72</v>
      </c>
      <c r="G249">
        <v>76</v>
      </c>
    </row>
    <row r="250" spans="1:7" x14ac:dyDescent="0.35">
      <c r="A250">
        <v>249</v>
      </c>
      <c r="B250">
        <v>0.1515</v>
      </c>
      <c r="C250">
        <v>0.86</v>
      </c>
      <c r="D250">
        <v>0.22389999999999999</v>
      </c>
      <c r="E250">
        <v>6</v>
      </c>
      <c r="F250">
        <v>130</v>
      </c>
      <c r="G250">
        <v>136</v>
      </c>
    </row>
    <row r="251" spans="1:7" x14ac:dyDescent="0.35">
      <c r="A251">
        <v>250</v>
      </c>
      <c r="B251">
        <v>0.18179999999999999</v>
      </c>
      <c r="C251">
        <v>0.93</v>
      </c>
      <c r="D251">
        <v>0.1045</v>
      </c>
      <c r="E251">
        <v>1</v>
      </c>
      <c r="F251">
        <v>94</v>
      </c>
      <c r="G251">
        <v>95</v>
      </c>
    </row>
    <row r="252" spans="1:7" x14ac:dyDescent="0.35">
      <c r="A252">
        <v>251</v>
      </c>
      <c r="B252">
        <v>0.2273</v>
      </c>
      <c r="C252">
        <v>0.93</v>
      </c>
      <c r="D252">
        <v>0</v>
      </c>
      <c r="E252">
        <v>0</v>
      </c>
      <c r="F252">
        <v>51</v>
      </c>
      <c r="G252">
        <v>51</v>
      </c>
    </row>
    <row r="253" spans="1:7" x14ac:dyDescent="0.35">
      <c r="A253">
        <v>252</v>
      </c>
      <c r="B253">
        <v>0.1515</v>
      </c>
      <c r="C253">
        <v>0.93</v>
      </c>
      <c r="D253">
        <v>0.19400000000000001</v>
      </c>
      <c r="E253">
        <v>0</v>
      </c>
      <c r="F253">
        <v>32</v>
      </c>
      <c r="G253">
        <v>32</v>
      </c>
    </row>
    <row r="254" spans="1:7" x14ac:dyDescent="0.35">
      <c r="A254">
        <v>253</v>
      </c>
      <c r="B254">
        <v>0.19700000000000001</v>
      </c>
      <c r="C254">
        <v>0.86</v>
      </c>
      <c r="D254">
        <v>8.9599999999999999E-2</v>
      </c>
      <c r="E254">
        <v>0</v>
      </c>
      <c r="F254">
        <v>20</v>
      </c>
      <c r="G254">
        <v>20</v>
      </c>
    </row>
    <row r="255" spans="1:7" x14ac:dyDescent="0.35">
      <c r="A255">
        <v>254</v>
      </c>
      <c r="B255">
        <v>0.18179999999999999</v>
      </c>
      <c r="C255">
        <v>0.93</v>
      </c>
      <c r="D255">
        <v>0.1045</v>
      </c>
      <c r="E255">
        <v>1</v>
      </c>
      <c r="F255">
        <v>28</v>
      </c>
      <c r="G255">
        <v>29</v>
      </c>
    </row>
    <row r="256" spans="1:7" x14ac:dyDescent="0.35">
      <c r="A256">
        <v>255</v>
      </c>
      <c r="B256">
        <v>0.19700000000000001</v>
      </c>
      <c r="C256">
        <v>0.93</v>
      </c>
      <c r="D256">
        <v>8.9599999999999999E-2</v>
      </c>
      <c r="E256">
        <v>1</v>
      </c>
      <c r="F256">
        <v>18</v>
      </c>
      <c r="G256">
        <v>19</v>
      </c>
    </row>
    <row r="257" spans="1:7" x14ac:dyDescent="0.35">
      <c r="A257">
        <v>256</v>
      </c>
      <c r="B257">
        <v>0.19700000000000001</v>
      </c>
      <c r="C257">
        <v>0.86</v>
      </c>
      <c r="D257">
        <v>8.9599999999999999E-2</v>
      </c>
      <c r="E257">
        <v>0</v>
      </c>
      <c r="F257">
        <v>7</v>
      </c>
      <c r="G257">
        <v>7</v>
      </c>
    </row>
    <row r="258" spans="1:7" x14ac:dyDescent="0.35">
      <c r="A258">
        <v>257</v>
      </c>
      <c r="B258">
        <v>0.18179999999999999</v>
      </c>
      <c r="C258">
        <v>0.86</v>
      </c>
      <c r="D258">
        <v>0.1045</v>
      </c>
      <c r="E258">
        <v>0</v>
      </c>
      <c r="F258">
        <v>6</v>
      </c>
      <c r="G258">
        <v>6</v>
      </c>
    </row>
    <row r="259" spans="1:7" x14ac:dyDescent="0.35">
      <c r="A259">
        <v>258</v>
      </c>
      <c r="B259">
        <v>0.1515</v>
      </c>
      <c r="C259">
        <v>0.86</v>
      </c>
      <c r="D259">
        <v>0.1343</v>
      </c>
      <c r="E259">
        <v>0</v>
      </c>
      <c r="F259">
        <v>1</v>
      </c>
      <c r="G259">
        <v>1</v>
      </c>
    </row>
    <row r="260" spans="1:7" x14ac:dyDescent="0.35">
      <c r="A260">
        <v>259</v>
      </c>
      <c r="B260">
        <v>0.1515</v>
      </c>
      <c r="C260">
        <v>0.86</v>
      </c>
      <c r="D260">
        <v>0.16420000000000001</v>
      </c>
      <c r="E260">
        <v>0</v>
      </c>
      <c r="F260">
        <v>5</v>
      </c>
      <c r="G260">
        <v>5</v>
      </c>
    </row>
    <row r="261" spans="1:7" x14ac:dyDescent="0.35">
      <c r="A261">
        <v>260</v>
      </c>
      <c r="B261">
        <v>0.1515</v>
      </c>
      <c r="C261">
        <v>0.93</v>
      </c>
      <c r="D261">
        <v>0.1343</v>
      </c>
      <c r="E261">
        <v>0</v>
      </c>
      <c r="F261">
        <v>16</v>
      </c>
      <c r="G261">
        <v>16</v>
      </c>
    </row>
    <row r="262" spans="1:7" x14ac:dyDescent="0.35">
      <c r="A262">
        <v>261</v>
      </c>
      <c r="B262">
        <v>0.1515</v>
      </c>
      <c r="C262">
        <v>0.69</v>
      </c>
      <c r="D262">
        <v>0.1343</v>
      </c>
      <c r="E262">
        <v>0</v>
      </c>
      <c r="F262">
        <v>54</v>
      </c>
      <c r="G262">
        <v>54</v>
      </c>
    </row>
    <row r="263" spans="1:7" x14ac:dyDescent="0.35">
      <c r="A263">
        <v>262</v>
      </c>
      <c r="B263">
        <v>0.16669999999999999</v>
      </c>
      <c r="C263">
        <v>0.59</v>
      </c>
      <c r="D263">
        <v>0.16420000000000001</v>
      </c>
      <c r="E263">
        <v>3</v>
      </c>
      <c r="F263">
        <v>125</v>
      </c>
      <c r="G263">
        <v>128</v>
      </c>
    </row>
    <row r="264" spans="1:7" x14ac:dyDescent="0.35">
      <c r="A264">
        <v>263</v>
      </c>
      <c r="B264">
        <v>0.13639999999999999</v>
      </c>
      <c r="C264">
        <v>0.59</v>
      </c>
      <c r="D264">
        <v>0.32840000000000003</v>
      </c>
      <c r="E264">
        <v>3</v>
      </c>
      <c r="F264">
        <v>78</v>
      </c>
      <c r="G264">
        <v>81</v>
      </c>
    </row>
    <row r="265" spans="1:7" x14ac:dyDescent="0.35">
      <c r="A265">
        <v>264</v>
      </c>
      <c r="B265">
        <v>0.18179999999999999</v>
      </c>
      <c r="C265">
        <v>0.55000000000000004</v>
      </c>
      <c r="D265">
        <v>0.22389999999999999</v>
      </c>
      <c r="E265">
        <v>0</v>
      </c>
      <c r="F265">
        <v>39</v>
      </c>
      <c r="G265">
        <v>39</v>
      </c>
    </row>
    <row r="266" spans="1:7" x14ac:dyDescent="0.35">
      <c r="A266">
        <v>265</v>
      </c>
      <c r="B266">
        <v>0.18179999999999999</v>
      </c>
      <c r="C266">
        <v>0.51</v>
      </c>
      <c r="D266">
        <v>0.3881</v>
      </c>
      <c r="E266">
        <v>3</v>
      </c>
      <c r="F266">
        <v>32</v>
      </c>
      <c r="G266">
        <v>35</v>
      </c>
    </row>
    <row r="267" spans="1:7" x14ac:dyDescent="0.35">
      <c r="A267">
        <v>266</v>
      </c>
      <c r="B267">
        <v>0.1515</v>
      </c>
      <c r="C267">
        <v>0.47</v>
      </c>
      <c r="D267">
        <v>0.58209999999999995</v>
      </c>
      <c r="E267">
        <v>3</v>
      </c>
      <c r="F267">
        <v>52</v>
      </c>
      <c r="G267">
        <v>55</v>
      </c>
    </row>
    <row r="268" spans="1:7" x14ac:dyDescent="0.35">
      <c r="A268">
        <v>267</v>
      </c>
      <c r="B268">
        <v>0.19700000000000001</v>
      </c>
      <c r="C268">
        <v>0.44</v>
      </c>
      <c r="D268">
        <v>0.35820000000000002</v>
      </c>
      <c r="E268">
        <v>0</v>
      </c>
      <c r="F268">
        <v>49</v>
      </c>
      <c r="G268">
        <v>49</v>
      </c>
    </row>
    <row r="269" spans="1:7" x14ac:dyDescent="0.35">
      <c r="A269">
        <v>268</v>
      </c>
      <c r="B269">
        <v>0.18179999999999999</v>
      </c>
      <c r="C269">
        <v>0.47</v>
      </c>
      <c r="D269">
        <v>0.32840000000000003</v>
      </c>
      <c r="E269">
        <v>0</v>
      </c>
      <c r="F269">
        <v>44</v>
      </c>
      <c r="G269">
        <v>44</v>
      </c>
    </row>
    <row r="270" spans="1:7" x14ac:dyDescent="0.35">
      <c r="A270">
        <v>269</v>
      </c>
      <c r="B270">
        <v>0.16669999999999999</v>
      </c>
      <c r="C270">
        <v>0.47</v>
      </c>
      <c r="D270">
        <v>0.41789999999999999</v>
      </c>
      <c r="E270">
        <v>1</v>
      </c>
      <c r="F270">
        <v>48</v>
      </c>
      <c r="G270">
        <v>49</v>
      </c>
    </row>
    <row r="271" spans="1:7" x14ac:dyDescent="0.35">
      <c r="A271">
        <v>270</v>
      </c>
      <c r="B271">
        <v>0.19700000000000001</v>
      </c>
      <c r="C271">
        <v>0.44</v>
      </c>
      <c r="D271">
        <v>0.32840000000000003</v>
      </c>
      <c r="E271">
        <v>5</v>
      </c>
      <c r="F271">
        <v>63</v>
      </c>
      <c r="G271">
        <v>68</v>
      </c>
    </row>
    <row r="272" spans="1:7" x14ac:dyDescent="0.35">
      <c r="A272">
        <v>271</v>
      </c>
      <c r="B272">
        <v>0.18179999999999999</v>
      </c>
      <c r="C272">
        <v>0.47</v>
      </c>
      <c r="D272">
        <v>0.35820000000000002</v>
      </c>
      <c r="E272">
        <v>0</v>
      </c>
      <c r="F272">
        <v>139</v>
      </c>
      <c r="G272">
        <v>139</v>
      </c>
    </row>
    <row r="273" spans="1:7" x14ac:dyDescent="0.35">
      <c r="A273">
        <v>272</v>
      </c>
      <c r="B273">
        <v>0.1515</v>
      </c>
      <c r="C273">
        <v>0.47</v>
      </c>
      <c r="D273">
        <v>0.52239999999999998</v>
      </c>
      <c r="E273">
        <v>2</v>
      </c>
      <c r="F273">
        <v>135</v>
      </c>
      <c r="G273">
        <v>137</v>
      </c>
    </row>
    <row r="274" spans="1:7" x14ac:dyDescent="0.35">
      <c r="A274">
        <v>273</v>
      </c>
      <c r="B274">
        <v>0.1515</v>
      </c>
      <c r="C274">
        <v>0.47</v>
      </c>
      <c r="D274">
        <v>0.41789999999999999</v>
      </c>
      <c r="E274">
        <v>1</v>
      </c>
      <c r="F274">
        <v>82</v>
      </c>
      <c r="G274">
        <v>83</v>
      </c>
    </row>
    <row r="275" spans="1:7" x14ac:dyDescent="0.35">
      <c r="A275">
        <v>274</v>
      </c>
      <c r="B275">
        <v>0.13639999999999999</v>
      </c>
      <c r="C275">
        <v>0.5</v>
      </c>
      <c r="D275">
        <v>0.32840000000000003</v>
      </c>
      <c r="E275">
        <v>2</v>
      </c>
      <c r="F275">
        <v>54</v>
      </c>
      <c r="G275">
        <v>56</v>
      </c>
    </row>
    <row r="276" spans="1:7" x14ac:dyDescent="0.35">
      <c r="A276">
        <v>275</v>
      </c>
      <c r="B276">
        <v>0.13639999999999999</v>
      </c>
      <c r="C276">
        <v>0.55000000000000004</v>
      </c>
      <c r="D276">
        <v>0.32840000000000003</v>
      </c>
      <c r="E276">
        <v>0</v>
      </c>
      <c r="F276">
        <v>57</v>
      </c>
      <c r="G276">
        <v>57</v>
      </c>
    </row>
    <row r="277" spans="1:7" x14ac:dyDescent="0.35">
      <c r="A277">
        <v>276</v>
      </c>
      <c r="B277">
        <v>0.1212</v>
      </c>
      <c r="C277">
        <v>0.55000000000000004</v>
      </c>
      <c r="D277">
        <v>0.44779999999999998</v>
      </c>
      <c r="E277">
        <v>1</v>
      </c>
      <c r="F277">
        <v>32</v>
      </c>
      <c r="G277">
        <v>33</v>
      </c>
    </row>
    <row r="278" spans="1:7" x14ac:dyDescent="0.35">
      <c r="A278">
        <v>277</v>
      </c>
      <c r="B278">
        <v>0.1061</v>
      </c>
      <c r="C278">
        <v>0.59</v>
      </c>
      <c r="D278">
        <v>0.41789999999999999</v>
      </c>
      <c r="E278">
        <v>1</v>
      </c>
      <c r="F278">
        <v>19</v>
      </c>
      <c r="G278">
        <v>20</v>
      </c>
    </row>
    <row r="279" spans="1:7" x14ac:dyDescent="0.35">
      <c r="A279">
        <v>278</v>
      </c>
      <c r="B279">
        <v>0.1212</v>
      </c>
      <c r="C279">
        <v>0.59</v>
      </c>
      <c r="D279">
        <v>0.28360000000000002</v>
      </c>
      <c r="E279">
        <v>1</v>
      </c>
      <c r="F279">
        <v>6</v>
      </c>
      <c r="G279">
        <v>7</v>
      </c>
    </row>
    <row r="280" spans="1:7" x14ac:dyDescent="0.35">
      <c r="A280">
        <v>279</v>
      </c>
      <c r="B280">
        <v>0.1212</v>
      </c>
      <c r="C280">
        <v>0.5</v>
      </c>
      <c r="D280">
        <v>0.28360000000000002</v>
      </c>
      <c r="E280">
        <v>0</v>
      </c>
      <c r="F280">
        <v>2</v>
      </c>
      <c r="G280">
        <v>2</v>
      </c>
    </row>
    <row r="281" spans="1:7" x14ac:dyDescent="0.35">
      <c r="A281">
        <v>280</v>
      </c>
      <c r="B281">
        <v>0.1212</v>
      </c>
      <c r="C281">
        <v>0.5</v>
      </c>
      <c r="D281">
        <v>0.35820000000000002</v>
      </c>
      <c r="E281">
        <v>0</v>
      </c>
      <c r="F281">
        <v>2</v>
      </c>
      <c r="G281">
        <v>2</v>
      </c>
    </row>
    <row r="282" spans="1:7" x14ac:dyDescent="0.35">
      <c r="A282">
        <v>281</v>
      </c>
      <c r="B282">
        <v>0.1212</v>
      </c>
      <c r="C282">
        <v>0.5</v>
      </c>
      <c r="D282">
        <v>0.32840000000000003</v>
      </c>
      <c r="E282">
        <v>0</v>
      </c>
      <c r="F282">
        <v>3</v>
      </c>
      <c r="G282">
        <v>3</v>
      </c>
    </row>
    <row r="283" spans="1:7" x14ac:dyDescent="0.35">
      <c r="A283">
        <v>282</v>
      </c>
      <c r="B283">
        <v>0.1212</v>
      </c>
      <c r="C283">
        <v>0.5</v>
      </c>
      <c r="D283">
        <v>0.25369999999999998</v>
      </c>
      <c r="E283">
        <v>0</v>
      </c>
      <c r="F283">
        <v>4</v>
      </c>
      <c r="G283">
        <v>4</v>
      </c>
    </row>
    <row r="284" spans="1:7" x14ac:dyDescent="0.35">
      <c r="A284">
        <v>283</v>
      </c>
      <c r="B284">
        <v>0.1212</v>
      </c>
      <c r="C284">
        <v>0.5</v>
      </c>
      <c r="D284">
        <v>0.29849999999999999</v>
      </c>
      <c r="E284">
        <v>0</v>
      </c>
      <c r="F284">
        <v>3</v>
      </c>
      <c r="G284">
        <v>3</v>
      </c>
    </row>
    <row r="285" spans="1:7" x14ac:dyDescent="0.35">
      <c r="A285">
        <v>284</v>
      </c>
      <c r="B285">
        <v>0.1515</v>
      </c>
      <c r="C285">
        <v>0.54</v>
      </c>
      <c r="D285">
        <v>0.1343</v>
      </c>
      <c r="E285">
        <v>0</v>
      </c>
      <c r="F285">
        <v>28</v>
      </c>
      <c r="G285">
        <v>28</v>
      </c>
    </row>
    <row r="286" spans="1:7" x14ac:dyDescent="0.35">
      <c r="A286">
        <v>285</v>
      </c>
      <c r="B286">
        <v>0.1515</v>
      </c>
      <c r="C286">
        <v>0.54</v>
      </c>
      <c r="D286">
        <v>0.1343</v>
      </c>
      <c r="E286">
        <v>0</v>
      </c>
      <c r="F286">
        <v>72</v>
      </c>
      <c r="G286">
        <v>72</v>
      </c>
    </row>
    <row r="287" spans="1:7" x14ac:dyDescent="0.35">
      <c r="A287">
        <v>286</v>
      </c>
      <c r="B287">
        <v>0.13639999999999999</v>
      </c>
      <c r="C287">
        <v>0.5</v>
      </c>
      <c r="D287">
        <v>0.19400000000000001</v>
      </c>
      <c r="E287">
        <v>5</v>
      </c>
      <c r="F287">
        <v>197</v>
      </c>
      <c r="G287">
        <v>202</v>
      </c>
    </row>
    <row r="288" spans="1:7" x14ac:dyDescent="0.35">
      <c r="A288">
        <v>287</v>
      </c>
      <c r="B288">
        <v>0.1212</v>
      </c>
      <c r="C288">
        <v>0.5</v>
      </c>
      <c r="D288">
        <v>0.32840000000000003</v>
      </c>
      <c r="E288">
        <v>2</v>
      </c>
      <c r="F288">
        <v>137</v>
      </c>
      <c r="G288">
        <v>139</v>
      </c>
    </row>
    <row r="289" spans="1:7" x14ac:dyDescent="0.35">
      <c r="A289">
        <v>288</v>
      </c>
      <c r="B289">
        <v>0.13639999999999999</v>
      </c>
      <c r="C289">
        <v>0.5</v>
      </c>
      <c r="D289">
        <v>0.35820000000000002</v>
      </c>
      <c r="E289">
        <v>2</v>
      </c>
      <c r="F289">
        <v>36</v>
      </c>
      <c r="G289">
        <v>38</v>
      </c>
    </row>
    <row r="290" spans="1:7" x14ac:dyDescent="0.35">
      <c r="A290">
        <v>289</v>
      </c>
      <c r="B290">
        <v>0.16669999999999999</v>
      </c>
      <c r="C290">
        <v>0.44</v>
      </c>
      <c r="D290">
        <v>0.44779999999999998</v>
      </c>
      <c r="E290">
        <v>4</v>
      </c>
      <c r="F290">
        <v>33</v>
      </c>
      <c r="G290">
        <v>37</v>
      </c>
    </row>
    <row r="291" spans="1:7" x14ac:dyDescent="0.35">
      <c r="A291">
        <v>290</v>
      </c>
      <c r="B291">
        <v>0.16669999999999999</v>
      </c>
      <c r="C291">
        <v>0.44</v>
      </c>
      <c r="D291">
        <v>0.41789999999999999</v>
      </c>
      <c r="E291">
        <v>3</v>
      </c>
      <c r="F291">
        <v>49</v>
      </c>
      <c r="G291">
        <v>52</v>
      </c>
    </row>
    <row r="292" spans="1:7" x14ac:dyDescent="0.35">
      <c r="A292">
        <v>291</v>
      </c>
      <c r="B292">
        <v>0.19700000000000001</v>
      </c>
      <c r="C292">
        <v>0.41</v>
      </c>
      <c r="D292">
        <v>0.44779999999999998</v>
      </c>
      <c r="E292">
        <v>2</v>
      </c>
      <c r="F292">
        <v>81</v>
      </c>
      <c r="G292">
        <v>83</v>
      </c>
    </row>
    <row r="293" spans="1:7" x14ac:dyDescent="0.35">
      <c r="A293">
        <v>292</v>
      </c>
      <c r="B293">
        <v>0.19700000000000001</v>
      </c>
      <c r="C293">
        <v>0.41</v>
      </c>
      <c r="D293">
        <v>0.3881</v>
      </c>
      <c r="E293">
        <v>3</v>
      </c>
      <c r="F293">
        <v>39</v>
      </c>
      <c r="G293">
        <v>42</v>
      </c>
    </row>
    <row r="294" spans="1:7" x14ac:dyDescent="0.35">
      <c r="A294">
        <v>293</v>
      </c>
      <c r="B294">
        <v>0.21210000000000001</v>
      </c>
      <c r="C294">
        <v>0.38</v>
      </c>
      <c r="D294">
        <v>0.29849999999999999</v>
      </c>
      <c r="E294">
        <v>5</v>
      </c>
      <c r="F294">
        <v>55</v>
      </c>
      <c r="G294">
        <v>60</v>
      </c>
    </row>
    <row r="295" spans="1:7" x14ac:dyDescent="0.35">
      <c r="A295">
        <v>294</v>
      </c>
      <c r="B295">
        <v>0.21210000000000001</v>
      </c>
      <c r="C295">
        <v>0.38</v>
      </c>
      <c r="D295">
        <v>0.35820000000000002</v>
      </c>
      <c r="E295">
        <v>2</v>
      </c>
      <c r="F295">
        <v>76</v>
      </c>
      <c r="G295">
        <v>78</v>
      </c>
    </row>
    <row r="296" spans="1:7" x14ac:dyDescent="0.35">
      <c r="A296">
        <v>295</v>
      </c>
      <c r="B296">
        <v>0.18179999999999999</v>
      </c>
      <c r="C296">
        <v>0.4</v>
      </c>
      <c r="D296">
        <v>0.28360000000000002</v>
      </c>
      <c r="E296">
        <v>4</v>
      </c>
      <c r="F296">
        <v>158</v>
      </c>
      <c r="G296">
        <v>162</v>
      </c>
    </row>
    <row r="297" spans="1:7" x14ac:dyDescent="0.35">
      <c r="A297">
        <v>296</v>
      </c>
      <c r="B297">
        <v>0.18179999999999999</v>
      </c>
      <c r="C297">
        <v>0.4</v>
      </c>
      <c r="D297">
        <v>0.32840000000000003</v>
      </c>
      <c r="E297">
        <v>3</v>
      </c>
      <c r="F297">
        <v>141</v>
      </c>
      <c r="G297">
        <v>144</v>
      </c>
    </row>
    <row r="298" spans="1:7" x14ac:dyDescent="0.35">
      <c r="A298">
        <v>297</v>
      </c>
      <c r="B298">
        <v>0.1515</v>
      </c>
      <c r="C298">
        <v>0.47</v>
      </c>
      <c r="D298">
        <v>0.25369999999999998</v>
      </c>
      <c r="E298">
        <v>1</v>
      </c>
      <c r="F298">
        <v>98</v>
      </c>
      <c r="G298">
        <v>99</v>
      </c>
    </row>
    <row r="299" spans="1:7" x14ac:dyDescent="0.35">
      <c r="A299">
        <v>298</v>
      </c>
      <c r="B299">
        <v>0.1515</v>
      </c>
      <c r="C299">
        <v>0.47</v>
      </c>
      <c r="D299">
        <v>0.22389999999999999</v>
      </c>
      <c r="E299">
        <v>0</v>
      </c>
      <c r="F299">
        <v>64</v>
      </c>
      <c r="G299">
        <v>64</v>
      </c>
    </row>
    <row r="300" spans="1:7" x14ac:dyDescent="0.35">
      <c r="A300">
        <v>299</v>
      </c>
      <c r="B300">
        <v>0.1212</v>
      </c>
      <c r="C300">
        <v>0.46</v>
      </c>
      <c r="D300">
        <v>0.29849999999999999</v>
      </c>
      <c r="E300">
        <v>0</v>
      </c>
      <c r="F300">
        <v>40</v>
      </c>
      <c r="G300">
        <v>40</v>
      </c>
    </row>
    <row r="301" spans="1:7" x14ac:dyDescent="0.35">
      <c r="A301">
        <v>300</v>
      </c>
      <c r="B301">
        <v>0.1212</v>
      </c>
      <c r="C301">
        <v>0.46</v>
      </c>
      <c r="D301">
        <v>0.32840000000000003</v>
      </c>
      <c r="E301">
        <v>0</v>
      </c>
      <c r="F301">
        <v>30</v>
      </c>
      <c r="G301">
        <v>30</v>
      </c>
    </row>
    <row r="302" spans="1:7" x14ac:dyDescent="0.35">
      <c r="A302">
        <v>301</v>
      </c>
      <c r="B302">
        <v>0.13639999999999999</v>
      </c>
      <c r="C302">
        <v>0.5</v>
      </c>
      <c r="D302">
        <v>0.19400000000000001</v>
      </c>
      <c r="E302">
        <v>1</v>
      </c>
      <c r="F302">
        <v>14</v>
      </c>
      <c r="G302">
        <v>15</v>
      </c>
    </row>
    <row r="303" spans="1:7" x14ac:dyDescent="0.35">
      <c r="A303">
        <v>302</v>
      </c>
      <c r="B303">
        <v>0.13639999999999999</v>
      </c>
      <c r="C303">
        <v>0.5</v>
      </c>
      <c r="D303">
        <v>0.19400000000000001</v>
      </c>
      <c r="E303">
        <v>0</v>
      </c>
      <c r="F303">
        <v>14</v>
      </c>
      <c r="G303">
        <v>14</v>
      </c>
    </row>
    <row r="304" spans="1:7" x14ac:dyDescent="0.35">
      <c r="A304">
        <v>303</v>
      </c>
      <c r="B304">
        <v>0.1212</v>
      </c>
      <c r="C304">
        <v>0.54</v>
      </c>
      <c r="D304">
        <v>0.16420000000000001</v>
      </c>
      <c r="E304">
        <v>0</v>
      </c>
      <c r="F304">
        <v>5</v>
      </c>
      <c r="G304">
        <v>5</v>
      </c>
    </row>
    <row r="305" spans="1:7" x14ac:dyDescent="0.35">
      <c r="A305">
        <v>304</v>
      </c>
      <c r="B305">
        <v>0.1212</v>
      </c>
      <c r="C305">
        <v>0.54</v>
      </c>
      <c r="D305">
        <v>0.1343</v>
      </c>
      <c r="E305">
        <v>0</v>
      </c>
      <c r="F305">
        <v>1</v>
      </c>
      <c r="G305">
        <v>1</v>
      </c>
    </row>
    <row r="306" spans="1:7" x14ac:dyDescent="0.35">
      <c r="A306">
        <v>305</v>
      </c>
      <c r="B306">
        <v>0.13639999999999999</v>
      </c>
      <c r="C306">
        <v>0.54</v>
      </c>
      <c r="D306">
        <v>0.1045</v>
      </c>
      <c r="E306">
        <v>0</v>
      </c>
      <c r="F306">
        <v>1</v>
      </c>
      <c r="G306">
        <v>1</v>
      </c>
    </row>
    <row r="307" spans="1:7" x14ac:dyDescent="0.35">
      <c r="A307">
        <v>306</v>
      </c>
      <c r="B307">
        <v>0.13639999999999999</v>
      </c>
      <c r="C307">
        <v>0.54</v>
      </c>
      <c r="D307">
        <v>8.9599999999999999E-2</v>
      </c>
      <c r="E307">
        <v>0</v>
      </c>
      <c r="F307">
        <v>8</v>
      </c>
      <c r="G307">
        <v>8</v>
      </c>
    </row>
    <row r="308" spans="1:7" x14ac:dyDescent="0.35">
      <c r="A308">
        <v>307</v>
      </c>
      <c r="B308">
        <v>0.18179999999999999</v>
      </c>
      <c r="C308">
        <v>0.54</v>
      </c>
      <c r="D308">
        <v>0</v>
      </c>
      <c r="E308">
        <v>0</v>
      </c>
      <c r="F308">
        <v>17</v>
      </c>
      <c r="G308">
        <v>17</v>
      </c>
    </row>
    <row r="309" spans="1:7" x14ac:dyDescent="0.35">
      <c r="A309">
        <v>308</v>
      </c>
      <c r="B309">
        <v>0.1212</v>
      </c>
      <c r="C309">
        <v>0.74</v>
      </c>
      <c r="D309">
        <v>0.16420000000000001</v>
      </c>
      <c r="E309">
        <v>0</v>
      </c>
      <c r="F309">
        <v>70</v>
      </c>
      <c r="G309">
        <v>70</v>
      </c>
    </row>
    <row r="310" spans="1:7" x14ac:dyDescent="0.35">
      <c r="A310">
        <v>309</v>
      </c>
      <c r="B310">
        <v>0.16669999999999999</v>
      </c>
      <c r="C310">
        <v>0.68</v>
      </c>
      <c r="D310">
        <v>0</v>
      </c>
      <c r="E310">
        <v>2</v>
      </c>
      <c r="F310">
        <v>156</v>
      </c>
      <c r="G310">
        <v>158</v>
      </c>
    </row>
    <row r="311" spans="1:7" x14ac:dyDescent="0.35">
      <c r="A311">
        <v>310</v>
      </c>
      <c r="B311">
        <v>0.1515</v>
      </c>
      <c r="C311">
        <v>0.69</v>
      </c>
      <c r="D311">
        <v>0.1343</v>
      </c>
      <c r="E311">
        <v>0</v>
      </c>
      <c r="F311">
        <v>117</v>
      </c>
      <c r="G311">
        <v>117</v>
      </c>
    </row>
    <row r="312" spans="1:7" x14ac:dyDescent="0.35">
      <c r="A312">
        <v>311</v>
      </c>
      <c r="B312">
        <v>0.18179999999999999</v>
      </c>
      <c r="C312">
        <v>0.55000000000000004</v>
      </c>
      <c r="D312">
        <v>0.19400000000000001</v>
      </c>
      <c r="E312">
        <v>4</v>
      </c>
      <c r="F312">
        <v>40</v>
      </c>
      <c r="G312">
        <v>44</v>
      </c>
    </row>
    <row r="313" spans="1:7" x14ac:dyDescent="0.35">
      <c r="A313">
        <v>312</v>
      </c>
      <c r="B313">
        <v>0.16669999999999999</v>
      </c>
      <c r="C313">
        <v>0.51</v>
      </c>
      <c r="D313">
        <v>0.28360000000000002</v>
      </c>
      <c r="E313">
        <v>6</v>
      </c>
      <c r="F313">
        <v>47</v>
      </c>
      <c r="G313">
        <v>53</v>
      </c>
    </row>
    <row r="314" spans="1:7" x14ac:dyDescent="0.35">
      <c r="A314">
        <v>313</v>
      </c>
      <c r="B314">
        <v>0.19700000000000001</v>
      </c>
      <c r="C314">
        <v>0.44</v>
      </c>
      <c r="D314">
        <v>0.25369999999999998</v>
      </c>
      <c r="E314">
        <v>2</v>
      </c>
      <c r="F314">
        <v>59</v>
      </c>
      <c r="G314">
        <v>61</v>
      </c>
    </row>
    <row r="315" spans="1:7" x14ac:dyDescent="0.35">
      <c r="A315">
        <v>314</v>
      </c>
      <c r="B315">
        <v>0.19700000000000001</v>
      </c>
      <c r="C315">
        <v>0.37</v>
      </c>
      <c r="D315">
        <v>0.3881</v>
      </c>
      <c r="E315">
        <v>4</v>
      </c>
      <c r="F315">
        <v>73</v>
      </c>
      <c r="G315">
        <v>77</v>
      </c>
    </row>
    <row r="316" spans="1:7" x14ac:dyDescent="0.35">
      <c r="A316">
        <v>315</v>
      </c>
      <c r="B316">
        <v>0.21210000000000001</v>
      </c>
      <c r="C316">
        <v>0.41</v>
      </c>
      <c r="D316">
        <v>0.28360000000000002</v>
      </c>
      <c r="E316">
        <v>5</v>
      </c>
      <c r="F316">
        <v>59</v>
      </c>
      <c r="G316">
        <v>64</v>
      </c>
    </row>
    <row r="317" spans="1:7" x14ac:dyDescent="0.35">
      <c r="A317">
        <v>316</v>
      </c>
      <c r="B317">
        <v>0.2424</v>
      </c>
      <c r="C317">
        <v>0.38</v>
      </c>
      <c r="D317">
        <v>0.16420000000000001</v>
      </c>
      <c r="E317">
        <v>9</v>
      </c>
      <c r="F317">
        <v>59</v>
      </c>
      <c r="G317">
        <v>68</v>
      </c>
    </row>
    <row r="318" spans="1:7" x14ac:dyDescent="0.35">
      <c r="A318">
        <v>317</v>
      </c>
      <c r="B318">
        <v>0.2424</v>
      </c>
      <c r="C318">
        <v>0.41</v>
      </c>
      <c r="D318">
        <v>0.1045</v>
      </c>
      <c r="E318">
        <v>3</v>
      </c>
      <c r="F318">
        <v>87</v>
      </c>
      <c r="G318">
        <v>90</v>
      </c>
    </row>
    <row r="319" spans="1:7" x14ac:dyDescent="0.35">
      <c r="A319">
        <v>318</v>
      </c>
      <c r="B319">
        <v>0.2273</v>
      </c>
      <c r="C319">
        <v>0.41</v>
      </c>
      <c r="D319">
        <v>0.16420000000000001</v>
      </c>
      <c r="E319">
        <v>4</v>
      </c>
      <c r="F319">
        <v>155</v>
      </c>
      <c r="G319">
        <v>159</v>
      </c>
    </row>
    <row r="320" spans="1:7" x14ac:dyDescent="0.35">
      <c r="A320">
        <v>319</v>
      </c>
      <c r="B320">
        <v>0.2576</v>
      </c>
      <c r="C320">
        <v>0.47</v>
      </c>
      <c r="D320">
        <v>0</v>
      </c>
      <c r="E320">
        <v>5</v>
      </c>
      <c r="F320">
        <v>134</v>
      </c>
      <c r="G320">
        <v>139</v>
      </c>
    </row>
    <row r="321" spans="1:7" x14ac:dyDescent="0.35">
      <c r="A321">
        <v>320</v>
      </c>
      <c r="B321">
        <v>0.19700000000000001</v>
      </c>
      <c r="C321">
        <v>0.59</v>
      </c>
      <c r="D321">
        <v>8.9599999999999999E-2</v>
      </c>
      <c r="E321">
        <v>3</v>
      </c>
      <c r="F321">
        <v>89</v>
      </c>
      <c r="G321">
        <v>92</v>
      </c>
    </row>
    <row r="322" spans="1:7" x14ac:dyDescent="0.35">
      <c r="A322">
        <v>321</v>
      </c>
      <c r="B322">
        <v>0.2424</v>
      </c>
      <c r="C322">
        <v>0.59</v>
      </c>
      <c r="D322">
        <v>0</v>
      </c>
      <c r="E322">
        <v>0</v>
      </c>
      <c r="F322">
        <v>68</v>
      </c>
      <c r="G322">
        <v>68</v>
      </c>
    </row>
    <row r="323" spans="1:7" x14ac:dyDescent="0.35">
      <c r="A323">
        <v>322</v>
      </c>
      <c r="B323">
        <v>0.2273</v>
      </c>
      <c r="C323">
        <v>0.69</v>
      </c>
      <c r="D323">
        <v>0</v>
      </c>
      <c r="E323">
        <v>4</v>
      </c>
      <c r="F323">
        <v>48</v>
      </c>
      <c r="G323">
        <v>52</v>
      </c>
    </row>
    <row r="324" spans="1:7" x14ac:dyDescent="0.35">
      <c r="A324">
        <v>323</v>
      </c>
      <c r="B324">
        <v>0.2273</v>
      </c>
      <c r="C324">
        <v>0.69</v>
      </c>
      <c r="D324">
        <v>0</v>
      </c>
      <c r="E324">
        <v>2</v>
      </c>
      <c r="F324">
        <v>34</v>
      </c>
      <c r="G324">
        <v>36</v>
      </c>
    </row>
    <row r="325" spans="1:7" x14ac:dyDescent="0.35">
      <c r="A325">
        <v>324</v>
      </c>
      <c r="B325">
        <v>0.2424</v>
      </c>
      <c r="C325">
        <v>0.55000000000000004</v>
      </c>
      <c r="D325">
        <v>0</v>
      </c>
      <c r="E325">
        <v>1</v>
      </c>
      <c r="F325">
        <v>26</v>
      </c>
      <c r="G325">
        <v>27</v>
      </c>
    </row>
    <row r="326" spans="1:7" x14ac:dyDescent="0.35">
      <c r="A326">
        <v>325</v>
      </c>
      <c r="B326">
        <v>0.2424</v>
      </c>
      <c r="C326">
        <v>0.55000000000000004</v>
      </c>
      <c r="D326">
        <v>0</v>
      </c>
      <c r="E326">
        <v>3</v>
      </c>
      <c r="F326">
        <v>25</v>
      </c>
      <c r="G326">
        <v>28</v>
      </c>
    </row>
    <row r="327" spans="1:7" x14ac:dyDescent="0.35">
      <c r="A327">
        <v>326</v>
      </c>
      <c r="B327">
        <v>0.19700000000000001</v>
      </c>
      <c r="C327">
        <v>0.59</v>
      </c>
      <c r="D327">
        <v>8.9599999999999999E-2</v>
      </c>
      <c r="E327">
        <v>2</v>
      </c>
      <c r="F327">
        <v>18</v>
      </c>
      <c r="G327">
        <v>20</v>
      </c>
    </row>
    <row r="328" spans="1:7" x14ac:dyDescent="0.35">
      <c r="A328">
        <v>327</v>
      </c>
      <c r="B328">
        <v>0.19700000000000001</v>
      </c>
      <c r="C328">
        <v>0.59</v>
      </c>
      <c r="D328">
        <v>8.9599999999999999E-2</v>
      </c>
      <c r="E328">
        <v>0</v>
      </c>
      <c r="F328">
        <v>12</v>
      </c>
      <c r="G328">
        <v>12</v>
      </c>
    </row>
    <row r="329" spans="1:7" x14ac:dyDescent="0.35">
      <c r="A329">
        <v>328</v>
      </c>
      <c r="B329">
        <v>0.2273</v>
      </c>
      <c r="C329">
        <v>0.59</v>
      </c>
      <c r="D329">
        <v>0</v>
      </c>
      <c r="E329">
        <v>1</v>
      </c>
      <c r="F329">
        <v>7</v>
      </c>
      <c r="G329">
        <v>8</v>
      </c>
    </row>
    <row r="330" spans="1:7" x14ac:dyDescent="0.35">
      <c r="A330">
        <v>329</v>
      </c>
      <c r="B330">
        <v>0.2273</v>
      </c>
      <c r="C330">
        <v>0.59</v>
      </c>
      <c r="D330">
        <v>0</v>
      </c>
      <c r="E330">
        <v>0</v>
      </c>
      <c r="F330">
        <v>5</v>
      </c>
      <c r="G330">
        <v>5</v>
      </c>
    </row>
    <row r="331" spans="1:7" x14ac:dyDescent="0.35">
      <c r="A331">
        <v>330</v>
      </c>
      <c r="B331">
        <v>0.2273</v>
      </c>
      <c r="C331">
        <v>0.59</v>
      </c>
      <c r="D331">
        <v>0</v>
      </c>
      <c r="E331">
        <v>0</v>
      </c>
      <c r="F331">
        <v>1</v>
      </c>
      <c r="G331">
        <v>1</v>
      </c>
    </row>
    <row r="332" spans="1:7" x14ac:dyDescent="0.35">
      <c r="A332">
        <v>331</v>
      </c>
      <c r="B332">
        <v>0.16669999999999999</v>
      </c>
      <c r="C332">
        <v>0.63</v>
      </c>
      <c r="D332">
        <v>0.1045</v>
      </c>
      <c r="E332">
        <v>1</v>
      </c>
      <c r="F332">
        <v>2</v>
      </c>
      <c r="G332">
        <v>3</v>
      </c>
    </row>
    <row r="333" spans="1:7" x14ac:dyDescent="0.35">
      <c r="A333">
        <v>332</v>
      </c>
      <c r="B333">
        <v>0.21210000000000001</v>
      </c>
      <c r="C333">
        <v>0.63</v>
      </c>
      <c r="D333">
        <v>0</v>
      </c>
      <c r="E333">
        <v>1</v>
      </c>
      <c r="F333">
        <v>9</v>
      </c>
      <c r="G333">
        <v>10</v>
      </c>
    </row>
    <row r="334" spans="1:7" x14ac:dyDescent="0.35">
      <c r="A334">
        <v>333</v>
      </c>
      <c r="B334">
        <v>0.1515</v>
      </c>
      <c r="C334">
        <v>0.63</v>
      </c>
      <c r="D334">
        <v>0.1343</v>
      </c>
      <c r="E334">
        <v>1</v>
      </c>
      <c r="F334">
        <v>22</v>
      </c>
      <c r="G334">
        <v>23</v>
      </c>
    </row>
    <row r="335" spans="1:7" x14ac:dyDescent="0.35">
      <c r="A335">
        <v>334</v>
      </c>
      <c r="B335">
        <v>0.18179999999999999</v>
      </c>
      <c r="C335">
        <v>0.64</v>
      </c>
      <c r="D335">
        <v>0.1343</v>
      </c>
      <c r="E335">
        <v>2</v>
      </c>
      <c r="F335">
        <v>31</v>
      </c>
      <c r="G335">
        <v>33</v>
      </c>
    </row>
    <row r="336" spans="1:7" x14ac:dyDescent="0.35">
      <c r="A336">
        <v>335</v>
      </c>
      <c r="B336">
        <v>0.19700000000000001</v>
      </c>
      <c r="C336">
        <v>0.59</v>
      </c>
      <c r="D336">
        <v>0.16420000000000001</v>
      </c>
      <c r="E336">
        <v>2</v>
      </c>
      <c r="F336">
        <v>57</v>
      </c>
      <c r="G336">
        <v>59</v>
      </c>
    </row>
    <row r="337" spans="1:7" x14ac:dyDescent="0.35">
      <c r="A337">
        <v>336</v>
      </c>
      <c r="B337">
        <v>0.19700000000000001</v>
      </c>
      <c r="C337">
        <v>0.55000000000000004</v>
      </c>
      <c r="D337">
        <v>0.22389999999999999</v>
      </c>
      <c r="E337">
        <v>18</v>
      </c>
      <c r="F337">
        <v>54</v>
      </c>
      <c r="G337">
        <v>72</v>
      </c>
    </row>
    <row r="338" spans="1:7" x14ac:dyDescent="0.35">
      <c r="A338">
        <v>337</v>
      </c>
      <c r="B338">
        <v>0.2273</v>
      </c>
      <c r="C338">
        <v>0.48</v>
      </c>
      <c r="D338">
        <v>0.22389999999999999</v>
      </c>
      <c r="E338">
        <v>15</v>
      </c>
      <c r="F338">
        <v>74</v>
      </c>
      <c r="G338">
        <v>89</v>
      </c>
    </row>
    <row r="339" spans="1:7" x14ac:dyDescent="0.35">
      <c r="A339">
        <v>338</v>
      </c>
      <c r="B339">
        <v>0.2576</v>
      </c>
      <c r="C339">
        <v>0.38</v>
      </c>
      <c r="D339">
        <v>0.29849999999999999</v>
      </c>
      <c r="E339">
        <v>21</v>
      </c>
      <c r="F339">
        <v>80</v>
      </c>
      <c r="G339">
        <v>101</v>
      </c>
    </row>
    <row r="340" spans="1:7" x14ac:dyDescent="0.35">
      <c r="A340">
        <v>339</v>
      </c>
      <c r="B340">
        <v>0.28789999999999999</v>
      </c>
      <c r="C340">
        <v>0.39</v>
      </c>
      <c r="D340">
        <v>0.28360000000000002</v>
      </c>
      <c r="E340">
        <v>26</v>
      </c>
      <c r="F340">
        <v>92</v>
      </c>
      <c r="G340">
        <v>118</v>
      </c>
    </row>
    <row r="341" spans="1:7" x14ac:dyDescent="0.35">
      <c r="A341">
        <v>340</v>
      </c>
      <c r="B341">
        <v>0.31819999999999998</v>
      </c>
      <c r="C341">
        <v>0.36</v>
      </c>
      <c r="D341">
        <v>0.19400000000000001</v>
      </c>
      <c r="E341">
        <v>21</v>
      </c>
      <c r="F341">
        <v>108</v>
      </c>
      <c r="G341">
        <v>129</v>
      </c>
    </row>
    <row r="342" spans="1:7" x14ac:dyDescent="0.35">
      <c r="A342">
        <v>341</v>
      </c>
      <c r="B342">
        <v>0.33329999999999999</v>
      </c>
      <c r="C342">
        <v>0.34</v>
      </c>
      <c r="D342">
        <v>0.19400000000000001</v>
      </c>
      <c r="E342">
        <v>33</v>
      </c>
      <c r="F342">
        <v>95</v>
      </c>
      <c r="G342">
        <v>128</v>
      </c>
    </row>
    <row r="343" spans="1:7" x14ac:dyDescent="0.35">
      <c r="A343">
        <v>342</v>
      </c>
      <c r="B343">
        <v>0.30299999999999999</v>
      </c>
      <c r="C343">
        <v>0.36</v>
      </c>
      <c r="D343">
        <v>0.28360000000000002</v>
      </c>
      <c r="E343">
        <v>29</v>
      </c>
      <c r="F343">
        <v>54</v>
      </c>
      <c r="G343">
        <v>83</v>
      </c>
    </row>
    <row r="344" spans="1:7" x14ac:dyDescent="0.35">
      <c r="A344">
        <v>343</v>
      </c>
      <c r="B344">
        <v>0.28789999999999999</v>
      </c>
      <c r="C344">
        <v>0.45</v>
      </c>
      <c r="D344">
        <v>0.25369999999999998</v>
      </c>
      <c r="E344">
        <v>15</v>
      </c>
      <c r="F344">
        <v>69</v>
      </c>
      <c r="G344">
        <v>84</v>
      </c>
    </row>
    <row r="345" spans="1:7" x14ac:dyDescent="0.35">
      <c r="A345">
        <v>344</v>
      </c>
      <c r="B345">
        <v>0.30299999999999999</v>
      </c>
      <c r="C345">
        <v>0.39</v>
      </c>
      <c r="D345">
        <v>0.25369999999999998</v>
      </c>
      <c r="E345">
        <v>14</v>
      </c>
      <c r="F345">
        <v>60</v>
      </c>
      <c r="G345">
        <v>74</v>
      </c>
    </row>
    <row r="346" spans="1:7" x14ac:dyDescent="0.35">
      <c r="A346">
        <v>345</v>
      </c>
      <c r="B346">
        <v>0.30299999999999999</v>
      </c>
      <c r="C346">
        <v>0.39</v>
      </c>
      <c r="D346">
        <v>0.25369999999999998</v>
      </c>
      <c r="E346">
        <v>6</v>
      </c>
      <c r="F346">
        <v>35</v>
      </c>
      <c r="G346">
        <v>41</v>
      </c>
    </row>
    <row r="347" spans="1:7" x14ac:dyDescent="0.35">
      <c r="A347">
        <v>346</v>
      </c>
      <c r="B347">
        <v>0.30299999999999999</v>
      </c>
      <c r="C347">
        <v>0.39</v>
      </c>
      <c r="D347">
        <v>0.22389999999999999</v>
      </c>
      <c r="E347">
        <v>6</v>
      </c>
      <c r="F347">
        <v>51</v>
      </c>
      <c r="G347">
        <v>57</v>
      </c>
    </row>
    <row r="348" spans="1:7" x14ac:dyDescent="0.35">
      <c r="A348">
        <v>347</v>
      </c>
      <c r="B348">
        <v>0.31819999999999998</v>
      </c>
      <c r="C348">
        <v>0.42</v>
      </c>
      <c r="D348">
        <v>0.1045</v>
      </c>
      <c r="E348">
        <v>0</v>
      </c>
      <c r="F348">
        <v>26</v>
      </c>
      <c r="G348">
        <v>26</v>
      </c>
    </row>
    <row r="349" spans="1:7" x14ac:dyDescent="0.35">
      <c r="A349">
        <v>348</v>
      </c>
      <c r="B349">
        <v>0.28789999999999999</v>
      </c>
      <c r="C349">
        <v>0.45</v>
      </c>
      <c r="D349">
        <v>0.28360000000000002</v>
      </c>
      <c r="E349">
        <v>5</v>
      </c>
      <c r="F349">
        <v>39</v>
      </c>
      <c r="G349">
        <v>44</v>
      </c>
    </row>
    <row r="350" spans="1:7" x14ac:dyDescent="0.35">
      <c r="A350">
        <v>349</v>
      </c>
      <c r="B350">
        <v>0.30299999999999999</v>
      </c>
      <c r="C350">
        <v>0.56000000000000005</v>
      </c>
      <c r="D350">
        <v>0</v>
      </c>
      <c r="E350">
        <v>6</v>
      </c>
      <c r="F350">
        <v>33</v>
      </c>
      <c r="G350">
        <v>39</v>
      </c>
    </row>
    <row r="351" spans="1:7" x14ac:dyDescent="0.35">
      <c r="A351">
        <v>350</v>
      </c>
      <c r="B351">
        <v>0.2727</v>
      </c>
      <c r="C351">
        <v>0.56000000000000005</v>
      </c>
      <c r="D351">
        <v>0.1343</v>
      </c>
      <c r="E351">
        <v>4</v>
      </c>
      <c r="F351">
        <v>19</v>
      </c>
      <c r="G351">
        <v>23</v>
      </c>
    </row>
    <row r="352" spans="1:7" x14ac:dyDescent="0.35">
      <c r="A352">
        <v>351</v>
      </c>
      <c r="B352">
        <v>0.28789999999999999</v>
      </c>
      <c r="C352">
        <v>0.56000000000000005</v>
      </c>
      <c r="D352">
        <v>8.9599999999999999E-2</v>
      </c>
      <c r="E352">
        <v>3</v>
      </c>
      <c r="F352">
        <v>13</v>
      </c>
      <c r="G352">
        <v>16</v>
      </c>
    </row>
    <row r="353" spans="1:7" x14ac:dyDescent="0.35">
      <c r="A353">
        <v>352</v>
      </c>
      <c r="B353">
        <v>0.2727</v>
      </c>
      <c r="C353">
        <v>0.69</v>
      </c>
      <c r="D353">
        <v>0</v>
      </c>
      <c r="E353">
        <v>9</v>
      </c>
      <c r="F353">
        <v>6</v>
      </c>
      <c r="G353">
        <v>15</v>
      </c>
    </row>
    <row r="354" spans="1:7" x14ac:dyDescent="0.35">
      <c r="A354">
        <v>353</v>
      </c>
      <c r="B354">
        <v>0.2576</v>
      </c>
      <c r="C354">
        <v>0.56000000000000005</v>
      </c>
      <c r="D354">
        <v>0.16420000000000001</v>
      </c>
      <c r="E354">
        <v>0</v>
      </c>
      <c r="F354">
        <v>1</v>
      </c>
      <c r="G354">
        <v>1</v>
      </c>
    </row>
    <row r="355" spans="1:7" x14ac:dyDescent="0.35">
      <c r="A355">
        <v>354</v>
      </c>
      <c r="B355">
        <v>0.2576</v>
      </c>
      <c r="C355">
        <v>0.56000000000000005</v>
      </c>
      <c r="D355">
        <v>0.16420000000000001</v>
      </c>
      <c r="E355">
        <v>1</v>
      </c>
      <c r="F355">
        <v>1</v>
      </c>
      <c r="G355">
        <v>2</v>
      </c>
    </row>
    <row r="356" spans="1:7" x14ac:dyDescent="0.35">
      <c r="A356">
        <v>355</v>
      </c>
      <c r="B356">
        <v>0.2576</v>
      </c>
      <c r="C356">
        <v>0.56000000000000005</v>
      </c>
      <c r="D356">
        <v>0.16420000000000001</v>
      </c>
      <c r="E356">
        <v>0</v>
      </c>
      <c r="F356">
        <v>1</v>
      </c>
      <c r="G356">
        <v>1</v>
      </c>
    </row>
    <row r="357" spans="1:7" x14ac:dyDescent="0.35">
      <c r="A357">
        <v>356</v>
      </c>
      <c r="B357">
        <v>0.21210000000000001</v>
      </c>
      <c r="C357">
        <v>0.56000000000000005</v>
      </c>
      <c r="D357">
        <v>0.29849999999999999</v>
      </c>
      <c r="E357">
        <v>0</v>
      </c>
      <c r="F357">
        <v>3</v>
      </c>
      <c r="G357">
        <v>3</v>
      </c>
    </row>
    <row r="358" spans="1:7" x14ac:dyDescent="0.35">
      <c r="A358">
        <v>357</v>
      </c>
      <c r="B358">
        <v>0.21210000000000001</v>
      </c>
      <c r="C358">
        <v>0.55000000000000004</v>
      </c>
      <c r="D358">
        <v>0.28360000000000002</v>
      </c>
      <c r="E358">
        <v>0</v>
      </c>
      <c r="F358">
        <v>18</v>
      </c>
      <c r="G358">
        <v>18</v>
      </c>
    </row>
    <row r="359" spans="1:7" x14ac:dyDescent="0.35">
      <c r="A359">
        <v>358</v>
      </c>
      <c r="B359">
        <v>0.21210000000000001</v>
      </c>
      <c r="C359">
        <v>0.51</v>
      </c>
      <c r="D359">
        <v>0.25369999999999998</v>
      </c>
      <c r="E359">
        <v>3</v>
      </c>
      <c r="F359">
        <v>29</v>
      </c>
      <c r="G359">
        <v>32</v>
      </c>
    </row>
    <row r="360" spans="1:7" x14ac:dyDescent="0.35">
      <c r="A360">
        <v>359</v>
      </c>
      <c r="B360">
        <v>0.21210000000000001</v>
      </c>
      <c r="C360">
        <v>0.51</v>
      </c>
      <c r="D360">
        <v>0.28360000000000002</v>
      </c>
      <c r="E360">
        <v>8</v>
      </c>
      <c r="F360">
        <v>71</v>
      </c>
      <c r="G360">
        <v>79</v>
      </c>
    </row>
    <row r="361" spans="1:7" x14ac:dyDescent="0.35">
      <c r="A361">
        <v>360</v>
      </c>
      <c r="B361">
        <v>0.2273</v>
      </c>
      <c r="C361">
        <v>0.44</v>
      </c>
      <c r="D361">
        <v>0.25369999999999998</v>
      </c>
      <c r="E361">
        <v>23</v>
      </c>
      <c r="F361">
        <v>70</v>
      </c>
      <c r="G361">
        <v>93</v>
      </c>
    </row>
    <row r="362" spans="1:7" x14ac:dyDescent="0.35">
      <c r="A362">
        <v>361</v>
      </c>
      <c r="B362">
        <v>0.21210000000000001</v>
      </c>
      <c r="C362">
        <v>0.41</v>
      </c>
      <c r="D362">
        <v>0.28360000000000002</v>
      </c>
      <c r="E362">
        <v>29</v>
      </c>
      <c r="F362">
        <v>75</v>
      </c>
      <c r="G362">
        <v>104</v>
      </c>
    </row>
    <row r="363" spans="1:7" x14ac:dyDescent="0.35">
      <c r="A363">
        <v>362</v>
      </c>
      <c r="B363">
        <v>0.2273</v>
      </c>
      <c r="C363">
        <v>0.35</v>
      </c>
      <c r="D363">
        <v>0.29849999999999999</v>
      </c>
      <c r="E363">
        <v>23</v>
      </c>
      <c r="F363">
        <v>95</v>
      </c>
      <c r="G363">
        <v>118</v>
      </c>
    </row>
    <row r="364" spans="1:7" x14ac:dyDescent="0.35">
      <c r="A364">
        <v>363</v>
      </c>
      <c r="B364">
        <v>0.2727</v>
      </c>
      <c r="C364">
        <v>0.36</v>
      </c>
      <c r="D364">
        <v>0.25369999999999998</v>
      </c>
      <c r="E364">
        <v>22</v>
      </c>
      <c r="F364">
        <v>69</v>
      </c>
      <c r="G364">
        <v>91</v>
      </c>
    </row>
    <row r="365" spans="1:7" x14ac:dyDescent="0.35">
      <c r="A365">
        <v>364</v>
      </c>
      <c r="B365">
        <v>0.2424</v>
      </c>
      <c r="C365">
        <v>0.38</v>
      </c>
      <c r="D365">
        <v>0.25369999999999998</v>
      </c>
      <c r="E365">
        <v>35</v>
      </c>
      <c r="F365">
        <v>78</v>
      </c>
      <c r="G365">
        <v>113</v>
      </c>
    </row>
    <row r="366" spans="1:7" x14ac:dyDescent="0.35">
      <c r="A366">
        <v>365</v>
      </c>
      <c r="B366">
        <v>0.2273</v>
      </c>
      <c r="C366">
        <v>0.38</v>
      </c>
      <c r="D366">
        <v>0.22389999999999999</v>
      </c>
      <c r="E366">
        <v>22</v>
      </c>
      <c r="F366">
        <v>77</v>
      </c>
      <c r="G366">
        <v>99</v>
      </c>
    </row>
    <row r="367" spans="1:7" x14ac:dyDescent="0.35">
      <c r="A367">
        <v>366</v>
      </c>
      <c r="B367">
        <v>0.21210000000000001</v>
      </c>
      <c r="C367">
        <v>0.37</v>
      </c>
      <c r="D367">
        <v>0.25369999999999998</v>
      </c>
      <c r="E367">
        <v>23</v>
      </c>
      <c r="F367">
        <v>82</v>
      </c>
      <c r="G367">
        <v>105</v>
      </c>
    </row>
    <row r="368" spans="1:7" x14ac:dyDescent="0.35">
      <c r="A368">
        <v>367</v>
      </c>
      <c r="B368">
        <v>0.21210000000000001</v>
      </c>
      <c r="C368">
        <v>0.4</v>
      </c>
      <c r="D368">
        <v>0.16420000000000001</v>
      </c>
      <c r="E368">
        <v>11</v>
      </c>
      <c r="F368">
        <v>56</v>
      </c>
      <c r="G368">
        <v>67</v>
      </c>
    </row>
    <row r="369" spans="1:7" x14ac:dyDescent="0.35">
      <c r="A369">
        <v>368</v>
      </c>
      <c r="B369">
        <v>0.19700000000000001</v>
      </c>
      <c r="C369">
        <v>0.47</v>
      </c>
      <c r="D369">
        <v>0.1343</v>
      </c>
      <c r="E369">
        <v>14</v>
      </c>
      <c r="F369">
        <v>47</v>
      </c>
      <c r="G369">
        <v>61</v>
      </c>
    </row>
    <row r="370" spans="1:7" x14ac:dyDescent="0.35">
      <c r="A370">
        <v>369</v>
      </c>
      <c r="B370">
        <v>0.19700000000000001</v>
      </c>
      <c r="C370">
        <v>0.47</v>
      </c>
      <c r="D370">
        <v>0.16420000000000001</v>
      </c>
      <c r="E370">
        <v>7</v>
      </c>
      <c r="F370">
        <v>50</v>
      </c>
      <c r="G370">
        <v>57</v>
      </c>
    </row>
    <row r="371" spans="1:7" x14ac:dyDescent="0.35">
      <c r="A371">
        <v>370</v>
      </c>
      <c r="B371">
        <v>0.19700000000000001</v>
      </c>
      <c r="C371">
        <v>0.51</v>
      </c>
      <c r="D371">
        <v>0.16420000000000001</v>
      </c>
      <c r="E371">
        <v>6</v>
      </c>
      <c r="F371">
        <v>22</v>
      </c>
      <c r="G371">
        <v>28</v>
      </c>
    </row>
    <row r="372" spans="1:7" x14ac:dyDescent="0.35">
      <c r="A372">
        <v>371</v>
      </c>
      <c r="B372">
        <v>0.21210000000000001</v>
      </c>
      <c r="C372">
        <v>0.49</v>
      </c>
      <c r="D372">
        <v>0.1343</v>
      </c>
      <c r="E372">
        <v>2</v>
      </c>
      <c r="F372">
        <v>19</v>
      </c>
      <c r="G372">
        <v>21</v>
      </c>
    </row>
    <row r="373" spans="1:7" x14ac:dyDescent="0.35">
      <c r="A373">
        <v>372</v>
      </c>
      <c r="B373">
        <v>0.2273</v>
      </c>
      <c r="C373">
        <v>0.4</v>
      </c>
      <c r="D373">
        <v>0.1045</v>
      </c>
      <c r="E373">
        <v>0</v>
      </c>
      <c r="F373">
        <v>18</v>
      </c>
      <c r="G373">
        <v>18</v>
      </c>
    </row>
    <row r="374" spans="1:7" x14ac:dyDescent="0.35">
      <c r="A374">
        <v>373</v>
      </c>
      <c r="B374">
        <v>0.19700000000000001</v>
      </c>
      <c r="C374">
        <v>0.47</v>
      </c>
      <c r="D374">
        <v>0.22389999999999999</v>
      </c>
      <c r="E374">
        <v>1</v>
      </c>
      <c r="F374">
        <v>16</v>
      </c>
      <c r="G374">
        <v>17</v>
      </c>
    </row>
    <row r="375" spans="1:7" x14ac:dyDescent="0.35">
      <c r="A375">
        <v>374</v>
      </c>
      <c r="B375">
        <v>0.19700000000000001</v>
      </c>
      <c r="C375">
        <v>0.44</v>
      </c>
      <c r="D375">
        <v>0.19400000000000001</v>
      </c>
      <c r="E375">
        <v>1</v>
      </c>
      <c r="F375">
        <v>15</v>
      </c>
      <c r="G375">
        <v>16</v>
      </c>
    </row>
    <row r="376" spans="1:7" x14ac:dyDescent="0.35">
      <c r="A376">
        <v>375</v>
      </c>
      <c r="B376">
        <v>0.16669999999999999</v>
      </c>
      <c r="C376">
        <v>0.43</v>
      </c>
      <c r="D376">
        <v>0.25369999999999998</v>
      </c>
      <c r="E376">
        <v>0</v>
      </c>
      <c r="F376">
        <v>8</v>
      </c>
      <c r="G376">
        <v>8</v>
      </c>
    </row>
    <row r="377" spans="1:7" x14ac:dyDescent="0.35">
      <c r="A377">
        <v>376</v>
      </c>
      <c r="B377">
        <v>0.18179999999999999</v>
      </c>
      <c r="C377">
        <v>0.43</v>
      </c>
      <c r="D377">
        <v>0.19400000000000001</v>
      </c>
      <c r="E377">
        <v>0</v>
      </c>
      <c r="F377">
        <v>2</v>
      </c>
      <c r="G377">
        <v>2</v>
      </c>
    </row>
    <row r="378" spans="1:7" x14ac:dyDescent="0.35">
      <c r="A378">
        <v>377</v>
      </c>
      <c r="B378">
        <v>0.19700000000000001</v>
      </c>
      <c r="C378">
        <v>0.43</v>
      </c>
      <c r="D378">
        <v>0.1343</v>
      </c>
      <c r="E378">
        <v>1</v>
      </c>
      <c r="F378">
        <v>2</v>
      </c>
      <c r="G378">
        <v>3</v>
      </c>
    </row>
    <row r="379" spans="1:7" x14ac:dyDescent="0.35">
      <c r="A379">
        <v>378</v>
      </c>
      <c r="B379">
        <v>0.19700000000000001</v>
      </c>
      <c r="C379">
        <v>0.43</v>
      </c>
      <c r="D379">
        <v>0.16420000000000001</v>
      </c>
      <c r="E379">
        <v>0</v>
      </c>
      <c r="F379">
        <v>1</v>
      </c>
      <c r="G379">
        <v>1</v>
      </c>
    </row>
    <row r="380" spans="1:7" x14ac:dyDescent="0.35">
      <c r="A380">
        <v>379</v>
      </c>
      <c r="B380">
        <v>0.18179999999999999</v>
      </c>
      <c r="C380">
        <v>0.43</v>
      </c>
      <c r="D380">
        <v>0.19400000000000001</v>
      </c>
      <c r="E380">
        <v>0</v>
      </c>
      <c r="F380">
        <v>5</v>
      </c>
      <c r="G380">
        <v>5</v>
      </c>
    </row>
    <row r="381" spans="1:7" x14ac:dyDescent="0.35">
      <c r="A381">
        <v>380</v>
      </c>
      <c r="B381">
        <v>0.18179999999999999</v>
      </c>
      <c r="C381">
        <v>0.5</v>
      </c>
      <c r="D381">
        <v>0.1343</v>
      </c>
      <c r="E381">
        <v>4</v>
      </c>
      <c r="F381">
        <v>9</v>
      </c>
      <c r="G381">
        <v>13</v>
      </c>
    </row>
    <row r="382" spans="1:7" x14ac:dyDescent="0.35">
      <c r="A382">
        <v>381</v>
      </c>
      <c r="B382">
        <v>0.1515</v>
      </c>
      <c r="C382">
        <v>0.47</v>
      </c>
      <c r="D382">
        <v>0.22389999999999999</v>
      </c>
      <c r="E382">
        <v>3</v>
      </c>
      <c r="F382">
        <v>30</v>
      </c>
      <c r="G382">
        <v>33</v>
      </c>
    </row>
    <row r="383" spans="1:7" x14ac:dyDescent="0.35">
      <c r="A383">
        <v>382</v>
      </c>
      <c r="B383">
        <v>0.1515</v>
      </c>
      <c r="C383">
        <v>0.47</v>
      </c>
      <c r="D383">
        <v>0.22389999999999999</v>
      </c>
      <c r="E383">
        <v>8</v>
      </c>
      <c r="F383">
        <v>39</v>
      </c>
      <c r="G383">
        <v>47</v>
      </c>
    </row>
    <row r="384" spans="1:7" x14ac:dyDescent="0.35">
      <c r="A384">
        <v>383</v>
      </c>
      <c r="B384">
        <v>0.1515</v>
      </c>
      <c r="C384">
        <v>0.5</v>
      </c>
      <c r="D384">
        <v>0.25369999999999998</v>
      </c>
      <c r="E384">
        <v>7</v>
      </c>
      <c r="F384">
        <v>50</v>
      </c>
      <c r="G384">
        <v>57</v>
      </c>
    </row>
    <row r="385" spans="1:7" x14ac:dyDescent="0.35">
      <c r="A385">
        <v>384</v>
      </c>
      <c r="B385">
        <v>0.1515</v>
      </c>
      <c r="C385">
        <v>0.55000000000000004</v>
      </c>
      <c r="D385">
        <v>0.19400000000000001</v>
      </c>
      <c r="E385">
        <v>9</v>
      </c>
      <c r="F385">
        <v>55</v>
      </c>
      <c r="G385">
        <v>64</v>
      </c>
    </row>
    <row r="386" spans="1:7" x14ac:dyDescent="0.35">
      <c r="A386">
        <v>385</v>
      </c>
      <c r="B386">
        <v>0.19700000000000001</v>
      </c>
      <c r="C386">
        <v>0.47</v>
      </c>
      <c r="D386">
        <v>0.1343</v>
      </c>
      <c r="E386">
        <v>10</v>
      </c>
      <c r="F386">
        <v>70</v>
      </c>
      <c r="G386">
        <v>80</v>
      </c>
    </row>
    <row r="387" spans="1:7" x14ac:dyDescent="0.35">
      <c r="A387">
        <v>386</v>
      </c>
      <c r="B387">
        <v>0.19700000000000001</v>
      </c>
      <c r="C387">
        <v>0.47</v>
      </c>
      <c r="D387">
        <v>0.1343</v>
      </c>
      <c r="E387">
        <v>13</v>
      </c>
      <c r="F387">
        <v>80</v>
      </c>
      <c r="G387">
        <v>93</v>
      </c>
    </row>
    <row r="388" spans="1:7" x14ac:dyDescent="0.35">
      <c r="A388">
        <v>387</v>
      </c>
      <c r="B388">
        <v>0.21210000000000001</v>
      </c>
      <c r="C388">
        <v>0.43</v>
      </c>
      <c r="D388">
        <v>0.1045</v>
      </c>
      <c r="E388">
        <v>12</v>
      </c>
      <c r="F388">
        <v>74</v>
      </c>
      <c r="G388">
        <v>86</v>
      </c>
    </row>
    <row r="389" spans="1:7" x14ac:dyDescent="0.35">
      <c r="A389">
        <v>388</v>
      </c>
      <c r="B389">
        <v>0.21210000000000001</v>
      </c>
      <c r="C389">
        <v>0.47</v>
      </c>
      <c r="D389">
        <v>0.16420000000000001</v>
      </c>
      <c r="E389">
        <v>21</v>
      </c>
      <c r="F389">
        <v>72</v>
      </c>
      <c r="G389">
        <v>93</v>
      </c>
    </row>
    <row r="390" spans="1:7" x14ac:dyDescent="0.35">
      <c r="A390">
        <v>389</v>
      </c>
      <c r="B390">
        <v>0.21210000000000001</v>
      </c>
      <c r="C390">
        <v>0.47</v>
      </c>
      <c r="D390">
        <v>0.16420000000000001</v>
      </c>
      <c r="E390">
        <v>6</v>
      </c>
      <c r="F390">
        <v>76</v>
      </c>
      <c r="G390">
        <v>82</v>
      </c>
    </row>
    <row r="391" spans="1:7" x14ac:dyDescent="0.35">
      <c r="A391">
        <v>390</v>
      </c>
      <c r="B391">
        <v>0.19700000000000001</v>
      </c>
      <c r="C391">
        <v>0.51</v>
      </c>
      <c r="D391">
        <v>0.19400000000000001</v>
      </c>
      <c r="E391">
        <v>4</v>
      </c>
      <c r="F391">
        <v>67</v>
      </c>
      <c r="G391">
        <v>71</v>
      </c>
    </row>
    <row r="392" spans="1:7" x14ac:dyDescent="0.35">
      <c r="A392">
        <v>391</v>
      </c>
      <c r="B392">
        <v>0.16669999999999999</v>
      </c>
      <c r="C392">
        <v>0.55000000000000004</v>
      </c>
      <c r="D392">
        <v>0.25369999999999998</v>
      </c>
      <c r="E392">
        <v>7</v>
      </c>
      <c r="F392">
        <v>85</v>
      </c>
      <c r="G392">
        <v>92</v>
      </c>
    </row>
    <row r="393" spans="1:7" x14ac:dyDescent="0.35">
      <c r="A393">
        <v>392</v>
      </c>
      <c r="B393">
        <v>0.18179999999999999</v>
      </c>
      <c r="C393">
        <v>0.59</v>
      </c>
      <c r="D393">
        <v>0.19400000000000001</v>
      </c>
      <c r="E393">
        <v>2</v>
      </c>
      <c r="F393">
        <v>58</v>
      </c>
      <c r="G393">
        <v>60</v>
      </c>
    </row>
    <row r="394" spans="1:7" x14ac:dyDescent="0.35">
      <c r="A394">
        <v>393</v>
      </c>
      <c r="B394">
        <v>0.1515</v>
      </c>
      <c r="C394">
        <v>0.8</v>
      </c>
      <c r="D394">
        <v>0.19400000000000001</v>
      </c>
      <c r="E394">
        <v>4</v>
      </c>
      <c r="F394">
        <v>29</v>
      </c>
      <c r="G394">
        <v>33</v>
      </c>
    </row>
    <row r="395" spans="1:7" x14ac:dyDescent="0.35">
      <c r="A395">
        <v>394</v>
      </c>
      <c r="B395">
        <v>0.1515</v>
      </c>
      <c r="C395">
        <v>0.8</v>
      </c>
      <c r="D395">
        <v>0.19400000000000001</v>
      </c>
      <c r="E395">
        <v>3</v>
      </c>
      <c r="F395">
        <v>24</v>
      </c>
      <c r="G395">
        <v>27</v>
      </c>
    </row>
    <row r="396" spans="1:7" x14ac:dyDescent="0.35">
      <c r="A396">
        <v>395</v>
      </c>
      <c r="B396">
        <v>0.1212</v>
      </c>
      <c r="C396">
        <v>0.93</v>
      </c>
      <c r="D396">
        <v>0.25369999999999998</v>
      </c>
      <c r="E396">
        <v>0</v>
      </c>
      <c r="F396">
        <v>13</v>
      </c>
      <c r="G396">
        <v>13</v>
      </c>
    </row>
    <row r="397" spans="1:7" x14ac:dyDescent="0.35">
      <c r="A397">
        <v>396</v>
      </c>
      <c r="B397">
        <v>0.13639999999999999</v>
      </c>
      <c r="C397">
        <v>0.86</v>
      </c>
      <c r="D397">
        <v>0.28360000000000002</v>
      </c>
      <c r="E397">
        <v>1</v>
      </c>
      <c r="F397">
        <v>3</v>
      </c>
      <c r="G397">
        <v>4</v>
      </c>
    </row>
    <row r="398" spans="1:7" x14ac:dyDescent="0.35">
      <c r="A398">
        <v>397</v>
      </c>
      <c r="B398">
        <v>0.18179999999999999</v>
      </c>
      <c r="C398">
        <v>0.86</v>
      </c>
      <c r="D398">
        <v>0.32840000000000003</v>
      </c>
      <c r="E398">
        <v>0</v>
      </c>
      <c r="F398">
        <v>3</v>
      </c>
      <c r="G398">
        <v>3</v>
      </c>
    </row>
    <row r="399" spans="1:7" x14ac:dyDescent="0.35">
      <c r="A399">
        <v>398</v>
      </c>
      <c r="B399">
        <v>0.19700000000000001</v>
      </c>
      <c r="C399">
        <v>0.86</v>
      </c>
      <c r="D399">
        <v>0.22389999999999999</v>
      </c>
      <c r="E399">
        <v>0</v>
      </c>
      <c r="F399">
        <v>22</v>
      </c>
      <c r="G399">
        <v>22</v>
      </c>
    </row>
    <row r="400" spans="1:7" x14ac:dyDescent="0.35">
      <c r="A400">
        <v>399</v>
      </c>
      <c r="B400">
        <v>0.2273</v>
      </c>
      <c r="C400">
        <v>0.8</v>
      </c>
      <c r="D400">
        <v>0.16420000000000001</v>
      </c>
      <c r="E400">
        <v>2</v>
      </c>
      <c r="F400">
        <v>26</v>
      </c>
      <c r="G400">
        <v>28</v>
      </c>
    </row>
    <row r="401" spans="1:7" x14ac:dyDescent="0.35">
      <c r="A401">
        <v>400</v>
      </c>
      <c r="B401">
        <v>0.2273</v>
      </c>
      <c r="C401">
        <v>0.87</v>
      </c>
      <c r="D401">
        <v>0.16420000000000001</v>
      </c>
      <c r="E401">
        <v>3</v>
      </c>
      <c r="F401">
        <v>32</v>
      </c>
      <c r="G401">
        <v>35</v>
      </c>
    </row>
    <row r="402" spans="1:7" x14ac:dyDescent="0.35">
      <c r="A402">
        <v>401</v>
      </c>
      <c r="B402">
        <v>0.2273</v>
      </c>
      <c r="C402">
        <v>0.87</v>
      </c>
      <c r="D402">
        <v>0.19400000000000001</v>
      </c>
      <c r="E402">
        <v>0</v>
      </c>
      <c r="F402">
        <v>61</v>
      </c>
      <c r="G402">
        <v>61</v>
      </c>
    </row>
    <row r="403" spans="1:7" x14ac:dyDescent="0.35">
      <c r="A403">
        <v>402</v>
      </c>
      <c r="B403">
        <v>0.2273</v>
      </c>
      <c r="C403">
        <v>0.82</v>
      </c>
      <c r="D403">
        <v>0.19400000000000001</v>
      </c>
      <c r="E403">
        <v>1</v>
      </c>
      <c r="F403">
        <v>124</v>
      </c>
      <c r="G403">
        <v>125</v>
      </c>
    </row>
    <row r="404" spans="1:7" x14ac:dyDescent="0.35">
      <c r="A404">
        <v>403</v>
      </c>
      <c r="B404">
        <v>0.2273</v>
      </c>
      <c r="C404">
        <v>0.8</v>
      </c>
      <c r="D404">
        <v>0.16420000000000001</v>
      </c>
      <c r="E404">
        <v>1</v>
      </c>
      <c r="F404">
        <v>132</v>
      </c>
      <c r="G404">
        <v>133</v>
      </c>
    </row>
    <row r="405" spans="1:7" x14ac:dyDescent="0.35">
      <c r="A405">
        <v>404</v>
      </c>
      <c r="B405">
        <v>0.2273</v>
      </c>
      <c r="C405">
        <v>0.8</v>
      </c>
      <c r="D405">
        <v>0.1343</v>
      </c>
      <c r="E405">
        <v>1</v>
      </c>
      <c r="F405">
        <v>98</v>
      </c>
      <c r="G405">
        <v>99</v>
      </c>
    </row>
    <row r="406" spans="1:7" x14ac:dyDescent="0.35">
      <c r="A406">
        <v>405</v>
      </c>
      <c r="B406">
        <v>0.2727</v>
      </c>
      <c r="C406">
        <v>0.87</v>
      </c>
      <c r="D406">
        <v>0</v>
      </c>
      <c r="E406">
        <v>0</v>
      </c>
      <c r="F406">
        <v>83</v>
      </c>
      <c r="G406">
        <v>83</v>
      </c>
    </row>
    <row r="407" spans="1:7" x14ac:dyDescent="0.35">
      <c r="A407">
        <v>406</v>
      </c>
      <c r="B407">
        <v>0.2424</v>
      </c>
      <c r="C407">
        <v>0.93</v>
      </c>
      <c r="D407">
        <v>0.1045</v>
      </c>
      <c r="E407">
        <v>0</v>
      </c>
      <c r="F407">
        <v>41</v>
      </c>
      <c r="G407">
        <v>41</v>
      </c>
    </row>
    <row r="408" spans="1:7" x14ac:dyDescent="0.35">
      <c r="A408">
        <v>407</v>
      </c>
      <c r="B408">
        <v>0.2576</v>
      </c>
      <c r="C408">
        <v>0.93</v>
      </c>
      <c r="D408">
        <v>8.9599999999999999E-2</v>
      </c>
      <c r="E408">
        <v>0</v>
      </c>
      <c r="F408">
        <v>33</v>
      </c>
      <c r="G408">
        <v>33</v>
      </c>
    </row>
    <row r="409" spans="1:7" x14ac:dyDescent="0.35">
      <c r="A409">
        <v>408</v>
      </c>
      <c r="B409">
        <v>0.2727</v>
      </c>
      <c r="C409">
        <v>0.93</v>
      </c>
      <c r="D409">
        <v>0</v>
      </c>
      <c r="E409">
        <v>1</v>
      </c>
      <c r="F409">
        <v>19</v>
      </c>
      <c r="G409">
        <v>20</v>
      </c>
    </row>
    <row r="410" spans="1:7" x14ac:dyDescent="0.35">
      <c r="A410">
        <v>409</v>
      </c>
      <c r="B410">
        <v>0.2727</v>
      </c>
      <c r="C410">
        <v>0.93</v>
      </c>
      <c r="D410">
        <v>0</v>
      </c>
      <c r="E410">
        <v>0</v>
      </c>
      <c r="F410">
        <v>3</v>
      </c>
      <c r="G410">
        <v>3</v>
      </c>
    </row>
    <row r="411" spans="1:7" x14ac:dyDescent="0.35">
      <c r="A411">
        <v>410</v>
      </c>
      <c r="B411">
        <v>0.2273</v>
      </c>
      <c r="C411">
        <v>0.93</v>
      </c>
      <c r="D411">
        <v>0.1343</v>
      </c>
      <c r="E411">
        <v>1</v>
      </c>
      <c r="F411">
        <v>6</v>
      </c>
      <c r="G411">
        <v>7</v>
      </c>
    </row>
    <row r="412" spans="1:7" x14ac:dyDescent="0.35">
      <c r="A412">
        <v>411</v>
      </c>
      <c r="B412">
        <v>0.2273</v>
      </c>
      <c r="C412">
        <v>0.93</v>
      </c>
      <c r="D412">
        <v>0.1343</v>
      </c>
      <c r="E412">
        <v>0</v>
      </c>
      <c r="F412">
        <v>3</v>
      </c>
      <c r="G412">
        <v>3</v>
      </c>
    </row>
    <row r="413" spans="1:7" x14ac:dyDescent="0.35">
      <c r="A413">
        <v>412</v>
      </c>
      <c r="B413">
        <v>0.2273</v>
      </c>
      <c r="C413">
        <v>0.93</v>
      </c>
      <c r="D413">
        <v>0.1343</v>
      </c>
      <c r="E413">
        <v>1</v>
      </c>
      <c r="F413">
        <v>1</v>
      </c>
      <c r="G413">
        <v>2</v>
      </c>
    </row>
    <row r="414" spans="1:7" x14ac:dyDescent="0.35">
      <c r="A414">
        <v>413</v>
      </c>
      <c r="B414">
        <v>0.2576</v>
      </c>
      <c r="C414">
        <v>0.93</v>
      </c>
      <c r="D414">
        <v>8.9599999999999999E-2</v>
      </c>
      <c r="E414">
        <v>0</v>
      </c>
      <c r="F414">
        <v>7</v>
      </c>
      <c r="G414">
        <v>7</v>
      </c>
    </row>
    <row r="415" spans="1:7" x14ac:dyDescent="0.35">
      <c r="A415">
        <v>414</v>
      </c>
      <c r="B415">
        <v>0.2576</v>
      </c>
      <c r="C415">
        <v>0.93</v>
      </c>
      <c r="D415">
        <v>8.9599999999999999E-2</v>
      </c>
      <c r="E415">
        <v>0</v>
      </c>
      <c r="F415">
        <v>32</v>
      </c>
      <c r="G415">
        <v>32</v>
      </c>
    </row>
    <row r="416" spans="1:7" x14ac:dyDescent="0.35">
      <c r="A416">
        <v>415</v>
      </c>
      <c r="B416">
        <v>0.2576</v>
      </c>
      <c r="C416">
        <v>0.92</v>
      </c>
      <c r="D416">
        <v>0.1045</v>
      </c>
      <c r="E416">
        <v>1</v>
      </c>
      <c r="F416">
        <v>89</v>
      </c>
      <c r="G416">
        <v>90</v>
      </c>
    </row>
    <row r="417" spans="1:7" x14ac:dyDescent="0.35">
      <c r="A417">
        <v>416</v>
      </c>
      <c r="B417">
        <v>0.2576</v>
      </c>
      <c r="C417">
        <v>0.93</v>
      </c>
      <c r="D417">
        <v>0.1045</v>
      </c>
      <c r="E417">
        <v>1</v>
      </c>
      <c r="F417">
        <v>196</v>
      </c>
      <c r="G417">
        <v>197</v>
      </c>
    </row>
    <row r="418" spans="1:7" x14ac:dyDescent="0.35">
      <c r="A418">
        <v>417</v>
      </c>
      <c r="B418">
        <v>0.2576</v>
      </c>
      <c r="C418">
        <v>0.93</v>
      </c>
      <c r="D418">
        <v>0.1045</v>
      </c>
      <c r="E418">
        <v>2</v>
      </c>
      <c r="F418">
        <v>107</v>
      </c>
      <c r="G418">
        <v>109</v>
      </c>
    </row>
    <row r="419" spans="1:7" x14ac:dyDescent="0.35">
      <c r="A419">
        <v>418</v>
      </c>
      <c r="B419">
        <v>0.2727</v>
      </c>
      <c r="C419">
        <v>0.93</v>
      </c>
      <c r="D419">
        <v>0.1343</v>
      </c>
      <c r="E419">
        <v>1</v>
      </c>
      <c r="F419">
        <v>46</v>
      </c>
      <c r="G419">
        <v>47</v>
      </c>
    </row>
    <row r="420" spans="1:7" x14ac:dyDescent="0.35">
      <c r="A420">
        <v>419</v>
      </c>
      <c r="B420">
        <v>0.30299999999999999</v>
      </c>
      <c r="C420">
        <v>0.87</v>
      </c>
      <c r="D420">
        <v>8.9599999999999999E-2</v>
      </c>
      <c r="E420">
        <v>5</v>
      </c>
      <c r="F420">
        <v>47</v>
      </c>
      <c r="G420">
        <v>52</v>
      </c>
    </row>
    <row r="421" spans="1:7" x14ac:dyDescent="0.35">
      <c r="A421">
        <v>420</v>
      </c>
      <c r="B421">
        <v>0.31819999999999998</v>
      </c>
      <c r="C421">
        <v>0.81</v>
      </c>
      <c r="D421">
        <v>8.9599999999999999E-2</v>
      </c>
      <c r="E421">
        <v>5</v>
      </c>
      <c r="F421">
        <v>65</v>
      </c>
      <c r="G421">
        <v>70</v>
      </c>
    </row>
    <row r="422" spans="1:7" x14ac:dyDescent="0.35">
      <c r="A422">
        <v>421</v>
      </c>
      <c r="B422">
        <v>0.40910000000000002</v>
      </c>
      <c r="C422">
        <v>0.62</v>
      </c>
      <c r="D422">
        <v>0.28360000000000002</v>
      </c>
      <c r="E422">
        <v>11</v>
      </c>
      <c r="F422">
        <v>67</v>
      </c>
      <c r="G422">
        <v>78</v>
      </c>
    </row>
    <row r="423" spans="1:7" x14ac:dyDescent="0.35">
      <c r="A423">
        <v>422</v>
      </c>
      <c r="B423">
        <v>0.40910000000000002</v>
      </c>
      <c r="C423">
        <v>0.57999999999999996</v>
      </c>
      <c r="D423">
        <v>0.25369999999999998</v>
      </c>
      <c r="E423">
        <v>7</v>
      </c>
      <c r="F423">
        <v>68</v>
      </c>
      <c r="G423">
        <v>75</v>
      </c>
    </row>
    <row r="424" spans="1:7" x14ac:dyDescent="0.35">
      <c r="A424">
        <v>423</v>
      </c>
      <c r="B424">
        <v>0.40910000000000002</v>
      </c>
      <c r="C424">
        <v>0.54</v>
      </c>
      <c r="D424">
        <v>0.28360000000000002</v>
      </c>
      <c r="E424">
        <v>4</v>
      </c>
      <c r="F424">
        <v>78</v>
      </c>
      <c r="G424">
        <v>82</v>
      </c>
    </row>
    <row r="425" spans="1:7" x14ac:dyDescent="0.35">
      <c r="A425">
        <v>424</v>
      </c>
      <c r="B425">
        <v>0.39389999999999997</v>
      </c>
      <c r="C425">
        <v>0.57999999999999996</v>
      </c>
      <c r="D425">
        <v>0.3881</v>
      </c>
      <c r="E425">
        <v>10</v>
      </c>
      <c r="F425">
        <v>94</v>
      </c>
      <c r="G425">
        <v>104</v>
      </c>
    </row>
    <row r="426" spans="1:7" x14ac:dyDescent="0.35">
      <c r="A426">
        <v>425</v>
      </c>
      <c r="B426">
        <v>0.33329999999999999</v>
      </c>
      <c r="C426">
        <v>0.56999999999999995</v>
      </c>
      <c r="D426">
        <v>0.32840000000000003</v>
      </c>
      <c r="E426">
        <v>7</v>
      </c>
      <c r="F426">
        <v>190</v>
      </c>
      <c r="G426">
        <v>197</v>
      </c>
    </row>
    <row r="427" spans="1:7" x14ac:dyDescent="0.35">
      <c r="A427">
        <v>426</v>
      </c>
      <c r="B427">
        <v>0.31819999999999998</v>
      </c>
      <c r="C427">
        <v>0.61</v>
      </c>
      <c r="D427">
        <v>0.28360000000000002</v>
      </c>
      <c r="E427">
        <v>5</v>
      </c>
      <c r="F427">
        <v>156</v>
      </c>
      <c r="G427">
        <v>161</v>
      </c>
    </row>
    <row r="428" spans="1:7" x14ac:dyDescent="0.35">
      <c r="A428">
        <v>427</v>
      </c>
      <c r="B428">
        <v>0.28789999999999999</v>
      </c>
      <c r="C428">
        <v>0.56999999999999995</v>
      </c>
      <c r="D428">
        <v>0.41789999999999999</v>
      </c>
      <c r="E428">
        <v>4</v>
      </c>
      <c r="F428">
        <v>108</v>
      </c>
      <c r="G428">
        <v>112</v>
      </c>
    </row>
    <row r="429" spans="1:7" x14ac:dyDescent="0.35">
      <c r="A429">
        <v>428</v>
      </c>
      <c r="B429">
        <v>0.30299999999999999</v>
      </c>
      <c r="C429">
        <v>0.49</v>
      </c>
      <c r="D429">
        <v>0.29849999999999999</v>
      </c>
      <c r="E429">
        <v>2</v>
      </c>
      <c r="F429">
        <v>74</v>
      </c>
      <c r="G429">
        <v>76</v>
      </c>
    </row>
    <row r="430" spans="1:7" x14ac:dyDescent="0.35">
      <c r="A430">
        <v>429</v>
      </c>
      <c r="B430">
        <v>0.28789999999999999</v>
      </c>
      <c r="C430">
        <v>0.49</v>
      </c>
      <c r="D430">
        <v>0.41789999999999999</v>
      </c>
      <c r="E430">
        <v>4</v>
      </c>
      <c r="F430">
        <v>55</v>
      </c>
      <c r="G430">
        <v>59</v>
      </c>
    </row>
    <row r="431" spans="1:7" x14ac:dyDescent="0.35">
      <c r="A431">
        <v>430</v>
      </c>
      <c r="B431">
        <v>0.30299999999999999</v>
      </c>
      <c r="C431">
        <v>0.52</v>
      </c>
      <c r="D431">
        <v>0.16420000000000001</v>
      </c>
      <c r="E431">
        <v>6</v>
      </c>
      <c r="F431">
        <v>53</v>
      </c>
      <c r="G431">
        <v>59</v>
      </c>
    </row>
    <row r="432" spans="1:7" x14ac:dyDescent="0.35">
      <c r="A432">
        <v>431</v>
      </c>
      <c r="B432">
        <v>0.2727</v>
      </c>
      <c r="C432">
        <v>0.52</v>
      </c>
      <c r="D432">
        <v>0.4627</v>
      </c>
      <c r="E432">
        <v>1</v>
      </c>
      <c r="F432">
        <v>27</v>
      </c>
      <c r="G432">
        <v>28</v>
      </c>
    </row>
    <row r="433" spans="1:7" x14ac:dyDescent="0.35">
      <c r="A433">
        <v>432</v>
      </c>
      <c r="B433">
        <v>0.2273</v>
      </c>
      <c r="C433">
        <v>0.56000000000000005</v>
      </c>
      <c r="D433">
        <v>0.3881</v>
      </c>
      <c r="E433">
        <v>5</v>
      </c>
      <c r="F433">
        <v>8</v>
      </c>
      <c r="G433">
        <v>13</v>
      </c>
    </row>
    <row r="434" spans="1:7" x14ac:dyDescent="0.35">
      <c r="A434">
        <v>433</v>
      </c>
      <c r="B434">
        <v>0.2727</v>
      </c>
      <c r="C434">
        <v>0.56000000000000005</v>
      </c>
      <c r="D434">
        <v>0</v>
      </c>
      <c r="E434">
        <v>2</v>
      </c>
      <c r="F434">
        <v>3</v>
      </c>
      <c r="G434">
        <v>5</v>
      </c>
    </row>
    <row r="435" spans="1:7" x14ac:dyDescent="0.35">
      <c r="A435">
        <v>434</v>
      </c>
      <c r="B435">
        <v>0.2727</v>
      </c>
      <c r="C435">
        <v>0.56000000000000005</v>
      </c>
      <c r="D435">
        <v>0</v>
      </c>
      <c r="E435">
        <v>0</v>
      </c>
      <c r="F435">
        <v>2</v>
      </c>
      <c r="G435">
        <v>2</v>
      </c>
    </row>
    <row r="436" spans="1:7" x14ac:dyDescent="0.35">
      <c r="A436">
        <v>435</v>
      </c>
      <c r="B436">
        <v>0.2576</v>
      </c>
      <c r="C436">
        <v>0.56000000000000005</v>
      </c>
      <c r="D436">
        <v>0.16420000000000001</v>
      </c>
      <c r="E436">
        <v>0</v>
      </c>
      <c r="F436">
        <v>1</v>
      </c>
      <c r="G436">
        <v>1</v>
      </c>
    </row>
    <row r="437" spans="1:7" x14ac:dyDescent="0.35">
      <c r="A437">
        <v>436</v>
      </c>
      <c r="B437">
        <v>0.2576</v>
      </c>
      <c r="C437">
        <v>0.56000000000000005</v>
      </c>
      <c r="D437">
        <v>0.16420000000000001</v>
      </c>
      <c r="E437">
        <v>0</v>
      </c>
      <c r="F437">
        <v>1</v>
      </c>
      <c r="G437">
        <v>1</v>
      </c>
    </row>
    <row r="438" spans="1:7" x14ac:dyDescent="0.35">
      <c r="A438">
        <v>437</v>
      </c>
      <c r="B438">
        <v>0.2273</v>
      </c>
      <c r="C438">
        <v>0.6</v>
      </c>
      <c r="D438">
        <v>0.22389999999999999</v>
      </c>
      <c r="E438">
        <v>0</v>
      </c>
      <c r="F438">
        <v>6</v>
      </c>
      <c r="G438">
        <v>6</v>
      </c>
    </row>
    <row r="439" spans="1:7" x14ac:dyDescent="0.35">
      <c r="A439">
        <v>438</v>
      </c>
      <c r="B439">
        <v>0.21210000000000001</v>
      </c>
      <c r="C439">
        <v>0.6</v>
      </c>
      <c r="D439">
        <v>0.22389999999999999</v>
      </c>
      <c r="E439">
        <v>0</v>
      </c>
      <c r="F439">
        <v>35</v>
      </c>
      <c r="G439">
        <v>35</v>
      </c>
    </row>
    <row r="440" spans="1:7" x14ac:dyDescent="0.35">
      <c r="A440">
        <v>439</v>
      </c>
      <c r="B440">
        <v>0.21210000000000001</v>
      </c>
      <c r="C440">
        <v>0.55000000000000004</v>
      </c>
      <c r="D440">
        <v>0.22389999999999999</v>
      </c>
      <c r="E440">
        <v>1</v>
      </c>
      <c r="F440">
        <v>100</v>
      </c>
      <c r="G440">
        <v>101</v>
      </c>
    </row>
    <row r="441" spans="1:7" x14ac:dyDescent="0.35">
      <c r="A441">
        <v>440</v>
      </c>
      <c r="B441">
        <v>0.21210000000000001</v>
      </c>
      <c r="C441">
        <v>0.55000000000000004</v>
      </c>
      <c r="D441">
        <v>0.28360000000000002</v>
      </c>
      <c r="E441">
        <v>2</v>
      </c>
      <c r="F441">
        <v>247</v>
      </c>
      <c r="G441">
        <v>249</v>
      </c>
    </row>
    <row r="442" spans="1:7" x14ac:dyDescent="0.35">
      <c r="A442">
        <v>441</v>
      </c>
      <c r="B442">
        <v>0.2273</v>
      </c>
      <c r="C442">
        <v>0.52</v>
      </c>
      <c r="D442">
        <v>0.22389999999999999</v>
      </c>
      <c r="E442">
        <v>3</v>
      </c>
      <c r="F442">
        <v>140</v>
      </c>
      <c r="G442">
        <v>143</v>
      </c>
    </row>
    <row r="443" spans="1:7" x14ac:dyDescent="0.35">
      <c r="A443">
        <v>442</v>
      </c>
      <c r="B443">
        <v>0.2273</v>
      </c>
      <c r="C443">
        <v>0.48</v>
      </c>
      <c r="D443">
        <v>0.29849999999999999</v>
      </c>
      <c r="E443">
        <v>1</v>
      </c>
      <c r="F443">
        <v>56</v>
      </c>
      <c r="G443">
        <v>57</v>
      </c>
    </row>
    <row r="444" spans="1:7" x14ac:dyDescent="0.35">
      <c r="A444">
        <v>443</v>
      </c>
      <c r="B444">
        <v>0.2727</v>
      </c>
      <c r="C444">
        <v>0.45</v>
      </c>
      <c r="D444">
        <v>0.16420000000000001</v>
      </c>
      <c r="E444">
        <v>5</v>
      </c>
      <c r="F444">
        <v>63</v>
      </c>
      <c r="G444">
        <v>68</v>
      </c>
    </row>
    <row r="445" spans="1:7" x14ac:dyDescent="0.35">
      <c r="A445">
        <v>444</v>
      </c>
      <c r="B445">
        <v>0.33329999999999999</v>
      </c>
      <c r="C445">
        <v>0.42</v>
      </c>
      <c r="D445">
        <v>0</v>
      </c>
      <c r="E445">
        <v>7</v>
      </c>
      <c r="F445">
        <v>77</v>
      </c>
      <c r="G445">
        <v>84</v>
      </c>
    </row>
    <row r="446" spans="1:7" x14ac:dyDescent="0.35">
      <c r="A446">
        <v>445</v>
      </c>
      <c r="B446">
        <v>0.28789999999999999</v>
      </c>
      <c r="C446">
        <v>0.45</v>
      </c>
      <c r="D446">
        <v>0.1045</v>
      </c>
      <c r="E446">
        <v>12</v>
      </c>
      <c r="F446">
        <v>86</v>
      </c>
      <c r="G446">
        <v>98</v>
      </c>
    </row>
    <row r="447" spans="1:7" x14ac:dyDescent="0.35">
      <c r="A447">
        <v>446</v>
      </c>
      <c r="B447">
        <v>0.30299999999999999</v>
      </c>
      <c r="C447">
        <v>0.45</v>
      </c>
      <c r="D447">
        <v>0.1343</v>
      </c>
      <c r="E447">
        <v>6</v>
      </c>
      <c r="F447">
        <v>75</v>
      </c>
      <c r="G447">
        <v>81</v>
      </c>
    </row>
    <row r="448" spans="1:7" x14ac:dyDescent="0.35">
      <c r="A448">
        <v>447</v>
      </c>
      <c r="B448">
        <v>0.31819999999999998</v>
      </c>
      <c r="C448">
        <v>0.45</v>
      </c>
      <c r="D448">
        <v>0.19400000000000001</v>
      </c>
      <c r="E448">
        <v>8</v>
      </c>
      <c r="F448">
        <v>62</v>
      </c>
      <c r="G448">
        <v>70</v>
      </c>
    </row>
    <row r="449" spans="1:7" x14ac:dyDescent="0.35">
      <c r="A449">
        <v>448</v>
      </c>
      <c r="B449">
        <v>0.30299999999999999</v>
      </c>
      <c r="C449">
        <v>0.49</v>
      </c>
      <c r="D449">
        <v>0.1343</v>
      </c>
      <c r="E449">
        <v>8</v>
      </c>
      <c r="F449">
        <v>83</v>
      </c>
      <c r="G449">
        <v>91</v>
      </c>
    </row>
    <row r="450" spans="1:7" x14ac:dyDescent="0.35">
      <c r="A450">
        <v>449</v>
      </c>
      <c r="B450">
        <v>0.31819999999999998</v>
      </c>
      <c r="C450">
        <v>0.49</v>
      </c>
      <c r="D450">
        <v>0.1045</v>
      </c>
      <c r="E450">
        <v>8</v>
      </c>
      <c r="F450">
        <v>207</v>
      </c>
      <c r="G450">
        <v>215</v>
      </c>
    </row>
    <row r="451" spans="1:7" x14ac:dyDescent="0.35">
      <c r="A451">
        <v>450</v>
      </c>
      <c r="B451">
        <v>0.2576</v>
      </c>
      <c r="C451">
        <v>0.56000000000000005</v>
      </c>
      <c r="D451">
        <v>0.19400000000000001</v>
      </c>
      <c r="E451">
        <v>1</v>
      </c>
      <c r="F451">
        <v>184</v>
      </c>
      <c r="G451">
        <v>185</v>
      </c>
    </row>
    <row r="452" spans="1:7" x14ac:dyDescent="0.35">
      <c r="A452">
        <v>451</v>
      </c>
      <c r="B452">
        <v>0.2273</v>
      </c>
      <c r="C452">
        <v>0.56000000000000005</v>
      </c>
      <c r="D452">
        <v>0.32840000000000003</v>
      </c>
      <c r="E452">
        <v>6</v>
      </c>
      <c r="F452">
        <v>146</v>
      </c>
      <c r="G452">
        <v>152</v>
      </c>
    </row>
    <row r="453" spans="1:7" x14ac:dyDescent="0.35">
      <c r="A453">
        <v>452</v>
      </c>
      <c r="B453">
        <v>0.2424</v>
      </c>
      <c r="C453">
        <v>0.6</v>
      </c>
      <c r="D453">
        <v>0.28360000000000002</v>
      </c>
      <c r="E453">
        <v>2</v>
      </c>
      <c r="F453">
        <v>124</v>
      </c>
      <c r="G453">
        <v>126</v>
      </c>
    </row>
    <row r="454" spans="1:7" x14ac:dyDescent="0.35">
      <c r="A454">
        <v>453</v>
      </c>
      <c r="B454">
        <v>0.2273</v>
      </c>
      <c r="C454">
        <v>0.6</v>
      </c>
      <c r="D454">
        <v>0.25369999999999998</v>
      </c>
      <c r="E454">
        <v>3</v>
      </c>
      <c r="F454">
        <v>54</v>
      </c>
      <c r="G454">
        <v>57</v>
      </c>
    </row>
    <row r="455" spans="1:7" x14ac:dyDescent="0.35">
      <c r="A455">
        <v>454</v>
      </c>
      <c r="B455">
        <v>0.21210000000000001</v>
      </c>
      <c r="C455">
        <v>0.65</v>
      </c>
      <c r="D455">
        <v>0.28360000000000002</v>
      </c>
      <c r="E455">
        <v>0</v>
      </c>
      <c r="F455">
        <v>56</v>
      </c>
      <c r="G455">
        <v>56</v>
      </c>
    </row>
    <row r="456" spans="1:7" x14ac:dyDescent="0.35">
      <c r="A456">
        <v>455</v>
      </c>
      <c r="B456">
        <v>0.21210000000000001</v>
      </c>
      <c r="C456">
        <v>0.65</v>
      </c>
      <c r="D456">
        <v>0.32840000000000003</v>
      </c>
      <c r="E456">
        <v>3</v>
      </c>
      <c r="F456">
        <v>28</v>
      </c>
      <c r="G456">
        <v>31</v>
      </c>
    </row>
    <row r="457" spans="1:7" x14ac:dyDescent="0.35">
      <c r="A457">
        <v>456</v>
      </c>
      <c r="B457">
        <v>0.2273</v>
      </c>
      <c r="C457">
        <v>0.7</v>
      </c>
      <c r="D457">
        <v>0.25369999999999998</v>
      </c>
      <c r="E457">
        <v>1</v>
      </c>
      <c r="F457">
        <v>20</v>
      </c>
      <c r="G457">
        <v>21</v>
      </c>
    </row>
    <row r="458" spans="1:7" x14ac:dyDescent="0.35">
      <c r="A458">
        <v>457</v>
      </c>
      <c r="B458">
        <v>0.2273</v>
      </c>
      <c r="C458">
        <v>0.7</v>
      </c>
      <c r="D458">
        <v>0.25369999999999998</v>
      </c>
      <c r="E458">
        <v>0</v>
      </c>
      <c r="F458">
        <v>6</v>
      </c>
      <c r="G458">
        <v>6</v>
      </c>
    </row>
    <row r="459" spans="1:7" x14ac:dyDescent="0.35">
      <c r="A459">
        <v>458</v>
      </c>
      <c r="B459">
        <v>0.2424</v>
      </c>
      <c r="C459">
        <v>0.75</v>
      </c>
      <c r="D459">
        <v>0.16420000000000001</v>
      </c>
      <c r="E459">
        <v>0</v>
      </c>
      <c r="F459">
        <v>2</v>
      </c>
      <c r="G459">
        <v>2</v>
      </c>
    </row>
    <row r="460" spans="1:7" x14ac:dyDescent="0.35">
      <c r="A460">
        <v>459</v>
      </c>
      <c r="B460">
        <v>0.21210000000000001</v>
      </c>
      <c r="C460">
        <v>0.8</v>
      </c>
      <c r="D460">
        <v>0.29849999999999999</v>
      </c>
      <c r="E460">
        <v>0</v>
      </c>
      <c r="F460">
        <v>1</v>
      </c>
      <c r="G460">
        <v>1</v>
      </c>
    </row>
    <row r="461" spans="1:7" x14ac:dyDescent="0.35">
      <c r="A461">
        <v>460</v>
      </c>
      <c r="B461">
        <v>0.2576</v>
      </c>
      <c r="C461">
        <v>0.87</v>
      </c>
      <c r="D461">
        <v>8.9599999999999999E-2</v>
      </c>
      <c r="E461">
        <v>0</v>
      </c>
      <c r="F461">
        <v>1</v>
      </c>
      <c r="G461">
        <v>1</v>
      </c>
    </row>
    <row r="462" spans="1:7" x14ac:dyDescent="0.35">
      <c r="A462">
        <v>461</v>
      </c>
      <c r="B462">
        <v>0.19700000000000001</v>
      </c>
      <c r="C462">
        <v>0.6</v>
      </c>
      <c r="D462">
        <v>0.41789999999999999</v>
      </c>
      <c r="E462">
        <v>1</v>
      </c>
      <c r="F462">
        <v>4</v>
      </c>
      <c r="G462">
        <v>5</v>
      </c>
    </row>
    <row r="463" spans="1:7" x14ac:dyDescent="0.35">
      <c r="A463">
        <v>462</v>
      </c>
      <c r="B463">
        <v>0.21210000000000001</v>
      </c>
      <c r="C463">
        <v>0.55000000000000004</v>
      </c>
      <c r="D463">
        <v>0.25369999999999998</v>
      </c>
      <c r="E463">
        <v>0</v>
      </c>
      <c r="F463">
        <v>27</v>
      </c>
      <c r="G463">
        <v>27</v>
      </c>
    </row>
    <row r="464" spans="1:7" x14ac:dyDescent="0.35">
      <c r="A464">
        <v>463</v>
      </c>
      <c r="B464">
        <v>0.18179999999999999</v>
      </c>
      <c r="C464">
        <v>0.51</v>
      </c>
      <c r="D464">
        <v>0.28360000000000002</v>
      </c>
      <c r="E464">
        <v>2</v>
      </c>
      <c r="F464">
        <v>66</v>
      </c>
      <c r="G464">
        <v>68</v>
      </c>
    </row>
    <row r="465" spans="1:7" x14ac:dyDescent="0.35">
      <c r="A465">
        <v>464</v>
      </c>
      <c r="B465">
        <v>0.18179999999999999</v>
      </c>
      <c r="C465">
        <v>0.47</v>
      </c>
      <c r="D465">
        <v>0.32840000000000003</v>
      </c>
      <c r="E465">
        <v>7</v>
      </c>
      <c r="F465">
        <v>210</v>
      </c>
      <c r="G465">
        <v>217</v>
      </c>
    </row>
    <row r="466" spans="1:7" x14ac:dyDescent="0.35">
      <c r="A466">
        <v>465</v>
      </c>
      <c r="B466">
        <v>0.18179999999999999</v>
      </c>
      <c r="C466">
        <v>0.51</v>
      </c>
      <c r="D466">
        <v>0.35820000000000002</v>
      </c>
      <c r="E466">
        <v>7</v>
      </c>
      <c r="F466">
        <v>159</v>
      </c>
      <c r="G466">
        <v>166</v>
      </c>
    </row>
    <row r="467" spans="1:7" x14ac:dyDescent="0.35">
      <c r="A467">
        <v>466</v>
      </c>
      <c r="B467">
        <v>0.16669999999999999</v>
      </c>
      <c r="C467">
        <v>0.47</v>
      </c>
      <c r="D467">
        <v>0.4627</v>
      </c>
      <c r="E467">
        <v>6</v>
      </c>
      <c r="F467">
        <v>57</v>
      </c>
      <c r="G467">
        <v>63</v>
      </c>
    </row>
    <row r="468" spans="1:7" x14ac:dyDescent="0.35">
      <c r="A468">
        <v>467</v>
      </c>
      <c r="B468">
        <v>0.18179999999999999</v>
      </c>
      <c r="C468">
        <v>0.41</v>
      </c>
      <c r="D468">
        <v>0.4627</v>
      </c>
      <c r="E468">
        <v>6</v>
      </c>
      <c r="F468">
        <v>53</v>
      </c>
      <c r="G468">
        <v>59</v>
      </c>
    </row>
    <row r="469" spans="1:7" x14ac:dyDescent="0.35">
      <c r="A469">
        <v>468</v>
      </c>
      <c r="B469">
        <v>0.18179999999999999</v>
      </c>
      <c r="C469">
        <v>0.27</v>
      </c>
      <c r="D469">
        <v>0.58209999999999995</v>
      </c>
      <c r="E469">
        <v>11</v>
      </c>
      <c r="F469">
        <v>67</v>
      </c>
      <c r="G469">
        <v>78</v>
      </c>
    </row>
    <row r="470" spans="1:7" x14ac:dyDescent="0.35">
      <c r="A470">
        <v>469</v>
      </c>
      <c r="B470">
        <v>0.1515</v>
      </c>
      <c r="C470">
        <v>0.21</v>
      </c>
      <c r="D470">
        <v>0.58209999999999995</v>
      </c>
      <c r="E470">
        <v>8</v>
      </c>
      <c r="F470">
        <v>65</v>
      </c>
      <c r="G470">
        <v>73</v>
      </c>
    </row>
    <row r="471" spans="1:7" x14ac:dyDescent="0.35">
      <c r="A471">
        <v>470</v>
      </c>
      <c r="B471">
        <v>0.1515</v>
      </c>
      <c r="C471">
        <v>0.25</v>
      </c>
      <c r="D471">
        <v>0.52239999999999998</v>
      </c>
      <c r="E471">
        <v>6</v>
      </c>
      <c r="F471">
        <v>56</v>
      </c>
      <c r="G471">
        <v>62</v>
      </c>
    </row>
    <row r="472" spans="1:7" x14ac:dyDescent="0.35">
      <c r="A472">
        <v>471</v>
      </c>
      <c r="B472">
        <v>0.1212</v>
      </c>
      <c r="C472">
        <v>0.26</v>
      </c>
      <c r="D472">
        <v>0.44779999999999998</v>
      </c>
      <c r="E472">
        <v>4</v>
      </c>
      <c r="F472">
        <v>61</v>
      </c>
      <c r="G472">
        <v>65</v>
      </c>
    </row>
    <row r="473" spans="1:7" x14ac:dyDescent="0.35">
      <c r="A473">
        <v>472</v>
      </c>
      <c r="B473">
        <v>0.13639999999999999</v>
      </c>
      <c r="C473">
        <v>0.26</v>
      </c>
      <c r="D473">
        <v>0.35820000000000002</v>
      </c>
      <c r="E473">
        <v>0</v>
      </c>
      <c r="F473">
        <v>97</v>
      </c>
      <c r="G473">
        <v>97</v>
      </c>
    </row>
    <row r="474" spans="1:7" x14ac:dyDescent="0.35">
      <c r="A474">
        <v>473</v>
      </c>
      <c r="B474">
        <v>0.1212</v>
      </c>
      <c r="C474">
        <v>0.28000000000000003</v>
      </c>
      <c r="D474">
        <v>0.35820000000000002</v>
      </c>
      <c r="E474">
        <v>10</v>
      </c>
      <c r="F474">
        <v>151</v>
      </c>
      <c r="G474">
        <v>161</v>
      </c>
    </row>
    <row r="475" spans="1:7" x14ac:dyDescent="0.35">
      <c r="A475">
        <v>474</v>
      </c>
      <c r="B475">
        <v>0.1212</v>
      </c>
      <c r="C475">
        <v>0.3</v>
      </c>
      <c r="D475">
        <v>0.25369999999999998</v>
      </c>
      <c r="E475">
        <v>1</v>
      </c>
      <c r="F475">
        <v>119</v>
      </c>
      <c r="G475">
        <v>120</v>
      </c>
    </row>
    <row r="476" spans="1:7" x14ac:dyDescent="0.35">
      <c r="A476">
        <v>475</v>
      </c>
      <c r="B476">
        <v>0.1061</v>
      </c>
      <c r="C476">
        <v>0.3</v>
      </c>
      <c r="D476">
        <v>0.32840000000000003</v>
      </c>
      <c r="E476">
        <v>3</v>
      </c>
      <c r="F476">
        <v>93</v>
      </c>
      <c r="G476">
        <v>96</v>
      </c>
    </row>
    <row r="477" spans="1:7" x14ac:dyDescent="0.35">
      <c r="A477">
        <v>476</v>
      </c>
      <c r="B477">
        <v>7.5800000000000006E-2</v>
      </c>
      <c r="C477">
        <v>0.33</v>
      </c>
      <c r="D477">
        <v>0.41789999999999999</v>
      </c>
      <c r="E477">
        <v>1</v>
      </c>
      <c r="F477">
        <v>52</v>
      </c>
      <c r="G477">
        <v>53</v>
      </c>
    </row>
    <row r="478" spans="1:7" x14ac:dyDescent="0.35">
      <c r="A478">
        <v>477</v>
      </c>
      <c r="B478">
        <v>7.5800000000000006E-2</v>
      </c>
      <c r="C478">
        <v>0.38</v>
      </c>
      <c r="D478">
        <v>0.28360000000000002</v>
      </c>
      <c r="E478">
        <v>0</v>
      </c>
      <c r="F478">
        <v>41</v>
      </c>
      <c r="G478">
        <v>41</v>
      </c>
    </row>
    <row r="479" spans="1:7" x14ac:dyDescent="0.35">
      <c r="A479">
        <v>478</v>
      </c>
      <c r="B479">
        <v>3.0300000000000001E-2</v>
      </c>
      <c r="C479">
        <v>0.41</v>
      </c>
      <c r="D479">
        <v>0.3881</v>
      </c>
      <c r="E479">
        <v>1</v>
      </c>
      <c r="F479">
        <v>33</v>
      </c>
      <c r="G479">
        <v>34</v>
      </c>
    </row>
    <row r="480" spans="1:7" x14ac:dyDescent="0.35">
      <c r="A480">
        <v>479</v>
      </c>
      <c r="B480">
        <v>4.5499999999999999E-2</v>
      </c>
      <c r="C480">
        <v>0.38</v>
      </c>
      <c r="D480">
        <v>0.32840000000000003</v>
      </c>
      <c r="E480">
        <v>0</v>
      </c>
      <c r="F480">
        <v>27</v>
      </c>
      <c r="G480">
        <v>27</v>
      </c>
    </row>
    <row r="481" spans="1:7" x14ac:dyDescent="0.35">
      <c r="A481">
        <v>480</v>
      </c>
      <c r="B481">
        <v>3.0300000000000001E-2</v>
      </c>
      <c r="C481">
        <v>0.45</v>
      </c>
      <c r="D481">
        <v>0.25369999999999998</v>
      </c>
      <c r="E481">
        <v>0</v>
      </c>
      <c r="F481">
        <v>13</v>
      </c>
      <c r="G481">
        <v>13</v>
      </c>
    </row>
    <row r="482" spans="1:7" x14ac:dyDescent="0.35">
      <c r="A482">
        <v>481</v>
      </c>
      <c r="B482">
        <v>0</v>
      </c>
      <c r="C482">
        <v>0.41</v>
      </c>
      <c r="D482">
        <v>0.3881</v>
      </c>
      <c r="E482">
        <v>3</v>
      </c>
      <c r="F482">
        <v>9</v>
      </c>
      <c r="G482">
        <v>12</v>
      </c>
    </row>
    <row r="483" spans="1:7" x14ac:dyDescent="0.35">
      <c r="A483">
        <v>482</v>
      </c>
      <c r="B483">
        <v>3.0300000000000001E-2</v>
      </c>
      <c r="C483">
        <v>0.41</v>
      </c>
      <c r="D483">
        <v>0.25369999999999998</v>
      </c>
      <c r="E483">
        <v>0</v>
      </c>
      <c r="F483">
        <v>11</v>
      </c>
      <c r="G483">
        <v>11</v>
      </c>
    </row>
    <row r="484" spans="1:7" x14ac:dyDescent="0.35">
      <c r="A484">
        <v>483</v>
      </c>
      <c r="B484">
        <v>3.0300000000000001E-2</v>
      </c>
      <c r="C484">
        <v>0.41</v>
      </c>
      <c r="D484">
        <v>0.28360000000000002</v>
      </c>
      <c r="E484">
        <v>1</v>
      </c>
      <c r="F484">
        <v>6</v>
      </c>
      <c r="G484">
        <v>7</v>
      </c>
    </row>
    <row r="485" spans="1:7" x14ac:dyDescent="0.35">
      <c r="A485">
        <v>484</v>
      </c>
      <c r="B485">
        <v>1.52E-2</v>
      </c>
      <c r="C485">
        <v>0.48</v>
      </c>
      <c r="D485">
        <v>0.29849999999999999</v>
      </c>
      <c r="E485">
        <v>0</v>
      </c>
      <c r="F485">
        <v>3</v>
      </c>
      <c r="G485">
        <v>3</v>
      </c>
    </row>
    <row r="486" spans="1:7" x14ac:dyDescent="0.35">
      <c r="A486">
        <v>485</v>
      </c>
      <c r="B486">
        <v>3.0300000000000001E-2</v>
      </c>
      <c r="C486">
        <v>0.44</v>
      </c>
      <c r="D486">
        <v>0.22389999999999999</v>
      </c>
      <c r="E486">
        <v>0</v>
      </c>
      <c r="F486">
        <v>2</v>
      </c>
      <c r="G486">
        <v>2</v>
      </c>
    </row>
    <row r="487" spans="1:7" x14ac:dyDescent="0.35">
      <c r="A487">
        <v>486</v>
      </c>
      <c r="B487">
        <v>1.52E-2</v>
      </c>
      <c r="C487">
        <v>0.44</v>
      </c>
      <c r="D487">
        <v>0.28360000000000002</v>
      </c>
      <c r="E487">
        <v>0</v>
      </c>
      <c r="F487">
        <v>8</v>
      </c>
      <c r="G487">
        <v>8</v>
      </c>
    </row>
    <row r="488" spans="1:7" x14ac:dyDescent="0.35">
      <c r="A488">
        <v>487</v>
      </c>
      <c r="B488">
        <v>0</v>
      </c>
      <c r="C488">
        <v>0.44</v>
      </c>
      <c r="D488">
        <v>0.32840000000000003</v>
      </c>
      <c r="E488">
        <v>1</v>
      </c>
      <c r="F488">
        <v>26</v>
      </c>
      <c r="G488">
        <v>27</v>
      </c>
    </row>
    <row r="489" spans="1:7" x14ac:dyDescent="0.35">
      <c r="A489">
        <v>488</v>
      </c>
      <c r="B489">
        <v>3.0300000000000001E-2</v>
      </c>
      <c r="C489">
        <v>0.41</v>
      </c>
      <c r="D489">
        <v>0.25369999999999998</v>
      </c>
      <c r="E489">
        <v>3</v>
      </c>
      <c r="F489">
        <v>37</v>
      </c>
      <c r="G489">
        <v>40</v>
      </c>
    </row>
    <row r="490" spans="1:7" x14ac:dyDescent="0.35">
      <c r="A490">
        <v>489</v>
      </c>
      <c r="B490">
        <v>6.0600000000000001E-2</v>
      </c>
      <c r="C490">
        <v>0.41</v>
      </c>
      <c r="D490">
        <v>0.16420000000000001</v>
      </c>
      <c r="E490">
        <v>3</v>
      </c>
      <c r="F490">
        <v>50</v>
      </c>
      <c r="G490">
        <v>53</v>
      </c>
    </row>
    <row r="491" spans="1:7" x14ac:dyDescent="0.35">
      <c r="A491">
        <v>490</v>
      </c>
      <c r="B491">
        <v>7.5800000000000006E-2</v>
      </c>
      <c r="C491">
        <v>0.38</v>
      </c>
      <c r="D491">
        <v>0.1343</v>
      </c>
      <c r="E491">
        <v>4</v>
      </c>
      <c r="F491">
        <v>59</v>
      </c>
      <c r="G491">
        <v>63</v>
      </c>
    </row>
    <row r="492" spans="1:7" x14ac:dyDescent="0.35">
      <c r="A492">
        <v>491</v>
      </c>
      <c r="B492">
        <v>0.1061</v>
      </c>
      <c r="C492">
        <v>0.38</v>
      </c>
      <c r="D492">
        <v>0.1045</v>
      </c>
      <c r="E492">
        <v>10</v>
      </c>
      <c r="F492">
        <v>60</v>
      </c>
      <c r="G492">
        <v>70</v>
      </c>
    </row>
    <row r="493" spans="1:7" x14ac:dyDescent="0.35">
      <c r="A493">
        <v>492</v>
      </c>
      <c r="B493">
        <v>0.16669999999999999</v>
      </c>
      <c r="C493">
        <v>0.35</v>
      </c>
      <c r="D493">
        <v>0</v>
      </c>
      <c r="E493">
        <v>12</v>
      </c>
      <c r="F493">
        <v>72</v>
      </c>
      <c r="G493">
        <v>84</v>
      </c>
    </row>
    <row r="494" spans="1:7" x14ac:dyDescent="0.35">
      <c r="A494">
        <v>493</v>
      </c>
      <c r="B494">
        <v>0.13639999999999999</v>
      </c>
      <c r="C494">
        <v>0.33</v>
      </c>
      <c r="D494">
        <v>0.1045</v>
      </c>
      <c r="E494">
        <v>11</v>
      </c>
      <c r="F494">
        <v>64</v>
      </c>
      <c r="G494">
        <v>75</v>
      </c>
    </row>
    <row r="495" spans="1:7" x14ac:dyDescent="0.35">
      <c r="A495">
        <v>494</v>
      </c>
      <c r="B495">
        <v>0.1515</v>
      </c>
      <c r="C495">
        <v>0.28000000000000003</v>
      </c>
      <c r="D495">
        <v>0</v>
      </c>
      <c r="E495">
        <v>10</v>
      </c>
      <c r="F495">
        <v>93</v>
      </c>
      <c r="G495">
        <v>103</v>
      </c>
    </row>
    <row r="496" spans="1:7" x14ac:dyDescent="0.35">
      <c r="A496">
        <v>495</v>
      </c>
      <c r="B496">
        <v>0.13639999999999999</v>
      </c>
      <c r="C496">
        <v>0.28000000000000003</v>
      </c>
      <c r="D496">
        <v>0.19400000000000001</v>
      </c>
      <c r="E496">
        <v>11</v>
      </c>
      <c r="F496">
        <v>72</v>
      </c>
      <c r="G496">
        <v>83</v>
      </c>
    </row>
    <row r="497" spans="1:7" x14ac:dyDescent="0.35">
      <c r="A497">
        <v>496</v>
      </c>
      <c r="B497">
        <v>0.19700000000000001</v>
      </c>
      <c r="C497">
        <v>0.28000000000000003</v>
      </c>
      <c r="D497">
        <v>0</v>
      </c>
      <c r="E497">
        <v>8</v>
      </c>
      <c r="F497">
        <v>59</v>
      </c>
      <c r="G497">
        <v>67</v>
      </c>
    </row>
    <row r="498" spans="1:7" x14ac:dyDescent="0.35">
      <c r="A498">
        <v>497</v>
      </c>
      <c r="B498">
        <v>9.0899999999999995E-2</v>
      </c>
      <c r="C498">
        <v>0.35</v>
      </c>
      <c r="D498">
        <v>0.19400000000000001</v>
      </c>
      <c r="E498">
        <v>0</v>
      </c>
      <c r="F498">
        <v>54</v>
      </c>
      <c r="G498">
        <v>54</v>
      </c>
    </row>
    <row r="499" spans="1:7" x14ac:dyDescent="0.35">
      <c r="A499">
        <v>498</v>
      </c>
      <c r="B499">
        <v>0.1061</v>
      </c>
      <c r="C499">
        <v>0.35</v>
      </c>
      <c r="D499">
        <v>0.1343</v>
      </c>
      <c r="E499">
        <v>6</v>
      </c>
      <c r="F499">
        <v>53</v>
      </c>
      <c r="G499">
        <v>59</v>
      </c>
    </row>
    <row r="500" spans="1:7" x14ac:dyDescent="0.35">
      <c r="A500">
        <v>499</v>
      </c>
      <c r="B500">
        <v>7.5800000000000006E-2</v>
      </c>
      <c r="C500">
        <v>0.45</v>
      </c>
      <c r="D500">
        <v>0.16420000000000001</v>
      </c>
      <c r="E500">
        <v>1</v>
      </c>
      <c r="F500">
        <v>44</v>
      </c>
      <c r="G500">
        <v>45</v>
      </c>
    </row>
    <row r="501" spans="1:7" x14ac:dyDescent="0.35">
      <c r="A501">
        <v>500</v>
      </c>
      <c r="B501">
        <v>0.1061</v>
      </c>
      <c r="C501">
        <v>0.41</v>
      </c>
      <c r="D501">
        <v>8.9599999999999999E-2</v>
      </c>
      <c r="E501">
        <v>0</v>
      </c>
      <c r="F501">
        <v>39</v>
      </c>
      <c r="G501">
        <v>39</v>
      </c>
    </row>
    <row r="502" spans="1:7" x14ac:dyDescent="0.35">
      <c r="A502">
        <v>501</v>
      </c>
      <c r="B502">
        <v>0.1515</v>
      </c>
      <c r="C502">
        <v>0.49</v>
      </c>
      <c r="D502">
        <v>0</v>
      </c>
      <c r="E502">
        <v>7</v>
      </c>
      <c r="F502">
        <v>23</v>
      </c>
      <c r="G502">
        <v>30</v>
      </c>
    </row>
    <row r="503" spans="1:7" x14ac:dyDescent="0.35">
      <c r="A503">
        <v>502</v>
      </c>
      <c r="B503">
        <v>7.5800000000000006E-2</v>
      </c>
      <c r="C503">
        <v>0.56999999999999995</v>
      </c>
      <c r="D503">
        <v>0.1045</v>
      </c>
      <c r="E503">
        <v>2</v>
      </c>
      <c r="F503">
        <v>31</v>
      </c>
      <c r="G503">
        <v>33</v>
      </c>
    </row>
    <row r="504" spans="1:7" x14ac:dyDescent="0.35">
      <c r="A504">
        <v>503</v>
      </c>
      <c r="B504">
        <v>7.5800000000000006E-2</v>
      </c>
      <c r="C504">
        <v>0.56999999999999995</v>
      </c>
      <c r="D504">
        <v>0.1045</v>
      </c>
      <c r="E504">
        <v>2</v>
      </c>
      <c r="F504">
        <v>20</v>
      </c>
      <c r="G504">
        <v>22</v>
      </c>
    </row>
    <row r="505" spans="1:7" x14ac:dyDescent="0.35">
      <c r="A505">
        <v>504</v>
      </c>
      <c r="B505">
        <v>7.5800000000000006E-2</v>
      </c>
      <c r="C505">
        <v>0.56999999999999995</v>
      </c>
      <c r="D505">
        <v>0.1045</v>
      </c>
      <c r="E505">
        <v>1</v>
      </c>
      <c r="F505">
        <v>12</v>
      </c>
      <c r="G505">
        <v>13</v>
      </c>
    </row>
    <row r="506" spans="1:7" x14ac:dyDescent="0.35">
      <c r="A506">
        <v>505</v>
      </c>
      <c r="B506">
        <v>6.0600000000000001E-2</v>
      </c>
      <c r="C506">
        <v>0.62</v>
      </c>
      <c r="D506">
        <v>0.1343</v>
      </c>
      <c r="E506">
        <v>3</v>
      </c>
      <c r="F506">
        <v>15</v>
      </c>
      <c r="G506">
        <v>18</v>
      </c>
    </row>
    <row r="507" spans="1:7" x14ac:dyDescent="0.35">
      <c r="A507">
        <v>506</v>
      </c>
      <c r="B507">
        <v>6.0600000000000001E-2</v>
      </c>
      <c r="C507">
        <v>0.62</v>
      </c>
      <c r="D507">
        <v>0.1343</v>
      </c>
      <c r="E507">
        <v>1</v>
      </c>
      <c r="F507">
        <v>4</v>
      </c>
      <c r="G507">
        <v>5</v>
      </c>
    </row>
    <row r="508" spans="1:7" x14ac:dyDescent="0.35">
      <c r="A508">
        <v>507</v>
      </c>
      <c r="B508">
        <v>7.5800000000000006E-2</v>
      </c>
      <c r="C508">
        <v>0.56999999999999995</v>
      </c>
      <c r="D508">
        <v>0.1045</v>
      </c>
      <c r="E508">
        <v>0</v>
      </c>
      <c r="F508">
        <v>3</v>
      </c>
      <c r="G508">
        <v>3</v>
      </c>
    </row>
    <row r="509" spans="1:7" x14ac:dyDescent="0.35">
      <c r="A509">
        <v>508</v>
      </c>
      <c r="B509">
        <v>7.5800000000000006E-2</v>
      </c>
      <c r="C509">
        <v>0.56999999999999995</v>
      </c>
      <c r="D509">
        <v>0.1045</v>
      </c>
      <c r="E509">
        <v>0</v>
      </c>
      <c r="F509">
        <v>1</v>
      </c>
      <c r="G509">
        <v>1</v>
      </c>
    </row>
    <row r="510" spans="1:7" x14ac:dyDescent="0.35">
      <c r="A510">
        <v>509</v>
      </c>
      <c r="B510">
        <v>0.1061</v>
      </c>
      <c r="C510">
        <v>0.57999999999999996</v>
      </c>
      <c r="D510">
        <v>0.16420000000000001</v>
      </c>
      <c r="E510">
        <v>1</v>
      </c>
      <c r="F510">
        <v>1</v>
      </c>
      <c r="G510">
        <v>2</v>
      </c>
    </row>
    <row r="511" spans="1:7" x14ac:dyDescent="0.35">
      <c r="A511">
        <v>510</v>
      </c>
      <c r="B511">
        <v>7.5800000000000006E-2</v>
      </c>
      <c r="C511">
        <v>0.62</v>
      </c>
      <c r="D511">
        <v>0.16420000000000001</v>
      </c>
      <c r="E511">
        <v>2</v>
      </c>
      <c r="F511">
        <v>17</v>
      </c>
      <c r="G511">
        <v>19</v>
      </c>
    </row>
    <row r="512" spans="1:7" x14ac:dyDescent="0.35">
      <c r="A512">
        <v>511</v>
      </c>
      <c r="B512">
        <v>7.5800000000000006E-2</v>
      </c>
      <c r="C512">
        <v>0.54</v>
      </c>
      <c r="D512">
        <v>0.35820000000000002</v>
      </c>
      <c r="E512">
        <v>3</v>
      </c>
      <c r="F512">
        <v>25</v>
      </c>
      <c r="G512">
        <v>28</v>
      </c>
    </row>
    <row r="513" spans="1:7" x14ac:dyDescent="0.35">
      <c r="A513">
        <v>512</v>
      </c>
      <c r="B513">
        <v>0.1061</v>
      </c>
      <c r="C513">
        <v>0.46</v>
      </c>
      <c r="D513">
        <v>0.3881</v>
      </c>
      <c r="E513">
        <v>7</v>
      </c>
      <c r="F513">
        <v>51</v>
      </c>
      <c r="G513">
        <v>58</v>
      </c>
    </row>
    <row r="514" spans="1:7" x14ac:dyDescent="0.35">
      <c r="A514">
        <v>513</v>
      </c>
      <c r="B514">
        <v>0.13639999999999999</v>
      </c>
      <c r="C514">
        <v>0.43</v>
      </c>
      <c r="D514">
        <v>0.22389999999999999</v>
      </c>
      <c r="E514">
        <v>22</v>
      </c>
      <c r="F514">
        <v>77</v>
      </c>
      <c r="G514">
        <v>99</v>
      </c>
    </row>
    <row r="515" spans="1:7" x14ac:dyDescent="0.35">
      <c r="A515">
        <v>514</v>
      </c>
      <c r="B515">
        <v>0.1212</v>
      </c>
      <c r="C515">
        <v>0.37</v>
      </c>
      <c r="D515">
        <v>0.4627</v>
      </c>
      <c r="E515">
        <v>24</v>
      </c>
      <c r="F515">
        <v>92</v>
      </c>
      <c r="G515">
        <v>116</v>
      </c>
    </row>
    <row r="516" spans="1:7" x14ac:dyDescent="0.35">
      <c r="A516">
        <v>515</v>
      </c>
      <c r="B516">
        <v>0.1061</v>
      </c>
      <c r="C516">
        <v>0.33</v>
      </c>
      <c r="D516">
        <v>0.3881</v>
      </c>
      <c r="E516">
        <v>12</v>
      </c>
      <c r="F516">
        <v>75</v>
      </c>
      <c r="G516">
        <v>87</v>
      </c>
    </row>
    <row r="517" spans="1:7" x14ac:dyDescent="0.35">
      <c r="A517">
        <v>516</v>
      </c>
      <c r="B517">
        <v>0.13639999999999999</v>
      </c>
      <c r="C517">
        <v>0.28000000000000003</v>
      </c>
      <c r="D517">
        <v>0.35820000000000002</v>
      </c>
      <c r="E517">
        <v>17</v>
      </c>
      <c r="F517">
        <v>93</v>
      </c>
      <c r="G517">
        <v>110</v>
      </c>
    </row>
    <row r="518" spans="1:7" x14ac:dyDescent="0.35">
      <c r="A518">
        <v>517</v>
      </c>
      <c r="B518">
        <v>0.13639999999999999</v>
      </c>
      <c r="C518">
        <v>0.28000000000000003</v>
      </c>
      <c r="D518">
        <v>0.35820000000000002</v>
      </c>
      <c r="E518">
        <v>13</v>
      </c>
      <c r="F518">
        <v>64</v>
      </c>
      <c r="G518">
        <v>77</v>
      </c>
    </row>
    <row r="519" spans="1:7" x14ac:dyDescent="0.35">
      <c r="A519">
        <v>518</v>
      </c>
      <c r="B519">
        <v>0.13639999999999999</v>
      </c>
      <c r="C519">
        <v>0.26</v>
      </c>
      <c r="D519">
        <v>0.32840000000000003</v>
      </c>
      <c r="E519">
        <v>9</v>
      </c>
      <c r="F519">
        <v>56</v>
      </c>
      <c r="G519">
        <v>65</v>
      </c>
    </row>
    <row r="520" spans="1:7" x14ac:dyDescent="0.35">
      <c r="A520">
        <v>519</v>
      </c>
      <c r="B520">
        <v>0.1061</v>
      </c>
      <c r="C520">
        <v>0.26</v>
      </c>
      <c r="D520">
        <v>0.3881</v>
      </c>
      <c r="E520">
        <v>5</v>
      </c>
      <c r="F520">
        <v>50</v>
      </c>
      <c r="G520">
        <v>55</v>
      </c>
    </row>
    <row r="521" spans="1:7" x14ac:dyDescent="0.35">
      <c r="A521">
        <v>520</v>
      </c>
      <c r="B521">
        <v>0.1212</v>
      </c>
      <c r="C521">
        <v>0.3</v>
      </c>
      <c r="D521">
        <v>0.25369999999999998</v>
      </c>
      <c r="E521">
        <v>5</v>
      </c>
      <c r="F521">
        <v>44</v>
      </c>
      <c r="G521">
        <v>49</v>
      </c>
    </row>
    <row r="522" spans="1:7" x14ac:dyDescent="0.35">
      <c r="A522">
        <v>521</v>
      </c>
      <c r="B522">
        <v>0.1212</v>
      </c>
      <c r="C522">
        <v>0.3</v>
      </c>
      <c r="D522">
        <v>0.28360000000000002</v>
      </c>
      <c r="E522">
        <v>5</v>
      </c>
      <c r="F522">
        <v>45</v>
      </c>
      <c r="G522">
        <v>50</v>
      </c>
    </row>
    <row r="523" spans="1:7" x14ac:dyDescent="0.35">
      <c r="A523">
        <v>522</v>
      </c>
      <c r="B523">
        <v>0.1061</v>
      </c>
      <c r="C523">
        <v>0.36</v>
      </c>
      <c r="D523">
        <v>0.25369999999999998</v>
      </c>
      <c r="E523">
        <v>4</v>
      </c>
      <c r="F523">
        <v>31</v>
      </c>
      <c r="G523">
        <v>35</v>
      </c>
    </row>
    <row r="524" spans="1:7" x14ac:dyDescent="0.35">
      <c r="A524">
        <v>523</v>
      </c>
      <c r="B524">
        <v>0.1061</v>
      </c>
      <c r="C524">
        <v>0.36</v>
      </c>
      <c r="D524">
        <v>0.19400000000000001</v>
      </c>
      <c r="E524">
        <v>5</v>
      </c>
      <c r="F524">
        <v>20</v>
      </c>
      <c r="G524">
        <v>25</v>
      </c>
    </row>
    <row r="525" spans="1:7" x14ac:dyDescent="0.35">
      <c r="A525">
        <v>524</v>
      </c>
      <c r="B525">
        <v>9.0899999999999995E-2</v>
      </c>
      <c r="C525">
        <v>0.38</v>
      </c>
      <c r="D525">
        <v>0.19400000000000001</v>
      </c>
      <c r="E525">
        <v>5</v>
      </c>
      <c r="F525">
        <v>23</v>
      </c>
      <c r="G525">
        <v>28</v>
      </c>
    </row>
    <row r="526" spans="1:7" x14ac:dyDescent="0.35">
      <c r="A526">
        <v>525</v>
      </c>
      <c r="B526">
        <v>6.0600000000000001E-2</v>
      </c>
      <c r="C526">
        <v>0.41</v>
      </c>
      <c r="D526">
        <v>0.22389999999999999</v>
      </c>
      <c r="E526">
        <v>4</v>
      </c>
      <c r="F526">
        <v>17</v>
      </c>
      <c r="G526">
        <v>21</v>
      </c>
    </row>
    <row r="527" spans="1:7" x14ac:dyDescent="0.35">
      <c r="A527">
        <v>526</v>
      </c>
      <c r="B527">
        <v>6.0600000000000001E-2</v>
      </c>
      <c r="C527">
        <v>0.41</v>
      </c>
      <c r="D527">
        <v>0.19400000000000001</v>
      </c>
      <c r="E527">
        <v>0</v>
      </c>
      <c r="F527">
        <v>7</v>
      </c>
      <c r="G527">
        <v>7</v>
      </c>
    </row>
    <row r="528" spans="1:7" x14ac:dyDescent="0.35">
      <c r="A528">
        <v>527</v>
      </c>
      <c r="B528">
        <v>4.5499999999999999E-2</v>
      </c>
      <c r="C528">
        <v>0.45</v>
      </c>
      <c r="D528">
        <v>0.19400000000000001</v>
      </c>
      <c r="E528">
        <v>0</v>
      </c>
      <c r="F528">
        <v>1</v>
      </c>
      <c r="G528">
        <v>1</v>
      </c>
    </row>
    <row r="529" spans="1:7" x14ac:dyDescent="0.35">
      <c r="A529">
        <v>528</v>
      </c>
      <c r="B529">
        <v>3.0300000000000001E-2</v>
      </c>
      <c r="C529">
        <v>0.45</v>
      </c>
      <c r="D529">
        <v>0.25369999999999998</v>
      </c>
      <c r="E529">
        <v>0</v>
      </c>
      <c r="F529">
        <v>1</v>
      </c>
      <c r="G529">
        <v>1</v>
      </c>
    </row>
    <row r="530" spans="1:7" x14ac:dyDescent="0.35">
      <c r="A530">
        <v>529</v>
      </c>
      <c r="B530">
        <v>6.0600000000000001E-2</v>
      </c>
      <c r="C530">
        <v>0.48</v>
      </c>
      <c r="D530">
        <v>0.1343</v>
      </c>
      <c r="E530">
        <v>0</v>
      </c>
      <c r="F530">
        <v>1</v>
      </c>
      <c r="G530">
        <v>1</v>
      </c>
    </row>
    <row r="531" spans="1:7" x14ac:dyDescent="0.35">
      <c r="A531">
        <v>530</v>
      </c>
      <c r="B531">
        <v>6.0600000000000001E-2</v>
      </c>
      <c r="C531">
        <v>0.48</v>
      </c>
      <c r="D531">
        <v>0.1343</v>
      </c>
      <c r="E531">
        <v>0</v>
      </c>
      <c r="F531">
        <v>5</v>
      </c>
      <c r="G531">
        <v>5</v>
      </c>
    </row>
    <row r="532" spans="1:7" x14ac:dyDescent="0.35">
      <c r="A532">
        <v>531</v>
      </c>
      <c r="B532">
        <v>7.5800000000000006E-2</v>
      </c>
      <c r="C532">
        <v>0.48</v>
      </c>
      <c r="D532">
        <v>8.9599999999999999E-2</v>
      </c>
      <c r="E532">
        <v>0</v>
      </c>
      <c r="F532">
        <v>15</v>
      </c>
      <c r="G532">
        <v>15</v>
      </c>
    </row>
    <row r="533" spans="1:7" x14ac:dyDescent="0.35">
      <c r="A533">
        <v>532</v>
      </c>
      <c r="B533">
        <v>0.1212</v>
      </c>
      <c r="C533">
        <v>0.48</v>
      </c>
      <c r="D533">
        <v>0</v>
      </c>
      <c r="E533">
        <v>5</v>
      </c>
      <c r="F533">
        <v>79</v>
      </c>
      <c r="G533">
        <v>84</v>
      </c>
    </row>
    <row r="534" spans="1:7" x14ac:dyDescent="0.35">
      <c r="A534">
        <v>533</v>
      </c>
      <c r="B534">
        <v>0.13639999999999999</v>
      </c>
      <c r="C534">
        <v>0.49</v>
      </c>
      <c r="D534">
        <v>0</v>
      </c>
      <c r="E534">
        <v>6</v>
      </c>
      <c r="F534">
        <v>171</v>
      </c>
      <c r="G534">
        <v>177</v>
      </c>
    </row>
    <row r="535" spans="1:7" x14ac:dyDescent="0.35">
      <c r="A535">
        <v>534</v>
      </c>
      <c r="B535">
        <v>0.1515</v>
      </c>
      <c r="C535">
        <v>0.41</v>
      </c>
      <c r="D535">
        <v>0</v>
      </c>
      <c r="E535">
        <v>4</v>
      </c>
      <c r="F535">
        <v>98</v>
      </c>
      <c r="G535">
        <v>102</v>
      </c>
    </row>
    <row r="536" spans="1:7" x14ac:dyDescent="0.35">
      <c r="A536">
        <v>535</v>
      </c>
      <c r="B536">
        <v>0.13639999999999999</v>
      </c>
      <c r="C536">
        <v>0.42</v>
      </c>
      <c r="D536">
        <v>0</v>
      </c>
      <c r="E536">
        <v>6</v>
      </c>
      <c r="F536">
        <v>34</v>
      </c>
      <c r="G536">
        <v>40</v>
      </c>
    </row>
    <row r="537" spans="1:7" x14ac:dyDescent="0.35">
      <c r="A537">
        <v>536</v>
      </c>
      <c r="B537">
        <v>0.1212</v>
      </c>
      <c r="C537">
        <v>0.46</v>
      </c>
      <c r="D537">
        <v>0.1343</v>
      </c>
      <c r="E537">
        <v>3</v>
      </c>
      <c r="F537">
        <v>43</v>
      </c>
      <c r="G537">
        <v>46</v>
      </c>
    </row>
    <row r="538" spans="1:7" x14ac:dyDescent="0.35">
      <c r="A538">
        <v>537</v>
      </c>
      <c r="B538">
        <v>0.13639999999999999</v>
      </c>
      <c r="C538">
        <v>0.42</v>
      </c>
      <c r="D538">
        <v>0.19400000000000001</v>
      </c>
      <c r="E538">
        <v>11</v>
      </c>
      <c r="F538">
        <v>52</v>
      </c>
      <c r="G538">
        <v>63</v>
      </c>
    </row>
    <row r="539" spans="1:7" x14ac:dyDescent="0.35">
      <c r="A539">
        <v>538</v>
      </c>
      <c r="B539">
        <v>0.13639999999999999</v>
      </c>
      <c r="C539">
        <v>0.43</v>
      </c>
      <c r="D539">
        <v>0.22389999999999999</v>
      </c>
      <c r="E539">
        <v>6</v>
      </c>
      <c r="F539">
        <v>54</v>
      </c>
      <c r="G539">
        <v>60</v>
      </c>
    </row>
    <row r="540" spans="1:7" x14ac:dyDescent="0.35">
      <c r="A540">
        <v>539</v>
      </c>
      <c r="B540">
        <v>0.13639999999999999</v>
      </c>
      <c r="C540">
        <v>0.46</v>
      </c>
      <c r="D540">
        <v>0.22389999999999999</v>
      </c>
      <c r="E540">
        <v>2</v>
      </c>
      <c r="F540">
        <v>43</v>
      </c>
      <c r="G540">
        <v>45</v>
      </c>
    </row>
    <row r="541" spans="1:7" x14ac:dyDescent="0.35">
      <c r="A541">
        <v>540</v>
      </c>
      <c r="B541">
        <v>0.16669999999999999</v>
      </c>
      <c r="C541">
        <v>0.4</v>
      </c>
      <c r="D541">
        <v>0.16420000000000001</v>
      </c>
      <c r="E541">
        <v>7</v>
      </c>
      <c r="F541">
        <v>50</v>
      </c>
      <c r="G541">
        <v>57</v>
      </c>
    </row>
    <row r="542" spans="1:7" x14ac:dyDescent="0.35">
      <c r="A542">
        <v>541</v>
      </c>
      <c r="B542">
        <v>0.1515</v>
      </c>
      <c r="C542">
        <v>0.47</v>
      </c>
      <c r="D542">
        <v>0.25369999999999998</v>
      </c>
      <c r="E542">
        <v>4</v>
      </c>
      <c r="F542">
        <v>66</v>
      </c>
      <c r="G542">
        <v>70</v>
      </c>
    </row>
    <row r="543" spans="1:7" x14ac:dyDescent="0.35">
      <c r="A543">
        <v>542</v>
      </c>
      <c r="B543">
        <v>0.1212</v>
      </c>
      <c r="C543">
        <v>0.5</v>
      </c>
      <c r="D543">
        <v>0.25369999999999998</v>
      </c>
      <c r="E543">
        <v>6</v>
      </c>
      <c r="F543">
        <v>178</v>
      </c>
      <c r="G543">
        <v>184</v>
      </c>
    </row>
    <row r="544" spans="1:7" x14ac:dyDescent="0.35">
      <c r="A544">
        <v>543</v>
      </c>
      <c r="B544">
        <v>0.13639999999999999</v>
      </c>
      <c r="C544">
        <v>0.59</v>
      </c>
      <c r="D544">
        <v>0.19400000000000001</v>
      </c>
      <c r="E544">
        <v>8</v>
      </c>
      <c r="F544">
        <v>145</v>
      </c>
      <c r="G544">
        <v>153</v>
      </c>
    </row>
    <row r="545" spans="1:7" x14ac:dyDescent="0.35">
      <c r="A545">
        <v>544</v>
      </c>
      <c r="B545">
        <v>0.1515</v>
      </c>
      <c r="C545">
        <v>0.54</v>
      </c>
      <c r="D545">
        <v>0.16420000000000001</v>
      </c>
      <c r="E545">
        <v>5</v>
      </c>
      <c r="F545">
        <v>101</v>
      </c>
      <c r="G545">
        <v>106</v>
      </c>
    </row>
    <row r="546" spans="1:7" x14ac:dyDescent="0.35">
      <c r="A546">
        <v>545</v>
      </c>
      <c r="B546">
        <v>0.13639999999999999</v>
      </c>
      <c r="C546">
        <v>0.59</v>
      </c>
      <c r="D546">
        <v>0.19400000000000001</v>
      </c>
      <c r="E546">
        <v>1</v>
      </c>
      <c r="F546">
        <v>80</v>
      </c>
      <c r="G546">
        <v>81</v>
      </c>
    </row>
    <row r="547" spans="1:7" x14ac:dyDescent="0.35">
      <c r="A547">
        <v>546</v>
      </c>
      <c r="B547">
        <v>0.1515</v>
      </c>
      <c r="C547">
        <v>0.63</v>
      </c>
      <c r="D547">
        <v>0.16420000000000001</v>
      </c>
      <c r="E547">
        <v>6</v>
      </c>
      <c r="F547">
        <v>53</v>
      </c>
      <c r="G547">
        <v>59</v>
      </c>
    </row>
    <row r="548" spans="1:7" x14ac:dyDescent="0.35">
      <c r="A548">
        <v>547</v>
      </c>
      <c r="B548">
        <v>0.13639999999999999</v>
      </c>
      <c r="C548">
        <v>0.63</v>
      </c>
      <c r="D548">
        <v>0.22389999999999999</v>
      </c>
      <c r="E548">
        <v>3</v>
      </c>
      <c r="F548">
        <v>32</v>
      </c>
      <c r="G548">
        <v>35</v>
      </c>
    </row>
    <row r="549" spans="1:7" x14ac:dyDescent="0.35">
      <c r="A549">
        <v>548</v>
      </c>
      <c r="B549">
        <v>0.1515</v>
      </c>
      <c r="C549">
        <v>0.64</v>
      </c>
      <c r="D549">
        <v>0.25369999999999998</v>
      </c>
      <c r="E549">
        <v>3</v>
      </c>
      <c r="F549">
        <v>21</v>
      </c>
      <c r="G549">
        <v>24</v>
      </c>
    </row>
    <row r="550" spans="1:7" x14ac:dyDescent="0.35">
      <c r="A550">
        <v>549</v>
      </c>
      <c r="B550">
        <v>0.13639999999999999</v>
      </c>
      <c r="C550">
        <v>0.69</v>
      </c>
      <c r="D550">
        <v>0.28360000000000002</v>
      </c>
      <c r="E550">
        <v>3</v>
      </c>
      <c r="F550">
        <v>6</v>
      </c>
      <c r="G550">
        <v>9</v>
      </c>
    </row>
    <row r="551" spans="1:7" x14ac:dyDescent="0.35">
      <c r="A551">
        <v>550</v>
      </c>
      <c r="B551">
        <v>0.16669999999999999</v>
      </c>
      <c r="C551">
        <v>0.69</v>
      </c>
      <c r="D551">
        <v>0.16420000000000001</v>
      </c>
      <c r="E551">
        <v>0</v>
      </c>
      <c r="F551">
        <v>5</v>
      </c>
      <c r="G551">
        <v>5</v>
      </c>
    </row>
    <row r="552" spans="1:7" x14ac:dyDescent="0.35">
      <c r="A552">
        <v>551</v>
      </c>
      <c r="B552">
        <v>0.1515</v>
      </c>
      <c r="C552">
        <v>0.69</v>
      </c>
      <c r="D552">
        <v>0.22389999999999999</v>
      </c>
      <c r="E552">
        <v>0</v>
      </c>
      <c r="F552">
        <v>2</v>
      </c>
      <c r="G552">
        <v>2</v>
      </c>
    </row>
    <row r="553" spans="1:7" x14ac:dyDescent="0.35">
      <c r="A553">
        <v>552</v>
      </c>
      <c r="B553">
        <v>0.16669999999999999</v>
      </c>
      <c r="C553">
        <v>0.74</v>
      </c>
      <c r="D553">
        <v>0.1045</v>
      </c>
      <c r="E553">
        <v>0</v>
      </c>
      <c r="F553">
        <v>1</v>
      </c>
      <c r="G553">
        <v>1</v>
      </c>
    </row>
    <row r="554" spans="1:7" x14ac:dyDescent="0.35">
      <c r="A554">
        <v>553</v>
      </c>
      <c r="B554">
        <v>0.13639999999999999</v>
      </c>
      <c r="C554">
        <v>0.74</v>
      </c>
      <c r="D554">
        <v>0.22389999999999999</v>
      </c>
      <c r="E554">
        <v>0</v>
      </c>
      <c r="F554">
        <v>9</v>
      </c>
      <c r="G554">
        <v>9</v>
      </c>
    </row>
    <row r="555" spans="1:7" x14ac:dyDescent="0.35">
      <c r="A555">
        <v>554</v>
      </c>
      <c r="B555">
        <v>0.18179999999999999</v>
      </c>
      <c r="C555">
        <v>0.74</v>
      </c>
      <c r="D555">
        <v>0.1045</v>
      </c>
      <c r="E555">
        <v>1</v>
      </c>
      <c r="F555">
        <v>35</v>
      </c>
      <c r="G555">
        <v>36</v>
      </c>
    </row>
    <row r="556" spans="1:7" x14ac:dyDescent="0.35">
      <c r="A556">
        <v>555</v>
      </c>
      <c r="B556">
        <v>0.1515</v>
      </c>
      <c r="C556">
        <v>0.74</v>
      </c>
      <c r="D556">
        <v>0.22389999999999999</v>
      </c>
      <c r="E556">
        <v>5</v>
      </c>
      <c r="F556">
        <v>103</v>
      </c>
      <c r="G556">
        <v>108</v>
      </c>
    </row>
    <row r="557" spans="1:7" x14ac:dyDescent="0.35">
      <c r="A557">
        <v>556</v>
      </c>
      <c r="B557">
        <v>0.18179999999999999</v>
      </c>
      <c r="C557">
        <v>0.74</v>
      </c>
      <c r="D557">
        <v>0.1343</v>
      </c>
      <c r="E557">
        <v>5</v>
      </c>
      <c r="F557">
        <v>233</v>
      </c>
      <c r="G557">
        <v>238</v>
      </c>
    </row>
    <row r="558" spans="1:7" x14ac:dyDescent="0.35">
      <c r="A558">
        <v>557</v>
      </c>
      <c r="B558">
        <v>0.2273</v>
      </c>
      <c r="C558">
        <v>0.64</v>
      </c>
      <c r="D558">
        <v>8.9599999999999999E-2</v>
      </c>
      <c r="E558">
        <v>10</v>
      </c>
      <c r="F558">
        <v>134</v>
      </c>
      <c r="G558">
        <v>144</v>
      </c>
    </row>
    <row r="559" spans="1:7" x14ac:dyDescent="0.35">
      <c r="A559">
        <v>558</v>
      </c>
      <c r="B559">
        <v>0.2424</v>
      </c>
      <c r="C559">
        <v>0.6</v>
      </c>
      <c r="D559">
        <v>0.1045</v>
      </c>
      <c r="E559">
        <v>6</v>
      </c>
      <c r="F559">
        <v>49</v>
      </c>
      <c r="G559">
        <v>55</v>
      </c>
    </row>
    <row r="560" spans="1:7" x14ac:dyDescent="0.35">
      <c r="A560">
        <v>559</v>
      </c>
      <c r="B560">
        <v>0.2424</v>
      </c>
      <c r="C560">
        <v>0.6</v>
      </c>
      <c r="D560">
        <v>0.1343</v>
      </c>
      <c r="E560">
        <v>6</v>
      </c>
      <c r="F560">
        <v>55</v>
      </c>
      <c r="G560">
        <v>61</v>
      </c>
    </row>
    <row r="561" spans="1:7" x14ac:dyDescent="0.35">
      <c r="A561">
        <v>560</v>
      </c>
      <c r="B561">
        <v>0.28789999999999999</v>
      </c>
      <c r="C561">
        <v>0.56000000000000005</v>
      </c>
      <c r="D561">
        <v>8.9599999999999999E-2</v>
      </c>
      <c r="E561">
        <v>21</v>
      </c>
      <c r="F561">
        <v>85</v>
      </c>
      <c r="G561">
        <v>106</v>
      </c>
    </row>
    <row r="562" spans="1:7" x14ac:dyDescent="0.35">
      <c r="A562">
        <v>561</v>
      </c>
      <c r="B562">
        <v>0.2727</v>
      </c>
      <c r="C562">
        <v>0.56000000000000005</v>
      </c>
      <c r="D562">
        <v>0.1343</v>
      </c>
      <c r="E562">
        <v>21</v>
      </c>
      <c r="F562">
        <v>72</v>
      </c>
      <c r="G562">
        <v>93</v>
      </c>
    </row>
    <row r="563" spans="1:7" x14ac:dyDescent="0.35">
      <c r="A563">
        <v>562</v>
      </c>
      <c r="B563">
        <v>0.33329999999999999</v>
      </c>
      <c r="C563">
        <v>0.45</v>
      </c>
      <c r="D563">
        <v>0</v>
      </c>
      <c r="E563">
        <v>11</v>
      </c>
      <c r="F563">
        <v>57</v>
      </c>
      <c r="G563">
        <v>68</v>
      </c>
    </row>
    <row r="564" spans="1:7" x14ac:dyDescent="0.35">
      <c r="A564">
        <v>563</v>
      </c>
      <c r="B564">
        <v>0.34849999999999998</v>
      </c>
      <c r="C564">
        <v>0.42</v>
      </c>
      <c r="D564">
        <v>0</v>
      </c>
      <c r="E564">
        <v>21</v>
      </c>
      <c r="F564">
        <v>63</v>
      </c>
      <c r="G564">
        <v>84</v>
      </c>
    </row>
    <row r="565" spans="1:7" x14ac:dyDescent="0.35">
      <c r="A565">
        <v>564</v>
      </c>
      <c r="B565">
        <v>0.34849999999999998</v>
      </c>
      <c r="C565">
        <v>0.42</v>
      </c>
      <c r="D565">
        <v>0</v>
      </c>
      <c r="E565">
        <v>14</v>
      </c>
      <c r="F565">
        <v>102</v>
      </c>
      <c r="G565">
        <v>116</v>
      </c>
    </row>
    <row r="566" spans="1:7" x14ac:dyDescent="0.35">
      <c r="A566">
        <v>565</v>
      </c>
      <c r="B566">
        <v>0.33329999999999999</v>
      </c>
      <c r="C566">
        <v>0.45</v>
      </c>
      <c r="D566">
        <v>0</v>
      </c>
      <c r="E566">
        <v>14</v>
      </c>
      <c r="F566">
        <v>208</v>
      </c>
      <c r="G566">
        <v>222</v>
      </c>
    </row>
    <row r="567" spans="1:7" x14ac:dyDescent="0.35">
      <c r="A567">
        <v>566</v>
      </c>
      <c r="B567">
        <v>0.31819999999999998</v>
      </c>
      <c r="C567">
        <v>0.49</v>
      </c>
      <c r="D567">
        <v>8.9599999999999999E-2</v>
      </c>
      <c r="E567">
        <v>7</v>
      </c>
      <c r="F567">
        <v>218</v>
      </c>
      <c r="G567">
        <v>225</v>
      </c>
    </row>
    <row r="568" spans="1:7" x14ac:dyDescent="0.35">
      <c r="A568">
        <v>567</v>
      </c>
      <c r="B568">
        <v>0.2576</v>
      </c>
      <c r="C568">
        <v>0.65</v>
      </c>
      <c r="D568">
        <v>0.16420000000000001</v>
      </c>
      <c r="E568">
        <v>13</v>
      </c>
      <c r="F568">
        <v>133</v>
      </c>
      <c r="G568">
        <v>146</v>
      </c>
    </row>
    <row r="569" spans="1:7" x14ac:dyDescent="0.35">
      <c r="A569">
        <v>568</v>
      </c>
      <c r="B569">
        <v>0.2273</v>
      </c>
      <c r="C569">
        <v>0.65</v>
      </c>
      <c r="D569">
        <v>0.19400000000000001</v>
      </c>
      <c r="E569">
        <v>16</v>
      </c>
      <c r="F569">
        <v>103</v>
      </c>
      <c r="G569">
        <v>119</v>
      </c>
    </row>
    <row r="570" spans="1:7" x14ac:dyDescent="0.35">
      <c r="A570">
        <v>569</v>
      </c>
      <c r="B570">
        <v>0.2273</v>
      </c>
      <c r="C570">
        <v>0.65</v>
      </c>
      <c r="D570">
        <v>0.19400000000000001</v>
      </c>
      <c r="E570">
        <v>5</v>
      </c>
      <c r="F570">
        <v>40</v>
      </c>
      <c r="G570">
        <v>45</v>
      </c>
    </row>
    <row r="571" spans="1:7" x14ac:dyDescent="0.35">
      <c r="A571">
        <v>570</v>
      </c>
      <c r="B571">
        <v>0.2273</v>
      </c>
      <c r="C571">
        <v>0.64</v>
      </c>
      <c r="D571">
        <v>0.16420000000000001</v>
      </c>
      <c r="E571">
        <v>4</v>
      </c>
      <c r="F571">
        <v>49</v>
      </c>
      <c r="G571">
        <v>53</v>
      </c>
    </row>
    <row r="572" spans="1:7" x14ac:dyDescent="0.35">
      <c r="A572">
        <v>571</v>
      </c>
      <c r="B572">
        <v>0.2273</v>
      </c>
      <c r="C572">
        <v>0.64</v>
      </c>
      <c r="D572">
        <v>0.16420000000000001</v>
      </c>
      <c r="E572">
        <v>3</v>
      </c>
      <c r="F572">
        <v>37</v>
      </c>
      <c r="G572">
        <v>40</v>
      </c>
    </row>
    <row r="573" spans="1:7" x14ac:dyDescent="0.35">
      <c r="A573">
        <v>572</v>
      </c>
      <c r="B573">
        <v>0.2273</v>
      </c>
      <c r="C573">
        <v>0.69</v>
      </c>
      <c r="D573">
        <v>0.1343</v>
      </c>
      <c r="E573">
        <v>3</v>
      </c>
      <c r="F573">
        <v>14</v>
      </c>
      <c r="G573">
        <v>17</v>
      </c>
    </row>
    <row r="574" spans="1:7" x14ac:dyDescent="0.35">
      <c r="A574">
        <v>573</v>
      </c>
      <c r="B574">
        <v>0.2424</v>
      </c>
      <c r="C574">
        <v>0.65</v>
      </c>
      <c r="D574">
        <v>0.1343</v>
      </c>
      <c r="E574">
        <v>0</v>
      </c>
      <c r="F574">
        <v>5</v>
      </c>
      <c r="G574">
        <v>5</v>
      </c>
    </row>
    <row r="575" spans="1:7" x14ac:dyDescent="0.35">
      <c r="A575">
        <v>574</v>
      </c>
      <c r="B575">
        <v>0.2273</v>
      </c>
      <c r="C575">
        <v>0.69</v>
      </c>
      <c r="D575">
        <v>0.19400000000000001</v>
      </c>
      <c r="E575">
        <v>3</v>
      </c>
      <c r="F575">
        <v>7</v>
      </c>
      <c r="G575">
        <v>10</v>
      </c>
    </row>
    <row r="576" spans="1:7" x14ac:dyDescent="0.35">
      <c r="A576">
        <v>575</v>
      </c>
      <c r="B576">
        <v>0.18179999999999999</v>
      </c>
      <c r="C576">
        <v>0.86</v>
      </c>
      <c r="D576">
        <v>0.28360000000000002</v>
      </c>
      <c r="E576">
        <v>0</v>
      </c>
      <c r="F576">
        <v>1</v>
      </c>
      <c r="G576">
        <v>1</v>
      </c>
    </row>
    <row r="577" spans="1:7" x14ac:dyDescent="0.35">
      <c r="A577">
        <v>576</v>
      </c>
      <c r="B577">
        <v>0.18179999999999999</v>
      </c>
      <c r="C577">
        <v>0.86</v>
      </c>
      <c r="D577">
        <v>0.28360000000000002</v>
      </c>
      <c r="E577">
        <v>0</v>
      </c>
      <c r="F577">
        <v>8</v>
      </c>
      <c r="G577">
        <v>8</v>
      </c>
    </row>
    <row r="578" spans="1:7" x14ac:dyDescent="0.35">
      <c r="A578">
        <v>577</v>
      </c>
      <c r="B578">
        <v>0.21210000000000001</v>
      </c>
      <c r="C578">
        <v>0.87</v>
      </c>
      <c r="D578">
        <v>0.29849999999999999</v>
      </c>
      <c r="E578">
        <v>1</v>
      </c>
      <c r="F578">
        <v>29</v>
      </c>
      <c r="G578">
        <v>30</v>
      </c>
    </row>
    <row r="579" spans="1:7" x14ac:dyDescent="0.35">
      <c r="A579">
        <v>578</v>
      </c>
      <c r="B579">
        <v>0.21210000000000001</v>
      </c>
      <c r="C579">
        <v>0.87</v>
      </c>
      <c r="D579">
        <v>0.29849999999999999</v>
      </c>
      <c r="E579">
        <v>3</v>
      </c>
      <c r="F579">
        <v>69</v>
      </c>
      <c r="G579">
        <v>72</v>
      </c>
    </row>
    <row r="580" spans="1:7" x14ac:dyDescent="0.35">
      <c r="A580">
        <v>579</v>
      </c>
      <c r="B580">
        <v>0.21210000000000001</v>
      </c>
      <c r="C580">
        <v>0.87</v>
      </c>
      <c r="D580">
        <v>0.29849999999999999</v>
      </c>
      <c r="E580">
        <v>3</v>
      </c>
      <c r="F580">
        <v>55</v>
      </c>
      <c r="G580">
        <v>58</v>
      </c>
    </row>
    <row r="581" spans="1:7" x14ac:dyDescent="0.35">
      <c r="A581">
        <v>580</v>
      </c>
      <c r="B581">
        <v>0.21210000000000001</v>
      </c>
      <c r="C581">
        <v>0.93</v>
      </c>
      <c r="D581">
        <v>0.28360000000000002</v>
      </c>
      <c r="E581">
        <v>2</v>
      </c>
      <c r="F581">
        <v>26</v>
      </c>
      <c r="G581">
        <v>28</v>
      </c>
    </row>
    <row r="582" spans="1:7" x14ac:dyDescent="0.35">
      <c r="A582">
        <v>581</v>
      </c>
      <c r="B582">
        <v>0.19700000000000001</v>
      </c>
      <c r="C582">
        <v>0.93</v>
      </c>
      <c r="D582">
        <v>0.32840000000000003</v>
      </c>
      <c r="E582">
        <v>6</v>
      </c>
      <c r="F582">
        <v>35</v>
      </c>
      <c r="G582">
        <v>41</v>
      </c>
    </row>
    <row r="583" spans="1:7" x14ac:dyDescent="0.35">
      <c r="A583">
        <v>582</v>
      </c>
      <c r="B583">
        <v>0.19700000000000001</v>
      </c>
      <c r="C583">
        <v>0.93</v>
      </c>
      <c r="D583">
        <v>0.32840000000000003</v>
      </c>
      <c r="E583">
        <v>7</v>
      </c>
      <c r="F583">
        <v>41</v>
      </c>
      <c r="G583">
        <v>48</v>
      </c>
    </row>
    <row r="584" spans="1:7" x14ac:dyDescent="0.35">
      <c r="A584">
        <v>583</v>
      </c>
      <c r="B584">
        <v>0.19700000000000001</v>
      </c>
      <c r="C584">
        <v>0.93</v>
      </c>
      <c r="D584">
        <v>0.32840000000000003</v>
      </c>
      <c r="E584">
        <v>4</v>
      </c>
      <c r="F584">
        <v>43</v>
      </c>
      <c r="G584">
        <v>47</v>
      </c>
    </row>
    <row r="585" spans="1:7" x14ac:dyDescent="0.35">
      <c r="A585">
        <v>584</v>
      </c>
      <c r="B585">
        <v>0.19700000000000001</v>
      </c>
      <c r="C585">
        <v>0.93</v>
      </c>
      <c r="D585">
        <v>0.35820000000000002</v>
      </c>
      <c r="E585">
        <v>0</v>
      </c>
      <c r="F585">
        <v>36</v>
      </c>
      <c r="G585">
        <v>36</v>
      </c>
    </row>
    <row r="586" spans="1:7" x14ac:dyDescent="0.35">
      <c r="A586">
        <v>585</v>
      </c>
      <c r="B586">
        <v>0.18179999999999999</v>
      </c>
      <c r="C586">
        <v>0.93</v>
      </c>
      <c r="D586">
        <v>0.4627</v>
      </c>
      <c r="E586">
        <v>1</v>
      </c>
      <c r="F586">
        <v>42</v>
      </c>
      <c r="G586">
        <v>43</v>
      </c>
    </row>
    <row r="587" spans="1:7" x14ac:dyDescent="0.35">
      <c r="A587">
        <v>586</v>
      </c>
      <c r="B587">
        <v>0.19700000000000001</v>
      </c>
      <c r="C587">
        <v>0.93</v>
      </c>
      <c r="D587">
        <v>0.32840000000000003</v>
      </c>
      <c r="E587">
        <v>1</v>
      </c>
      <c r="F587">
        <v>35</v>
      </c>
      <c r="G587">
        <v>36</v>
      </c>
    </row>
    <row r="588" spans="1:7" x14ac:dyDescent="0.35">
      <c r="A588">
        <v>587</v>
      </c>
      <c r="B588">
        <v>0.18179999999999999</v>
      </c>
      <c r="C588">
        <v>0.93</v>
      </c>
      <c r="D588">
        <v>0.35820000000000002</v>
      </c>
      <c r="E588">
        <v>0</v>
      </c>
      <c r="F588">
        <v>26</v>
      </c>
      <c r="G588">
        <v>26</v>
      </c>
    </row>
    <row r="589" spans="1:7" x14ac:dyDescent="0.35">
      <c r="A589">
        <v>588</v>
      </c>
      <c r="B589">
        <v>0.2273</v>
      </c>
      <c r="C589">
        <v>0.55000000000000004</v>
      </c>
      <c r="D589">
        <v>0.19400000000000001</v>
      </c>
      <c r="E589">
        <v>1</v>
      </c>
      <c r="F589">
        <v>23</v>
      </c>
      <c r="G589">
        <v>24</v>
      </c>
    </row>
    <row r="590" spans="1:7" x14ac:dyDescent="0.35">
      <c r="A590">
        <v>589</v>
      </c>
      <c r="B590">
        <v>0.2424</v>
      </c>
      <c r="C590">
        <v>0.55000000000000004</v>
      </c>
      <c r="D590">
        <v>0.1045</v>
      </c>
      <c r="E590">
        <v>2</v>
      </c>
      <c r="F590">
        <v>82</v>
      </c>
      <c r="G590">
        <v>84</v>
      </c>
    </row>
    <row r="591" spans="1:7" x14ac:dyDescent="0.35">
      <c r="A591">
        <v>590</v>
      </c>
      <c r="B591">
        <v>0.2273</v>
      </c>
      <c r="C591">
        <v>0.69</v>
      </c>
      <c r="D591">
        <v>8.9599999999999999E-2</v>
      </c>
      <c r="E591">
        <v>3</v>
      </c>
      <c r="F591">
        <v>101</v>
      </c>
      <c r="G591">
        <v>104</v>
      </c>
    </row>
    <row r="592" spans="1:7" x14ac:dyDescent="0.35">
      <c r="A592">
        <v>591</v>
      </c>
      <c r="B592">
        <v>0.2273</v>
      </c>
      <c r="C592">
        <v>0.69</v>
      </c>
      <c r="D592">
        <v>8.9599999999999999E-2</v>
      </c>
      <c r="E592">
        <v>3</v>
      </c>
      <c r="F592">
        <v>76</v>
      </c>
      <c r="G592">
        <v>79</v>
      </c>
    </row>
    <row r="593" spans="1:7" x14ac:dyDescent="0.35">
      <c r="A593">
        <v>592</v>
      </c>
      <c r="B593">
        <v>0.21210000000000001</v>
      </c>
      <c r="C593">
        <v>0.74</v>
      </c>
      <c r="D593">
        <v>8.9599999999999999E-2</v>
      </c>
      <c r="E593">
        <v>4</v>
      </c>
      <c r="F593">
        <v>55</v>
      </c>
      <c r="G593">
        <v>59</v>
      </c>
    </row>
    <row r="594" spans="1:7" x14ac:dyDescent="0.35">
      <c r="A594">
        <v>593</v>
      </c>
      <c r="B594">
        <v>0.21210000000000001</v>
      </c>
      <c r="C594">
        <v>0.74</v>
      </c>
      <c r="D594">
        <v>8.9599999999999999E-2</v>
      </c>
      <c r="E594">
        <v>2</v>
      </c>
      <c r="F594">
        <v>36</v>
      </c>
      <c r="G594">
        <v>38</v>
      </c>
    </row>
    <row r="595" spans="1:7" x14ac:dyDescent="0.35">
      <c r="A595">
        <v>594</v>
      </c>
      <c r="B595">
        <v>0.21210000000000001</v>
      </c>
      <c r="C595">
        <v>0.74</v>
      </c>
      <c r="D595">
        <v>8.9599999999999999E-2</v>
      </c>
      <c r="E595">
        <v>0</v>
      </c>
      <c r="F595">
        <v>27</v>
      </c>
      <c r="G595">
        <v>27</v>
      </c>
    </row>
    <row r="596" spans="1:7" x14ac:dyDescent="0.35">
      <c r="A596">
        <v>595</v>
      </c>
      <c r="B596">
        <v>0.19700000000000001</v>
      </c>
      <c r="C596">
        <v>0.8</v>
      </c>
      <c r="D596">
        <v>0.16420000000000001</v>
      </c>
      <c r="E596">
        <v>0</v>
      </c>
      <c r="F596">
        <v>16</v>
      </c>
      <c r="G596">
        <v>16</v>
      </c>
    </row>
    <row r="597" spans="1:7" x14ac:dyDescent="0.35">
      <c r="A597">
        <v>596</v>
      </c>
      <c r="B597">
        <v>0.21210000000000001</v>
      </c>
      <c r="C597">
        <v>0.75</v>
      </c>
      <c r="D597">
        <v>0.1343</v>
      </c>
      <c r="E597">
        <v>0</v>
      </c>
      <c r="F597">
        <v>9</v>
      </c>
      <c r="G597">
        <v>9</v>
      </c>
    </row>
    <row r="598" spans="1:7" x14ac:dyDescent="0.35">
      <c r="A598">
        <v>597</v>
      </c>
      <c r="B598">
        <v>0.21210000000000001</v>
      </c>
      <c r="C598">
        <v>0.75</v>
      </c>
      <c r="D598">
        <v>0.1343</v>
      </c>
      <c r="E598">
        <v>1</v>
      </c>
      <c r="F598">
        <v>2</v>
      </c>
      <c r="G598">
        <v>3</v>
      </c>
    </row>
    <row r="599" spans="1:7" x14ac:dyDescent="0.35">
      <c r="A599">
        <v>598</v>
      </c>
      <c r="B599">
        <v>0.21210000000000001</v>
      </c>
      <c r="C599">
        <v>0.75</v>
      </c>
      <c r="D599">
        <v>0.16420000000000001</v>
      </c>
      <c r="E599">
        <v>0</v>
      </c>
      <c r="F599">
        <v>2</v>
      </c>
      <c r="G599">
        <v>2</v>
      </c>
    </row>
    <row r="600" spans="1:7" x14ac:dyDescent="0.35">
      <c r="A600">
        <v>599</v>
      </c>
      <c r="B600">
        <v>0.2273</v>
      </c>
      <c r="C600">
        <v>0.75</v>
      </c>
      <c r="D600">
        <v>0.1045</v>
      </c>
      <c r="E600">
        <v>1</v>
      </c>
      <c r="F600">
        <v>0</v>
      </c>
      <c r="G600">
        <v>1</v>
      </c>
    </row>
    <row r="601" spans="1:7" x14ac:dyDescent="0.35">
      <c r="A601">
        <v>600</v>
      </c>
      <c r="B601">
        <v>0.21210000000000001</v>
      </c>
      <c r="C601">
        <v>0.8</v>
      </c>
      <c r="D601">
        <v>0.1045</v>
      </c>
      <c r="E601">
        <v>0</v>
      </c>
      <c r="F601">
        <v>4</v>
      </c>
      <c r="G601">
        <v>4</v>
      </c>
    </row>
    <row r="602" spans="1:7" x14ac:dyDescent="0.35">
      <c r="A602">
        <v>601</v>
      </c>
      <c r="B602">
        <v>0.19700000000000001</v>
      </c>
      <c r="C602">
        <v>0.8</v>
      </c>
      <c r="D602">
        <v>0.1343</v>
      </c>
      <c r="E602">
        <v>0</v>
      </c>
      <c r="F602">
        <v>16</v>
      </c>
      <c r="G602">
        <v>16</v>
      </c>
    </row>
    <row r="603" spans="1:7" x14ac:dyDescent="0.35">
      <c r="A603">
        <v>602</v>
      </c>
      <c r="B603">
        <v>0.19700000000000001</v>
      </c>
      <c r="C603">
        <v>0.86</v>
      </c>
      <c r="D603">
        <v>8.9599999999999999E-2</v>
      </c>
      <c r="E603">
        <v>2</v>
      </c>
      <c r="F603">
        <v>58</v>
      </c>
      <c r="G603">
        <v>60</v>
      </c>
    </row>
    <row r="604" spans="1:7" x14ac:dyDescent="0.35">
      <c r="A604">
        <v>603</v>
      </c>
      <c r="B604">
        <v>0.19700000000000001</v>
      </c>
      <c r="C604">
        <v>0.86</v>
      </c>
      <c r="D604">
        <v>8.9599999999999999E-2</v>
      </c>
      <c r="E604">
        <v>2</v>
      </c>
      <c r="F604">
        <v>155</v>
      </c>
      <c r="G604">
        <v>157</v>
      </c>
    </row>
    <row r="605" spans="1:7" x14ac:dyDescent="0.35">
      <c r="A605">
        <v>604</v>
      </c>
      <c r="B605">
        <v>0.21210000000000001</v>
      </c>
      <c r="C605">
        <v>0.86</v>
      </c>
      <c r="D605">
        <v>8.9599999999999999E-2</v>
      </c>
      <c r="E605">
        <v>6</v>
      </c>
      <c r="F605">
        <v>95</v>
      </c>
      <c r="G605">
        <v>101</v>
      </c>
    </row>
    <row r="606" spans="1:7" x14ac:dyDescent="0.35">
      <c r="A606">
        <v>605</v>
      </c>
      <c r="B606">
        <v>0.21210000000000001</v>
      </c>
      <c r="C606">
        <v>0.86</v>
      </c>
      <c r="D606">
        <v>0.1045</v>
      </c>
      <c r="E606">
        <v>0</v>
      </c>
      <c r="F606">
        <v>49</v>
      </c>
      <c r="G606">
        <v>49</v>
      </c>
    </row>
    <row r="607" spans="1:7" x14ac:dyDescent="0.35">
      <c r="A607">
        <v>606</v>
      </c>
      <c r="B607">
        <v>0.21210000000000001</v>
      </c>
      <c r="C607">
        <v>0.93</v>
      </c>
      <c r="D607">
        <v>0.1045</v>
      </c>
      <c r="E607">
        <v>0</v>
      </c>
      <c r="F607">
        <v>30</v>
      </c>
      <c r="G607">
        <v>30</v>
      </c>
    </row>
    <row r="608" spans="1:7" x14ac:dyDescent="0.35">
      <c r="A608">
        <v>607</v>
      </c>
      <c r="B608">
        <v>0.21210000000000001</v>
      </c>
      <c r="C608">
        <v>0.93</v>
      </c>
      <c r="D608">
        <v>0.1045</v>
      </c>
      <c r="E608">
        <v>1</v>
      </c>
      <c r="F608">
        <v>28</v>
      </c>
      <c r="G608">
        <v>29</v>
      </c>
    </row>
    <row r="609" spans="1:7" x14ac:dyDescent="0.35">
      <c r="A609">
        <v>608</v>
      </c>
      <c r="B609">
        <v>0.21210000000000001</v>
      </c>
      <c r="C609">
        <v>0.93</v>
      </c>
      <c r="D609">
        <v>0.1045</v>
      </c>
      <c r="E609">
        <v>0</v>
      </c>
      <c r="F609">
        <v>31</v>
      </c>
      <c r="G609">
        <v>31</v>
      </c>
    </row>
    <row r="610" spans="1:7" x14ac:dyDescent="0.35">
      <c r="A610">
        <v>609</v>
      </c>
      <c r="B610">
        <v>0.2727</v>
      </c>
      <c r="C610">
        <v>0.8</v>
      </c>
      <c r="D610">
        <v>0</v>
      </c>
      <c r="E610">
        <v>2</v>
      </c>
      <c r="F610">
        <v>36</v>
      </c>
      <c r="G610">
        <v>38</v>
      </c>
    </row>
    <row r="611" spans="1:7" x14ac:dyDescent="0.35">
      <c r="A611">
        <v>610</v>
      </c>
      <c r="B611">
        <v>0.2576</v>
      </c>
      <c r="C611">
        <v>0.86</v>
      </c>
      <c r="D611">
        <v>0</v>
      </c>
      <c r="E611">
        <v>1</v>
      </c>
      <c r="F611">
        <v>40</v>
      </c>
      <c r="G611">
        <v>41</v>
      </c>
    </row>
    <row r="612" spans="1:7" x14ac:dyDescent="0.35">
      <c r="B612">
        <v>0.19993489148580967</v>
      </c>
    </row>
    <row r="613" spans="1:7" x14ac:dyDescent="0.35">
      <c r="B613">
        <v>0.19993489148580967</v>
      </c>
    </row>
    <row r="614" spans="1:7" x14ac:dyDescent="0.35">
      <c r="B614">
        <v>0.19993489148580967</v>
      </c>
    </row>
    <row r="615" spans="1:7" x14ac:dyDescent="0.35">
      <c r="B615">
        <v>0.19993489148580967</v>
      </c>
    </row>
    <row r="616" spans="1:7" x14ac:dyDescent="0.35">
      <c r="B616">
        <v>0.19993489148580967</v>
      </c>
    </row>
    <row r="617" spans="1:7" x14ac:dyDescent="0.35">
      <c r="B617">
        <v>0.19993489148580967</v>
      </c>
    </row>
    <row r="618" spans="1:7" x14ac:dyDescent="0.35">
      <c r="B618">
        <v>0.19993489148580967</v>
      </c>
    </row>
    <row r="619" spans="1:7" x14ac:dyDescent="0.35">
      <c r="B619">
        <v>0.19993489148580967</v>
      </c>
    </row>
    <row r="620" spans="1:7" x14ac:dyDescent="0.35">
      <c r="B620">
        <v>0.19993489148580967</v>
      </c>
    </row>
    <row r="621" spans="1:7" x14ac:dyDescent="0.35">
      <c r="B621">
        <v>0.19993489148580967</v>
      </c>
    </row>
    <row r="622" spans="1:7" x14ac:dyDescent="0.35">
      <c r="B622">
        <v>0.19993489148580967</v>
      </c>
    </row>
    <row r="623" spans="1:7" x14ac:dyDescent="0.35">
      <c r="B623">
        <v>0.19993489148580967</v>
      </c>
    </row>
    <row r="624" spans="1:7" x14ac:dyDescent="0.35">
      <c r="B624">
        <v>0.19993489148580967</v>
      </c>
    </row>
    <row r="625" spans="2:2" x14ac:dyDescent="0.35">
      <c r="B625">
        <v>0.19993489148580967</v>
      </c>
    </row>
    <row r="626" spans="2:2" x14ac:dyDescent="0.35">
      <c r="B626">
        <v>0.19993489148580967</v>
      </c>
    </row>
    <row r="627" spans="2:2" x14ac:dyDescent="0.35">
      <c r="B627">
        <v>0.19993489148580967</v>
      </c>
    </row>
    <row r="628" spans="2:2" x14ac:dyDescent="0.35">
      <c r="B628">
        <v>0.19993489148580967</v>
      </c>
    </row>
    <row r="629" spans="2:2" x14ac:dyDescent="0.35">
      <c r="B629">
        <v>0.19993489148580967</v>
      </c>
    </row>
    <row r="630" spans="2:2" x14ac:dyDescent="0.35">
      <c r="B630">
        <v>0.19993489148580967</v>
      </c>
    </row>
    <row r="631" spans="2:2" x14ac:dyDescent="0.35">
      <c r="B631">
        <v>0.19993489148580967</v>
      </c>
    </row>
    <row r="632" spans="2:2" x14ac:dyDescent="0.35">
      <c r="B632">
        <v>0.19993489148580967</v>
      </c>
    </row>
    <row r="633" spans="2:2" x14ac:dyDescent="0.35">
      <c r="B633">
        <v>0.19993489148580967</v>
      </c>
    </row>
    <row r="634" spans="2:2" x14ac:dyDescent="0.35">
      <c r="B634">
        <v>0.19993489148580967</v>
      </c>
    </row>
    <row r="635" spans="2:2" x14ac:dyDescent="0.35">
      <c r="B635">
        <v>0.19993489148580967</v>
      </c>
    </row>
    <row r="636" spans="2:2" x14ac:dyDescent="0.35">
      <c r="B636">
        <v>0.19993489148580967</v>
      </c>
    </row>
    <row r="637" spans="2:2" x14ac:dyDescent="0.35">
      <c r="B637">
        <v>0.19993489148580967</v>
      </c>
    </row>
    <row r="638" spans="2:2" x14ac:dyDescent="0.35">
      <c r="B638">
        <v>0.19993489148580967</v>
      </c>
    </row>
    <row r="639" spans="2:2" x14ac:dyDescent="0.35">
      <c r="B639">
        <v>0.19993489148580967</v>
      </c>
    </row>
    <row r="640" spans="2:2" x14ac:dyDescent="0.35">
      <c r="B640">
        <v>0.19993489148580967</v>
      </c>
    </row>
    <row r="641" spans="2:2" x14ac:dyDescent="0.35">
      <c r="B641">
        <v>0.19993489148580967</v>
      </c>
    </row>
    <row r="642" spans="2:2" x14ac:dyDescent="0.35">
      <c r="B642">
        <v>0.19993489148580967</v>
      </c>
    </row>
    <row r="643" spans="2:2" x14ac:dyDescent="0.35">
      <c r="B643">
        <v>0.19993489148580967</v>
      </c>
    </row>
    <row r="644" spans="2:2" x14ac:dyDescent="0.35">
      <c r="B644">
        <v>0.19993489148580967</v>
      </c>
    </row>
    <row r="645" spans="2:2" x14ac:dyDescent="0.35">
      <c r="B645">
        <v>0.19993489148580967</v>
      </c>
    </row>
    <row r="646" spans="2:2" x14ac:dyDescent="0.35">
      <c r="B646">
        <v>0.19993489148580967</v>
      </c>
    </row>
    <row r="647" spans="2:2" x14ac:dyDescent="0.35">
      <c r="B647">
        <v>0.19993489148580967</v>
      </c>
    </row>
    <row r="648" spans="2:2" x14ac:dyDescent="0.35">
      <c r="B648">
        <v>0.19993489148580967</v>
      </c>
    </row>
    <row r="649" spans="2:2" x14ac:dyDescent="0.35">
      <c r="B649">
        <v>0.19993489148580967</v>
      </c>
    </row>
    <row r="650" spans="2:2" x14ac:dyDescent="0.35">
      <c r="B650">
        <v>0.19993489148580967</v>
      </c>
    </row>
    <row r="651" spans="2:2" x14ac:dyDescent="0.35">
      <c r="B651">
        <v>0.19993489148580967</v>
      </c>
    </row>
    <row r="652" spans="2:2" x14ac:dyDescent="0.35">
      <c r="B652">
        <v>0.19993489148580967</v>
      </c>
    </row>
    <row r="653" spans="2:2" x14ac:dyDescent="0.35">
      <c r="B653">
        <v>0.19993489148580967</v>
      </c>
    </row>
    <row r="654" spans="2:2" x14ac:dyDescent="0.35">
      <c r="B654">
        <v>0.19993489148580967</v>
      </c>
    </row>
    <row r="655" spans="2:2" x14ac:dyDescent="0.35">
      <c r="B655">
        <v>0.19993489148580967</v>
      </c>
    </row>
    <row r="656" spans="2:2" x14ac:dyDescent="0.35">
      <c r="B656">
        <v>0.19993489148580967</v>
      </c>
    </row>
    <row r="657" spans="2:2" x14ac:dyDescent="0.35">
      <c r="B657">
        <v>0.19993489148580967</v>
      </c>
    </row>
    <row r="658" spans="2:2" x14ac:dyDescent="0.35">
      <c r="B658">
        <v>0.19993489148580967</v>
      </c>
    </row>
    <row r="659" spans="2:2" x14ac:dyDescent="0.35">
      <c r="B659">
        <v>0.19993489148580967</v>
      </c>
    </row>
    <row r="660" spans="2:2" x14ac:dyDescent="0.35">
      <c r="B660">
        <v>0.19993489148580967</v>
      </c>
    </row>
    <row r="661" spans="2:2" x14ac:dyDescent="0.35">
      <c r="B661">
        <v>0.19993489148580967</v>
      </c>
    </row>
    <row r="662" spans="2:2" x14ac:dyDescent="0.35">
      <c r="B662">
        <v>0.19993489148580967</v>
      </c>
    </row>
    <row r="663" spans="2:2" x14ac:dyDescent="0.35">
      <c r="B663">
        <v>0.19993489148580967</v>
      </c>
    </row>
    <row r="664" spans="2:2" x14ac:dyDescent="0.35">
      <c r="B664">
        <v>0.19993489148580967</v>
      </c>
    </row>
    <row r="665" spans="2:2" x14ac:dyDescent="0.35">
      <c r="B665">
        <v>0.19993489148580967</v>
      </c>
    </row>
    <row r="666" spans="2:2" x14ac:dyDescent="0.35">
      <c r="B666">
        <v>0.19993489148580967</v>
      </c>
    </row>
    <row r="667" spans="2:2" x14ac:dyDescent="0.35">
      <c r="B667">
        <v>0.19993489148580967</v>
      </c>
    </row>
    <row r="668" spans="2:2" x14ac:dyDescent="0.35">
      <c r="B668">
        <v>0.19993489148580967</v>
      </c>
    </row>
    <row r="669" spans="2:2" x14ac:dyDescent="0.35">
      <c r="B669">
        <v>0.19993489148580967</v>
      </c>
    </row>
    <row r="670" spans="2:2" x14ac:dyDescent="0.35">
      <c r="B670">
        <v>0.19993489148580967</v>
      </c>
    </row>
    <row r="671" spans="2:2" x14ac:dyDescent="0.35">
      <c r="B671">
        <v>0.19993489148580967</v>
      </c>
    </row>
    <row r="672" spans="2:2" x14ac:dyDescent="0.35">
      <c r="B672">
        <v>0.19993489148580967</v>
      </c>
    </row>
    <row r="673" spans="2:2" x14ac:dyDescent="0.35">
      <c r="B673">
        <v>0.19993489148580967</v>
      </c>
    </row>
    <row r="674" spans="2:2" x14ac:dyDescent="0.35">
      <c r="B674">
        <v>0.19993489148580967</v>
      </c>
    </row>
    <row r="675" spans="2:2" x14ac:dyDescent="0.35">
      <c r="B675">
        <v>0.19993489148580967</v>
      </c>
    </row>
    <row r="676" spans="2:2" x14ac:dyDescent="0.35">
      <c r="B676">
        <v>0.19993489148580967</v>
      </c>
    </row>
    <row r="677" spans="2:2" x14ac:dyDescent="0.35">
      <c r="B677">
        <v>0.19993489148580967</v>
      </c>
    </row>
    <row r="678" spans="2:2" x14ac:dyDescent="0.35">
      <c r="B678">
        <v>0.19993489148580967</v>
      </c>
    </row>
    <row r="679" spans="2:2" x14ac:dyDescent="0.35">
      <c r="B679">
        <v>0.19993489148580967</v>
      </c>
    </row>
    <row r="680" spans="2:2" x14ac:dyDescent="0.35">
      <c r="B680">
        <v>0.19993489148580967</v>
      </c>
    </row>
    <row r="681" spans="2:2" x14ac:dyDescent="0.35">
      <c r="B681">
        <v>0.19993489148580967</v>
      </c>
    </row>
    <row r="682" spans="2:2" x14ac:dyDescent="0.35">
      <c r="B682">
        <v>0.19993489148580967</v>
      </c>
    </row>
    <row r="683" spans="2:2" x14ac:dyDescent="0.35">
      <c r="B683">
        <v>0.19993489148580967</v>
      </c>
    </row>
    <row r="684" spans="2:2" x14ac:dyDescent="0.35">
      <c r="B684">
        <v>0.19993489148580967</v>
      </c>
    </row>
    <row r="685" spans="2:2" x14ac:dyDescent="0.35">
      <c r="B685">
        <v>0.19993489148580967</v>
      </c>
    </row>
    <row r="686" spans="2:2" x14ac:dyDescent="0.35">
      <c r="B686">
        <v>0.19993489148580967</v>
      </c>
    </row>
    <row r="687" spans="2:2" x14ac:dyDescent="0.35">
      <c r="B687">
        <v>0.19993489148580967</v>
      </c>
    </row>
    <row r="688" spans="2:2" x14ac:dyDescent="0.35">
      <c r="B688">
        <v>0.19993489148580967</v>
      </c>
    </row>
    <row r="689" spans="2:2" x14ac:dyDescent="0.35">
      <c r="B689">
        <v>0.19993489148580967</v>
      </c>
    </row>
    <row r="690" spans="2:2" x14ac:dyDescent="0.35">
      <c r="B690">
        <v>0.19993489148580967</v>
      </c>
    </row>
    <row r="691" spans="2:2" x14ac:dyDescent="0.35">
      <c r="B691">
        <v>0.19993489148580967</v>
      </c>
    </row>
    <row r="692" spans="2:2" x14ac:dyDescent="0.35">
      <c r="B692">
        <v>0.19993489148580967</v>
      </c>
    </row>
    <row r="693" spans="2:2" x14ac:dyDescent="0.35">
      <c r="B693">
        <v>0.19993489148580967</v>
      </c>
    </row>
    <row r="694" spans="2:2" x14ac:dyDescent="0.35">
      <c r="B694">
        <v>0.19993489148580967</v>
      </c>
    </row>
    <row r="695" spans="2:2" x14ac:dyDescent="0.35">
      <c r="B695">
        <v>0.19993489148580967</v>
      </c>
    </row>
    <row r="696" spans="2:2" x14ac:dyDescent="0.35">
      <c r="B696">
        <v>0.19993489148580967</v>
      </c>
    </row>
    <row r="697" spans="2:2" x14ac:dyDescent="0.35">
      <c r="B697">
        <v>0.19993489148580967</v>
      </c>
    </row>
    <row r="698" spans="2:2" x14ac:dyDescent="0.35">
      <c r="B698">
        <v>0.19993489148580967</v>
      </c>
    </row>
    <row r="699" spans="2:2" x14ac:dyDescent="0.35">
      <c r="B699">
        <v>0.19993489148580967</v>
      </c>
    </row>
    <row r="700" spans="2:2" x14ac:dyDescent="0.35">
      <c r="B700">
        <v>0.19993489148580967</v>
      </c>
    </row>
    <row r="701" spans="2:2" x14ac:dyDescent="0.35">
      <c r="B701">
        <v>0.19993489148580967</v>
      </c>
    </row>
    <row r="702" spans="2:2" x14ac:dyDescent="0.35">
      <c r="B702">
        <v>0.19993489148580967</v>
      </c>
    </row>
    <row r="703" spans="2:2" x14ac:dyDescent="0.35">
      <c r="B703">
        <v>0.19993489148580967</v>
      </c>
    </row>
    <row r="704" spans="2:2" x14ac:dyDescent="0.35">
      <c r="B704">
        <v>0.19993489148580967</v>
      </c>
    </row>
    <row r="705" spans="2:2" x14ac:dyDescent="0.35">
      <c r="B705">
        <v>0.19993489148580967</v>
      </c>
    </row>
    <row r="706" spans="2:2" x14ac:dyDescent="0.35">
      <c r="B706">
        <v>0.19993489148580967</v>
      </c>
    </row>
    <row r="707" spans="2:2" x14ac:dyDescent="0.35">
      <c r="B707">
        <v>0.19993489148580967</v>
      </c>
    </row>
    <row r="708" spans="2:2" x14ac:dyDescent="0.35">
      <c r="B708">
        <v>0.19993489148580967</v>
      </c>
    </row>
    <row r="709" spans="2:2" x14ac:dyDescent="0.35">
      <c r="B709">
        <v>0.19993489148580967</v>
      </c>
    </row>
    <row r="710" spans="2:2" x14ac:dyDescent="0.35">
      <c r="B710">
        <v>0.19993489148580967</v>
      </c>
    </row>
    <row r="711" spans="2:2" x14ac:dyDescent="0.35">
      <c r="B711">
        <v>0.19993489148580967</v>
      </c>
    </row>
    <row r="712" spans="2:2" x14ac:dyDescent="0.35">
      <c r="B712">
        <v>0.19993489148580967</v>
      </c>
    </row>
    <row r="713" spans="2:2" x14ac:dyDescent="0.35">
      <c r="B713">
        <v>0.19993489148580967</v>
      </c>
    </row>
    <row r="714" spans="2:2" x14ac:dyDescent="0.35">
      <c r="B714">
        <v>0.19993489148580967</v>
      </c>
    </row>
    <row r="715" spans="2:2" x14ac:dyDescent="0.35">
      <c r="B715">
        <v>0.19993489148580967</v>
      </c>
    </row>
    <row r="716" spans="2:2" x14ac:dyDescent="0.35">
      <c r="B716">
        <v>0.19993489148580967</v>
      </c>
    </row>
    <row r="717" spans="2:2" x14ac:dyDescent="0.35">
      <c r="B717">
        <v>0.19993489148580967</v>
      </c>
    </row>
    <row r="718" spans="2:2" x14ac:dyDescent="0.35">
      <c r="B718">
        <v>0.19993489148580967</v>
      </c>
    </row>
    <row r="719" spans="2:2" x14ac:dyDescent="0.35">
      <c r="B719">
        <v>0.19993489148580967</v>
      </c>
    </row>
    <row r="720" spans="2:2" x14ac:dyDescent="0.35">
      <c r="B720">
        <v>0.19993489148580967</v>
      </c>
    </row>
    <row r="721" spans="2:2" x14ac:dyDescent="0.35">
      <c r="B721">
        <v>0.19993489148580967</v>
      </c>
    </row>
    <row r="722" spans="2:2" x14ac:dyDescent="0.35">
      <c r="B722">
        <v>0.19993489148580967</v>
      </c>
    </row>
    <row r="723" spans="2:2" x14ac:dyDescent="0.35">
      <c r="B723">
        <v>0.19993489148580967</v>
      </c>
    </row>
    <row r="724" spans="2:2" x14ac:dyDescent="0.35">
      <c r="B724">
        <v>0.19993489148580967</v>
      </c>
    </row>
    <row r="725" spans="2:2" x14ac:dyDescent="0.35">
      <c r="B725">
        <v>0.19993489148580967</v>
      </c>
    </row>
    <row r="726" spans="2:2" x14ac:dyDescent="0.35">
      <c r="B726">
        <v>0.19993489148580967</v>
      </c>
    </row>
    <row r="727" spans="2:2" x14ac:dyDescent="0.35">
      <c r="B727">
        <v>0.19993489148580967</v>
      </c>
    </row>
    <row r="728" spans="2:2" x14ac:dyDescent="0.35">
      <c r="B728">
        <v>0.19993489148580967</v>
      </c>
    </row>
    <row r="729" spans="2:2" x14ac:dyDescent="0.35">
      <c r="B729">
        <v>0.19993489148580967</v>
      </c>
    </row>
    <row r="730" spans="2:2" x14ac:dyDescent="0.35">
      <c r="B730">
        <v>0.19993489148580967</v>
      </c>
    </row>
    <row r="731" spans="2:2" x14ac:dyDescent="0.35">
      <c r="B731">
        <v>0.19993489148580967</v>
      </c>
    </row>
    <row r="732" spans="2:2" x14ac:dyDescent="0.35">
      <c r="B732">
        <v>0.19993489148580967</v>
      </c>
    </row>
    <row r="733" spans="2:2" x14ac:dyDescent="0.35">
      <c r="B733">
        <v>0.19993489148580967</v>
      </c>
    </row>
    <row r="734" spans="2:2" x14ac:dyDescent="0.35">
      <c r="B734">
        <v>0.19993489148580967</v>
      </c>
    </row>
    <row r="735" spans="2:2" x14ac:dyDescent="0.35">
      <c r="B735">
        <v>0.19993489148580967</v>
      </c>
    </row>
    <row r="736" spans="2:2" x14ac:dyDescent="0.35">
      <c r="B736">
        <v>0.19993489148580967</v>
      </c>
    </row>
    <row r="737" spans="2:2" x14ac:dyDescent="0.35">
      <c r="B737">
        <v>0.19993489148580967</v>
      </c>
    </row>
    <row r="738" spans="2:2" x14ac:dyDescent="0.35">
      <c r="B738">
        <v>0.19993489148580967</v>
      </c>
    </row>
    <row r="739" spans="2:2" x14ac:dyDescent="0.35">
      <c r="B739">
        <v>0.19993489148580967</v>
      </c>
    </row>
    <row r="740" spans="2:2" x14ac:dyDescent="0.35">
      <c r="B740">
        <v>0.19993489148580967</v>
      </c>
    </row>
    <row r="741" spans="2:2" x14ac:dyDescent="0.35">
      <c r="B741">
        <v>0.19993489148580967</v>
      </c>
    </row>
    <row r="742" spans="2:2" x14ac:dyDescent="0.35">
      <c r="B742">
        <v>0.19993489148580967</v>
      </c>
    </row>
    <row r="743" spans="2:2" x14ac:dyDescent="0.35">
      <c r="B743">
        <v>0.19993489148580967</v>
      </c>
    </row>
    <row r="744" spans="2:2" x14ac:dyDescent="0.35">
      <c r="B744">
        <v>0.19993489148580967</v>
      </c>
    </row>
    <row r="745" spans="2:2" x14ac:dyDescent="0.35">
      <c r="B745">
        <v>0.19993489148580967</v>
      </c>
    </row>
    <row r="746" spans="2:2" x14ac:dyDescent="0.35">
      <c r="B746">
        <v>0.19993489148580967</v>
      </c>
    </row>
    <row r="747" spans="2:2" x14ac:dyDescent="0.35">
      <c r="B747">
        <v>0.19993489148580967</v>
      </c>
    </row>
    <row r="748" spans="2:2" x14ac:dyDescent="0.35">
      <c r="B748">
        <v>0.19993489148580967</v>
      </c>
    </row>
    <row r="749" spans="2:2" x14ac:dyDescent="0.35">
      <c r="B749">
        <v>0.19993489148580967</v>
      </c>
    </row>
    <row r="750" spans="2:2" x14ac:dyDescent="0.35">
      <c r="B750">
        <v>0.19993489148580967</v>
      </c>
    </row>
    <row r="751" spans="2:2" x14ac:dyDescent="0.35">
      <c r="B751">
        <v>0.19993489148580967</v>
      </c>
    </row>
    <row r="752" spans="2:2" x14ac:dyDescent="0.35">
      <c r="B752">
        <v>0.19993489148580967</v>
      </c>
    </row>
    <row r="753" spans="2:2" x14ac:dyDescent="0.35">
      <c r="B753">
        <v>0.19993489148580967</v>
      </c>
    </row>
    <row r="754" spans="2:2" x14ac:dyDescent="0.35">
      <c r="B754">
        <v>0.19993489148580967</v>
      </c>
    </row>
    <row r="755" spans="2:2" x14ac:dyDescent="0.35">
      <c r="B755">
        <v>0.19993489148580967</v>
      </c>
    </row>
    <row r="756" spans="2:2" x14ac:dyDescent="0.35">
      <c r="B756">
        <v>0.19993489148580967</v>
      </c>
    </row>
    <row r="757" spans="2:2" x14ac:dyDescent="0.35">
      <c r="B757">
        <v>0.19993489148580967</v>
      </c>
    </row>
    <row r="758" spans="2:2" x14ac:dyDescent="0.35">
      <c r="B758">
        <v>0.19993489148580967</v>
      </c>
    </row>
    <row r="759" spans="2:2" x14ac:dyDescent="0.35">
      <c r="B759">
        <v>0.19993489148580967</v>
      </c>
    </row>
    <row r="760" spans="2:2" x14ac:dyDescent="0.35">
      <c r="B760">
        <v>0.19993489148580967</v>
      </c>
    </row>
    <row r="761" spans="2:2" x14ac:dyDescent="0.35">
      <c r="B761">
        <v>0.19993489148580967</v>
      </c>
    </row>
    <row r="762" spans="2:2" x14ac:dyDescent="0.35">
      <c r="B762">
        <v>0.19993489148580967</v>
      </c>
    </row>
    <row r="763" spans="2:2" x14ac:dyDescent="0.35">
      <c r="B763">
        <v>0.19993489148580967</v>
      </c>
    </row>
    <row r="764" spans="2:2" x14ac:dyDescent="0.35">
      <c r="B764">
        <v>0.19993489148580967</v>
      </c>
    </row>
    <row r="765" spans="2:2" x14ac:dyDescent="0.35">
      <c r="B765">
        <v>0.19993489148580967</v>
      </c>
    </row>
    <row r="766" spans="2:2" x14ac:dyDescent="0.35">
      <c r="B766">
        <v>0.19993489148580967</v>
      </c>
    </row>
    <row r="767" spans="2:2" x14ac:dyDescent="0.35">
      <c r="B767">
        <v>0.19993489148580967</v>
      </c>
    </row>
    <row r="768" spans="2:2" x14ac:dyDescent="0.35">
      <c r="B768">
        <v>0.19993489148580967</v>
      </c>
    </row>
    <row r="769" spans="2:2" x14ac:dyDescent="0.35">
      <c r="B769">
        <v>0.19993489148580967</v>
      </c>
    </row>
    <row r="770" spans="2:2" x14ac:dyDescent="0.35">
      <c r="B770">
        <v>0.19993489148580967</v>
      </c>
    </row>
    <row r="771" spans="2:2" x14ac:dyDescent="0.35">
      <c r="B771">
        <v>0.19993489148580967</v>
      </c>
    </row>
    <row r="772" spans="2:2" x14ac:dyDescent="0.35">
      <c r="B772">
        <v>0.19993489148580967</v>
      </c>
    </row>
    <row r="773" spans="2:2" x14ac:dyDescent="0.35">
      <c r="B773">
        <v>0.19993489148580967</v>
      </c>
    </row>
    <row r="774" spans="2:2" x14ac:dyDescent="0.35">
      <c r="B774">
        <v>0.19993489148580967</v>
      </c>
    </row>
    <row r="775" spans="2:2" x14ac:dyDescent="0.35">
      <c r="B775">
        <v>0.19993489148580967</v>
      </c>
    </row>
    <row r="776" spans="2:2" x14ac:dyDescent="0.35">
      <c r="B776">
        <v>0.19993489148580967</v>
      </c>
    </row>
    <row r="777" spans="2:2" x14ac:dyDescent="0.35">
      <c r="B777">
        <v>0.19993489148580967</v>
      </c>
    </row>
    <row r="778" spans="2:2" x14ac:dyDescent="0.35">
      <c r="B778">
        <v>0.19993489148580967</v>
      </c>
    </row>
    <row r="779" spans="2:2" x14ac:dyDescent="0.35">
      <c r="B779">
        <v>0.19993489148580967</v>
      </c>
    </row>
    <row r="780" spans="2:2" x14ac:dyDescent="0.35">
      <c r="B780">
        <v>0.19993489148580967</v>
      </c>
    </row>
    <row r="781" spans="2:2" x14ac:dyDescent="0.35">
      <c r="B781">
        <v>0.19993489148580967</v>
      </c>
    </row>
    <row r="782" spans="2:2" x14ac:dyDescent="0.35">
      <c r="B782">
        <v>0.19993489148580967</v>
      </c>
    </row>
    <row r="783" spans="2:2" x14ac:dyDescent="0.35">
      <c r="B783">
        <v>0.19993489148580967</v>
      </c>
    </row>
    <row r="784" spans="2:2" x14ac:dyDescent="0.35">
      <c r="B784">
        <v>0.19993489148580967</v>
      </c>
    </row>
    <row r="785" spans="2:2" x14ac:dyDescent="0.35">
      <c r="B785">
        <v>0.19993489148580967</v>
      </c>
    </row>
    <row r="786" spans="2:2" x14ac:dyDescent="0.35">
      <c r="B786">
        <v>0.19993489148580967</v>
      </c>
    </row>
    <row r="787" spans="2:2" x14ac:dyDescent="0.35">
      <c r="B787">
        <v>0.19993489148580967</v>
      </c>
    </row>
    <row r="788" spans="2:2" x14ac:dyDescent="0.35">
      <c r="B788">
        <v>0.19993489148580967</v>
      </c>
    </row>
    <row r="789" spans="2:2" x14ac:dyDescent="0.35">
      <c r="B789">
        <v>0.19993489148580967</v>
      </c>
    </row>
    <row r="790" spans="2:2" x14ac:dyDescent="0.35">
      <c r="B790">
        <v>0.19993489148580967</v>
      </c>
    </row>
    <row r="791" spans="2:2" x14ac:dyDescent="0.35">
      <c r="B791">
        <v>0.19993489148580967</v>
      </c>
    </row>
    <row r="792" spans="2:2" x14ac:dyDescent="0.35">
      <c r="B792">
        <v>0.19993489148580967</v>
      </c>
    </row>
    <row r="793" spans="2:2" x14ac:dyDescent="0.35">
      <c r="B793">
        <v>0.19993489148580967</v>
      </c>
    </row>
    <row r="794" spans="2:2" x14ac:dyDescent="0.35">
      <c r="B794">
        <v>0.19993489148580967</v>
      </c>
    </row>
    <row r="795" spans="2:2" x14ac:dyDescent="0.35">
      <c r="B795">
        <v>0.19993489148580967</v>
      </c>
    </row>
    <row r="796" spans="2:2" x14ac:dyDescent="0.35">
      <c r="B796">
        <v>0.19993489148580967</v>
      </c>
    </row>
    <row r="797" spans="2:2" x14ac:dyDescent="0.35">
      <c r="B797">
        <v>0.19993489148580967</v>
      </c>
    </row>
    <row r="798" spans="2:2" x14ac:dyDescent="0.35">
      <c r="B798">
        <v>0.19993489148580967</v>
      </c>
    </row>
    <row r="799" spans="2:2" x14ac:dyDescent="0.35">
      <c r="B799">
        <v>0.19993489148580967</v>
      </c>
    </row>
    <row r="800" spans="2:2" x14ac:dyDescent="0.35">
      <c r="B800">
        <v>0.19993489148580967</v>
      </c>
    </row>
    <row r="801" spans="2:2" x14ac:dyDescent="0.35">
      <c r="B801">
        <v>0.19993489148580967</v>
      </c>
    </row>
    <row r="802" spans="2:2" x14ac:dyDescent="0.35">
      <c r="B802">
        <v>0.19993489148580967</v>
      </c>
    </row>
    <row r="803" spans="2:2" x14ac:dyDescent="0.35">
      <c r="B803">
        <v>0.19993489148580967</v>
      </c>
    </row>
    <row r="804" spans="2:2" x14ac:dyDescent="0.35">
      <c r="B804">
        <v>0.19993489148580967</v>
      </c>
    </row>
    <row r="805" spans="2:2" x14ac:dyDescent="0.35">
      <c r="B805">
        <v>0.19993489148580967</v>
      </c>
    </row>
    <row r="806" spans="2:2" x14ac:dyDescent="0.35">
      <c r="B806">
        <v>0.19993489148580967</v>
      </c>
    </row>
    <row r="807" spans="2:2" x14ac:dyDescent="0.35">
      <c r="B807">
        <v>0.19993489148580967</v>
      </c>
    </row>
    <row r="808" spans="2:2" x14ac:dyDescent="0.35">
      <c r="B808">
        <v>0.19993489148580967</v>
      </c>
    </row>
    <row r="809" spans="2:2" x14ac:dyDescent="0.35">
      <c r="B809">
        <v>0.19993489148580967</v>
      </c>
    </row>
    <row r="810" spans="2:2" x14ac:dyDescent="0.35">
      <c r="B810">
        <v>0.19993489148580967</v>
      </c>
    </row>
    <row r="811" spans="2:2" x14ac:dyDescent="0.35">
      <c r="B811">
        <v>0.19993489148580967</v>
      </c>
    </row>
    <row r="812" spans="2:2" x14ac:dyDescent="0.35">
      <c r="B812">
        <v>0.19993489148580967</v>
      </c>
    </row>
    <row r="813" spans="2:2" x14ac:dyDescent="0.35">
      <c r="B813">
        <v>0.19993489148580967</v>
      </c>
    </row>
    <row r="814" spans="2:2" x14ac:dyDescent="0.35">
      <c r="B814">
        <v>0.19993489148580967</v>
      </c>
    </row>
    <row r="815" spans="2:2" x14ac:dyDescent="0.35">
      <c r="B815">
        <v>0.19993489148580967</v>
      </c>
    </row>
    <row r="816" spans="2:2" x14ac:dyDescent="0.35">
      <c r="B816">
        <v>0.19993489148580967</v>
      </c>
    </row>
    <row r="817" spans="2:2" x14ac:dyDescent="0.35">
      <c r="B817">
        <v>0.19993489148580967</v>
      </c>
    </row>
    <row r="818" spans="2:2" x14ac:dyDescent="0.35">
      <c r="B818">
        <v>0.19993489148580967</v>
      </c>
    </row>
    <row r="819" spans="2:2" x14ac:dyDescent="0.35">
      <c r="B819">
        <v>0.19993489148580967</v>
      </c>
    </row>
    <row r="820" spans="2:2" x14ac:dyDescent="0.35">
      <c r="B820">
        <v>0.19993489148580967</v>
      </c>
    </row>
    <row r="821" spans="2:2" x14ac:dyDescent="0.35">
      <c r="B821">
        <v>0.19993489148580967</v>
      </c>
    </row>
    <row r="822" spans="2:2" x14ac:dyDescent="0.35">
      <c r="B822">
        <v>0.19993489148580967</v>
      </c>
    </row>
    <row r="823" spans="2:2" x14ac:dyDescent="0.35">
      <c r="B823">
        <v>0.19993489148580967</v>
      </c>
    </row>
    <row r="824" spans="2:2" x14ac:dyDescent="0.35">
      <c r="B824">
        <v>0.19993489148580967</v>
      </c>
    </row>
    <row r="825" spans="2:2" x14ac:dyDescent="0.35">
      <c r="B825">
        <v>0.19993489148580967</v>
      </c>
    </row>
    <row r="826" spans="2:2" x14ac:dyDescent="0.35">
      <c r="B826">
        <v>0.19993489148580967</v>
      </c>
    </row>
    <row r="827" spans="2:2" x14ac:dyDescent="0.35">
      <c r="B827">
        <v>0.19993489148580967</v>
      </c>
    </row>
    <row r="828" spans="2:2" x14ac:dyDescent="0.35">
      <c r="B828">
        <v>0.19993489148580967</v>
      </c>
    </row>
    <row r="829" spans="2:2" x14ac:dyDescent="0.35">
      <c r="B829">
        <v>0.19993489148580967</v>
      </c>
    </row>
    <row r="830" spans="2:2" x14ac:dyDescent="0.35">
      <c r="B830">
        <v>0.19993489148580967</v>
      </c>
    </row>
    <row r="831" spans="2:2" x14ac:dyDescent="0.35">
      <c r="B831">
        <v>0.19993489148580967</v>
      </c>
    </row>
    <row r="832" spans="2:2" x14ac:dyDescent="0.35">
      <c r="B832">
        <v>0.19993489148580967</v>
      </c>
    </row>
    <row r="833" spans="2:2" x14ac:dyDescent="0.35">
      <c r="B833">
        <v>0.19993489148580967</v>
      </c>
    </row>
    <row r="834" spans="2:2" x14ac:dyDescent="0.35">
      <c r="B834">
        <v>0.19993489148580967</v>
      </c>
    </row>
    <row r="835" spans="2:2" x14ac:dyDescent="0.35">
      <c r="B835">
        <v>0.19993489148580967</v>
      </c>
    </row>
    <row r="836" spans="2:2" x14ac:dyDescent="0.35">
      <c r="B836">
        <v>0.19993489148580967</v>
      </c>
    </row>
    <row r="837" spans="2:2" x14ac:dyDescent="0.35">
      <c r="B837">
        <v>0.19993489148580967</v>
      </c>
    </row>
    <row r="838" spans="2:2" x14ac:dyDescent="0.35">
      <c r="B838">
        <v>0.19993489148580967</v>
      </c>
    </row>
    <row r="839" spans="2:2" x14ac:dyDescent="0.35">
      <c r="B839">
        <v>0.19993489148580967</v>
      </c>
    </row>
    <row r="840" spans="2:2" x14ac:dyDescent="0.35">
      <c r="B840">
        <v>0.19993489148580967</v>
      </c>
    </row>
    <row r="841" spans="2:2" x14ac:dyDescent="0.35">
      <c r="B841">
        <v>0.19993489148580967</v>
      </c>
    </row>
    <row r="842" spans="2:2" x14ac:dyDescent="0.35">
      <c r="B842">
        <v>0.19993489148580967</v>
      </c>
    </row>
    <row r="843" spans="2:2" x14ac:dyDescent="0.35">
      <c r="B843">
        <v>0.19993489148580967</v>
      </c>
    </row>
    <row r="844" spans="2:2" x14ac:dyDescent="0.35">
      <c r="B844">
        <v>0.19993489148580967</v>
      </c>
    </row>
    <row r="845" spans="2:2" x14ac:dyDescent="0.35">
      <c r="B845">
        <v>0.19993489148580967</v>
      </c>
    </row>
    <row r="846" spans="2:2" x14ac:dyDescent="0.35">
      <c r="B846">
        <v>0.19993489148580967</v>
      </c>
    </row>
    <row r="847" spans="2:2" x14ac:dyDescent="0.35">
      <c r="B847">
        <v>0.19993489148580967</v>
      </c>
    </row>
    <row r="848" spans="2:2" x14ac:dyDescent="0.35">
      <c r="B848">
        <v>0.19993489148580967</v>
      </c>
    </row>
    <row r="849" spans="2:2" x14ac:dyDescent="0.35">
      <c r="B849">
        <v>0.19993489148580967</v>
      </c>
    </row>
    <row r="850" spans="2:2" x14ac:dyDescent="0.35">
      <c r="B850">
        <v>0.19993489148580967</v>
      </c>
    </row>
    <row r="851" spans="2:2" x14ac:dyDescent="0.35">
      <c r="B851">
        <v>0.19993489148580967</v>
      </c>
    </row>
    <row r="852" spans="2:2" x14ac:dyDescent="0.35">
      <c r="B852">
        <v>0.19993489148580967</v>
      </c>
    </row>
    <row r="853" spans="2:2" x14ac:dyDescent="0.35">
      <c r="B853">
        <v>0.19993489148580967</v>
      </c>
    </row>
    <row r="854" spans="2:2" x14ac:dyDescent="0.35">
      <c r="B854">
        <v>0.19993489148580967</v>
      </c>
    </row>
    <row r="855" spans="2:2" x14ac:dyDescent="0.35">
      <c r="B855">
        <v>0.19993489148580967</v>
      </c>
    </row>
    <row r="856" spans="2:2" x14ac:dyDescent="0.35">
      <c r="B856">
        <v>0.19993489148580967</v>
      </c>
    </row>
    <row r="857" spans="2:2" x14ac:dyDescent="0.35">
      <c r="B857">
        <v>0.19993489148580967</v>
      </c>
    </row>
    <row r="858" spans="2:2" x14ac:dyDescent="0.35">
      <c r="B858">
        <v>0.19993489148580967</v>
      </c>
    </row>
    <row r="859" spans="2:2" x14ac:dyDescent="0.35">
      <c r="B859">
        <v>0.19993489148580967</v>
      </c>
    </row>
    <row r="860" spans="2:2" x14ac:dyDescent="0.35">
      <c r="B860">
        <v>0.19993489148580967</v>
      </c>
    </row>
    <row r="861" spans="2:2" x14ac:dyDescent="0.35">
      <c r="B861">
        <v>0.19993489148580967</v>
      </c>
    </row>
    <row r="862" spans="2:2" x14ac:dyDescent="0.35">
      <c r="B862">
        <v>0.19993489148580967</v>
      </c>
    </row>
    <row r="863" spans="2:2" x14ac:dyDescent="0.35">
      <c r="B863">
        <v>0.19993489148580967</v>
      </c>
    </row>
    <row r="864" spans="2:2" x14ac:dyDescent="0.35">
      <c r="B864">
        <v>0.19993489148580967</v>
      </c>
    </row>
    <row r="865" spans="2:2" x14ac:dyDescent="0.35">
      <c r="B865">
        <v>0.19993489148580967</v>
      </c>
    </row>
    <row r="866" spans="2:2" x14ac:dyDescent="0.35">
      <c r="B866">
        <v>0.19993489148580967</v>
      </c>
    </row>
    <row r="867" spans="2:2" x14ac:dyDescent="0.35">
      <c r="B867">
        <v>0.19993489148580967</v>
      </c>
    </row>
    <row r="868" spans="2:2" x14ac:dyDescent="0.35">
      <c r="B868">
        <v>0.19993489148580967</v>
      </c>
    </row>
    <row r="869" spans="2:2" x14ac:dyDescent="0.35">
      <c r="B869">
        <v>0.19993489148580967</v>
      </c>
    </row>
    <row r="870" spans="2:2" x14ac:dyDescent="0.35">
      <c r="B870">
        <v>0.19993489148580967</v>
      </c>
    </row>
    <row r="871" spans="2:2" x14ac:dyDescent="0.35">
      <c r="B871">
        <v>0.19993489148580967</v>
      </c>
    </row>
    <row r="872" spans="2:2" x14ac:dyDescent="0.35">
      <c r="B872">
        <v>0.19993489148580967</v>
      </c>
    </row>
    <row r="873" spans="2:2" x14ac:dyDescent="0.35">
      <c r="B873">
        <v>0.19993489148580967</v>
      </c>
    </row>
    <row r="874" spans="2:2" x14ac:dyDescent="0.35">
      <c r="B874">
        <v>0.19993489148580967</v>
      </c>
    </row>
    <row r="875" spans="2:2" x14ac:dyDescent="0.35">
      <c r="B875">
        <v>0.19993489148580967</v>
      </c>
    </row>
    <row r="876" spans="2:2" x14ac:dyDescent="0.35">
      <c r="B876">
        <v>0.19993489148580967</v>
      </c>
    </row>
    <row r="877" spans="2:2" x14ac:dyDescent="0.35">
      <c r="B877">
        <v>0.19993489148580967</v>
      </c>
    </row>
    <row r="878" spans="2:2" x14ac:dyDescent="0.35">
      <c r="B878">
        <v>0.19993489148580967</v>
      </c>
    </row>
    <row r="879" spans="2:2" x14ac:dyDescent="0.35">
      <c r="B879">
        <v>0.19993489148580967</v>
      </c>
    </row>
    <row r="880" spans="2:2" x14ac:dyDescent="0.35">
      <c r="B880">
        <v>0.19993489148580967</v>
      </c>
    </row>
    <row r="881" spans="2:2" x14ac:dyDescent="0.35">
      <c r="B881">
        <v>0.19993489148580967</v>
      </c>
    </row>
    <row r="882" spans="2:2" x14ac:dyDescent="0.35">
      <c r="B882">
        <v>0.19993489148580967</v>
      </c>
    </row>
    <row r="883" spans="2:2" x14ac:dyDescent="0.35">
      <c r="B883">
        <v>0.19993489148580967</v>
      </c>
    </row>
    <row r="884" spans="2:2" x14ac:dyDescent="0.35">
      <c r="B884">
        <v>0.19993489148580967</v>
      </c>
    </row>
    <row r="885" spans="2:2" x14ac:dyDescent="0.35">
      <c r="B885">
        <v>0.19993489148580967</v>
      </c>
    </row>
    <row r="886" spans="2:2" x14ac:dyDescent="0.35">
      <c r="B886">
        <v>0.19993489148580967</v>
      </c>
    </row>
    <row r="887" spans="2:2" x14ac:dyDescent="0.35">
      <c r="B887">
        <v>0.19993489148580967</v>
      </c>
    </row>
    <row r="888" spans="2:2" x14ac:dyDescent="0.35">
      <c r="B888">
        <v>0.19993489148580967</v>
      </c>
    </row>
    <row r="889" spans="2:2" x14ac:dyDescent="0.35">
      <c r="B889">
        <v>0.19993489148580967</v>
      </c>
    </row>
    <row r="890" spans="2:2" x14ac:dyDescent="0.35">
      <c r="B890">
        <v>0.19993489148580967</v>
      </c>
    </row>
    <row r="891" spans="2:2" x14ac:dyDescent="0.35">
      <c r="B891">
        <v>0.19993489148580967</v>
      </c>
    </row>
    <row r="892" spans="2:2" x14ac:dyDescent="0.35">
      <c r="B892">
        <v>0.19993489148580967</v>
      </c>
    </row>
    <row r="893" spans="2:2" x14ac:dyDescent="0.35">
      <c r="B893">
        <v>0.19993489148580967</v>
      </c>
    </row>
    <row r="894" spans="2:2" x14ac:dyDescent="0.35">
      <c r="B894">
        <v>0.19993489148580967</v>
      </c>
    </row>
    <row r="895" spans="2:2" x14ac:dyDescent="0.35">
      <c r="B895">
        <v>0.19993489148580967</v>
      </c>
    </row>
    <row r="896" spans="2:2" x14ac:dyDescent="0.35">
      <c r="B896">
        <v>0.19993489148580967</v>
      </c>
    </row>
    <row r="897" spans="2:2" x14ac:dyDescent="0.35">
      <c r="B897">
        <v>0.19993489148580967</v>
      </c>
    </row>
    <row r="898" spans="2:2" x14ac:dyDescent="0.35">
      <c r="B898">
        <v>0.19993489148580967</v>
      </c>
    </row>
    <row r="899" spans="2:2" x14ac:dyDescent="0.35">
      <c r="B899">
        <v>0.19993489148580967</v>
      </c>
    </row>
    <row r="900" spans="2:2" x14ac:dyDescent="0.35">
      <c r="B900">
        <v>0.19993489148580967</v>
      </c>
    </row>
    <row r="901" spans="2:2" x14ac:dyDescent="0.35">
      <c r="B901">
        <v>0.19993489148580967</v>
      </c>
    </row>
    <row r="902" spans="2:2" x14ac:dyDescent="0.35">
      <c r="B902">
        <v>0.19993489148580967</v>
      </c>
    </row>
    <row r="903" spans="2:2" x14ac:dyDescent="0.35">
      <c r="B903">
        <v>0.19993489148580967</v>
      </c>
    </row>
    <row r="904" spans="2:2" x14ac:dyDescent="0.35">
      <c r="B904">
        <v>0.19993489148580967</v>
      </c>
    </row>
    <row r="905" spans="2:2" x14ac:dyDescent="0.35">
      <c r="B905">
        <v>0.19993489148580967</v>
      </c>
    </row>
    <row r="906" spans="2:2" x14ac:dyDescent="0.35">
      <c r="B906">
        <v>0.19993489148580967</v>
      </c>
    </row>
    <row r="907" spans="2:2" x14ac:dyDescent="0.35">
      <c r="B907">
        <v>0.19993489148580967</v>
      </c>
    </row>
    <row r="908" spans="2:2" x14ac:dyDescent="0.35">
      <c r="B908">
        <v>0.19993489148580967</v>
      </c>
    </row>
    <row r="909" spans="2:2" x14ac:dyDescent="0.35">
      <c r="B909">
        <v>0.19993489148580967</v>
      </c>
    </row>
    <row r="910" spans="2:2" x14ac:dyDescent="0.35">
      <c r="B910">
        <v>0.19993489148580967</v>
      </c>
    </row>
    <row r="911" spans="2:2" x14ac:dyDescent="0.35">
      <c r="B911">
        <v>0.19993489148580967</v>
      </c>
    </row>
    <row r="912" spans="2:2" x14ac:dyDescent="0.35">
      <c r="B912">
        <v>0.19993489148580967</v>
      </c>
    </row>
    <row r="913" spans="2:2" x14ac:dyDescent="0.35">
      <c r="B913">
        <v>0.19993489148580967</v>
      </c>
    </row>
    <row r="914" spans="2:2" x14ac:dyDescent="0.35">
      <c r="B914">
        <v>0.19993489148580967</v>
      </c>
    </row>
    <row r="915" spans="2:2" x14ac:dyDescent="0.35">
      <c r="B915">
        <v>0.19993489148580967</v>
      </c>
    </row>
    <row r="916" spans="2:2" x14ac:dyDescent="0.35">
      <c r="B916">
        <v>0.19993489148580967</v>
      </c>
    </row>
    <row r="917" spans="2:2" x14ac:dyDescent="0.35">
      <c r="B917">
        <v>0.19993489148580967</v>
      </c>
    </row>
    <row r="918" spans="2:2" x14ac:dyDescent="0.35">
      <c r="B918">
        <v>0.19993489148580967</v>
      </c>
    </row>
    <row r="919" spans="2:2" x14ac:dyDescent="0.35">
      <c r="B919">
        <v>0.19993489148580967</v>
      </c>
    </row>
    <row r="920" spans="2:2" x14ac:dyDescent="0.35">
      <c r="B920">
        <v>0.19993489148580967</v>
      </c>
    </row>
    <row r="921" spans="2:2" x14ac:dyDescent="0.35">
      <c r="B921">
        <v>0.19993489148580967</v>
      </c>
    </row>
    <row r="922" spans="2:2" x14ac:dyDescent="0.35">
      <c r="B922">
        <v>0.19993489148580967</v>
      </c>
    </row>
    <row r="923" spans="2:2" x14ac:dyDescent="0.35">
      <c r="B923">
        <v>0.19993489148580967</v>
      </c>
    </row>
    <row r="924" spans="2:2" x14ac:dyDescent="0.35">
      <c r="B924">
        <v>0.19993489148580967</v>
      </c>
    </row>
    <row r="925" spans="2:2" x14ac:dyDescent="0.35">
      <c r="B925">
        <v>0.19993489148580967</v>
      </c>
    </row>
    <row r="926" spans="2:2" x14ac:dyDescent="0.35">
      <c r="B926">
        <v>0.19993489148580967</v>
      </c>
    </row>
    <row r="927" spans="2:2" x14ac:dyDescent="0.35">
      <c r="B927">
        <v>0.19993489148580967</v>
      </c>
    </row>
    <row r="928" spans="2:2" x14ac:dyDescent="0.35">
      <c r="B928">
        <v>0.19993489148580967</v>
      </c>
    </row>
    <row r="929" spans="2:2" x14ac:dyDescent="0.35">
      <c r="B929">
        <v>0.19993489148580967</v>
      </c>
    </row>
    <row r="930" spans="2:2" x14ac:dyDescent="0.35">
      <c r="B930">
        <v>0.19993489148580967</v>
      </c>
    </row>
    <row r="931" spans="2:2" x14ac:dyDescent="0.35">
      <c r="B931">
        <v>0.19993489148580967</v>
      </c>
    </row>
    <row r="932" spans="2:2" x14ac:dyDescent="0.35">
      <c r="B932">
        <v>0.19993489148580967</v>
      </c>
    </row>
    <row r="933" spans="2:2" x14ac:dyDescent="0.35">
      <c r="B933">
        <v>0.19993489148580967</v>
      </c>
    </row>
    <row r="934" spans="2:2" x14ac:dyDescent="0.35">
      <c r="B934">
        <v>0.19993489148580967</v>
      </c>
    </row>
    <row r="935" spans="2:2" x14ac:dyDescent="0.35">
      <c r="B935">
        <v>0.19993489148580967</v>
      </c>
    </row>
    <row r="936" spans="2:2" x14ac:dyDescent="0.35">
      <c r="B936">
        <v>0.19993489148580967</v>
      </c>
    </row>
    <row r="937" spans="2:2" x14ac:dyDescent="0.35">
      <c r="B937">
        <v>0.19993489148580967</v>
      </c>
    </row>
    <row r="938" spans="2:2" x14ac:dyDescent="0.35">
      <c r="B938">
        <v>0.19993489148580967</v>
      </c>
    </row>
    <row r="939" spans="2:2" x14ac:dyDescent="0.35">
      <c r="B939">
        <v>0.19993489148580967</v>
      </c>
    </row>
    <row r="940" spans="2:2" x14ac:dyDescent="0.35">
      <c r="B940">
        <v>0.19993489148580967</v>
      </c>
    </row>
    <row r="941" spans="2:2" x14ac:dyDescent="0.35">
      <c r="B941">
        <v>0.19993489148580967</v>
      </c>
    </row>
    <row r="942" spans="2:2" x14ac:dyDescent="0.35">
      <c r="B942">
        <v>0.19993489148580967</v>
      </c>
    </row>
    <row r="943" spans="2:2" x14ac:dyDescent="0.35">
      <c r="B943">
        <v>0.19993489148580967</v>
      </c>
    </row>
    <row r="944" spans="2:2" x14ac:dyDescent="0.35">
      <c r="B944">
        <v>0.19993489148580967</v>
      </c>
    </row>
    <row r="945" spans="2:2" x14ac:dyDescent="0.35">
      <c r="B945">
        <v>0.19993489148580967</v>
      </c>
    </row>
    <row r="946" spans="2:2" x14ac:dyDescent="0.35">
      <c r="B946">
        <v>0.19993489148580967</v>
      </c>
    </row>
    <row r="947" spans="2:2" x14ac:dyDescent="0.35">
      <c r="B947">
        <v>0.19993489148580967</v>
      </c>
    </row>
    <row r="948" spans="2:2" x14ac:dyDescent="0.35">
      <c r="B948">
        <v>0.19993489148580967</v>
      </c>
    </row>
    <row r="949" spans="2:2" x14ac:dyDescent="0.35">
      <c r="B949">
        <v>0.19993489148580967</v>
      </c>
    </row>
    <row r="950" spans="2:2" x14ac:dyDescent="0.35">
      <c r="B950">
        <v>0.19993489148580967</v>
      </c>
    </row>
    <row r="951" spans="2:2" x14ac:dyDescent="0.35">
      <c r="B951">
        <v>0.19993489148580967</v>
      </c>
    </row>
    <row r="952" spans="2:2" x14ac:dyDescent="0.35">
      <c r="B952">
        <v>0.19993489148580967</v>
      </c>
    </row>
    <row r="953" spans="2:2" x14ac:dyDescent="0.35">
      <c r="B953">
        <v>0.19993489148580967</v>
      </c>
    </row>
    <row r="954" spans="2:2" x14ac:dyDescent="0.35">
      <c r="B954">
        <v>0.19993489148580967</v>
      </c>
    </row>
    <row r="955" spans="2:2" x14ac:dyDescent="0.35">
      <c r="B955">
        <v>0.19993489148580967</v>
      </c>
    </row>
    <row r="956" spans="2:2" x14ac:dyDescent="0.35">
      <c r="B956">
        <v>0.19993489148580967</v>
      </c>
    </row>
    <row r="957" spans="2:2" x14ac:dyDescent="0.35">
      <c r="B957">
        <v>0.19993489148580967</v>
      </c>
    </row>
    <row r="958" spans="2:2" x14ac:dyDescent="0.35">
      <c r="B958">
        <v>0.19993489148580967</v>
      </c>
    </row>
    <row r="959" spans="2:2" x14ac:dyDescent="0.35">
      <c r="B959">
        <v>0.19993489148580967</v>
      </c>
    </row>
    <row r="960" spans="2:2" x14ac:dyDescent="0.35">
      <c r="B960">
        <v>0.19993489148580967</v>
      </c>
    </row>
    <row r="961" spans="2:2" x14ac:dyDescent="0.35">
      <c r="B961">
        <v>0.19993489148580967</v>
      </c>
    </row>
    <row r="962" spans="2:2" x14ac:dyDescent="0.35">
      <c r="B962">
        <v>0.19993489148580967</v>
      </c>
    </row>
    <row r="963" spans="2:2" x14ac:dyDescent="0.35">
      <c r="B963">
        <v>0.19993489148580967</v>
      </c>
    </row>
    <row r="964" spans="2:2" x14ac:dyDescent="0.35">
      <c r="B964">
        <v>0.19993489148580967</v>
      </c>
    </row>
    <row r="965" spans="2:2" x14ac:dyDescent="0.35">
      <c r="B965">
        <v>0.19993489148580967</v>
      </c>
    </row>
    <row r="966" spans="2:2" x14ac:dyDescent="0.35">
      <c r="B966">
        <v>0.19993489148580967</v>
      </c>
    </row>
    <row r="967" spans="2:2" x14ac:dyDescent="0.35">
      <c r="B967">
        <v>0.19993489148580967</v>
      </c>
    </row>
    <row r="968" spans="2:2" x14ac:dyDescent="0.35">
      <c r="B968">
        <v>0.19993489148580967</v>
      </c>
    </row>
    <row r="969" spans="2:2" x14ac:dyDescent="0.35">
      <c r="B969">
        <v>0.19993489148580967</v>
      </c>
    </row>
    <row r="970" spans="2:2" x14ac:dyDescent="0.35">
      <c r="B970">
        <v>0.19993489148580967</v>
      </c>
    </row>
    <row r="971" spans="2:2" x14ac:dyDescent="0.35">
      <c r="B971">
        <v>0.19993489148580967</v>
      </c>
    </row>
    <row r="972" spans="2:2" x14ac:dyDescent="0.35">
      <c r="B972">
        <v>0.19993489148580967</v>
      </c>
    </row>
    <row r="973" spans="2:2" x14ac:dyDescent="0.35">
      <c r="B973">
        <v>0.19993489148580967</v>
      </c>
    </row>
    <row r="974" spans="2:2" x14ac:dyDescent="0.35">
      <c r="B974">
        <v>0.19993489148580967</v>
      </c>
    </row>
    <row r="975" spans="2:2" x14ac:dyDescent="0.35">
      <c r="B975">
        <v>0.19993489148580967</v>
      </c>
    </row>
    <row r="976" spans="2:2" x14ac:dyDescent="0.35">
      <c r="B976">
        <v>0.19993489148580967</v>
      </c>
    </row>
    <row r="977" spans="2:2" x14ac:dyDescent="0.35">
      <c r="B977">
        <v>0.19993489148580967</v>
      </c>
    </row>
    <row r="978" spans="2:2" x14ac:dyDescent="0.35">
      <c r="B978">
        <v>0.19993489148580967</v>
      </c>
    </row>
    <row r="979" spans="2:2" x14ac:dyDescent="0.35">
      <c r="B979">
        <v>0.19993489148580967</v>
      </c>
    </row>
    <row r="980" spans="2:2" x14ac:dyDescent="0.35">
      <c r="B980">
        <v>0.19993489148580967</v>
      </c>
    </row>
    <row r="981" spans="2:2" x14ac:dyDescent="0.35">
      <c r="B981">
        <v>0.19993489148580967</v>
      </c>
    </row>
    <row r="982" spans="2:2" x14ac:dyDescent="0.35">
      <c r="B982">
        <v>0.19993489148580967</v>
      </c>
    </row>
    <row r="983" spans="2:2" x14ac:dyDescent="0.35">
      <c r="B983">
        <v>0.19993489148580967</v>
      </c>
    </row>
    <row r="984" spans="2:2" x14ac:dyDescent="0.35">
      <c r="B984">
        <v>0.19993489148580967</v>
      </c>
    </row>
    <row r="985" spans="2:2" x14ac:dyDescent="0.35">
      <c r="B985">
        <v>0.19993489148580967</v>
      </c>
    </row>
    <row r="986" spans="2:2" x14ac:dyDescent="0.35">
      <c r="B986">
        <v>0.19993489148580967</v>
      </c>
    </row>
    <row r="987" spans="2:2" x14ac:dyDescent="0.35">
      <c r="B987">
        <v>0.19993489148580967</v>
      </c>
    </row>
    <row r="988" spans="2:2" x14ac:dyDescent="0.35">
      <c r="B988">
        <v>0.19993489148580967</v>
      </c>
    </row>
    <row r="989" spans="2:2" x14ac:dyDescent="0.35">
      <c r="B989">
        <v>0.19993489148580967</v>
      </c>
    </row>
    <row r="990" spans="2:2" x14ac:dyDescent="0.35">
      <c r="B990">
        <v>0.19993489148580967</v>
      </c>
    </row>
    <row r="991" spans="2:2" x14ac:dyDescent="0.35">
      <c r="B991">
        <v>0.19993489148580967</v>
      </c>
    </row>
    <row r="992" spans="2:2" x14ac:dyDescent="0.35">
      <c r="B992">
        <v>0.19993489148580967</v>
      </c>
    </row>
    <row r="993" spans="2:2" x14ac:dyDescent="0.35">
      <c r="B993">
        <v>0.19993489148580967</v>
      </c>
    </row>
    <row r="994" spans="2:2" x14ac:dyDescent="0.35">
      <c r="B994">
        <v>0.19993489148580967</v>
      </c>
    </row>
    <row r="995" spans="2:2" x14ac:dyDescent="0.35">
      <c r="B995">
        <v>0.19993489148580967</v>
      </c>
    </row>
    <row r="996" spans="2:2" x14ac:dyDescent="0.35">
      <c r="B996">
        <v>0.19993489148580967</v>
      </c>
    </row>
    <row r="997" spans="2:2" x14ac:dyDescent="0.35">
      <c r="B997">
        <v>0.19993489148580967</v>
      </c>
    </row>
    <row r="998" spans="2:2" x14ac:dyDescent="0.35">
      <c r="B998">
        <v>0.19993489148580967</v>
      </c>
    </row>
    <row r="999" spans="2:2" x14ac:dyDescent="0.35">
      <c r="B999">
        <v>0.19993489148580967</v>
      </c>
    </row>
    <row r="1000" spans="2:2" x14ac:dyDescent="0.35">
      <c r="B1000">
        <v>0.19993489148580967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B115-3E84-4B12-AC38-1B83DB9615D5}">
  <dimension ref="A1:Q611"/>
  <sheetViews>
    <sheetView workbookViewId="0">
      <selection activeCell="Q12" sqref="Q12"/>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10.54296875" bestFit="1" customWidth="1"/>
    <col min="12" max="12" width="11.81640625" bestFit="1" customWidth="1"/>
    <col min="13" max="13" width="6.90625" bestFit="1" customWidth="1"/>
    <col min="14" max="14" width="12.1796875" bestFit="1" customWidth="1"/>
    <col min="15" max="15" width="8.26953125" bestFit="1" customWidth="1"/>
    <col min="16" max="16" width="11.54296875" bestFit="1" customWidth="1"/>
    <col min="17" max="17" width="5.7265625" bestFit="1" customWidth="1"/>
  </cols>
  <sheetData>
    <row r="1" spans="1:17" x14ac:dyDescent="0.35">
      <c r="A1" t="s">
        <v>2</v>
      </c>
      <c r="B1" t="s">
        <v>3</v>
      </c>
      <c r="C1" t="s">
        <v>4</v>
      </c>
      <c r="D1" t="s">
        <v>5</v>
      </c>
      <c r="E1" t="s">
        <v>6</v>
      </c>
      <c r="F1" t="s">
        <v>7</v>
      </c>
      <c r="G1" t="s">
        <v>8</v>
      </c>
      <c r="H1" t="s">
        <v>9</v>
      </c>
      <c r="I1" t="s">
        <v>10</v>
      </c>
      <c r="J1" t="s">
        <v>11</v>
      </c>
      <c r="K1" t="s">
        <v>18</v>
      </c>
      <c r="L1" t="s">
        <v>12</v>
      </c>
      <c r="M1" t="s">
        <v>13</v>
      </c>
      <c r="N1" t="s">
        <v>14</v>
      </c>
      <c r="O1" t="s">
        <v>15</v>
      </c>
      <c r="P1" t="s">
        <v>16</v>
      </c>
      <c r="Q1" t="s">
        <v>17</v>
      </c>
    </row>
    <row r="2" spans="1:17" x14ac:dyDescent="0.35">
      <c r="A2">
        <v>1</v>
      </c>
      <c r="B2" s="1">
        <v>40544</v>
      </c>
      <c r="C2">
        <v>1</v>
      </c>
      <c r="D2">
        <v>0</v>
      </c>
      <c r="E2">
        <v>1</v>
      </c>
      <c r="F2">
        <v>0</v>
      </c>
      <c r="G2">
        <v>0</v>
      </c>
      <c r="H2">
        <v>6</v>
      </c>
      <c r="I2">
        <v>1</v>
      </c>
      <c r="J2">
        <v>0.24</v>
      </c>
      <c r="K2">
        <v>1</v>
      </c>
      <c r="L2">
        <v>0.28789999999999999</v>
      </c>
      <c r="M2">
        <v>0.81</v>
      </c>
      <c r="N2">
        <v>0</v>
      </c>
      <c r="O2">
        <v>3</v>
      </c>
      <c r="P2">
        <v>13</v>
      </c>
      <c r="Q2">
        <v>16</v>
      </c>
    </row>
    <row r="3" spans="1:17" x14ac:dyDescent="0.35">
      <c r="A3">
        <v>2</v>
      </c>
      <c r="B3" s="1">
        <v>40544</v>
      </c>
      <c r="C3">
        <v>1</v>
      </c>
      <c r="D3">
        <v>0</v>
      </c>
      <c r="E3">
        <v>1</v>
      </c>
      <c r="F3">
        <v>1</v>
      </c>
      <c r="G3">
        <v>0</v>
      </c>
      <c r="H3">
        <v>6</v>
      </c>
      <c r="I3">
        <v>1</v>
      </c>
      <c r="J3">
        <v>0.22</v>
      </c>
      <c r="K3">
        <v>2</v>
      </c>
      <c r="L3">
        <v>0.2727</v>
      </c>
      <c r="M3">
        <v>0.8</v>
      </c>
      <c r="N3">
        <v>0</v>
      </c>
      <c r="O3">
        <v>8</v>
      </c>
      <c r="P3">
        <v>32</v>
      </c>
      <c r="Q3">
        <v>40</v>
      </c>
    </row>
    <row r="4" spans="1:17" x14ac:dyDescent="0.35">
      <c r="A4">
        <v>3</v>
      </c>
      <c r="B4" s="1">
        <v>40544</v>
      </c>
      <c r="C4">
        <v>1</v>
      </c>
      <c r="D4">
        <v>0</v>
      </c>
      <c r="E4">
        <v>1</v>
      </c>
      <c r="F4">
        <v>2</v>
      </c>
      <c r="G4">
        <v>0</v>
      </c>
      <c r="H4">
        <v>6</v>
      </c>
      <c r="I4">
        <v>1</v>
      </c>
      <c r="J4">
        <v>0.22</v>
      </c>
      <c r="K4">
        <v>3</v>
      </c>
      <c r="L4">
        <v>0.2727</v>
      </c>
      <c r="M4">
        <v>0.8</v>
      </c>
      <c r="N4">
        <v>0</v>
      </c>
      <c r="O4">
        <v>5</v>
      </c>
      <c r="P4">
        <v>27</v>
      </c>
      <c r="Q4">
        <v>32</v>
      </c>
    </row>
    <row r="5" spans="1:17" x14ac:dyDescent="0.35">
      <c r="A5">
        <v>4</v>
      </c>
      <c r="B5" s="1">
        <v>40544</v>
      </c>
      <c r="C5">
        <v>1</v>
      </c>
      <c r="D5">
        <v>0</v>
      </c>
      <c r="E5">
        <v>1</v>
      </c>
      <c r="F5">
        <v>3</v>
      </c>
      <c r="G5">
        <v>0</v>
      </c>
      <c r="H5">
        <v>6</v>
      </c>
      <c r="I5">
        <v>1</v>
      </c>
      <c r="J5">
        <v>0.24</v>
      </c>
      <c r="K5">
        <v>4</v>
      </c>
      <c r="L5">
        <v>0.28789999999999999</v>
      </c>
      <c r="M5">
        <v>0.75</v>
      </c>
      <c r="N5">
        <v>0</v>
      </c>
      <c r="O5">
        <v>3</v>
      </c>
      <c r="P5">
        <v>10</v>
      </c>
      <c r="Q5">
        <v>13</v>
      </c>
    </row>
    <row r="6" spans="1:17" x14ac:dyDescent="0.35">
      <c r="A6">
        <v>5</v>
      </c>
      <c r="B6" s="1">
        <v>40544</v>
      </c>
      <c r="C6">
        <v>1</v>
      </c>
      <c r="D6">
        <v>0</v>
      </c>
      <c r="E6">
        <v>1</v>
      </c>
      <c r="F6">
        <v>4</v>
      </c>
      <c r="G6">
        <v>0</v>
      </c>
      <c r="H6">
        <v>6</v>
      </c>
      <c r="I6">
        <v>1</v>
      </c>
      <c r="J6">
        <v>0.24</v>
      </c>
      <c r="K6">
        <v>5</v>
      </c>
      <c r="L6">
        <v>0.28789999999999999</v>
      </c>
      <c r="M6">
        <v>0.75</v>
      </c>
      <c r="N6">
        <v>0</v>
      </c>
      <c r="O6">
        <v>0</v>
      </c>
      <c r="P6">
        <v>1</v>
      </c>
      <c r="Q6">
        <v>1</v>
      </c>
    </row>
    <row r="7" spans="1:17" x14ac:dyDescent="0.35">
      <c r="A7">
        <v>6</v>
      </c>
      <c r="B7" s="1">
        <v>40544</v>
      </c>
      <c r="C7">
        <v>1</v>
      </c>
      <c r="D7">
        <v>0</v>
      </c>
      <c r="E7">
        <v>1</v>
      </c>
      <c r="F7">
        <v>5</v>
      </c>
      <c r="G7">
        <v>0</v>
      </c>
      <c r="H7">
        <v>6</v>
      </c>
      <c r="I7">
        <v>2</v>
      </c>
      <c r="J7">
        <v>0.24</v>
      </c>
      <c r="K7">
        <v>6</v>
      </c>
      <c r="L7">
        <v>0.2576</v>
      </c>
      <c r="M7">
        <v>0.75</v>
      </c>
      <c r="N7">
        <v>8.9599999999999999E-2</v>
      </c>
      <c r="O7">
        <v>0</v>
      </c>
      <c r="P7">
        <v>1</v>
      </c>
      <c r="Q7">
        <v>1</v>
      </c>
    </row>
    <row r="8" spans="1:17" x14ac:dyDescent="0.35">
      <c r="A8">
        <v>7</v>
      </c>
      <c r="B8" s="1">
        <v>40544</v>
      </c>
      <c r="C8">
        <v>1</v>
      </c>
      <c r="D8">
        <v>0</v>
      </c>
      <c r="E8">
        <v>1</v>
      </c>
      <c r="F8">
        <v>6</v>
      </c>
      <c r="G8">
        <v>0</v>
      </c>
      <c r="H8">
        <v>6</v>
      </c>
      <c r="I8">
        <v>1</v>
      </c>
      <c r="J8">
        <v>0.22</v>
      </c>
      <c r="K8">
        <v>7</v>
      </c>
      <c r="L8">
        <v>0.2727</v>
      </c>
      <c r="M8">
        <v>0.8</v>
      </c>
      <c r="N8">
        <v>0</v>
      </c>
      <c r="O8">
        <v>2</v>
      </c>
      <c r="P8">
        <v>0</v>
      </c>
      <c r="Q8">
        <v>2</v>
      </c>
    </row>
    <row r="9" spans="1:17" x14ac:dyDescent="0.35">
      <c r="A9">
        <v>8</v>
      </c>
      <c r="B9" s="1">
        <v>40544</v>
      </c>
      <c r="C9">
        <v>1</v>
      </c>
      <c r="D9">
        <v>0</v>
      </c>
      <c r="E9">
        <v>1</v>
      </c>
      <c r="F9">
        <v>7</v>
      </c>
      <c r="G9">
        <v>0</v>
      </c>
      <c r="H9">
        <v>6</v>
      </c>
      <c r="I9">
        <v>1</v>
      </c>
      <c r="J9">
        <v>0.2</v>
      </c>
      <c r="K9">
        <v>8</v>
      </c>
      <c r="L9">
        <v>0.2576</v>
      </c>
      <c r="M9">
        <v>0.86</v>
      </c>
      <c r="N9">
        <v>0</v>
      </c>
      <c r="O9">
        <v>1</v>
      </c>
      <c r="P9">
        <v>2</v>
      </c>
      <c r="Q9">
        <v>3</v>
      </c>
    </row>
    <row r="10" spans="1:17" x14ac:dyDescent="0.35">
      <c r="A10">
        <v>9</v>
      </c>
      <c r="B10" s="1">
        <v>40544</v>
      </c>
      <c r="C10">
        <v>1</v>
      </c>
      <c r="D10">
        <v>0</v>
      </c>
      <c r="E10">
        <v>1</v>
      </c>
      <c r="F10">
        <v>8</v>
      </c>
      <c r="G10">
        <v>0</v>
      </c>
      <c r="H10">
        <v>6</v>
      </c>
      <c r="I10">
        <v>1</v>
      </c>
      <c r="J10">
        <v>0.24</v>
      </c>
      <c r="K10">
        <v>9</v>
      </c>
      <c r="L10">
        <v>0.19993489148580967</v>
      </c>
      <c r="M10">
        <v>0.75</v>
      </c>
      <c r="N10">
        <v>0</v>
      </c>
      <c r="O10">
        <v>1</v>
      </c>
      <c r="P10">
        <v>7</v>
      </c>
      <c r="Q10">
        <v>8</v>
      </c>
    </row>
    <row r="11" spans="1:17" x14ac:dyDescent="0.35">
      <c r="A11">
        <v>10</v>
      </c>
      <c r="B11" s="1">
        <v>40544</v>
      </c>
      <c r="C11">
        <v>1</v>
      </c>
      <c r="D11">
        <v>0</v>
      </c>
      <c r="E11">
        <v>1</v>
      </c>
      <c r="F11">
        <v>9</v>
      </c>
      <c r="G11">
        <v>0</v>
      </c>
      <c r="H11">
        <v>6</v>
      </c>
      <c r="I11">
        <v>1</v>
      </c>
      <c r="J11">
        <v>0.32</v>
      </c>
      <c r="K11">
        <v>10</v>
      </c>
      <c r="L11">
        <v>0.34849999999999998</v>
      </c>
      <c r="M11">
        <v>0.76</v>
      </c>
      <c r="N11">
        <v>0</v>
      </c>
      <c r="O11">
        <v>8</v>
      </c>
      <c r="P11">
        <v>6</v>
      </c>
      <c r="Q11">
        <v>14</v>
      </c>
    </row>
    <row r="12" spans="1:17" x14ac:dyDescent="0.35">
      <c r="A12">
        <v>11</v>
      </c>
      <c r="B12" s="1">
        <v>40544</v>
      </c>
      <c r="C12">
        <v>1</v>
      </c>
      <c r="D12">
        <v>0</v>
      </c>
      <c r="E12">
        <v>1</v>
      </c>
      <c r="F12">
        <v>10</v>
      </c>
      <c r="G12">
        <v>0</v>
      </c>
      <c r="H12">
        <v>6</v>
      </c>
      <c r="I12">
        <v>1</v>
      </c>
      <c r="J12">
        <v>0.38</v>
      </c>
      <c r="K12">
        <v>11</v>
      </c>
      <c r="L12">
        <v>0.39389999999999997</v>
      </c>
      <c r="M12">
        <v>0.76</v>
      </c>
      <c r="N12">
        <v>0.25369999999999998</v>
      </c>
      <c r="O12">
        <v>12</v>
      </c>
      <c r="P12">
        <v>24</v>
      </c>
      <c r="Q12">
        <v>36</v>
      </c>
    </row>
    <row r="13" spans="1:17" x14ac:dyDescent="0.35">
      <c r="A13">
        <v>12</v>
      </c>
      <c r="B13" s="1">
        <v>40544</v>
      </c>
      <c r="C13">
        <v>1</v>
      </c>
      <c r="D13">
        <v>0</v>
      </c>
      <c r="E13">
        <v>1</v>
      </c>
      <c r="F13">
        <v>11</v>
      </c>
      <c r="G13">
        <v>0</v>
      </c>
      <c r="H13">
        <v>6</v>
      </c>
      <c r="I13">
        <v>1</v>
      </c>
      <c r="J13">
        <v>0.36</v>
      </c>
      <c r="K13">
        <v>12</v>
      </c>
      <c r="L13">
        <v>0.33329999999999999</v>
      </c>
      <c r="M13">
        <v>0.81</v>
      </c>
      <c r="N13">
        <v>0.28360000000000002</v>
      </c>
      <c r="O13">
        <v>26</v>
      </c>
      <c r="P13">
        <v>30</v>
      </c>
      <c r="Q13">
        <v>56</v>
      </c>
    </row>
    <row r="14" spans="1:17" x14ac:dyDescent="0.35">
      <c r="A14">
        <v>13</v>
      </c>
      <c r="B14" s="1">
        <v>40544</v>
      </c>
      <c r="C14">
        <v>1</v>
      </c>
      <c r="D14">
        <v>0</v>
      </c>
      <c r="E14">
        <v>1</v>
      </c>
      <c r="F14">
        <v>12</v>
      </c>
      <c r="G14">
        <v>0</v>
      </c>
      <c r="H14">
        <v>6</v>
      </c>
      <c r="I14">
        <v>1</v>
      </c>
      <c r="J14">
        <v>0.42</v>
      </c>
      <c r="K14">
        <v>13</v>
      </c>
      <c r="L14">
        <v>0.42420000000000002</v>
      </c>
      <c r="M14">
        <v>0.77</v>
      </c>
      <c r="N14">
        <v>0.28360000000000002</v>
      </c>
      <c r="O14">
        <v>29</v>
      </c>
      <c r="P14">
        <v>55</v>
      </c>
      <c r="Q14">
        <v>84</v>
      </c>
    </row>
    <row r="15" spans="1:17" x14ac:dyDescent="0.35">
      <c r="A15">
        <v>14</v>
      </c>
      <c r="B15" s="1">
        <v>40544</v>
      </c>
      <c r="C15">
        <v>1</v>
      </c>
      <c r="D15">
        <v>0</v>
      </c>
      <c r="E15">
        <v>1</v>
      </c>
      <c r="F15">
        <v>13</v>
      </c>
      <c r="G15">
        <v>0</v>
      </c>
      <c r="H15">
        <v>6</v>
      </c>
      <c r="I15">
        <v>2</v>
      </c>
      <c r="J15">
        <v>0.46</v>
      </c>
      <c r="K15">
        <v>14</v>
      </c>
      <c r="L15">
        <v>0.45450000000000002</v>
      </c>
      <c r="M15">
        <v>0.72</v>
      </c>
      <c r="N15">
        <v>0.29849999999999999</v>
      </c>
      <c r="O15">
        <v>47</v>
      </c>
      <c r="P15">
        <v>47</v>
      </c>
      <c r="Q15">
        <v>94</v>
      </c>
    </row>
    <row r="16" spans="1:17" x14ac:dyDescent="0.35">
      <c r="A16">
        <v>15</v>
      </c>
      <c r="B16" s="1">
        <v>40544</v>
      </c>
      <c r="C16">
        <v>1</v>
      </c>
      <c r="D16">
        <v>0</v>
      </c>
      <c r="E16">
        <v>1</v>
      </c>
      <c r="F16">
        <v>14</v>
      </c>
      <c r="G16">
        <v>0</v>
      </c>
      <c r="H16">
        <v>6</v>
      </c>
      <c r="I16">
        <v>2</v>
      </c>
      <c r="J16">
        <v>0.46</v>
      </c>
      <c r="K16">
        <v>15</v>
      </c>
      <c r="L16">
        <v>0.45450000000000002</v>
      </c>
      <c r="M16">
        <v>0.72</v>
      </c>
      <c r="N16">
        <v>0.28360000000000002</v>
      </c>
      <c r="O16">
        <v>35</v>
      </c>
      <c r="P16">
        <v>71</v>
      </c>
      <c r="Q16">
        <v>106</v>
      </c>
    </row>
    <row r="17" spans="1:17" x14ac:dyDescent="0.35">
      <c r="A17">
        <v>16</v>
      </c>
      <c r="B17" s="1">
        <v>40544</v>
      </c>
      <c r="C17">
        <v>1</v>
      </c>
      <c r="D17">
        <v>0</v>
      </c>
      <c r="E17">
        <v>1</v>
      </c>
      <c r="F17">
        <v>15</v>
      </c>
      <c r="G17">
        <v>0</v>
      </c>
      <c r="H17">
        <v>6</v>
      </c>
      <c r="I17">
        <v>2</v>
      </c>
      <c r="J17">
        <v>0.44</v>
      </c>
      <c r="K17">
        <v>16</v>
      </c>
      <c r="L17">
        <v>0.43940000000000001</v>
      </c>
      <c r="M17">
        <v>0.77</v>
      </c>
      <c r="N17">
        <v>0.29849999999999999</v>
      </c>
      <c r="O17">
        <v>40</v>
      </c>
      <c r="P17">
        <v>70</v>
      </c>
      <c r="Q17">
        <v>110</v>
      </c>
    </row>
    <row r="18" spans="1:17" x14ac:dyDescent="0.35">
      <c r="A18">
        <v>17</v>
      </c>
      <c r="B18" s="1">
        <v>40544</v>
      </c>
      <c r="C18">
        <v>1</v>
      </c>
      <c r="D18">
        <v>0</v>
      </c>
      <c r="E18">
        <v>1</v>
      </c>
      <c r="F18">
        <v>16</v>
      </c>
      <c r="G18">
        <v>0</v>
      </c>
      <c r="H18">
        <v>6</v>
      </c>
      <c r="I18">
        <v>2</v>
      </c>
      <c r="J18">
        <v>0.42</v>
      </c>
      <c r="K18">
        <v>17</v>
      </c>
      <c r="L18">
        <v>0.42420000000000002</v>
      </c>
      <c r="M18">
        <v>0.82</v>
      </c>
      <c r="N18">
        <v>0.29849999999999999</v>
      </c>
      <c r="O18">
        <v>41</v>
      </c>
      <c r="P18">
        <v>52</v>
      </c>
      <c r="Q18">
        <v>93</v>
      </c>
    </row>
    <row r="19" spans="1:17" x14ac:dyDescent="0.35">
      <c r="A19">
        <v>18</v>
      </c>
      <c r="B19" s="1">
        <v>40544</v>
      </c>
      <c r="C19">
        <v>1</v>
      </c>
      <c r="D19">
        <v>0</v>
      </c>
      <c r="E19">
        <v>1</v>
      </c>
      <c r="F19">
        <v>17</v>
      </c>
      <c r="G19">
        <v>0</v>
      </c>
      <c r="H19">
        <v>6</v>
      </c>
      <c r="I19">
        <v>2</v>
      </c>
      <c r="J19">
        <v>0.44</v>
      </c>
      <c r="K19">
        <v>18</v>
      </c>
      <c r="L19">
        <v>0.19993489148580967</v>
      </c>
      <c r="M19">
        <v>0.82</v>
      </c>
      <c r="N19">
        <v>0.28360000000000002</v>
      </c>
      <c r="O19">
        <v>15</v>
      </c>
      <c r="P19">
        <v>52</v>
      </c>
      <c r="Q19">
        <v>67</v>
      </c>
    </row>
    <row r="20" spans="1:17" x14ac:dyDescent="0.35">
      <c r="A20">
        <v>19</v>
      </c>
      <c r="B20" s="1">
        <v>40544</v>
      </c>
      <c r="C20">
        <v>1</v>
      </c>
      <c r="D20">
        <v>0</v>
      </c>
      <c r="E20">
        <v>1</v>
      </c>
      <c r="F20">
        <v>18</v>
      </c>
      <c r="G20">
        <v>0</v>
      </c>
      <c r="H20">
        <v>6</v>
      </c>
      <c r="I20">
        <v>3</v>
      </c>
      <c r="J20">
        <v>0.42</v>
      </c>
      <c r="K20">
        <v>19</v>
      </c>
      <c r="L20">
        <v>0.42420000000000002</v>
      </c>
      <c r="M20">
        <v>0.88</v>
      </c>
      <c r="N20">
        <v>0.25369999999999998</v>
      </c>
      <c r="O20">
        <v>9</v>
      </c>
      <c r="P20">
        <v>26</v>
      </c>
      <c r="Q20">
        <v>35</v>
      </c>
    </row>
    <row r="21" spans="1:17" x14ac:dyDescent="0.35">
      <c r="A21">
        <v>20</v>
      </c>
      <c r="B21" s="1">
        <v>40544</v>
      </c>
      <c r="C21">
        <v>1</v>
      </c>
      <c r="D21">
        <v>0</v>
      </c>
      <c r="E21">
        <v>1</v>
      </c>
      <c r="F21">
        <v>19</v>
      </c>
      <c r="G21">
        <v>0</v>
      </c>
      <c r="H21">
        <v>6</v>
      </c>
      <c r="I21">
        <v>3</v>
      </c>
      <c r="J21">
        <v>0.42</v>
      </c>
      <c r="K21">
        <v>20</v>
      </c>
      <c r="L21">
        <v>0.42420000000000002</v>
      </c>
      <c r="M21">
        <v>0.88</v>
      </c>
      <c r="N21">
        <v>0.25369999999999998</v>
      </c>
      <c r="O21">
        <v>6</v>
      </c>
      <c r="P21">
        <v>31</v>
      </c>
      <c r="Q21">
        <v>37</v>
      </c>
    </row>
    <row r="22" spans="1:17" x14ac:dyDescent="0.35">
      <c r="A22">
        <v>21</v>
      </c>
      <c r="B22" s="1">
        <v>40544</v>
      </c>
      <c r="C22">
        <v>1</v>
      </c>
      <c r="D22">
        <v>0</v>
      </c>
      <c r="E22">
        <v>1</v>
      </c>
      <c r="F22">
        <v>20</v>
      </c>
      <c r="G22">
        <v>0</v>
      </c>
      <c r="H22">
        <v>6</v>
      </c>
      <c r="I22">
        <v>2</v>
      </c>
      <c r="J22">
        <v>0.4</v>
      </c>
      <c r="K22">
        <v>21</v>
      </c>
      <c r="L22">
        <v>0.40910000000000002</v>
      </c>
      <c r="M22">
        <v>0.87</v>
      </c>
      <c r="N22">
        <v>0.25369999999999998</v>
      </c>
      <c r="O22">
        <v>11</v>
      </c>
      <c r="P22">
        <v>25</v>
      </c>
      <c r="Q22">
        <v>36</v>
      </c>
    </row>
    <row r="23" spans="1:17" x14ac:dyDescent="0.35">
      <c r="A23">
        <v>22</v>
      </c>
      <c r="B23" s="1">
        <v>40544</v>
      </c>
      <c r="C23">
        <v>1</v>
      </c>
      <c r="D23">
        <v>0</v>
      </c>
      <c r="E23">
        <v>1</v>
      </c>
      <c r="F23">
        <v>21</v>
      </c>
      <c r="G23">
        <v>0</v>
      </c>
      <c r="H23">
        <v>6</v>
      </c>
      <c r="I23">
        <v>2</v>
      </c>
      <c r="J23">
        <v>0.4</v>
      </c>
      <c r="K23">
        <v>22</v>
      </c>
      <c r="L23">
        <v>0.40910000000000002</v>
      </c>
      <c r="M23">
        <v>0.87</v>
      </c>
      <c r="N23">
        <v>0.19400000000000001</v>
      </c>
      <c r="O23">
        <v>3</v>
      </c>
      <c r="P23">
        <v>31</v>
      </c>
      <c r="Q23">
        <v>34</v>
      </c>
    </row>
    <row r="24" spans="1:17" x14ac:dyDescent="0.35">
      <c r="A24">
        <v>23</v>
      </c>
      <c r="B24" s="1">
        <v>40544</v>
      </c>
      <c r="C24">
        <v>1</v>
      </c>
      <c r="D24">
        <v>0</v>
      </c>
      <c r="E24">
        <v>1</v>
      </c>
      <c r="F24">
        <v>22</v>
      </c>
      <c r="G24">
        <v>0</v>
      </c>
      <c r="H24">
        <v>6</v>
      </c>
      <c r="I24">
        <v>2</v>
      </c>
      <c r="J24">
        <v>0.4</v>
      </c>
      <c r="K24">
        <v>23</v>
      </c>
      <c r="L24">
        <v>0.40910000000000002</v>
      </c>
      <c r="M24">
        <v>0.94</v>
      </c>
      <c r="N24">
        <v>0.22389999999999999</v>
      </c>
      <c r="O24">
        <v>11</v>
      </c>
      <c r="P24">
        <v>17</v>
      </c>
      <c r="Q24">
        <v>28</v>
      </c>
    </row>
    <row r="25" spans="1:17" x14ac:dyDescent="0.35">
      <c r="A25">
        <v>24</v>
      </c>
      <c r="B25" s="1">
        <v>40544</v>
      </c>
      <c r="C25">
        <v>1</v>
      </c>
      <c r="D25">
        <v>0</v>
      </c>
      <c r="E25">
        <v>1</v>
      </c>
      <c r="F25">
        <v>23</v>
      </c>
      <c r="G25">
        <v>0</v>
      </c>
      <c r="H25">
        <v>6</v>
      </c>
      <c r="I25">
        <v>2</v>
      </c>
      <c r="J25">
        <v>0.46</v>
      </c>
      <c r="K25">
        <v>24</v>
      </c>
      <c r="L25">
        <v>0.19993489148580967</v>
      </c>
      <c r="M25">
        <v>0.88</v>
      </c>
      <c r="N25">
        <v>0.29849999999999999</v>
      </c>
      <c r="O25">
        <v>15</v>
      </c>
      <c r="P25">
        <v>24</v>
      </c>
      <c r="Q25">
        <v>39</v>
      </c>
    </row>
    <row r="26" spans="1:17" x14ac:dyDescent="0.35">
      <c r="A26">
        <v>25</v>
      </c>
      <c r="B26" s="1">
        <v>40545</v>
      </c>
      <c r="C26">
        <v>1</v>
      </c>
      <c r="D26">
        <v>0</v>
      </c>
      <c r="E26">
        <v>1</v>
      </c>
      <c r="F26">
        <v>0</v>
      </c>
      <c r="G26">
        <v>0</v>
      </c>
      <c r="H26">
        <v>0</v>
      </c>
      <c r="I26">
        <v>2</v>
      </c>
      <c r="J26">
        <v>0.46</v>
      </c>
      <c r="K26">
        <v>25</v>
      </c>
      <c r="L26">
        <v>0.45450000000000002</v>
      </c>
      <c r="M26">
        <v>0.88</v>
      </c>
      <c r="N26">
        <v>0.29849999999999999</v>
      </c>
      <c r="O26">
        <v>4</v>
      </c>
      <c r="P26">
        <v>13</v>
      </c>
      <c r="Q26">
        <v>17</v>
      </c>
    </row>
    <row r="27" spans="1:17" x14ac:dyDescent="0.35">
      <c r="A27">
        <v>26</v>
      </c>
      <c r="B27" s="1">
        <v>40545</v>
      </c>
      <c r="C27">
        <v>1</v>
      </c>
      <c r="D27">
        <v>0</v>
      </c>
      <c r="E27">
        <v>1</v>
      </c>
      <c r="F27">
        <v>1</v>
      </c>
      <c r="G27">
        <v>0</v>
      </c>
      <c r="H27">
        <v>0</v>
      </c>
      <c r="I27">
        <v>2</v>
      </c>
      <c r="J27">
        <v>0.44</v>
      </c>
      <c r="K27">
        <v>26</v>
      </c>
      <c r="L27">
        <v>0.43940000000000001</v>
      </c>
      <c r="M27">
        <v>0.94</v>
      </c>
      <c r="N27">
        <v>0.25369999999999998</v>
      </c>
      <c r="O27">
        <v>1</v>
      </c>
      <c r="P27">
        <v>16</v>
      </c>
      <c r="Q27">
        <v>17</v>
      </c>
    </row>
    <row r="28" spans="1:17" x14ac:dyDescent="0.35">
      <c r="A28">
        <v>27</v>
      </c>
      <c r="B28" s="1">
        <v>40545</v>
      </c>
      <c r="C28">
        <v>1</v>
      </c>
      <c r="D28">
        <v>0</v>
      </c>
      <c r="E28">
        <v>1</v>
      </c>
      <c r="F28">
        <v>2</v>
      </c>
      <c r="G28">
        <v>0</v>
      </c>
      <c r="H28">
        <v>0</v>
      </c>
      <c r="I28">
        <v>2</v>
      </c>
      <c r="J28">
        <v>0.42</v>
      </c>
      <c r="K28">
        <v>27</v>
      </c>
      <c r="L28">
        <v>0.42420000000000002</v>
      </c>
      <c r="M28">
        <v>1</v>
      </c>
      <c r="N28">
        <v>0.28360000000000002</v>
      </c>
      <c r="O28">
        <v>1</v>
      </c>
      <c r="P28">
        <v>8</v>
      </c>
      <c r="Q28">
        <v>9</v>
      </c>
    </row>
    <row r="29" spans="1:17" x14ac:dyDescent="0.35">
      <c r="A29">
        <v>28</v>
      </c>
      <c r="B29" s="1">
        <v>40545</v>
      </c>
      <c r="C29">
        <v>1</v>
      </c>
      <c r="D29">
        <v>0</v>
      </c>
      <c r="E29">
        <v>1</v>
      </c>
      <c r="F29">
        <v>3</v>
      </c>
      <c r="G29">
        <v>0</v>
      </c>
      <c r="H29">
        <v>0</v>
      </c>
      <c r="I29">
        <v>2</v>
      </c>
      <c r="J29">
        <v>0.46</v>
      </c>
      <c r="K29">
        <v>28</v>
      </c>
      <c r="L29">
        <v>0.45450000000000002</v>
      </c>
      <c r="M29">
        <v>0.94</v>
      </c>
      <c r="N29">
        <v>0.19400000000000001</v>
      </c>
      <c r="O29">
        <v>2</v>
      </c>
      <c r="P29">
        <v>4</v>
      </c>
      <c r="Q29">
        <v>6</v>
      </c>
    </row>
    <row r="30" spans="1:17" x14ac:dyDescent="0.35">
      <c r="A30">
        <v>29</v>
      </c>
      <c r="B30" s="1">
        <v>40545</v>
      </c>
      <c r="C30">
        <v>1</v>
      </c>
      <c r="D30">
        <v>0</v>
      </c>
      <c r="E30">
        <v>1</v>
      </c>
      <c r="F30">
        <v>4</v>
      </c>
      <c r="G30">
        <v>0</v>
      </c>
      <c r="H30">
        <v>0</v>
      </c>
      <c r="I30">
        <v>2</v>
      </c>
      <c r="J30">
        <v>0.46</v>
      </c>
      <c r="K30">
        <v>29</v>
      </c>
      <c r="L30">
        <v>0.19993489148580967</v>
      </c>
      <c r="M30">
        <v>0.94</v>
      </c>
      <c r="N30">
        <v>0.19400000000000001</v>
      </c>
      <c r="O30">
        <v>2</v>
      </c>
      <c r="P30">
        <v>1</v>
      </c>
      <c r="Q30">
        <v>3</v>
      </c>
    </row>
    <row r="31" spans="1:17" x14ac:dyDescent="0.35">
      <c r="A31">
        <v>30</v>
      </c>
      <c r="B31" s="1">
        <v>40545</v>
      </c>
      <c r="C31">
        <v>1</v>
      </c>
      <c r="D31">
        <v>0</v>
      </c>
      <c r="E31">
        <v>1</v>
      </c>
      <c r="F31">
        <v>6</v>
      </c>
      <c r="G31">
        <v>0</v>
      </c>
      <c r="H31">
        <v>0</v>
      </c>
      <c r="I31">
        <v>3</v>
      </c>
      <c r="J31">
        <v>0.42</v>
      </c>
      <c r="K31">
        <v>30</v>
      </c>
      <c r="L31">
        <v>0.42420000000000002</v>
      </c>
      <c r="M31">
        <v>0.77</v>
      </c>
      <c r="N31">
        <v>0.29849999999999999</v>
      </c>
      <c r="O31">
        <v>0</v>
      </c>
      <c r="P31">
        <v>2</v>
      </c>
      <c r="Q31">
        <v>2</v>
      </c>
    </row>
    <row r="32" spans="1:17" x14ac:dyDescent="0.35">
      <c r="A32">
        <v>31</v>
      </c>
      <c r="B32" s="1">
        <v>40545</v>
      </c>
      <c r="C32">
        <v>1</v>
      </c>
      <c r="D32">
        <v>0</v>
      </c>
      <c r="E32">
        <v>1</v>
      </c>
      <c r="F32">
        <v>7</v>
      </c>
      <c r="G32">
        <v>0</v>
      </c>
      <c r="H32">
        <v>0</v>
      </c>
      <c r="I32">
        <v>2</v>
      </c>
      <c r="J32">
        <v>0.4</v>
      </c>
      <c r="K32">
        <v>31</v>
      </c>
      <c r="L32">
        <v>0.40910000000000002</v>
      </c>
      <c r="M32">
        <v>0.76</v>
      </c>
      <c r="N32">
        <v>0.19400000000000001</v>
      </c>
      <c r="O32">
        <v>0</v>
      </c>
      <c r="P32">
        <v>1</v>
      </c>
      <c r="Q32">
        <v>1</v>
      </c>
    </row>
    <row r="33" spans="1:17" x14ac:dyDescent="0.35">
      <c r="A33">
        <v>32</v>
      </c>
      <c r="B33" s="1">
        <v>40545</v>
      </c>
      <c r="C33">
        <v>1</v>
      </c>
      <c r="D33">
        <v>0</v>
      </c>
      <c r="E33">
        <v>1</v>
      </c>
      <c r="F33">
        <v>8</v>
      </c>
      <c r="G33">
        <v>0</v>
      </c>
      <c r="H33">
        <v>0</v>
      </c>
      <c r="I33">
        <v>3</v>
      </c>
      <c r="J33">
        <v>0.4</v>
      </c>
      <c r="K33">
        <v>32</v>
      </c>
      <c r="L33">
        <v>0.40910000000000002</v>
      </c>
      <c r="M33">
        <v>0.71</v>
      </c>
      <c r="N33">
        <v>0.22389999999999999</v>
      </c>
      <c r="O33">
        <v>0</v>
      </c>
      <c r="P33">
        <v>8</v>
      </c>
      <c r="Q33">
        <v>8</v>
      </c>
    </row>
    <row r="34" spans="1:17" x14ac:dyDescent="0.35">
      <c r="A34">
        <v>33</v>
      </c>
      <c r="B34" s="1">
        <v>40545</v>
      </c>
      <c r="C34">
        <v>1</v>
      </c>
      <c r="D34">
        <v>0</v>
      </c>
      <c r="E34">
        <v>1</v>
      </c>
      <c r="F34">
        <v>9</v>
      </c>
      <c r="G34">
        <v>0</v>
      </c>
      <c r="H34">
        <v>0</v>
      </c>
      <c r="I34">
        <v>2</v>
      </c>
      <c r="J34">
        <v>0.38</v>
      </c>
      <c r="K34">
        <v>33</v>
      </c>
      <c r="L34">
        <v>0.19993489148580967</v>
      </c>
      <c r="M34">
        <v>0.76</v>
      </c>
      <c r="N34">
        <v>0.22389999999999999</v>
      </c>
      <c r="O34">
        <v>1</v>
      </c>
      <c r="P34">
        <v>19</v>
      </c>
      <c r="Q34">
        <v>20</v>
      </c>
    </row>
    <row r="35" spans="1:17" x14ac:dyDescent="0.35">
      <c r="A35">
        <v>34</v>
      </c>
      <c r="B35" s="1">
        <v>40545</v>
      </c>
      <c r="C35">
        <v>1</v>
      </c>
      <c r="D35">
        <v>0</v>
      </c>
      <c r="E35">
        <v>1</v>
      </c>
      <c r="F35">
        <v>10</v>
      </c>
      <c r="G35">
        <v>0</v>
      </c>
      <c r="H35">
        <v>0</v>
      </c>
      <c r="I35">
        <v>2</v>
      </c>
      <c r="J35">
        <v>0.36</v>
      </c>
      <c r="K35">
        <v>34</v>
      </c>
      <c r="L35">
        <v>0.34849999999999998</v>
      </c>
      <c r="M35">
        <v>0.81</v>
      </c>
      <c r="N35">
        <v>0.22389999999999999</v>
      </c>
      <c r="O35">
        <v>7</v>
      </c>
      <c r="P35">
        <v>46</v>
      </c>
      <c r="Q35">
        <v>53</v>
      </c>
    </row>
    <row r="36" spans="1:17" x14ac:dyDescent="0.35">
      <c r="A36">
        <v>35</v>
      </c>
      <c r="B36" s="1">
        <v>40545</v>
      </c>
      <c r="C36">
        <v>1</v>
      </c>
      <c r="D36">
        <v>0</v>
      </c>
      <c r="E36">
        <v>1</v>
      </c>
      <c r="F36">
        <v>11</v>
      </c>
      <c r="G36">
        <v>0</v>
      </c>
      <c r="H36">
        <v>0</v>
      </c>
      <c r="I36">
        <v>2</v>
      </c>
      <c r="J36">
        <v>0.36</v>
      </c>
      <c r="K36">
        <v>35</v>
      </c>
      <c r="L36">
        <v>0.33329999999999999</v>
      </c>
      <c r="M36">
        <v>0.71</v>
      </c>
      <c r="N36">
        <v>0.25369999999999998</v>
      </c>
      <c r="O36">
        <v>16</v>
      </c>
      <c r="P36">
        <v>54</v>
      </c>
      <c r="Q36">
        <v>70</v>
      </c>
    </row>
    <row r="37" spans="1:17" x14ac:dyDescent="0.35">
      <c r="A37">
        <v>36</v>
      </c>
      <c r="B37" s="1">
        <v>40545</v>
      </c>
      <c r="C37">
        <v>1</v>
      </c>
      <c r="D37">
        <v>0</v>
      </c>
      <c r="E37">
        <v>1</v>
      </c>
      <c r="F37">
        <v>12</v>
      </c>
      <c r="G37">
        <v>0</v>
      </c>
      <c r="H37">
        <v>0</v>
      </c>
      <c r="I37">
        <v>2</v>
      </c>
      <c r="J37">
        <v>0.36</v>
      </c>
      <c r="K37">
        <v>36</v>
      </c>
      <c r="L37">
        <v>0.33329999999999999</v>
      </c>
      <c r="M37">
        <v>0.66</v>
      </c>
      <c r="N37">
        <v>0.29849999999999999</v>
      </c>
      <c r="O37">
        <v>20</v>
      </c>
      <c r="P37">
        <v>73</v>
      </c>
      <c r="Q37">
        <v>93</v>
      </c>
    </row>
    <row r="38" spans="1:17" x14ac:dyDescent="0.35">
      <c r="A38">
        <v>37</v>
      </c>
      <c r="B38" s="1">
        <v>40545</v>
      </c>
      <c r="C38">
        <v>1</v>
      </c>
      <c r="D38">
        <v>0</v>
      </c>
      <c r="E38">
        <v>1</v>
      </c>
      <c r="F38">
        <v>13</v>
      </c>
      <c r="G38">
        <v>0</v>
      </c>
      <c r="H38">
        <v>0</v>
      </c>
      <c r="I38">
        <v>2</v>
      </c>
      <c r="J38">
        <v>0.36</v>
      </c>
      <c r="K38">
        <v>37</v>
      </c>
      <c r="L38">
        <v>0.34849999999999998</v>
      </c>
      <c r="M38">
        <v>0.66</v>
      </c>
      <c r="N38">
        <v>0.1343</v>
      </c>
      <c r="O38">
        <v>11</v>
      </c>
      <c r="P38">
        <v>64</v>
      </c>
      <c r="Q38">
        <v>75</v>
      </c>
    </row>
    <row r="39" spans="1:17" x14ac:dyDescent="0.35">
      <c r="A39">
        <v>38</v>
      </c>
      <c r="B39" s="1">
        <v>40545</v>
      </c>
      <c r="C39">
        <v>1</v>
      </c>
      <c r="D39">
        <v>0</v>
      </c>
      <c r="E39">
        <v>1</v>
      </c>
      <c r="F39">
        <v>14</v>
      </c>
      <c r="G39">
        <v>0</v>
      </c>
      <c r="H39">
        <v>0</v>
      </c>
      <c r="I39">
        <v>3</v>
      </c>
      <c r="J39">
        <v>0.36</v>
      </c>
      <c r="K39">
        <v>38</v>
      </c>
      <c r="L39">
        <v>0.19993489148580967</v>
      </c>
      <c r="M39">
        <v>0.76</v>
      </c>
      <c r="N39">
        <v>0.19400000000000001</v>
      </c>
      <c r="O39">
        <v>4</v>
      </c>
      <c r="P39">
        <v>55</v>
      </c>
      <c r="Q39">
        <v>59</v>
      </c>
    </row>
    <row r="40" spans="1:17" x14ac:dyDescent="0.35">
      <c r="A40">
        <v>39</v>
      </c>
      <c r="B40" s="1">
        <v>40545</v>
      </c>
      <c r="C40">
        <v>1</v>
      </c>
      <c r="D40">
        <v>0</v>
      </c>
      <c r="E40">
        <v>1</v>
      </c>
      <c r="F40">
        <v>15</v>
      </c>
      <c r="G40">
        <v>0</v>
      </c>
      <c r="H40">
        <v>0</v>
      </c>
      <c r="I40">
        <v>3</v>
      </c>
      <c r="J40">
        <v>0.34</v>
      </c>
      <c r="K40">
        <v>39</v>
      </c>
      <c r="L40">
        <v>0.33329999999999999</v>
      </c>
      <c r="M40">
        <v>0.81</v>
      </c>
      <c r="N40">
        <v>0.16420000000000001</v>
      </c>
      <c r="O40">
        <v>19</v>
      </c>
      <c r="P40">
        <v>55</v>
      </c>
      <c r="Q40">
        <v>74</v>
      </c>
    </row>
    <row r="41" spans="1:17" x14ac:dyDescent="0.35">
      <c r="A41">
        <v>40</v>
      </c>
      <c r="B41" s="1">
        <v>40545</v>
      </c>
      <c r="C41">
        <v>1</v>
      </c>
      <c r="D41">
        <v>0</v>
      </c>
      <c r="E41">
        <v>1</v>
      </c>
      <c r="F41">
        <v>16</v>
      </c>
      <c r="G41">
        <v>0</v>
      </c>
      <c r="H41">
        <v>0</v>
      </c>
      <c r="I41">
        <v>3</v>
      </c>
      <c r="J41">
        <v>0.34</v>
      </c>
      <c r="K41">
        <v>40</v>
      </c>
      <c r="L41">
        <v>0.33329999999999999</v>
      </c>
      <c r="M41">
        <v>0.71</v>
      </c>
      <c r="N41">
        <v>0.16420000000000001</v>
      </c>
      <c r="O41">
        <v>9</v>
      </c>
      <c r="P41">
        <v>67</v>
      </c>
      <c r="Q41">
        <v>76</v>
      </c>
    </row>
    <row r="42" spans="1:17" x14ac:dyDescent="0.35">
      <c r="A42">
        <v>41</v>
      </c>
      <c r="B42" s="1">
        <v>40545</v>
      </c>
      <c r="C42">
        <v>1</v>
      </c>
      <c r="D42">
        <v>0</v>
      </c>
      <c r="E42">
        <v>1</v>
      </c>
      <c r="F42">
        <v>17</v>
      </c>
      <c r="G42">
        <v>0</v>
      </c>
      <c r="H42">
        <v>0</v>
      </c>
      <c r="I42">
        <v>1</v>
      </c>
      <c r="J42">
        <v>0.34</v>
      </c>
      <c r="K42">
        <v>41</v>
      </c>
      <c r="L42">
        <v>0.33329999999999999</v>
      </c>
      <c r="M42">
        <v>0.56999999999999995</v>
      </c>
      <c r="N42">
        <v>0.19400000000000001</v>
      </c>
      <c r="O42">
        <v>7</v>
      </c>
      <c r="P42">
        <v>58</v>
      </c>
      <c r="Q42">
        <v>65</v>
      </c>
    </row>
    <row r="43" spans="1:17" x14ac:dyDescent="0.35">
      <c r="A43">
        <v>42</v>
      </c>
      <c r="B43" s="1">
        <v>40545</v>
      </c>
      <c r="C43">
        <v>1</v>
      </c>
      <c r="D43">
        <v>0</v>
      </c>
      <c r="E43">
        <v>1</v>
      </c>
      <c r="F43">
        <v>18</v>
      </c>
      <c r="G43">
        <v>0</v>
      </c>
      <c r="H43">
        <v>0</v>
      </c>
      <c r="I43">
        <v>2</v>
      </c>
      <c r="J43">
        <v>0.36</v>
      </c>
      <c r="K43">
        <v>42</v>
      </c>
      <c r="L43">
        <v>0.33329999999999999</v>
      </c>
      <c r="M43">
        <v>0.46</v>
      </c>
      <c r="N43">
        <v>0.32840000000000003</v>
      </c>
      <c r="O43">
        <v>10</v>
      </c>
      <c r="P43">
        <v>43</v>
      </c>
      <c r="Q43">
        <v>53</v>
      </c>
    </row>
    <row r="44" spans="1:17" x14ac:dyDescent="0.35">
      <c r="A44">
        <v>43</v>
      </c>
      <c r="B44" s="1">
        <v>40545</v>
      </c>
      <c r="C44">
        <v>1</v>
      </c>
      <c r="D44">
        <v>0</v>
      </c>
      <c r="E44">
        <v>1</v>
      </c>
      <c r="F44">
        <v>19</v>
      </c>
      <c r="G44">
        <v>0</v>
      </c>
      <c r="H44">
        <v>0</v>
      </c>
      <c r="I44">
        <v>1</v>
      </c>
      <c r="J44">
        <v>0.32</v>
      </c>
      <c r="K44">
        <v>43</v>
      </c>
      <c r="L44">
        <v>0.28789999999999999</v>
      </c>
      <c r="M44">
        <v>0.42</v>
      </c>
      <c r="N44">
        <v>0.44779999999999998</v>
      </c>
      <c r="O44">
        <v>1</v>
      </c>
      <c r="P44">
        <v>29</v>
      </c>
      <c r="Q44">
        <v>30</v>
      </c>
    </row>
    <row r="45" spans="1:17" x14ac:dyDescent="0.35">
      <c r="A45">
        <v>44</v>
      </c>
      <c r="B45" s="1">
        <v>40545</v>
      </c>
      <c r="C45">
        <v>1</v>
      </c>
      <c r="D45">
        <v>0</v>
      </c>
      <c r="E45">
        <v>1</v>
      </c>
      <c r="F45">
        <v>20</v>
      </c>
      <c r="G45">
        <v>0</v>
      </c>
      <c r="H45">
        <v>0</v>
      </c>
      <c r="I45">
        <v>1</v>
      </c>
      <c r="J45">
        <v>0.3</v>
      </c>
      <c r="K45">
        <v>44</v>
      </c>
      <c r="L45">
        <v>0.19993489148580967</v>
      </c>
      <c r="M45">
        <v>0.39</v>
      </c>
      <c r="N45">
        <v>0.35820000000000002</v>
      </c>
      <c r="O45">
        <v>5</v>
      </c>
      <c r="P45">
        <v>17</v>
      </c>
      <c r="Q45">
        <v>22</v>
      </c>
    </row>
    <row r="46" spans="1:17" x14ac:dyDescent="0.35">
      <c r="A46">
        <v>45</v>
      </c>
      <c r="B46" s="1">
        <v>40545</v>
      </c>
      <c r="C46">
        <v>1</v>
      </c>
      <c r="D46">
        <v>0</v>
      </c>
      <c r="E46">
        <v>1</v>
      </c>
      <c r="F46">
        <v>21</v>
      </c>
      <c r="G46">
        <v>0</v>
      </c>
      <c r="H46">
        <v>0</v>
      </c>
      <c r="I46">
        <v>1</v>
      </c>
      <c r="J46">
        <v>0.26</v>
      </c>
      <c r="K46">
        <v>45</v>
      </c>
      <c r="L46">
        <v>0.2273</v>
      </c>
      <c r="M46">
        <v>0.44</v>
      </c>
      <c r="N46">
        <v>0.32840000000000003</v>
      </c>
      <c r="O46">
        <v>11</v>
      </c>
      <c r="P46">
        <v>20</v>
      </c>
      <c r="Q46">
        <v>31</v>
      </c>
    </row>
    <row r="47" spans="1:17" x14ac:dyDescent="0.35">
      <c r="A47">
        <v>46</v>
      </c>
      <c r="B47" s="1">
        <v>40545</v>
      </c>
      <c r="C47">
        <v>1</v>
      </c>
      <c r="D47">
        <v>0</v>
      </c>
      <c r="E47">
        <v>1</v>
      </c>
      <c r="F47">
        <v>22</v>
      </c>
      <c r="G47">
        <v>0</v>
      </c>
      <c r="H47">
        <v>0</v>
      </c>
      <c r="I47">
        <v>1</v>
      </c>
      <c r="J47">
        <v>0.24</v>
      </c>
      <c r="K47">
        <v>46</v>
      </c>
      <c r="L47">
        <v>0.21210000000000001</v>
      </c>
      <c r="M47">
        <v>0.44</v>
      </c>
      <c r="N47">
        <v>0.29849999999999999</v>
      </c>
      <c r="O47">
        <v>0</v>
      </c>
      <c r="P47">
        <v>9</v>
      </c>
      <c r="Q47">
        <v>9</v>
      </c>
    </row>
    <row r="48" spans="1:17" x14ac:dyDescent="0.35">
      <c r="A48">
        <v>47</v>
      </c>
      <c r="B48" s="1">
        <v>40545</v>
      </c>
      <c r="C48">
        <v>1</v>
      </c>
      <c r="D48">
        <v>0</v>
      </c>
      <c r="E48">
        <v>1</v>
      </c>
      <c r="F48">
        <v>23</v>
      </c>
      <c r="G48">
        <v>0</v>
      </c>
      <c r="H48">
        <v>0</v>
      </c>
      <c r="I48">
        <v>1</v>
      </c>
      <c r="J48">
        <v>0.22</v>
      </c>
      <c r="K48">
        <v>47</v>
      </c>
      <c r="L48">
        <v>0.2273</v>
      </c>
      <c r="M48">
        <v>0.47</v>
      </c>
      <c r="N48">
        <v>0.16420000000000001</v>
      </c>
      <c r="O48">
        <v>0</v>
      </c>
      <c r="P48">
        <v>8</v>
      </c>
      <c r="Q48">
        <v>8</v>
      </c>
    </row>
    <row r="49" spans="1:17" x14ac:dyDescent="0.35">
      <c r="A49">
        <v>48</v>
      </c>
      <c r="B49" s="1">
        <v>40546</v>
      </c>
      <c r="C49">
        <v>1</v>
      </c>
      <c r="D49">
        <v>0</v>
      </c>
      <c r="E49">
        <v>1</v>
      </c>
      <c r="F49">
        <v>0</v>
      </c>
      <c r="G49">
        <v>0</v>
      </c>
      <c r="H49">
        <v>1</v>
      </c>
      <c r="I49">
        <v>1</v>
      </c>
      <c r="J49">
        <v>0.22</v>
      </c>
      <c r="K49">
        <v>48</v>
      </c>
      <c r="L49">
        <v>0.19700000000000001</v>
      </c>
      <c r="M49">
        <v>0.44</v>
      </c>
      <c r="N49">
        <v>0.35820000000000002</v>
      </c>
      <c r="O49">
        <v>0</v>
      </c>
      <c r="P49">
        <v>5</v>
      </c>
      <c r="Q49">
        <v>5</v>
      </c>
    </row>
    <row r="50" spans="1:17" x14ac:dyDescent="0.35">
      <c r="A50">
        <v>49</v>
      </c>
      <c r="B50" s="1">
        <v>40546</v>
      </c>
      <c r="C50">
        <v>1</v>
      </c>
      <c r="D50">
        <v>0</v>
      </c>
      <c r="E50">
        <v>1</v>
      </c>
      <c r="F50">
        <v>1</v>
      </c>
      <c r="G50">
        <v>0</v>
      </c>
      <c r="H50">
        <v>1</v>
      </c>
      <c r="I50">
        <v>1</v>
      </c>
      <c r="J50">
        <v>0.2</v>
      </c>
      <c r="K50">
        <v>49</v>
      </c>
      <c r="L50">
        <v>0.19993489148580967</v>
      </c>
      <c r="M50">
        <v>0.44</v>
      </c>
      <c r="N50">
        <v>0.41789999999999999</v>
      </c>
      <c r="O50">
        <v>0</v>
      </c>
      <c r="P50">
        <v>2</v>
      </c>
      <c r="Q50">
        <v>2</v>
      </c>
    </row>
    <row r="51" spans="1:17" x14ac:dyDescent="0.35">
      <c r="A51">
        <v>50</v>
      </c>
      <c r="B51" s="1">
        <v>40546</v>
      </c>
      <c r="C51">
        <v>1</v>
      </c>
      <c r="D51">
        <v>0</v>
      </c>
      <c r="E51">
        <v>1</v>
      </c>
      <c r="F51">
        <v>4</v>
      </c>
      <c r="G51">
        <v>0</v>
      </c>
      <c r="H51">
        <v>1</v>
      </c>
      <c r="I51">
        <v>1</v>
      </c>
      <c r="J51">
        <v>0.16</v>
      </c>
      <c r="K51">
        <v>50</v>
      </c>
      <c r="L51">
        <v>0.13639999999999999</v>
      </c>
      <c r="M51">
        <v>0.47</v>
      </c>
      <c r="N51">
        <v>0.3881</v>
      </c>
      <c r="O51">
        <v>0</v>
      </c>
      <c r="P51">
        <v>1</v>
      </c>
      <c r="Q51">
        <v>1</v>
      </c>
    </row>
    <row r="52" spans="1:17" x14ac:dyDescent="0.35">
      <c r="A52">
        <v>51</v>
      </c>
      <c r="B52" s="1">
        <v>40546</v>
      </c>
      <c r="C52">
        <v>1</v>
      </c>
      <c r="D52">
        <v>0</v>
      </c>
      <c r="E52">
        <v>1</v>
      </c>
      <c r="F52">
        <v>5</v>
      </c>
      <c r="G52">
        <v>0</v>
      </c>
      <c r="H52">
        <v>1</v>
      </c>
      <c r="I52">
        <v>1</v>
      </c>
      <c r="J52">
        <v>0.16</v>
      </c>
      <c r="K52">
        <v>51</v>
      </c>
      <c r="L52">
        <v>0.13639999999999999</v>
      </c>
      <c r="M52">
        <v>0.47</v>
      </c>
      <c r="N52">
        <v>0.28360000000000002</v>
      </c>
      <c r="O52">
        <v>0</v>
      </c>
      <c r="P52">
        <v>3</v>
      </c>
      <c r="Q52">
        <v>3</v>
      </c>
    </row>
    <row r="53" spans="1:17" x14ac:dyDescent="0.35">
      <c r="A53">
        <v>52</v>
      </c>
      <c r="B53" s="1">
        <v>40546</v>
      </c>
      <c r="C53">
        <v>1</v>
      </c>
      <c r="D53">
        <v>0</v>
      </c>
      <c r="E53">
        <v>1</v>
      </c>
      <c r="F53">
        <v>6</v>
      </c>
      <c r="G53">
        <v>0</v>
      </c>
      <c r="H53">
        <v>1</v>
      </c>
      <c r="I53">
        <v>1</v>
      </c>
      <c r="J53">
        <v>0.14000000000000001</v>
      </c>
      <c r="K53">
        <v>52</v>
      </c>
      <c r="L53">
        <v>0.1061</v>
      </c>
      <c r="M53">
        <v>0.5</v>
      </c>
      <c r="N53">
        <v>0.3881</v>
      </c>
      <c r="O53">
        <v>0</v>
      </c>
      <c r="P53">
        <v>30</v>
      </c>
      <c r="Q53">
        <v>30</v>
      </c>
    </row>
    <row r="54" spans="1:17" x14ac:dyDescent="0.35">
      <c r="A54">
        <v>53</v>
      </c>
      <c r="B54" s="1">
        <v>40546</v>
      </c>
      <c r="C54">
        <v>1</v>
      </c>
      <c r="D54">
        <v>0</v>
      </c>
      <c r="E54">
        <v>1</v>
      </c>
      <c r="F54">
        <v>7</v>
      </c>
      <c r="G54">
        <v>0</v>
      </c>
      <c r="H54">
        <v>1</v>
      </c>
      <c r="I54">
        <v>1</v>
      </c>
      <c r="J54">
        <v>0.14000000000000001</v>
      </c>
      <c r="K54">
        <v>53</v>
      </c>
      <c r="L54">
        <v>0.13639999999999999</v>
      </c>
      <c r="M54">
        <v>0.5</v>
      </c>
      <c r="N54">
        <v>0.19400000000000001</v>
      </c>
      <c r="O54">
        <v>1</v>
      </c>
      <c r="P54">
        <v>63</v>
      </c>
      <c r="Q54">
        <v>64</v>
      </c>
    </row>
    <row r="55" spans="1:17" x14ac:dyDescent="0.35">
      <c r="A55">
        <v>54</v>
      </c>
      <c r="B55" s="1">
        <v>40546</v>
      </c>
      <c r="C55">
        <v>1</v>
      </c>
      <c r="D55">
        <v>0</v>
      </c>
      <c r="E55">
        <v>1</v>
      </c>
      <c r="F55">
        <v>8</v>
      </c>
      <c r="G55">
        <v>0</v>
      </c>
      <c r="H55">
        <v>1</v>
      </c>
      <c r="I55">
        <v>1</v>
      </c>
      <c r="J55">
        <v>0.14000000000000001</v>
      </c>
      <c r="K55">
        <v>54</v>
      </c>
      <c r="L55">
        <v>0.1212</v>
      </c>
      <c r="M55">
        <v>0.5</v>
      </c>
      <c r="N55">
        <v>0.28360000000000002</v>
      </c>
      <c r="O55">
        <v>1</v>
      </c>
      <c r="P55">
        <v>153</v>
      </c>
      <c r="Q55">
        <v>154</v>
      </c>
    </row>
    <row r="56" spans="1:17" x14ac:dyDescent="0.35">
      <c r="A56">
        <v>55</v>
      </c>
      <c r="B56" s="1">
        <v>40546</v>
      </c>
      <c r="C56">
        <v>1</v>
      </c>
      <c r="D56">
        <v>0</v>
      </c>
      <c r="E56">
        <v>1</v>
      </c>
      <c r="F56">
        <v>9</v>
      </c>
      <c r="G56">
        <v>0</v>
      </c>
      <c r="H56">
        <v>1</v>
      </c>
      <c r="I56">
        <v>1</v>
      </c>
      <c r="J56">
        <v>0.16</v>
      </c>
      <c r="K56">
        <v>55</v>
      </c>
      <c r="L56">
        <v>0.13639999999999999</v>
      </c>
      <c r="M56">
        <v>0.43</v>
      </c>
      <c r="N56">
        <v>0.3881</v>
      </c>
      <c r="O56">
        <v>7</v>
      </c>
      <c r="P56">
        <v>81</v>
      </c>
      <c r="Q56">
        <v>88</v>
      </c>
    </row>
    <row r="57" spans="1:17" x14ac:dyDescent="0.35">
      <c r="A57">
        <v>56</v>
      </c>
      <c r="B57" s="1">
        <v>40546</v>
      </c>
      <c r="C57">
        <v>1</v>
      </c>
      <c r="D57">
        <v>0</v>
      </c>
      <c r="E57">
        <v>1</v>
      </c>
      <c r="F57">
        <v>10</v>
      </c>
      <c r="G57">
        <v>0</v>
      </c>
      <c r="H57">
        <v>1</v>
      </c>
      <c r="I57">
        <v>1</v>
      </c>
      <c r="J57">
        <v>0.18</v>
      </c>
      <c r="K57">
        <v>56</v>
      </c>
      <c r="L57">
        <v>0.16669999999999999</v>
      </c>
      <c r="M57">
        <v>0.43</v>
      </c>
      <c r="N57">
        <v>0.25369999999999998</v>
      </c>
      <c r="O57">
        <v>11</v>
      </c>
      <c r="P57">
        <v>33</v>
      </c>
      <c r="Q57">
        <v>44</v>
      </c>
    </row>
    <row r="58" spans="1:17" x14ac:dyDescent="0.35">
      <c r="A58">
        <v>57</v>
      </c>
      <c r="B58" s="1">
        <v>40546</v>
      </c>
      <c r="C58">
        <v>1</v>
      </c>
      <c r="D58">
        <v>0</v>
      </c>
      <c r="E58">
        <v>1</v>
      </c>
      <c r="F58">
        <v>11</v>
      </c>
      <c r="G58">
        <v>0</v>
      </c>
      <c r="H58">
        <v>1</v>
      </c>
      <c r="I58">
        <v>1</v>
      </c>
      <c r="J58">
        <v>0.2</v>
      </c>
      <c r="K58">
        <v>57</v>
      </c>
      <c r="L58">
        <v>0.18179999999999999</v>
      </c>
      <c r="M58">
        <v>0.4</v>
      </c>
      <c r="N58">
        <v>0.32840000000000003</v>
      </c>
      <c r="O58">
        <v>10</v>
      </c>
      <c r="P58">
        <v>41</v>
      </c>
      <c r="Q58">
        <v>51</v>
      </c>
    </row>
    <row r="59" spans="1:17" x14ac:dyDescent="0.35">
      <c r="A59">
        <v>58</v>
      </c>
      <c r="B59" s="1">
        <v>40546</v>
      </c>
      <c r="C59">
        <v>1</v>
      </c>
      <c r="D59">
        <v>0</v>
      </c>
      <c r="E59">
        <v>1</v>
      </c>
      <c r="F59">
        <v>12</v>
      </c>
      <c r="G59">
        <v>0</v>
      </c>
      <c r="H59">
        <v>1</v>
      </c>
      <c r="I59">
        <v>1</v>
      </c>
      <c r="J59">
        <v>0.22</v>
      </c>
      <c r="K59">
        <v>58</v>
      </c>
      <c r="L59">
        <v>0.21210000000000001</v>
      </c>
      <c r="M59">
        <v>0.35</v>
      </c>
      <c r="N59">
        <v>0.29849999999999999</v>
      </c>
      <c r="O59">
        <v>13</v>
      </c>
      <c r="P59">
        <v>48</v>
      </c>
      <c r="Q59">
        <v>61</v>
      </c>
    </row>
    <row r="60" spans="1:17" x14ac:dyDescent="0.35">
      <c r="A60">
        <v>59</v>
      </c>
      <c r="B60" s="1">
        <v>40546</v>
      </c>
      <c r="C60">
        <v>1</v>
      </c>
      <c r="D60">
        <v>0</v>
      </c>
      <c r="E60">
        <v>1</v>
      </c>
      <c r="F60">
        <v>13</v>
      </c>
      <c r="G60">
        <v>0</v>
      </c>
      <c r="H60">
        <v>1</v>
      </c>
      <c r="I60">
        <v>1</v>
      </c>
      <c r="J60">
        <v>0.24</v>
      </c>
      <c r="K60">
        <v>59</v>
      </c>
      <c r="L60">
        <v>0.19993489148580967</v>
      </c>
      <c r="M60">
        <v>0.35</v>
      </c>
      <c r="N60">
        <v>0.28360000000000002</v>
      </c>
      <c r="O60">
        <v>8</v>
      </c>
      <c r="P60">
        <v>53</v>
      </c>
      <c r="Q60">
        <v>61</v>
      </c>
    </row>
    <row r="61" spans="1:17" x14ac:dyDescent="0.35">
      <c r="A61">
        <v>60</v>
      </c>
      <c r="B61" s="1">
        <v>40546</v>
      </c>
      <c r="C61">
        <v>1</v>
      </c>
      <c r="D61">
        <v>0</v>
      </c>
      <c r="E61">
        <v>1</v>
      </c>
      <c r="F61">
        <v>14</v>
      </c>
      <c r="G61">
        <v>0</v>
      </c>
      <c r="H61">
        <v>1</v>
      </c>
      <c r="I61">
        <v>1</v>
      </c>
      <c r="J61">
        <v>0.26</v>
      </c>
      <c r="K61">
        <v>60</v>
      </c>
      <c r="L61">
        <v>0.2424</v>
      </c>
      <c r="M61">
        <v>0.3</v>
      </c>
      <c r="N61">
        <v>0.28360000000000002</v>
      </c>
      <c r="O61">
        <v>11</v>
      </c>
      <c r="P61">
        <v>66</v>
      </c>
      <c r="Q61">
        <v>77</v>
      </c>
    </row>
    <row r="62" spans="1:17" x14ac:dyDescent="0.35">
      <c r="A62">
        <v>61</v>
      </c>
      <c r="B62" s="1">
        <v>40546</v>
      </c>
      <c r="C62">
        <v>1</v>
      </c>
      <c r="D62">
        <v>0</v>
      </c>
      <c r="E62">
        <v>1</v>
      </c>
      <c r="F62">
        <v>15</v>
      </c>
      <c r="G62">
        <v>0</v>
      </c>
      <c r="H62">
        <v>1</v>
      </c>
      <c r="I62">
        <v>1</v>
      </c>
      <c r="J62">
        <v>0.26</v>
      </c>
      <c r="K62">
        <v>61</v>
      </c>
      <c r="L62">
        <v>0.2424</v>
      </c>
      <c r="M62">
        <v>0.3</v>
      </c>
      <c r="N62">
        <v>0.25369999999999998</v>
      </c>
      <c r="O62">
        <v>14</v>
      </c>
      <c r="P62">
        <v>58</v>
      </c>
      <c r="Q62">
        <v>72</v>
      </c>
    </row>
    <row r="63" spans="1:17" x14ac:dyDescent="0.35">
      <c r="A63">
        <v>62</v>
      </c>
      <c r="B63" s="1">
        <v>40546</v>
      </c>
      <c r="C63">
        <v>1</v>
      </c>
      <c r="D63">
        <v>0</v>
      </c>
      <c r="E63">
        <v>1</v>
      </c>
      <c r="F63">
        <v>16</v>
      </c>
      <c r="G63">
        <v>0</v>
      </c>
      <c r="H63">
        <v>1</v>
      </c>
      <c r="I63">
        <v>1</v>
      </c>
      <c r="J63">
        <v>0.26</v>
      </c>
      <c r="K63">
        <v>62</v>
      </c>
      <c r="L63">
        <v>0.2424</v>
      </c>
      <c r="M63">
        <v>0.3</v>
      </c>
      <c r="N63">
        <v>0.25369999999999998</v>
      </c>
      <c r="O63">
        <v>9</v>
      </c>
      <c r="P63">
        <v>67</v>
      </c>
      <c r="Q63">
        <v>76</v>
      </c>
    </row>
    <row r="64" spans="1:17" x14ac:dyDescent="0.35">
      <c r="A64">
        <v>63</v>
      </c>
      <c r="B64" s="1">
        <v>40546</v>
      </c>
      <c r="C64">
        <v>1</v>
      </c>
      <c r="D64">
        <v>0</v>
      </c>
      <c r="E64">
        <v>1</v>
      </c>
      <c r="F64">
        <v>17</v>
      </c>
      <c r="G64">
        <v>0</v>
      </c>
      <c r="H64">
        <v>1</v>
      </c>
      <c r="I64">
        <v>1</v>
      </c>
      <c r="J64">
        <v>0.24</v>
      </c>
      <c r="K64">
        <v>63</v>
      </c>
      <c r="L64">
        <v>0.2273</v>
      </c>
      <c r="M64">
        <v>0.3</v>
      </c>
      <c r="N64">
        <v>0.22389999999999999</v>
      </c>
      <c r="O64">
        <v>11</v>
      </c>
      <c r="P64">
        <v>146</v>
      </c>
      <c r="Q64">
        <v>157</v>
      </c>
    </row>
    <row r="65" spans="1:17" x14ac:dyDescent="0.35">
      <c r="A65">
        <v>64</v>
      </c>
      <c r="B65" s="1">
        <v>40546</v>
      </c>
      <c r="C65">
        <v>1</v>
      </c>
      <c r="D65">
        <v>0</v>
      </c>
      <c r="E65">
        <v>1</v>
      </c>
      <c r="F65">
        <v>18</v>
      </c>
      <c r="G65">
        <v>0</v>
      </c>
      <c r="H65">
        <v>1</v>
      </c>
      <c r="I65">
        <v>1</v>
      </c>
      <c r="J65">
        <v>0.24</v>
      </c>
      <c r="K65">
        <v>64</v>
      </c>
      <c r="L65">
        <v>0.2576</v>
      </c>
      <c r="M65">
        <v>0.32</v>
      </c>
      <c r="N65">
        <v>0.1045</v>
      </c>
      <c r="O65">
        <v>9</v>
      </c>
      <c r="P65">
        <v>148</v>
      </c>
      <c r="Q65">
        <v>157</v>
      </c>
    </row>
    <row r="66" spans="1:17" x14ac:dyDescent="0.35">
      <c r="A66">
        <v>65</v>
      </c>
      <c r="B66" s="1">
        <v>40546</v>
      </c>
      <c r="C66">
        <v>1</v>
      </c>
      <c r="D66">
        <v>0</v>
      </c>
      <c r="E66">
        <v>1</v>
      </c>
      <c r="F66">
        <v>19</v>
      </c>
      <c r="G66">
        <v>0</v>
      </c>
      <c r="H66">
        <v>1</v>
      </c>
      <c r="I66">
        <v>1</v>
      </c>
      <c r="J66">
        <v>0.2</v>
      </c>
      <c r="K66">
        <v>65</v>
      </c>
      <c r="L66">
        <v>0.2576</v>
      </c>
      <c r="M66">
        <v>0.47</v>
      </c>
      <c r="N66">
        <v>0</v>
      </c>
      <c r="O66">
        <v>8</v>
      </c>
      <c r="P66">
        <v>102</v>
      </c>
      <c r="Q66">
        <v>110</v>
      </c>
    </row>
    <row r="67" spans="1:17" x14ac:dyDescent="0.35">
      <c r="A67">
        <v>66</v>
      </c>
      <c r="B67" s="1">
        <v>40546</v>
      </c>
      <c r="C67">
        <v>1</v>
      </c>
      <c r="D67">
        <v>0</v>
      </c>
      <c r="E67">
        <v>1</v>
      </c>
      <c r="F67">
        <v>20</v>
      </c>
      <c r="G67">
        <v>0</v>
      </c>
      <c r="H67">
        <v>1</v>
      </c>
      <c r="I67">
        <v>1</v>
      </c>
      <c r="J67">
        <v>0.2</v>
      </c>
      <c r="K67">
        <v>66</v>
      </c>
      <c r="L67">
        <v>0.19993489148580967</v>
      </c>
      <c r="M67">
        <v>0.47</v>
      </c>
      <c r="N67">
        <v>0.1045</v>
      </c>
      <c r="O67">
        <v>3</v>
      </c>
      <c r="P67">
        <v>49</v>
      </c>
      <c r="Q67">
        <v>52</v>
      </c>
    </row>
    <row r="68" spans="1:17" x14ac:dyDescent="0.35">
      <c r="A68">
        <v>67</v>
      </c>
      <c r="B68" s="1">
        <v>40546</v>
      </c>
      <c r="C68">
        <v>1</v>
      </c>
      <c r="D68">
        <v>0</v>
      </c>
      <c r="E68">
        <v>1</v>
      </c>
      <c r="F68">
        <v>21</v>
      </c>
      <c r="G68">
        <v>0</v>
      </c>
      <c r="H68">
        <v>1</v>
      </c>
      <c r="I68">
        <v>1</v>
      </c>
      <c r="J68">
        <v>0.18</v>
      </c>
      <c r="K68">
        <v>67</v>
      </c>
      <c r="L68">
        <v>0.19700000000000001</v>
      </c>
      <c r="M68">
        <v>0.64</v>
      </c>
      <c r="N68">
        <v>0.1343</v>
      </c>
      <c r="O68">
        <v>3</v>
      </c>
      <c r="P68">
        <v>49</v>
      </c>
      <c r="Q68">
        <v>52</v>
      </c>
    </row>
    <row r="69" spans="1:17" x14ac:dyDescent="0.35">
      <c r="A69">
        <v>68</v>
      </c>
      <c r="B69" s="1">
        <v>40546</v>
      </c>
      <c r="C69">
        <v>1</v>
      </c>
      <c r="D69">
        <v>0</v>
      </c>
      <c r="E69">
        <v>1</v>
      </c>
      <c r="F69">
        <v>22</v>
      </c>
      <c r="G69">
        <v>0</v>
      </c>
      <c r="H69">
        <v>1</v>
      </c>
      <c r="I69">
        <v>1</v>
      </c>
      <c r="J69">
        <v>0.14000000000000001</v>
      </c>
      <c r="K69">
        <v>68</v>
      </c>
      <c r="L69">
        <v>0.1515</v>
      </c>
      <c r="M69">
        <v>0.69</v>
      </c>
      <c r="N69">
        <v>0.1343</v>
      </c>
      <c r="O69">
        <v>0</v>
      </c>
      <c r="P69">
        <v>20</v>
      </c>
      <c r="Q69">
        <v>20</v>
      </c>
    </row>
    <row r="70" spans="1:17" x14ac:dyDescent="0.35">
      <c r="A70">
        <v>69</v>
      </c>
      <c r="B70" s="1">
        <v>40546</v>
      </c>
      <c r="C70">
        <v>1</v>
      </c>
      <c r="D70">
        <v>0</v>
      </c>
      <c r="E70">
        <v>1</v>
      </c>
      <c r="F70">
        <v>23</v>
      </c>
      <c r="G70">
        <v>0</v>
      </c>
      <c r="H70">
        <v>1</v>
      </c>
      <c r="I70">
        <v>1</v>
      </c>
      <c r="J70">
        <v>0.18</v>
      </c>
      <c r="K70">
        <v>69</v>
      </c>
      <c r="L70">
        <v>0.21210000000000001</v>
      </c>
      <c r="M70">
        <v>0.55000000000000004</v>
      </c>
      <c r="N70">
        <v>0.1045</v>
      </c>
      <c r="O70">
        <v>1</v>
      </c>
      <c r="P70">
        <v>11</v>
      </c>
      <c r="Q70">
        <v>12</v>
      </c>
    </row>
    <row r="71" spans="1:17" x14ac:dyDescent="0.35">
      <c r="A71">
        <v>70</v>
      </c>
      <c r="B71" s="1">
        <v>40547</v>
      </c>
      <c r="C71">
        <v>1</v>
      </c>
      <c r="D71">
        <v>0</v>
      </c>
      <c r="E71">
        <v>1</v>
      </c>
      <c r="F71">
        <v>0</v>
      </c>
      <c r="G71">
        <v>0</v>
      </c>
      <c r="H71">
        <v>2</v>
      </c>
      <c r="I71">
        <v>1</v>
      </c>
      <c r="J71">
        <v>0.16</v>
      </c>
      <c r="K71">
        <v>70</v>
      </c>
      <c r="L71">
        <v>0.19993489148580967</v>
      </c>
      <c r="M71">
        <v>0.55000000000000004</v>
      </c>
      <c r="N71">
        <v>0.1045</v>
      </c>
      <c r="O71">
        <v>0</v>
      </c>
      <c r="P71">
        <v>5</v>
      </c>
      <c r="Q71">
        <v>5</v>
      </c>
    </row>
    <row r="72" spans="1:17" x14ac:dyDescent="0.35">
      <c r="A72">
        <v>71</v>
      </c>
      <c r="B72" s="1">
        <v>40547</v>
      </c>
      <c r="C72">
        <v>1</v>
      </c>
      <c r="D72">
        <v>0</v>
      </c>
      <c r="E72">
        <v>1</v>
      </c>
      <c r="F72">
        <v>1</v>
      </c>
      <c r="G72">
        <v>0</v>
      </c>
      <c r="H72">
        <v>2</v>
      </c>
      <c r="I72">
        <v>1</v>
      </c>
      <c r="J72">
        <v>0.16</v>
      </c>
      <c r="K72">
        <v>71</v>
      </c>
      <c r="L72">
        <v>0.18179999999999999</v>
      </c>
      <c r="M72">
        <v>0.59</v>
      </c>
      <c r="N72">
        <v>0.1045</v>
      </c>
      <c r="O72">
        <v>0</v>
      </c>
      <c r="P72">
        <v>2</v>
      </c>
      <c r="Q72">
        <v>2</v>
      </c>
    </row>
    <row r="73" spans="1:17" x14ac:dyDescent="0.35">
      <c r="A73">
        <v>72</v>
      </c>
      <c r="B73" s="1">
        <v>40547</v>
      </c>
      <c r="C73">
        <v>1</v>
      </c>
      <c r="D73">
        <v>0</v>
      </c>
      <c r="E73">
        <v>1</v>
      </c>
      <c r="F73">
        <v>2</v>
      </c>
      <c r="G73">
        <v>0</v>
      </c>
      <c r="H73">
        <v>2</v>
      </c>
      <c r="I73">
        <v>1</v>
      </c>
      <c r="J73">
        <v>0.14000000000000001</v>
      </c>
      <c r="K73">
        <v>72</v>
      </c>
      <c r="L73">
        <v>0.1515</v>
      </c>
      <c r="M73">
        <v>0.63</v>
      </c>
      <c r="N73">
        <v>0.1343</v>
      </c>
      <c r="O73">
        <v>0</v>
      </c>
      <c r="P73">
        <v>1</v>
      </c>
      <c r="Q73">
        <v>1</v>
      </c>
    </row>
    <row r="74" spans="1:17" x14ac:dyDescent="0.35">
      <c r="A74">
        <v>73</v>
      </c>
      <c r="B74" s="1">
        <v>40547</v>
      </c>
      <c r="C74">
        <v>1</v>
      </c>
      <c r="D74">
        <v>0</v>
      </c>
      <c r="E74">
        <v>1</v>
      </c>
      <c r="F74">
        <v>4</v>
      </c>
      <c r="G74">
        <v>0</v>
      </c>
      <c r="H74">
        <v>2</v>
      </c>
      <c r="I74">
        <v>1</v>
      </c>
      <c r="J74">
        <v>0.14000000000000001</v>
      </c>
      <c r="K74">
        <v>73</v>
      </c>
      <c r="L74">
        <v>0.18179999999999999</v>
      </c>
      <c r="M74">
        <v>0.63</v>
      </c>
      <c r="N74">
        <v>8.9599999999999999E-2</v>
      </c>
      <c r="O74">
        <v>0</v>
      </c>
      <c r="P74">
        <v>2</v>
      </c>
      <c r="Q74">
        <v>2</v>
      </c>
    </row>
    <row r="75" spans="1:17" x14ac:dyDescent="0.35">
      <c r="A75">
        <v>74</v>
      </c>
      <c r="B75" s="1">
        <v>40547</v>
      </c>
      <c r="C75">
        <v>1</v>
      </c>
      <c r="D75">
        <v>0</v>
      </c>
      <c r="E75">
        <v>1</v>
      </c>
      <c r="F75">
        <v>5</v>
      </c>
      <c r="G75">
        <v>0</v>
      </c>
      <c r="H75">
        <v>2</v>
      </c>
      <c r="I75">
        <v>1</v>
      </c>
      <c r="J75">
        <v>0.12</v>
      </c>
      <c r="K75">
        <v>74</v>
      </c>
      <c r="L75">
        <v>0.1515</v>
      </c>
      <c r="M75">
        <v>0.68</v>
      </c>
      <c r="N75">
        <v>0.1045</v>
      </c>
      <c r="O75">
        <v>0</v>
      </c>
      <c r="P75">
        <v>4</v>
      </c>
      <c r="Q75">
        <v>4</v>
      </c>
    </row>
    <row r="76" spans="1:17" x14ac:dyDescent="0.35">
      <c r="A76">
        <v>75</v>
      </c>
      <c r="B76" s="1">
        <v>40547</v>
      </c>
      <c r="C76">
        <v>1</v>
      </c>
      <c r="D76">
        <v>0</v>
      </c>
      <c r="E76">
        <v>1</v>
      </c>
      <c r="F76">
        <v>6</v>
      </c>
      <c r="G76">
        <v>0</v>
      </c>
      <c r="H76">
        <v>2</v>
      </c>
      <c r="I76">
        <v>1</v>
      </c>
      <c r="J76">
        <v>0.12</v>
      </c>
      <c r="K76">
        <v>75</v>
      </c>
      <c r="L76">
        <v>0.1515</v>
      </c>
      <c r="M76">
        <v>0.74</v>
      </c>
      <c r="N76">
        <v>0.1045</v>
      </c>
      <c r="O76">
        <v>0</v>
      </c>
      <c r="P76">
        <v>36</v>
      </c>
      <c r="Q76">
        <v>36</v>
      </c>
    </row>
    <row r="77" spans="1:17" x14ac:dyDescent="0.35">
      <c r="A77">
        <v>76</v>
      </c>
      <c r="B77" s="1">
        <v>40547</v>
      </c>
      <c r="C77">
        <v>1</v>
      </c>
      <c r="D77">
        <v>0</v>
      </c>
      <c r="E77">
        <v>1</v>
      </c>
      <c r="F77">
        <v>7</v>
      </c>
      <c r="G77">
        <v>0</v>
      </c>
      <c r="H77">
        <v>2</v>
      </c>
      <c r="I77">
        <v>1</v>
      </c>
      <c r="J77">
        <v>0.12</v>
      </c>
      <c r="K77">
        <v>76</v>
      </c>
      <c r="L77">
        <v>0.1515</v>
      </c>
      <c r="M77">
        <v>0.74</v>
      </c>
      <c r="N77">
        <v>0.1343</v>
      </c>
      <c r="O77">
        <v>2</v>
      </c>
      <c r="P77">
        <v>92</v>
      </c>
      <c r="Q77">
        <v>94</v>
      </c>
    </row>
    <row r="78" spans="1:17" x14ac:dyDescent="0.35">
      <c r="A78">
        <v>77</v>
      </c>
      <c r="B78" s="1">
        <v>40547</v>
      </c>
      <c r="C78">
        <v>1</v>
      </c>
      <c r="D78">
        <v>0</v>
      </c>
      <c r="E78">
        <v>1</v>
      </c>
      <c r="F78">
        <v>8</v>
      </c>
      <c r="G78">
        <v>0</v>
      </c>
      <c r="H78">
        <v>2</v>
      </c>
      <c r="I78">
        <v>1</v>
      </c>
      <c r="J78">
        <v>0.14000000000000001</v>
      </c>
      <c r="K78">
        <v>77</v>
      </c>
      <c r="L78">
        <v>0.1515</v>
      </c>
      <c r="M78">
        <v>0.69</v>
      </c>
      <c r="N78">
        <v>0.16420000000000001</v>
      </c>
      <c r="O78">
        <v>2</v>
      </c>
      <c r="P78">
        <v>177</v>
      </c>
      <c r="Q78">
        <v>179</v>
      </c>
    </row>
    <row r="79" spans="1:17" x14ac:dyDescent="0.35">
      <c r="A79">
        <v>78</v>
      </c>
      <c r="B79" s="1">
        <v>40547</v>
      </c>
      <c r="C79">
        <v>1</v>
      </c>
      <c r="D79">
        <v>0</v>
      </c>
      <c r="E79">
        <v>1</v>
      </c>
      <c r="F79">
        <v>9</v>
      </c>
      <c r="G79">
        <v>0</v>
      </c>
      <c r="H79">
        <v>2</v>
      </c>
      <c r="I79">
        <v>1</v>
      </c>
      <c r="J79">
        <v>0.16</v>
      </c>
      <c r="K79">
        <v>78</v>
      </c>
      <c r="L79">
        <v>0.1515</v>
      </c>
      <c r="M79">
        <v>0.64</v>
      </c>
      <c r="N79">
        <v>0.22389999999999999</v>
      </c>
      <c r="O79">
        <v>2</v>
      </c>
      <c r="P79">
        <v>98</v>
      </c>
      <c r="Q79">
        <v>100</v>
      </c>
    </row>
    <row r="80" spans="1:17" x14ac:dyDescent="0.35">
      <c r="A80">
        <v>79</v>
      </c>
      <c r="B80" s="1">
        <v>40547</v>
      </c>
      <c r="C80">
        <v>1</v>
      </c>
      <c r="D80">
        <v>0</v>
      </c>
      <c r="E80">
        <v>1</v>
      </c>
      <c r="F80">
        <v>10</v>
      </c>
      <c r="G80">
        <v>0</v>
      </c>
      <c r="H80">
        <v>2</v>
      </c>
      <c r="I80">
        <v>2</v>
      </c>
      <c r="J80">
        <v>0.16</v>
      </c>
      <c r="K80">
        <v>79</v>
      </c>
      <c r="L80">
        <v>0.13639999999999999</v>
      </c>
      <c r="M80">
        <v>0.69</v>
      </c>
      <c r="N80">
        <v>0.32840000000000003</v>
      </c>
      <c r="O80">
        <v>5</v>
      </c>
      <c r="P80">
        <v>37</v>
      </c>
      <c r="Q80">
        <v>42</v>
      </c>
    </row>
    <row r="81" spans="1:17" x14ac:dyDescent="0.35">
      <c r="A81">
        <v>80</v>
      </c>
      <c r="B81" s="1">
        <v>40547</v>
      </c>
      <c r="C81">
        <v>1</v>
      </c>
      <c r="D81">
        <v>0</v>
      </c>
      <c r="E81">
        <v>1</v>
      </c>
      <c r="F81">
        <v>11</v>
      </c>
      <c r="G81">
        <v>0</v>
      </c>
      <c r="H81">
        <v>2</v>
      </c>
      <c r="I81">
        <v>1</v>
      </c>
      <c r="J81">
        <v>0.22</v>
      </c>
      <c r="K81">
        <v>80</v>
      </c>
      <c r="L81">
        <v>0.21210000000000001</v>
      </c>
      <c r="M81">
        <v>0.51</v>
      </c>
      <c r="N81">
        <v>0.29849999999999999</v>
      </c>
      <c r="O81">
        <v>7</v>
      </c>
      <c r="P81">
        <v>50</v>
      </c>
      <c r="Q81">
        <v>57</v>
      </c>
    </row>
    <row r="82" spans="1:17" x14ac:dyDescent="0.35">
      <c r="A82">
        <v>81</v>
      </c>
      <c r="B82" s="1">
        <v>40547</v>
      </c>
      <c r="C82">
        <v>1</v>
      </c>
      <c r="D82">
        <v>0</v>
      </c>
      <c r="E82">
        <v>1</v>
      </c>
      <c r="F82">
        <v>12</v>
      </c>
      <c r="G82">
        <v>0</v>
      </c>
      <c r="H82">
        <v>2</v>
      </c>
      <c r="I82">
        <v>1</v>
      </c>
      <c r="J82">
        <v>0.22</v>
      </c>
      <c r="K82">
        <v>81</v>
      </c>
      <c r="L82">
        <v>0.2273</v>
      </c>
      <c r="M82">
        <v>0.51</v>
      </c>
      <c r="N82">
        <v>0.16420000000000001</v>
      </c>
      <c r="O82">
        <v>12</v>
      </c>
      <c r="P82">
        <v>66</v>
      </c>
      <c r="Q82">
        <v>78</v>
      </c>
    </row>
    <row r="83" spans="1:17" x14ac:dyDescent="0.35">
      <c r="A83">
        <v>82</v>
      </c>
      <c r="B83" s="1">
        <v>40547</v>
      </c>
      <c r="C83">
        <v>1</v>
      </c>
      <c r="D83">
        <v>0</v>
      </c>
      <c r="E83">
        <v>1</v>
      </c>
      <c r="F83">
        <v>13</v>
      </c>
      <c r="G83">
        <v>0</v>
      </c>
      <c r="H83">
        <v>2</v>
      </c>
      <c r="I83">
        <v>1</v>
      </c>
      <c r="J83">
        <v>0.24</v>
      </c>
      <c r="K83">
        <v>82</v>
      </c>
      <c r="L83">
        <v>0.2273</v>
      </c>
      <c r="M83">
        <v>0.56000000000000005</v>
      </c>
      <c r="N83">
        <v>0.19400000000000001</v>
      </c>
      <c r="O83">
        <v>18</v>
      </c>
      <c r="P83">
        <v>79</v>
      </c>
      <c r="Q83">
        <v>97</v>
      </c>
    </row>
    <row r="84" spans="1:17" x14ac:dyDescent="0.35">
      <c r="A84">
        <v>83</v>
      </c>
      <c r="B84" s="1">
        <v>40547</v>
      </c>
      <c r="C84">
        <v>1</v>
      </c>
      <c r="D84">
        <v>0</v>
      </c>
      <c r="E84">
        <v>1</v>
      </c>
      <c r="F84">
        <v>14</v>
      </c>
      <c r="G84">
        <v>0</v>
      </c>
      <c r="H84">
        <v>2</v>
      </c>
      <c r="I84">
        <v>1</v>
      </c>
      <c r="J84">
        <v>0.26</v>
      </c>
      <c r="K84">
        <v>83</v>
      </c>
      <c r="L84">
        <v>0.2576</v>
      </c>
      <c r="M84">
        <v>0.52</v>
      </c>
      <c r="N84">
        <v>0.22389999999999999</v>
      </c>
      <c r="O84">
        <v>9</v>
      </c>
      <c r="P84">
        <v>54</v>
      </c>
      <c r="Q84">
        <v>63</v>
      </c>
    </row>
    <row r="85" spans="1:17" x14ac:dyDescent="0.35">
      <c r="A85">
        <v>84</v>
      </c>
      <c r="B85" s="1">
        <v>40547</v>
      </c>
      <c r="C85">
        <v>1</v>
      </c>
      <c r="D85">
        <v>0</v>
      </c>
      <c r="E85">
        <v>1</v>
      </c>
      <c r="F85">
        <v>15</v>
      </c>
      <c r="G85">
        <v>0</v>
      </c>
      <c r="H85">
        <v>2</v>
      </c>
      <c r="I85">
        <v>1</v>
      </c>
      <c r="J85">
        <v>0.28000000000000003</v>
      </c>
      <c r="K85">
        <v>84</v>
      </c>
      <c r="L85">
        <v>0.2727</v>
      </c>
      <c r="M85">
        <v>0.52</v>
      </c>
      <c r="N85">
        <v>0.25369999999999998</v>
      </c>
      <c r="O85">
        <v>17</v>
      </c>
      <c r="P85">
        <v>48</v>
      </c>
      <c r="Q85">
        <v>65</v>
      </c>
    </row>
    <row r="86" spans="1:17" x14ac:dyDescent="0.35">
      <c r="A86">
        <v>85</v>
      </c>
      <c r="B86" s="1">
        <v>40547</v>
      </c>
      <c r="C86">
        <v>1</v>
      </c>
      <c r="D86">
        <v>0</v>
      </c>
      <c r="E86">
        <v>1</v>
      </c>
      <c r="F86">
        <v>16</v>
      </c>
      <c r="G86">
        <v>0</v>
      </c>
      <c r="H86">
        <v>2</v>
      </c>
      <c r="I86">
        <v>1</v>
      </c>
      <c r="J86">
        <v>0.3</v>
      </c>
      <c r="K86">
        <v>85</v>
      </c>
      <c r="L86">
        <v>0.28789999999999999</v>
      </c>
      <c r="M86">
        <v>0.49</v>
      </c>
      <c r="N86">
        <v>0.25369999999999998</v>
      </c>
      <c r="O86">
        <v>15</v>
      </c>
      <c r="P86">
        <v>68</v>
      </c>
      <c r="Q86">
        <v>83</v>
      </c>
    </row>
    <row r="87" spans="1:17" x14ac:dyDescent="0.35">
      <c r="A87">
        <v>86</v>
      </c>
      <c r="B87" s="1">
        <v>40547</v>
      </c>
      <c r="C87">
        <v>1</v>
      </c>
      <c r="D87">
        <v>0</v>
      </c>
      <c r="E87">
        <v>1</v>
      </c>
      <c r="F87">
        <v>17</v>
      </c>
      <c r="G87">
        <v>0</v>
      </c>
      <c r="H87">
        <v>2</v>
      </c>
      <c r="I87">
        <v>1</v>
      </c>
      <c r="J87">
        <v>0.28000000000000003</v>
      </c>
      <c r="K87">
        <v>86</v>
      </c>
      <c r="L87">
        <v>0.2727</v>
      </c>
      <c r="M87">
        <v>0.48</v>
      </c>
      <c r="N87">
        <v>0.22389999999999999</v>
      </c>
      <c r="O87">
        <v>10</v>
      </c>
      <c r="P87">
        <v>202</v>
      </c>
      <c r="Q87">
        <v>212</v>
      </c>
    </row>
    <row r="88" spans="1:17" x14ac:dyDescent="0.35">
      <c r="A88">
        <v>87</v>
      </c>
      <c r="B88" s="1">
        <v>40547</v>
      </c>
      <c r="C88">
        <v>1</v>
      </c>
      <c r="D88">
        <v>0</v>
      </c>
      <c r="E88">
        <v>1</v>
      </c>
      <c r="F88">
        <v>18</v>
      </c>
      <c r="G88">
        <v>0</v>
      </c>
      <c r="H88">
        <v>2</v>
      </c>
      <c r="I88">
        <v>1</v>
      </c>
      <c r="J88">
        <v>0.26</v>
      </c>
      <c r="K88">
        <v>87</v>
      </c>
      <c r="L88">
        <v>0.2576</v>
      </c>
      <c r="M88">
        <v>0.48</v>
      </c>
      <c r="N88">
        <v>0.19400000000000001</v>
      </c>
      <c r="O88">
        <v>3</v>
      </c>
      <c r="P88">
        <v>179</v>
      </c>
      <c r="Q88">
        <v>182</v>
      </c>
    </row>
    <row r="89" spans="1:17" x14ac:dyDescent="0.35">
      <c r="A89">
        <v>88</v>
      </c>
      <c r="B89" s="1">
        <v>40547</v>
      </c>
      <c r="C89">
        <v>1</v>
      </c>
      <c r="D89">
        <v>0</v>
      </c>
      <c r="E89">
        <v>1</v>
      </c>
      <c r="F89">
        <v>19</v>
      </c>
      <c r="G89">
        <v>0</v>
      </c>
      <c r="H89">
        <v>2</v>
      </c>
      <c r="I89">
        <v>1</v>
      </c>
      <c r="J89">
        <v>0.24</v>
      </c>
      <c r="K89">
        <v>88</v>
      </c>
      <c r="L89">
        <v>0.2576</v>
      </c>
      <c r="M89">
        <v>0.48</v>
      </c>
      <c r="N89">
        <v>0.1045</v>
      </c>
      <c r="O89">
        <v>2</v>
      </c>
      <c r="P89">
        <v>110</v>
      </c>
      <c r="Q89">
        <v>112</v>
      </c>
    </row>
    <row r="90" spans="1:17" x14ac:dyDescent="0.35">
      <c r="A90">
        <v>89</v>
      </c>
      <c r="B90" s="1">
        <v>40547</v>
      </c>
      <c r="C90">
        <v>1</v>
      </c>
      <c r="D90">
        <v>0</v>
      </c>
      <c r="E90">
        <v>1</v>
      </c>
      <c r="F90">
        <v>20</v>
      </c>
      <c r="G90">
        <v>0</v>
      </c>
      <c r="H90">
        <v>2</v>
      </c>
      <c r="I90">
        <v>1</v>
      </c>
      <c r="J90">
        <v>0.24</v>
      </c>
      <c r="K90">
        <v>89</v>
      </c>
      <c r="L90">
        <v>0.2576</v>
      </c>
      <c r="M90">
        <v>0.48</v>
      </c>
      <c r="N90">
        <v>0.1045</v>
      </c>
      <c r="O90">
        <v>1</v>
      </c>
      <c r="P90">
        <v>53</v>
      </c>
      <c r="Q90">
        <v>54</v>
      </c>
    </row>
    <row r="91" spans="1:17" x14ac:dyDescent="0.35">
      <c r="A91">
        <v>90</v>
      </c>
      <c r="B91" s="1">
        <v>40547</v>
      </c>
      <c r="C91">
        <v>1</v>
      </c>
      <c r="D91">
        <v>0</v>
      </c>
      <c r="E91">
        <v>1</v>
      </c>
      <c r="F91">
        <v>21</v>
      </c>
      <c r="G91">
        <v>0</v>
      </c>
      <c r="H91">
        <v>2</v>
      </c>
      <c r="I91">
        <v>1</v>
      </c>
      <c r="J91">
        <v>0.22</v>
      </c>
      <c r="K91">
        <v>90</v>
      </c>
      <c r="L91">
        <v>0.2727</v>
      </c>
      <c r="M91">
        <v>0.64</v>
      </c>
      <c r="N91">
        <v>0</v>
      </c>
      <c r="O91">
        <v>0</v>
      </c>
      <c r="P91">
        <v>48</v>
      </c>
      <c r="Q91">
        <v>48</v>
      </c>
    </row>
    <row r="92" spans="1:17" x14ac:dyDescent="0.35">
      <c r="A92">
        <v>91</v>
      </c>
      <c r="B92" s="1">
        <v>40547</v>
      </c>
      <c r="C92">
        <v>1</v>
      </c>
      <c r="D92">
        <v>0</v>
      </c>
      <c r="E92">
        <v>1</v>
      </c>
      <c r="F92">
        <v>22</v>
      </c>
      <c r="G92">
        <v>0</v>
      </c>
      <c r="H92">
        <v>2</v>
      </c>
      <c r="I92">
        <v>1</v>
      </c>
      <c r="J92">
        <v>0.22</v>
      </c>
      <c r="K92">
        <v>91</v>
      </c>
      <c r="L92">
        <v>0.2576</v>
      </c>
      <c r="M92">
        <v>0.64</v>
      </c>
      <c r="N92">
        <v>8.9599999999999999E-2</v>
      </c>
      <c r="O92">
        <v>1</v>
      </c>
      <c r="P92">
        <v>34</v>
      </c>
      <c r="Q92">
        <v>35</v>
      </c>
    </row>
    <row r="93" spans="1:17" x14ac:dyDescent="0.35">
      <c r="A93">
        <v>92</v>
      </c>
      <c r="B93" s="1">
        <v>40547</v>
      </c>
      <c r="C93">
        <v>1</v>
      </c>
      <c r="D93">
        <v>0</v>
      </c>
      <c r="E93">
        <v>1</v>
      </c>
      <c r="F93">
        <v>23</v>
      </c>
      <c r="G93">
        <v>0</v>
      </c>
      <c r="H93">
        <v>2</v>
      </c>
      <c r="I93">
        <v>1</v>
      </c>
      <c r="J93">
        <v>0.2</v>
      </c>
      <c r="K93">
        <v>92</v>
      </c>
      <c r="L93">
        <v>0.2273</v>
      </c>
      <c r="M93">
        <v>0.69</v>
      </c>
      <c r="N93">
        <v>8.9599999999999999E-2</v>
      </c>
      <c r="O93">
        <v>2</v>
      </c>
      <c r="P93">
        <v>9</v>
      </c>
      <c r="Q93">
        <v>11</v>
      </c>
    </row>
    <row r="94" spans="1:17" x14ac:dyDescent="0.35">
      <c r="A94">
        <v>93</v>
      </c>
      <c r="B94" s="1">
        <v>40548</v>
      </c>
      <c r="C94">
        <v>1</v>
      </c>
      <c r="D94">
        <v>0</v>
      </c>
      <c r="E94">
        <v>1</v>
      </c>
      <c r="F94">
        <v>0</v>
      </c>
      <c r="G94">
        <v>0</v>
      </c>
      <c r="H94">
        <v>3</v>
      </c>
      <c r="I94">
        <v>1</v>
      </c>
      <c r="J94">
        <v>0.2</v>
      </c>
      <c r="K94">
        <v>93</v>
      </c>
      <c r="L94">
        <v>0.2576</v>
      </c>
      <c r="M94">
        <v>0.64</v>
      </c>
      <c r="N94">
        <v>0</v>
      </c>
      <c r="O94">
        <v>0</v>
      </c>
      <c r="P94">
        <v>6</v>
      </c>
      <c r="Q94">
        <v>6</v>
      </c>
    </row>
    <row r="95" spans="1:17" x14ac:dyDescent="0.35">
      <c r="A95">
        <v>94</v>
      </c>
      <c r="B95" s="1">
        <v>40548</v>
      </c>
      <c r="C95">
        <v>1</v>
      </c>
      <c r="D95">
        <v>0</v>
      </c>
      <c r="E95">
        <v>1</v>
      </c>
      <c r="F95">
        <v>1</v>
      </c>
      <c r="G95">
        <v>0</v>
      </c>
      <c r="H95">
        <v>3</v>
      </c>
      <c r="I95">
        <v>1</v>
      </c>
      <c r="J95">
        <v>0.16</v>
      </c>
      <c r="K95">
        <v>94</v>
      </c>
      <c r="L95">
        <v>0.19700000000000001</v>
      </c>
      <c r="M95">
        <v>0.74</v>
      </c>
      <c r="N95">
        <v>8.9599999999999999E-2</v>
      </c>
      <c r="O95">
        <v>0</v>
      </c>
      <c r="P95">
        <v>6</v>
      </c>
      <c r="Q95">
        <v>6</v>
      </c>
    </row>
    <row r="96" spans="1:17" x14ac:dyDescent="0.35">
      <c r="A96">
        <v>95</v>
      </c>
      <c r="B96" s="1">
        <v>40548</v>
      </c>
      <c r="C96">
        <v>1</v>
      </c>
      <c r="D96">
        <v>0</v>
      </c>
      <c r="E96">
        <v>1</v>
      </c>
      <c r="F96">
        <v>2</v>
      </c>
      <c r="G96">
        <v>0</v>
      </c>
      <c r="H96">
        <v>3</v>
      </c>
      <c r="I96">
        <v>1</v>
      </c>
      <c r="J96">
        <v>0.16</v>
      </c>
      <c r="K96">
        <v>95</v>
      </c>
      <c r="L96">
        <v>0.19700000000000001</v>
      </c>
      <c r="M96">
        <v>0.74</v>
      </c>
      <c r="N96">
        <v>8.9599999999999999E-2</v>
      </c>
      <c r="O96">
        <v>0</v>
      </c>
      <c r="P96">
        <v>2</v>
      </c>
      <c r="Q96">
        <v>2</v>
      </c>
    </row>
    <row r="97" spans="1:17" x14ac:dyDescent="0.35">
      <c r="A97">
        <v>96</v>
      </c>
      <c r="B97" s="1">
        <v>40548</v>
      </c>
      <c r="C97">
        <v>1</v>
      </c>
      <c r="D97">
        <v>0</v>
      </c>
      <c r="E97">
        <v>1</v>
      </c>
      <c r="F97">
        <v>4</v>
      </c>
      <c r="G97">
        <v>0</v>
      </c>
      <c r="H97">
        <v>3</v>
      </c>
      <c r="I97">
        <v>1</v>
      </c>
      <c r="J97">
        <v>0.24</v>
      </c>
      <c r="K97">
        <v>96</v>
      </c>
      <c r="L97">
        <v>0.2273</v>
      </c>
      <c r="M97">
        <v>0.48</v>
      </c>
      <c r="N97">
        <v>0.22389999999999999</v>
      </c>
      <c r="O97">
        <v>0</v>
      </c>
      <c r="P97">
        <v>2</v>
      </c>
      <c r="Q97">
        <v>2</v>
      </c>
    </row>
    <row r="98" spans="1:17" x14ac:dyDescent="0.35">
      <c r="A98">
        <v>97</v>
      </c>
      <c r="B98" s="1">
        <v>40548</v>
      </c>
      <c r="C98">
        <v>1</v>
      </c>
      <c r="D98">
        <v>0</v>
      </c>
      <c r="E98">
        <v>1</v>
      </c>
      <c r="F98">
        <v>5</v>
      </c>
      <c r="G98">
        <v>0</v>
      </c>
      <c r="H98">
        <v>3</v>
      </c>
      <c r="I98">
        <v>1</v>
      </c>
      <c r="J98">
        <v>0.22</v>
      </c>
      <c r="K98">
        <v>97</v>
      </c>
      <c r="L98">
        <v>0.2273</v>
      </c>
      <c r="M98">
        <v>0.47</v>
      </c>
      <c r="N98">
        <v>0.16420000000000001</v>
      </c>
      <c r="O98">
        <v>0</v>
      </c>
      <c r="P98">
        <v>3</v>
      </c>
      <c r="Q98">
        <v>3</v>
      </c>
    </row>
    <row r="99" spans="1:17" x14ac:dyDescent="0.35">
      <c r="A99">
        <v>98</v>
      </c>
      <c r="B99" s="1">
        <v>40548</v>
      </c>
      <c r="C99">
        <v>1</v>
      </c>
      <c r="D99">
        <v>0</v>
      </c>
      <c r="E99">
        <v>1</v>
      </c>
      <c r="F99">
        <v>6</v>
      </c>
      <c r="G99">
        <v>0</v>
      </c>
      <c r="H99">
        <v>3</v>
      </c>
      <c r="I99">
        <v>1</v>
      </c>
      <c r="J99">
        <v>0.2</v>
      </c>
      <c r="K99">
        <v>98</v>
      </c>
      <c r="L99">
        <v>0.19700000000000001</v>
      </c>
      <c r="M99">
        <v>0.47</v>
      </c>
      <c r="N99">
        <v>0.22389999999999999</v>
      </c>
      <c r="O99">
        <v>0</v>
      </c>
      <c r="P99">
        <v>33</v>
      </c>
      <c r="Q99">
        <v>33</v>
      </c>
    </row>
    <row r="100" spans="1:17" x14ac:dyDescent="0.35">
      <c r="A100">
        <v>99</v>
      </c>
      <c r="B100" s="1">
        <v>40548</v>
      </c>
      <c r="C100">
        <v>1</v>
      </c>
      <c r="D100">
        <v>0</v>
      </c>
      <c r="E100">
        <v>1</v>
      </c>
      <c r="F100">
        <v>7</v>
      </c>
      <c r="G100">
        <v>0</v>
      </c>
      <c r="H100">
        <v>3</v>
      </c>
      <c r="I100">
        <v>1</v>
      </c>
      <c r="J100">
        <v>0.18</v>
      </c>
      <c r="K100">
        <v>99</v>
      </c>
      <c r="L100">
        <v>0.18179999999999999</v>
      </c>
      <c r="M100">
        <v>0.43</v>
      </c>
      <c r="N100">
        <v>0.19400000000000001</v>
      </c>
      <c r="O100">
        <v>1</v>
      </c>
      <c r="P100">
        <v>87</v>
      </c>
      <c r="Q100">
        <v>88</v>
      </c>
    </row>
    <row r="101" spans="1:17" x14ac:dyDescent="0.35">
      <c r="A101">
        <v>100</v>
      </c>
      <c r="B101" s="1">
        <v>40548</v>
      </c>
      <c r="C101">
        <v>1</v>
      </c>
      <c r="D101">
        <v>0</v>
      </c>
      <c r="E101">
        <v>1</v>
      </c>
      <c r="F101">
        <v>8</v>
      </c>
      <c r="G101">
        <v>0</v>
      </c>
      <c r="H101">
        <v>3</v>
      </c>
      <c r="I101">
        <v>1</v>
      </c>
      <c r="J101">
        <v>0.2</v>
      </c>
      <c r="K101">
        <v>100</v>
      </c>
      <c r="L101">
        <v>0.18179999999999999</v>
      </c>
      <c r="M101">
        <v>0.4</v>
      </c>
      <c r="N101">
        <v>0.29849999999999999</v>
      </c>
      <c r="O101">
        <v>3</v>
      </c>
      <c r="P101">
        <v>192</v>
      </c>
      <c r="Q101">
        <v>195</v>
      </c>
    </row>
    <row r="102" spans="1:17" x14ac:dyDescent="0.35">
      <c r="A102">
        <v>101</v>
      </c>
      <c r="B102" s="1">
        <v>40548</v>
      </c>
      <c r="C102">
        <v>1</v>
      </c>
      <c r="D102">
        <v>0</v>
      </c>
      <c r="E102">
        <v>1</v>
      </c>
      <c r="F102">
        <v>9</v>
      </c>
      <c r="G102">
        <v>0</v>
      </c>
      <c r="H102">
        <v>3</v>
      </c>
      <c r="I102">
        <v>1</v>
      </c>
      <c r="J102">
        <v>0.22</v>
      </c>
      <c r="K102">
        <v>101</v>
      </c>
      <c r="L102">
        <v>0.19700000000000001</v>
      </c>
      <c r="M102">
        <v>0.37</v>
      </c>
      <c r="N102">
        <v>0.32840000000000003</v>
      </c>
      <c r="O102">
        <v>6</v>
      </c>
      <c r="P102">
        <v>109</v>
      </c>
      <c r="Q102">
        <v>115</v>
      </c>
    </row>
    <row r="103" spans="1:17" x14ac:dyDescent="0.35">
      <c r="A103">
        <v>102</v>
      </c>
      <c r="B103" s="1">
        <v>40548</v>
      </c>
      <c r="C103">
        <v>1</v>
      </c>
      <c r="D103">
        <v>0</v>
      </c>
      <c r="E103">
        <v>1</v>
      </c>
      <c r="F103">
        <v>10</v>
      </c>
      <c r="G103">
        <v>0</v>
      </c>
      <c r="H103">
        <v>3</v>
      </c>
      <c r="I103">
        <v>1</v>
      </c>
      <c r="J103">
        <v>0.22</v>
      </c>
      <c r="K103">
        <v>102</v>
      </c>
      <c r="L103">
        <v>0.19700000000000001</v>
      </c>
      <c r="M103">
        <v>0.37</v>
      </c>
      <c r="N103">
        <v>0.32840000000000003</v>
      </c>
      <c r="O103">
        <v>4</v>
      </c>
      <c r="P103">
        <v>53</v>
      </c>
      <c r="Q103">
        <v>57</v>
      </c>
    </row>
    <row r="104" spans="1:17" x14ac:dyDescent="0.35">
      <c r="A104">
        <v>103</v>
      </c>
      <c r="B104" s="1">
        <v>40548</v>
      </c>
      <c r="C104">
        <v>1</v>
      </c>
      <c r="D104">
        <v>0</v>
      </c>
      <c r="E104">
        <v>1</v>
      </c>
      <c r="F104">
        <v>11</v>
      </c>
      <c r="G104">
        <v>0</v>
      </c>
      <c r="H104">
        <v>3</v>
      </c>
      <c r="I104">
        <v>1</v>
      </c>
      <c r="J104">
        <v>0.26</v>
      </c>
      <c r="K104">
        <v>103</v>
      </c>
      <c r="L104">
        <v>0.2273</v>
      </c>
      <c r="M104">
        <v>0.33</v>
      </c>
      <c r="N104">
        <v>0.32840000000000003</v>
      </c>
      <c r="O104">
        <v>12</v>
      </c>
      <c r="P104">
        <v>34</v>
      </c>
      <c r="Q104">
        <v>46</v>
      </c>
    </row>
    <row r="105" spans="1:17" x14ac:dyDescent="0.35">
      <c r="A105">
        <v>104</v>
      </c>
      <c r="B105" s="1">
        <v>40548</v>
      </c>
      <c r="C105">
        <v>1</v>
      </c>
      <c r="D105">
        <v>0</v>
      </c>
      <c r="E105">
        <v>1</v>
      </c>
      <c r="F105">
        <v>12</v>
      </c>
      <c r="G105">
        <v>0</v>
      </c>
      <c r="H105">
        <v>3</v>
      </c>
      <c r="I105">
        <v>1</v>
      </c>
      <c r="J105">
        <v>0.26</v>
      </c>
      <c r="K105">
        <v>104</v>
      </c>
      <c r="L105">
        <v>0.2273</v>
      </c>
      <c r="M105">
        <v>0.33</v>
      </c>
      <c r="N105">
        <v>0.32840000000000003</v>
      </c>
      <c r="O105">
        <v>5</v>
      </c>
      <c r="P105">
        <v>74</v>
      </c>
      <c r="Q105">
        <v>79</v>
      </c>
    </row>
    <row r="106" spans="1:17" x14ac:dyDescent="0.35">
      <c r="A106">
        <v>105</v>
      </c>
      <c r="B106" s="1">
        <v>40548</v>
      </c>
      <c r="C106">
        <v>1</v>
      </c>
      <c r="D106">
        <v>0</v>
      </c>
      <c r="E106">
        <v>1</v>
      </c>
      <c r="F106">
        <v>13</v>
      </c>
      <c r="G106">
        <v>0</v>
      </c>
      <c r="H106">
        <v>3</v>
      </c>
      <c r="I106">
        <v>1</v>
      </c>
      <c r="J106">
        <v>0.28000000000000003</v>
      </c>
      <c r="K106">
        <v>105</v>
      </c>
      <c r="L106">
        <v>0.2576</v>
      </c>
      <c r="M106">
        <v>0.3</v>
      </c>
      <c r="N106">
        <v>0.29849999999999999</v>
      </c>
      <c r="O106">
        <v>6</v>
      </c>
      <c r="P106">
        <v>65</v>
      </c>
      <c r="Q106">
        <v>71</v>
      </c>
    </row>
    <row r="107" spans="1:17" x14ac:dyDescent="0.35">
      <c r="A107">
        <v>106</v>
      </c>
      <c r="B107" s="1">
        <v>40548</v>
      </c>
      <c r="C107">
        <v>1</v>
      </c>
      <c r="D107">
        <v>0</v>
      </c>
      <c r="E107">
        <v>1</v>
      </c>
      <c r="F107">
        <v>14</v>
      </c>
      <c r="G107">
        <v>0</v>
      </c>
      <c r="H107">
        <v>3</v>
      </c>
      <c r="I107">
        <v>1</v>
      </c>
      <c r="J107">
        <v>0.3</v>
      </c>
      <c r="K107">
        <v>106</v>
      </c>
      <c r="L107">
        <v>0.28789999999999999</v>
      </c>
      <c r="M107">
        <v>0.28000000000000003</v>
      </c>
      <c r="N107">
        <v>0.19400000000000001</v>
      </c>
      <c r="O107">
        <v>10</v>
      </c>
      <c r="P107">
        <v>52</v>
      </c>
      <c r="Q107">
        <v>62</v>
      </c>
    </row>
    <row r="108" spans="1:17" x14ac:dyDescent="0.35">
      <c r="A108">
        <v>107</v>
      </c>
      <c r="B108" s="1">
        <v>40548</v>
      </c>
      <c r="C108">
        <v>1</v>
      </c>
      <c r="D108">
        <v>0</v>
      </c>
      <c r="E108">
        <v>1</v>
      </c>
      <c r="F108">
        <v>15</v>
      </c>
      <c r="G108">
        <v>0</v>
      </c>
      <c r="H108">
        <v>3</v>
      </c>
      <c r="I108">
        <v>1</v>
      </c>
      <c r="J108">
        <v>0.3</v>
      </c>
      <c r="K108">
        <v>107</v>
      </c>
      <c r="L108">
        <v>0.28789999999999999</v>
      </c>
      <c r="M108">
        <v>0.28000000000000003</v>
      </c>
      <c r="N108">
        <v>0.19400000000000001</v>
      </c>
      <c r="O108">
        <v>7</v>
      </c>
      <c r="P108">
        <v>55</v>
      </c>
      <c r="Q108">
        <v>62</v>
      </c>
    </row>
    <row r="109" spans="1:17" x14ac:dyDescent="0.35">
      <c r="A109">
        <v>108</v>
      </c>
      <c r="B109" s="1">
        <v>40548</v>
      </c>
      <c r="C109">
        <v>1</v>
      </c>
      <c r="D109">
        <v>0</v>
      </c>
      <c r="E109">
        <v>1</v>
      </c>
      <c r="F109">
        <v>16</v>
      </c>
      <c r="G109">
        <v>0</v>
      </c>
      <c r="H109">
        <v>3</v>
      </c>
      <c r="I109">
        <v>1</v>
      </c>
      <c r="J109">
        <v>0.3</v>
      </c>
      <c r="K109">
        <v>108</v>
      </c>
      <c r="L109">
        <v>0.31819999999999998</v>
      </c>
      <c r="M109">
        <v>0.28000000000000003</v>
      </c>
      <c r="N109">
        <v>8.9599999999999999E-2</v>
      </c>
      <c r="O109">
        <v>4</v>
      </c>
      <c r="P109">
        <v>85</v>
      </c>
      <c r="Q109">
        <v>89</v>
      </c>
    </row>
    <row r="110" spans="1:17" x14ac:dyDescent="0.35">
      <c r="A110">
        <v>109</v>
      </c>
      <c r="B110" s="1">
        <v>40548</v>
      </c>
      <c r="C110">
        <v>1</v>
      </c>
      <c r="D110">
        <v>0</v>
      </c>
      <c r="E110">
        <v>1</v>
      </c>
      <c r="F110">
        <v>17</v>
      </c>
      <c r="G110">
        <v>0</v>
      </c>
      <c r="H110">
        <v>3</v>
      </c>
      <c r="I110">
        <v>1</v>
      </c>
      <c r="J110">
        <v>0.24</v>
      </c>
      <c r="K110">
        <v>109</v>
      </c>
      <c r="L110">
        <v>0.2273</v>
      </c>
      <c r="M110">
        <v>0.38</v>
      </c>
      <c r="N110">
        <v>0.19400000000000001</v>
      </c>
      <c r="O110">
        <v>4</v>
      </c>
      <c r="P110">
        <v>186</v>
      </c>
      <c r="Q110">
        <v>190</v>
      </c>
    </row>
    <row r="111" spans="1:17" x14ac:dyDescent="0.35">
      <c r="A111">
        <v>110</v>
      </c>
      <c r="B111" s="1">
        <v>40548</v>
      </c>
      <c r="C111">
        <v>1</v>
      </c>
      <c r="D111">
        <v>0</v>
      </c>
      <c r="E111">
        <v>1</v>
      </c>
      <c r="F111">
        <v>18</v>
      </c>
      <c r="G111">
        <v>0</v>
      </c>
      <c r="H111">
        <v>3</v>
      </c>
      <c r="I111">
        <v>1</v>
      </c>
      <c r="J111">
        <v>0.24</v>
      </c>
      <c r="K111">
        <v>110</v>
      </c>
      <c r="L111">
        <v>0.2424</v>
      </c>
      <c r="M111">
        <v>0.38</v>
      </c>
      <c r="N111">
        <v>0.1343</v>
      </c>
      <c r="O111">
        <v>3</v>
      </c>
      <c r="P111">
        <v>166</v>
      </c>
      <c r="Q111">
        <v>169</v>
      </c>
    </row>
    <row r="112" spans="1:17" x14ac:dyDescent="0.35">
      <c r="A112">
        <v>111</v>
      </c>
      <c r="B112" s="1">
        <v>40548</v>
      </c>
      <c r="C112">
        <v>1</v>
      </c>
      <c r="D112">
        <v>0</v>
      </c>
      <c r="E112">
        <v>1</v>
      </c>
      <c r="F112">
        <v>19</v>
      </c>
      <c r="G112">
        <v>0</v>
      </c>
      <c r="H112">
        <v>3</v>
      </c>
      <c r="I112">
        <v>1</v>
      </c>
      <c r="J112">
        <v>0.24</v>
      </c>
      <c r="K112">
        <v>111</v>
      </c>
      <c r="L112">
        <v>0.2576</v>
      </c>
      <c r="M112">
        <v>0.38</v>
      </c>
      <c r="N112">
        <v>0.1045</v>
      </c>
      <c r="O112">
        <v>5</v>
      </c>
      <c r="P112">
        <v>127</v>
      </c>
      <c r="Q112">
        <v>132</v>
      </c>
    </row>
    <row r="113" spans="1:17" x14ac:dyDescent="0.35">
      <c r="A113">
        <v>112</v>
      </c>
      <c r="B113" s="1">
        <v>40548</v>
      </c>
      <c r="C113">
        <v>1</v>
      </c>
      <c r="D113">
        <v>0</v>
      </c>
      <c r="E113">
        <v>1</v>
      </c>
      <c r="F113">
        <v>20</v>
      </c>
      <c r="G113">
        <v>0</v>
      </c>
      <c r="H113">
        <v>3</v>
      </c>
      <c r="I113">
        <v>1</v>
      </c>
      <c r="J113">
        <v>0.22</v>
      </c>
      <c r="K113">
        <v>112</v>
      </c>
      <c r="L113">
        <v>0.2273</v>
      </c>
      <c r="M113">
        <v>0.47</v>
      </c>
      <c r="N113">
        <v>0.16420000000000001</v>
      </c>
      <c r="O113">
        <v>7</v>
      </c>
      <c r="P113">
        <v>82</v>
      </c>
      <c r="Q113">
        <v>89</v>
      </c>
    </row>
    <row r="114" spans="1:17" x14ac:dyDescent="0.35">
      <c r="A114">
        <v>113</v>
      </c>
      <c r="B114" s="1">
        <v>40548</v>
      </c>
      <c r="C114">
        <v>1</v>
      </c>
      <c r="D114">
        <v>0</v>
      </c>
      <c r="E114">
        <v>1</v>
      </c>
      <c r="F114">
        <v>21</v>
      </c>
      <c r="G114">
        <v>0</v>
      </c>
      <c r="H114">
        <v>3</v>
      </c>
      <c r="I114">
        <v>1</v>
      </c>
      <c r="J114">
        <v>0.2</v>
      </c>
      <c r="K114">
        <v>113</v>
      </c>
      <c r="L114">
        <v>0.19700000000000001</v>
      </c>
      <c r="M114">
        <v>0.51</v>
      </c>
      <c r="N114">
        <v>0.19400000000000001</v>
      </c>
      <c r="O114">
        <v>3</v>
      </c>
      <c r="P114">
        <v>40</v>
      </c>
      <c r="Q114">
        <v>43</v>
      </c>
    </row>
    <row r="115" spans="1:17" x14ac:dyDescent="0.35">
      <c r="A115">
        <v>114</v>
      </c>
      <c r="B115" s="1">
        <v>40548</v>
      </c>
      <c r="C115">
        <v>1</v>
      </c>
      <c r="D115">
        <v>0</v>
      </c>
      <c r="E115">
        <v>1</v>
      </c>
      <c r="F115">
        <v>22</v>
      </c>
      <c r="G115">
        <v>0</v>
      </c>
      <c r="H115">
        <v>3</v>
      </c>
      <c r="I115">
        <v>1</v>
      </c>
      <c r="J115">
        <v>0.18</v>
      </c>
      <c r="K115">
        <v>114</v>
      </c>
      <c r="L115">
        <v>0.19700000000000001</v>
      </c>
      <c r="M115">
        <v>0.55000000000000004</v>
      </c>
      <c r="N115">
        <v>0.1343</v>
      </c>
      <c r="O115">
        <v>1</v>
      </c>
      <c r="P115">
        <v>41</v>
      </c>
      <c r="Q115">
        <v>42</v>
      </c>
    </row>
    <row r="116" spans="1:17" x14ac:dyDescent="0.35">
      <c r="A116">
        <v>115</v>
      </c>
      <c r="B116" s="1">
        <v>40548</v>
      </c>
      <c r="C116">
        <v>1</v>
      </c>
      <c r="D116">
        <v>0</v>
      </c>
      <c r="E116">
        <v>1</v>
      </c>
      <c r="F116">
        <v>23</v>
      </c>
      <c r="G116">
        <v>0</v>
      </c>
      <c r="H116">
        <v>3</v>
      </c>
      <c r="I116">
        <v>1</v>
      </c>
      <c r="J116">
        <v>0.2</v>
      </c>
      <c r="K116">
        <v>115</v>
      </c>
      <c r="L116">
        <v>0.2576</v>
      </c>
      <c r="M116">
        <v>0.47</v>
      </c>
      <c r="N116">
        <v>0</v>
      </c>
      <c r="O116">
        <v>1</v>
      </c>
      <c r="P116">
        <v>18</v>
      </c>
      <c r="Q116">
        <v>19</v>
      </c>
    </row>
    <row r="117" spans="1:17" x14ac:dyDescent="0.35">
      <c r="A117">
        <v>116</v>
      </c>
      <c r="B117" s="1">
        <v>40549</v>
      </c>
      <c r="C117">
        <v>1</v>
      </c>
      <c r="D117">
        <v>0</v>
      </c>
      <c r="E117">
        <v>1</v>
      </c>
      <c r="F117">
        <v>0</v>
      </c>
      <c r="G117">
        <v>0</v>
      </c>
      <c r="H117">
        <v>4</v>
      </c>
      <c r="I117">
        <v>1</v>
      </c>
      <c r="J117">
        <v>0.18</v>
      </c>
      <c r="K117">
        <v>116</v>
      </c>
      <c r="L117">
        <v>0.2424</v>
      </c>
      <c r="M117">
        <v>0.55000000000000004</v>
      </c>
      <c r="N117">
        <v>0</v>
      </c>
      <c r="O117">
        <v>0</v>
      </c>
      <c r="P117">
        <v>11</v>
      </c>
      <c r="Q117">
        <v>11</v>
      </c>
    </row>
    <row r="118" spans="1:17" x14ac:dyDescent="0.35">
      <c r="A118">
        <v>117</v>
      </c>
      <c r="B118" s="1">
        <v>40549</v>
      </c>
      <c r="C118">
        <v>1</v>
      </c>
      <c r="D118">
        <v>0</v>
      </c>
      <c r="E118">
        <v>1</v>
      </c>
      <c r="F118">
        <v>1</v>
      </c>
      <c r="G118">
        <v>0</v>
      </c>
      <c r="H118">
        <v>4</v>
      </c>
      <c r="I118">
        <v>1</v>
      </c>
      <c r="J118">
        <v>0.16</v>
      </c>
      <c r="K118">
        <v>117</v>
      </c>
      <c r="L118">
        <v>0.2273</v>
      </c>
      <c r="M118">
        <v>0.64</v>
      </c>
      <c r="N118">
        <v>0</v>
      </c>
      <c r="O118">
        <v>0</v>
      </c>
      <c r="P118">
        <v>4</v>
      </c>
      <c r="Q118">
        <v>4</v>
      </c>
    </row>
    <row r="119" spans="1:17" x14ac:dyDescent="0.35">
      <c r="A119">
        <v>118</v>
      </c>
      <c r="B119" s="1">
        <v>40549</v>
      </c>
      <c r="C119">
        <v>1</v>
      </c>
      <c r="D119">
        <v>0</v>
      </c>
      <c r="E119">
        <v>1</v>
      </c>
      <c r="F119">
        <v>2</v>
      </c>
      <c r="G119">
        <v>0</v>
      </c>
      <c r="H119">
        <v>4</v>
      </c>
      <c r="I119">
        <v>1</v>
      </c>
      <c r="J119">
        <v>0.16</v>
      </c>
      <c r="K119">
        <v>118</v>
      </c>
      <c r="L119">
        <v>0.2273</v>
      </c>
      <c r="M119">
        <v>0.64</v>
      </c>
      <c r="N119">
        <v>0</v>
      </c>
      <c r="O119">
        <v>0</v>
      </c>
      <c r="P119">
        <v>2</v>
      </c>
      <c r="Q119">
        <v>2</v>
      </c>
    </row>
    <row r="120" spans="1:17" x14ac:dyDescent="0.35">
      <c r="A120">
        <v>119</v>
      </c>
      <c r="B120" s="1">
        <v>40549</v>
      </c>
      <c r="C120">
        <v>1</v>
      </c>
      <c r="D120">
        <v>0</v>
      </c>
      <c r="E120">
        <v>1</v>
      </c>
      <c r="F120">
        <v>4</v>
      </c>
      <c r="G120">
        <v>0</v>
      </c>
      <c r="H120">
        <v>4</v>
      </c>
      <c r="I120">
        <v>2</v>
      </c>
      <c r="J120">
        <v>0.16</v>
      </c>
      <c r="K120">
        <v>119</v>
      </c>
      <c r="L120">
        <v>0.19700000000000001</v>
      </c>
      <c r="M120">
        <v>0.64</v>
      </c>
      <c r="N120">
        <v>8.9599999999999999E-2</v>
      </c>
      <c r="O120">
        <v>0</v>
      </c>
      <c r="P120">
        <v>1</v>
      </c>
      <c r="Q120">
        <v>1</v>
      </c>
    </row>
    <row r="121" spans="1:17" x14ac:dyDescent="0.35">
      <c r="A121">
        <v>120</v>
      </c>
      <c r="B121" s="1">
        <v>40549</v>
      </c>
      <c r="C121">
        <v>1</v>
      </c>
      <c r="D121">
        <v>0</v>
      </c>
      <c r="E121">
        <v>1</v>
      </c>
      <c r="F121">
        <v>5</v>
      </c>
      <c r="G121">
        <v>0</v>
      </c>
      <c r="H121">
        <v>4</v>
      </c>
      <c r="I121">
        <v>2</v>
      </c>
      <c r="J121">
        <v>0.14000000000000001</v>
      </c>
      <c r="K121">
        <v>120</v>
      </c>
      <c r="L121">
        <v>0.18179999999999999</v>
      </c>
      <c r="M121">
        <v>0.69</v>
      </c>
      <c r="N121">
        <v>8.9599999999999999E-2</v>
      </c>
      <c r="O121">
        <v>0</v>
      </c>
      <c r="P121">
        <v>4</v>
      </c>
      <c r="Q121">
        <v>4</v>
      </c>
    </row>
    <row r="122" spans="1:17" x14ac:dyDescent="0.35">
      <c r="A122">
        <v>121</v>
      </c>
      <c r="B122" s="1">
        <v>40549</v>
      </c>
      <c r="C122">
        <v>1</v>
      </c>
      <c r="D122">
        <v>0</v>
      </c>
      <c r="E122">
        <v>1</v>
      </c>
      <c r="F122">
        <v>6</v>
      </c>
      <c r="G122">
        <v>0</v>
      </c>
      <c r="H122">
        <v>4</v>
      </c>
      <c r="I122">
        <v>2</v>
      </c>
      <c r="J122">
        <v>0.14000000000000001</v>
      </c>
      <c r="K122">
        <v>121</v>
      </c>
      <c r="L122">
        <v>0.16669999999999999</v>
      </c>
      <c r="M122">
        <v>0.63</v>
      </c>
      <c r="N122">
        <v>0.1045</v>
      </c>
      <c r="O122">
        <v>0</v>
      </c>
      <c r="P122">
        <v>36</v>
      </c>
      <c r="Q122">
        <v>36</v>
      </c>
    </row>
    <row r="123" spans="1:17" x14ac:dyDescent="0.35">
      <c r="A123">
        <v>122</v>
      </c>
      <c r="B123" s="1">
        <v>40549</v>
      </c>
      <c r="C123">
        <v>1</v>
      </c>
      <c r="D123">
        <v>0</v>
      </c>
      <c r="E123">
        <v>1</v>
      </c>
      <c r="F123">
        <v>7</v>
      </c>
      <c r="G123">
        <v>0</v>
      </c>
      <c r="H123">
        <v>4</v>
      </c>
      <c r="I123">
        <v>2</v>
      </c>
      <c r="J123">
        <v>0.16</v>
      </c>
      <c r="K123">
        <v>122</v>
      </c>
      <c r="L123">
        <v>0.2273</v>
      </c>
      <c r="M123">
        <v>0.59</v>
      </c>
      <c r="N123">
        <v>0</v>
      </c>
      <c r="O123">
        <v>0</v>
      </c>
      <c r="P123">
        <v>95</v>
      </c>
      <c r="Q123">
        <v>95</v>
      </c>
    </row>
    <row r="124" spans="1:17" x14ac:dyDescent="0.35">
      <c r="A124">
        <v>123</v>
      </c>
      <c r="B124" s="1">
        <v>40549</v>
      </c>
      <c r="C124">
        <v>1</v>
      </c>
      <c r="D124">
        <v>0</v>
      </c>
      <c r="E124">
        <v>1</v>
      </c>
      <c r="F124">
        <v>8</v>
      </c>
      <c r="G124">
        <v>0</v>
      </c>
      <c r="H124">
        <v>4</v>
      </c>
      <c r="I124">
        <v>1</v>
      </c>
      <c r="J124">
        <v>0.16</v>
      </c>
      <c r="K124">
        <v>123</v>
      </c>
      <c r="L124">
        <v>0.2273</v>
      </c>
      <c r="M124">
        <v>0.59</v>
      </c>
      <c r="N124">
        <v>0</v>
      </c>
      <c r="O124">
        <v>3</v>
      </c>
      <c r="P124">
        <v>216</v>
      </c>
      <c r="Q124">
        <v>219</v>
      </c>
    </row>
    <row r="125" spans="1:17" x14ac:dyDescent="0.35">
      <c r="A125">
        <v>124</v>
      </c>
      <c r="B125" s="1">
        <v>40549</v>
      </c>
      <c r="C125">
        <v>1</v>
      </c>
      <c r="D125">
        <v>0</v>
      </c>
      <c r="E125">
        <v>1</v>
      </c>
      <c r="F125">
        <v>9</v>
      </c>
      <c r="G125">
        <v>0</v>
      </c>
      <c r="H125">
        <v>4</v>
      </c>
      <c r="I125">
        <v>2</v>
      </c>
      <c r="J125">
        <v>0.18</v>
      </c>
      <c r="K125">
        <v>124</v>
      </c>
      <c r="L125">
        <v>0.2424</v>
      </c>
      <c r="M125">
        <v>0.51</v>
      </c>
      <c r="N125">
        <v>0</v>
      </c>
      <c r="O125">
        <v>6</v>
      </c>
      <c r="P125">
        <v>116</v>
      </c>
      <c r="Q125">
        <v>122</v>
      </c>
    </row>
    <row r="126" spans="1:17" x14ac:dyDescent="0.35">
      <c r="A126">
        <v>125</v>
      </c>
      <c r="B126" s="1">
        <v>40549</v>
      </c>
      <c r="C126">
        <v>1</v>
      </c>
      <c r="D126">
        <v>0</v>
      </c>
      <c r="E126">
        <v>1</v>
      </c>
      <c r="F126">
        <v>10</v>
      </c>
      <c r="G126">
        <v>0</v>
      </c>
      <c r="H126">
        <v>4</v>
      </c>
      <c r="I126">
        <v>1</v>
      </c>
      <c r="J126">
        <v>0.2</v>
      </c>
      <c r="K126">
        <v>125</v>
      </c>
      <c r="L126">
        <v>0.2576</v>
      </c>
      <c r="M126">
        <v>0.47</v>
      </c>
      <c r="N126">
        <v>0</v>
      </c>
      <c r="O126">
        <v>3</v>
      </c>
      <c r="P126">
        <v>42</v>
      </c>
      <c r="Q126">
        <v>45</v>
      </c>
    </row>
    <row r="127" spans="1:17" x14ac:dyDescent="0.35">
      <c r="A127">
        <v>126</v>
      </c>
      <c r="B127" s="1">
        <v>40549</v>
      </c>
      <c r="C127">
        <v>1</v>
      </c>
      <c r="D127">
        <v>0</v>
      </c>
      <c r="E127">
        <v>1</v>
      </c>
      <c r="F127">
        <v>11</v>
      </c>
      <c r="G127">
        <v>0</v>
      </c>
      <c r="H127">
        <v>4</v>
      </c>
      <c r="I127">
        <v>1</v>
      </c>
      <c r="J127">
        <v>0.22</v>
      </c>
      <c r="K127">
        <v>126</v>
      </c>
      <c r="L127">
        <v>0.2576</v>
      </c>
      <c r="M127">
        <v>0.44</v>
      </c>
      <c r="N127">
        <v>8.9599999999999999E-2</v>
      </c>
      <c r="O127">
        <v>2</v>
      </c>
      <c r="P127">
        <v>57</v>
      </c>
      <c r="Q127">
        <v>59</v>
      </c>
    </row>
    <row r="128" spans="1:17" x14ac:dyDescent="0.35">
      <c r="A128">
        <v>127</v>
      </c>
      <c r="B128" s="1">
        <v>40549</v>
      </c>
      <c r="C128">
        <v>1</v>
      </c>
      <c r="D128">
        <v>0</v>
      </c>
      <c r="E128">
        <v>1</v>
      </c>
      <c r="F128">
        <v>12</v>
      </c>
      <c r="G128">
        <v>0</v>
      </c>
      <c r="H128">
        <v>4</v>
      </c>
      <c r="I128">
        <v>1</v>
      </c>
      <c r="J128">
        <v>0.26</v>
      </c>
      <c r="K128">
        <v>127</v>
      </c>
      <c r="L128">
        <v>0.28789999999999999</v>
      </c>
      <c r="M128">
        <v>0.35</v>
      </c>
      <c r="N128">
        <v>0</v>
      </c>
      <c r="O128">
        <v>6</v>
      </c>
      <c r="P128">
        <v>78</v>
      </c>
      <c r="Q128">
        <v>84</v>
      </c>
    </row>
    <row r="129" spans="1:17" x14ac:dyDescent="0.35">
      <c r="A129">
        <v>128</v>
      </c>
      <c r="B129" s="1">
        <v>40549</v>
      </c>
      <c r="C129">
        <v>1</v>
      </c>
      <c r="D129">
        <v>0</v>
      </c>
      <c r="E129">
        <v>1</v>
      </c>
      <c r="F129">
        <v>13</v>
      </c>
      <c r="G129">
        <v>0</v>
      </c>
      <c r="H129">
        <v>4</v>
      </c>
      <c r="I129">
        <v>1</v>
      </c>
      <c r="J129">
        <v>0.26</v>
      </c>
      <c r="K129">
        <v>128</v>
      </c>
      <c r="L129">
        <v>0.2727</v>
      </c>
      <c r="M129">
        <v>0.35</v>
      </c>
      <c r="N129">
        <v>0.1045</v>
      </c>
      <c r="O129">
        <v>12</v>
      </c>
      <c r="P129">
        <v>55</v>
      </c>
      <c r="Q129">
        <v>67</v>
      </c>
    </row>
    <row r="130" spans="1:17" x14ac:dyDescent="0.35">
      <c r="A130">
        <v>129</v>
      </c>
      <c r="B130" s="1">
        <v>40549</v>
      </c>
      <c r="C130">
        <v>1</v>
      </c>
      <c r="D130">
        <v>0</v>
      </c>
      <c r="E130">
        <v>1</v>
      </c>
      <c r="F130">
        <v>14</v>
      </c>
      <c r="G130">
        <v>0</v>
      </c>
      <c r="H130">
        <v>4</v>
      </c>
      <c r="I130">
        <v>1</v>
      </c>
      <c r="J130">
        <v>0.28000000000000003</v>
      </c>
      <c r="K130">
        <v>129</v>
      </c>
      <c r="L130">
        <v>0.2727</v>
      </c>
      <c r="M130">
        <v>0.36</v>
      </c>
      <c r="N130">
        <v>0.16420000000000001</v>
      </c>
      <c r="O130">
        <v>11</v>
      </c>
      <c r="P130">
        <v>59</v>
      </c>
      <c r="Q130">
        <v>70</v>
      </c>
    </row>
    <row r="131" spans="1:17" x14ac:dyDescent="0.35">
      <c r="A131">
        <v>130</v>
      </c>
      <c r="B131" s="1">
        <v>40549</v>
      </c>
      <c r="C131">
        <v>1</v>
      </c>
      <c r="D131">
        <v>0</v>
      </c>
      <c r="E131">
        <v>1</v>
      </c>
      <c r="F131">
        <v>15</v>
      </c>
      <c r="G131">
        <v>0</v>
      </c>
      <c r="H131">
        <v>4</v>
      </c>
      <c r="I131">
        <v>1</v>
      </c>
      <c r="J131">
        <v>0.28000000000000003</v>
      </c>
      <c r="K131">
        <v>130</v>
      </c>
      <c r="L131">
        <v>0.2727</v>
      </c>
      <c r="M131">
        <v>0.36</v>
      </c>
      <c r="N131">
        <v>0</v>
      </c>
      <c r="O131">
        <v>8</v>
      </c>
      <c r="P131">
        <v>54</v>
      </c>
      <c r="Q131">
        <v>62</v>
      </c>
    </row>
    <row r="132" spans="1:17" x14ac:dyDescent="0.35">
      <c r="A132">
        <v>131</v>
      </c>
      <c r="B132" s="1">
        <v>40549</v>
      </c>
      <c r="C132">
        <v>1</v>
      </c>
      <c r="D132">
        <v>0</v>
      </c>
      <c r="E132">
        <v>1</v>
      </c>
      <c r="F132">
        <v>16</v>
      </c>
      <c r="G132">
        <v>0</v>
      </c>
      <c r="H132">
        <v>4</v>
      </c>
      <c r="I132">
        <v>1</v>
      </c>
      <c r="J132">
        <v>0.26</v>
      </c>
      <c r="K132">
        <v>131</v>
      </c>
      <c r="L132">
        <v>0.2576</v>
      </c>
      <c r="M132">
        <v>0.38</v>
      </c>
      <c r="N132">
        <v>0.16420000000000001</v>
      </c>
      <c r="O132">
        <v>12</v>
      </c>
      <c r="P132">
        <v>74</v>
      </c>
      <c r="Q132">
        <v>86</v>
      </c>
    </row>
    <row r="133" spans="1:17" x14ac:dyDescent="0.35">
      <c r="A133">
        <v>132</v>
      </c>
      <c r="B133" s="1">
        <v>40549</v>
      </c>
      <c r="C133">
        <v>1</v>
      </c>
      <c r="D133">
        <v>0</v>
      </c>
      <c r="E133">
        <v>1</v>
      </c>
      <c r="F133">
        <v>17</v>
      </c>
      <c r="G133">
        <v>0</v>
      </c>
      <c r="H133">
        <v>4</v>
      </c>
      <c r="I133">
        <v>1</v>
      </c>
      <c r="J133">
        <v>0.22</v>
      </c>
      <c r="K133">
        <v>132</v>
      </c>
      <c r="L133">
        <v>0.2273</v>
      </c>
      <c r="M133">
        <v>0.51</v>
      </c>
      <c r="N133">
        <v>0.16420000000000001</v>
      </c>
      <c r="O133">
        <v>9</v>
      </c>
      <c r="P133">
        <v>163</v>
      </c>
      <c r="Q133">
        <v>172</v>
      </c>
    </row>
    <row r="134" spans="1:17" x14ac:dyDescent="0.35">
      <c r="A134">
        <v>133</v>
      </c>
      <c r="B134" s="1">
        <v>40549</v>
      </c>
      <c r="C134">
        <v>1</v>
      </c>
      <c r="D134">
        <v>0</v>
      </c>
      <c r="E134">
        <v>1</v>
      </c>
      <c r="F134">
        <v>18</v>
      </c>
      <c r="G134">
        <v>0</v>
      </c>
      <c r="H134">
        <v>4</v>
      </c>
      <c r="I134">
        <v>1</v>
      </c>
      <c r="J134">
        <v>0.22</v>
      </c>
      <c r="K134">
        <v>133</v>
      </c>
      <c r="L134">
        <v>0.2273</v>
      </c>
      <c r="M134">
        <v>0.51</v>
      </c>
      <c r="N134">
        <v>0.1343</v>
      </c>
      <c r="O134">
        <v>5</v>
      </c>
      <c r="P134">
        <v>158</v>
      </c>
      <c r="Q134">
        <v>163</v>
      </c>
    </row>
    <row r="135" spans="1:17" x14ac:dyDescent="0.35">
      <c r="A135">
        <v>134</v>
      </c>
      <c r="B135" s="1">
        <v>40549</v>
      </c>
      <c r="C135">
        <v>1</v>
      </c>
      <c r="D135">
        <v>0</v>
      </c>
      <c r="E135">
        <v>1</v>
      </c>
      <c r="F135">
        <v>19</v>
      </c>
      <c r="G135">
        <v>0</v>
      </c>
      <c r="H135">
        <v>4</v>
      </c>
      <c r="I135">
        <v>1</v>
      </c>
      <c r="J135">
        <v>0.22</v>
      </c>
      <c r="K135">
        <v>134</v>
      </c>
      <c r="L135">
        <v>0.2576</v>
      </c>
      <c r="M135">
        <v>0.55000000000000004</v>
      </c>
      <c r="N135">
        <v>8.9599999999999999E-2</v>
      </c>
      <c r="O135">
        <v>3</v>
      </c>
      <c r="P135">
        <v>109</v>
      </c>
      <c r="Q135">
        <v>112</v>
      </c>
    </row>
    <row r="136" spans="1:17" x14ac:dyDescent="0.35">
      <c r="A136">
        <v>135</v>
      </c>
      <c r="B136" s="1">
        <v>40549</v>
      </c>
      <c r="C136">
        <v>1</v>
      </c>
      <c r="D136">
        <v>0</v>
      </c>
      <c r="E136">
        <v>1</v>
      </c>
      <c r="F136">
        <v>20</v>
      </c>
      <c r="G136">
        <v>0</v>
      </c>
      <c r="H136">
        <v>4</v>
      </c>
      <c r="I136">
        <v>1</v>
      </c>
      <c r="J136">
        <v>0.2</v>
      </c>
      <c r="K136">
        <v>135</v>
      </c>
      <c r="L136">
        <v>0.21210000000000001</v>
      </c>
      <c r="M136">
        <v>0.51</v>
      </c>
      <c r="N136">
        <v>0.16420000000000001</v>
      </c>
      <c r="O136">
        <v>3</v>
      </c>
      <c r="P136">
        <v>66</v>
      </c>
      <c r="Q136">
        <v>69</v>
      </c>
    </row>
    <row r="137" spans="1:17" x14ac:dyDescent="0.35">
      <c r="A137">
        <v>136</v>
      </c>
      <c r="B137" s="1">
        <v>40549</v>
      </c>
      <c r="C137">
        <v>1</v>
      </c>
      <c r="D137">
        <v>0</v>
      </c>
      <c r="E137">
        <v>1</v>
      </c>
      <c r="F137">
        <v>21</v>
      </c>
      <c r="G137">
        <v>0</v>
      </c>
      <c r="H137">
        <v>4</v>
      </c>
      <c r="I137">
        <v>2</v>
      </c>
      <c r="J137">
        <v>0.22</v>
      </c>
      <c r="K137">
        <v>136</v>
      </c>
      <c r="L137">
        <v>0.21210000000000001</v>
      </c>
      <c r="M137">
        <v>0.55000000000000004</v>
      </c>
      <c r="N137">
        <v>0.22389999999999999</v>
      </c>
      <c r="O137">
        <v>0</v>
      </c>
      <c r="P137">
        <v>48</v>
      </c>
      <c r="Q137">
        <v>48</v>
      </c>
    </row>
    <row r="138" spans="1:17" x14ac:dyDescent="0.35">
      <c r="A138">
        <v>137</v>
      </c>
      <c r="B138" s="1">
        <v>40549</v>
      </c>
      <c r="C138">
        <v>1</v>
      </c>
      <c r="D138">
        <v>0</v>
      </c>
      <c r="E138">
        <v>1</v>
      </c>
      <c r="F138">
        <v>22</v>
      </c>
      <c r="G138">
        <v>0</v>
      </c>
      <c r="H138">
        <v>4</v>
      </c>
      <c r="I138">
        <v>2</v>
      </c>
      <c r="J138">
        <v>0.22</v>
      </c>
      <c r="K138">
        <v>137</v>
      </c>
      <c r="L138">
        <v>0.21210000000000001</v>
      </c>
      <c r="M138">
        <v>0.51</v>
      </c>
      <c r="N138">
        <v>0.28360000000000002</v>
      </c>
      <c r="O138">
        <v>1</v>
      </c>
      <c r="P138">
        <v>51</v>
      </c>
      <c r="Q138">
        <v>52</v>
      </c>
    </row>
    <row r="139" spans="1:17" x14ac:dyDescent="0.35">
      <c r="A139">
        <v>138</v>
      </c>
      <c r="B139" s="1">
        <v>40549</v>
      </c>
      <c r="C139">
        <v>1</v>
      </c>
      <c r="D139">
        <v>0</v>
      </c>
      <c r="E139">
        <v>1</v>
      </c>
      <c r="F139">
        <v>23</v>
      </c>
      <c r="G139">
        <v>0</v>
      </c>
      <c r="H139">
        <v>4</v>
      </c>
      <c r="I139">
        <v>2</v>
      </c>
      <c r="J139">
        <v>0.2</v>
      </c>
      <c r="K139">
        <v>138</v>
      </c>
      <c r="L139">
        <v>0.19700000000000001</v>
      </c>
      <c r="M139">
        <v>0.59</v>
      </c>
      <c r="N139">
        <v>0.19400000000000001</v>
      </c>
      <c r="O139">
        <v>4</v>
      </c>
      <c r="P139">
        <v>19</v>
      </c>
      <c r="Q139">
        <v>23</v>
      </c>
    </row>
    <row r="140" spans="1:17" x14ac:dyDescent="0.35">
      <c r="A140">
        <v>139</v>
      </c>
      <c r="B140" s="1">
        <v>40550</v>
      </c>
      <c r="C140">
        <v>1</v>
      </c>
      <c r="D140">
        <v>0</v>
      </c>
      <c r="E140">
        <v>1</v>
      </c>
      <c r="F140">
        <v>0</v>
      </c>
      <c r="G140">
        <v>0</v>
      </c>
      <c r="H140">
        <v>5</v>
      </c>
      <c r="I140">
        <v>2</v>
      </c>
      <c r="J140">
        <v>0.2</v>
      </c>
      <c r="K140">
        <v>139</v>
      </c>
      <c r="L140">
        <v>0.19700000000000001</v>
      </c>
      <c r="M140">
        <v>0.64</v>
      </c>
      <c r="N140">
        <v>0.19400000000000001</v>
      </c>
      <c r="O140">
        <v>4</v>
      </c>
      <c r="P140">
        <v>13</v>
      </c>
      <c r="Q140">
        <v>17</v>
      </c>
    </row>
    <row r="141" spans="1:17" x14ac:dyDescent="0.35">
      <c r="A141">
        <v>140</v>
      </c>
      <c r="B141" s="1">
        <v>40550</v>
      </c>
      <c r="C141">
        <v>1</v>
      </c>
      <c r="D141">
        <v>0</v>
      </c>
      <c r="E141">
        <v>1</v>
      </c>
      <c r="F141">
        <v>1</v>
      </c>
      <c r="G141">
        <v>0</v>
      </c>
      <c r="H141">
        <v>5</v>
      </c>
      <c r="I141">
        <v>2</v>
      </c>
      <c r="J141">
        <v>0.2</v>
      </c>
      <c r="K141">
        <v>140</v>
      </c>
      <c r="L141">
        <v>0.19700000000000001</v>
      </c>
      <c r="M141">
        <v>0.69</v>
      </c>
      <c r="N141">
        <v>0.22389999999999999</v>
      </c>
      <c r="O141">
        <v>2</v>
      </c>
      <c r="P141">
        <v>5</v>
      </c>
      <c r="Q141">
        <v>7</v>
      </c>
    </row>
    <row r="142" spans="1:17" x14ac:dyDescent="0.35">
      <c r="A142">
        <v>141</v>
      </c>
      <c r="B142" s="1">
        <v>40550</v>
      </c>
      <c r="C142">
        <v>1</v>
      </c>
      <c r="D142">
        <v>0</v>
      </c>
      <c r="E142">
        <v>1</v>
      </c>
      <c r="F142">
        <v>2</v>
      </c>
      <c r="G142">
        <v>0</v>
      </c>
      <c r="H142">
        <v>5</v>
      </c>
      <c r="I142">
        <v>2</v>
      </c>
      <c r="J142">
        <v>0.2</v>
      </c>
      <c r="K142">
        <v>141</v>
      </c>
      <c r="L142">
        <v>0.19700000000000001</v>
      </c>
      <c r="M142">
        <v>0.69</v>
      </c>
      <c r="N142">
        <v>0.22389999999999999</v>
      </c>
      <c r="O142">
        <v>0</v>
      </c>
      <c r="P142">
        <v>1</v>
      </c>
      <c r="Q142">
        <v>1</v>
      </c>
    </row>
    <row r="143" spans="1:17" x14ac:dyDescent="0.35">
      <c r="A143">
        <v>142</v>
      </c>
      <c r="B143" s="1">
        <v>40550</v>
      </c>
      <c r="C143">
        <v>1</v>
      </c>
      <c r="D143">
        <v>0</v>
      </c>
      <c r="E143">
        <v>1</v>
      </c>
      <c r="F143">
        <v>4</v>
      </c>
      <c r="G143">
        <v>0</v>
      </c>
      <c r="H143">
        <v>5</v>
      </c>
      <c r="I143">
        <v>2</v>
      </c>
      <c r="J143">
        <v>0.2</v>
      </c>
      <c r="K143">
        <v>142</v>
      </c>
      <c r="L143">
        <v>0.21210000000000001</v>
      </c>
      <c r="M143">
        <v>0.69</v>
      </c>
      <c r="N143">
        <v>0.1343</v>
      </c>
      <c r="O143">
        <v>0</v>
      </c>
      <c r="P143">
        <v>1</v>
      </c>
      <c r="Q143">
        <v>1</v>
      </c>
    </row>
    <row r="144" spans="1:17" x14ac:dyDescent="0.35">
      <c r="A144">
        <v>143</v>
      </c>
      <c r="B144" s="1">
        <v>40550</v>
      </c>
      <c r="C144">
        <v>1</v>
      </c>
      <c r="D144">
        <v>0</v>
      </c>
      <c r="E144">
        <v>1</v>
      </c>
      <c r="F144">
        <v>5</v>
      </c>
      <c r="G144">
        <v>0</v>
      </c>
      <c r="H144">
        <v>5</v>
      </c>
      <c r="I144">
        <v>3</v>
      </c>
      <c r="J144">
        <v>0.22</v>
      </c>
      <c r="K144">
        <v>143</v>
      </c>
      <c r="L144">
        <v>0.2727</v>
      </c>
      <c r="M144">
        <v>0.55000000000000004</v>
      </c>
      <c r="N144">
        <v>0</v>
      </c>
      <c r="O144">
        <v>0</v>
      </c>
      <c r="P144">
        <v>5</v>
      </c>
      <c r="Q144">
        <v>5</v>
      </c>
    </row>
    <row r="145" spans="1:17" x14ac:dyDescent="0.35">
      <c r="A145">
        <v>144</v>
      </c>
      <c r="B145" s="1">
        <v>40550</v>
      </c>
      <c r="C145">
        <v>1</v>
      </c>
      <c r="D145">
        <v>0</v>
      </c>
      <c r="E145">
        <v>1</v>
      </c>
      <c r="F145">
        <v>6</v>
      </c>
      <c r="G145">
        <v>0</v>
      </c>
      <c r="H145">
        <v>5</v>
      </c>
      <c r="I145">
        <v>2</v>
      </c>
      <c r="J145">
        <v>0.2</v>
      </c>
      <c r="K145">
        <v>144</v>
      </c>
      <c r="L145">
        <v>0.2576</v>
      </c>
      <c r="M145">
        <v>0.69</v>
      </c>
      <c r="N145">
        <v>0</v>
      </c>
      <c r="O145">
        <v>8</v>
      </c>
      <c r="P145">
        <v>26</v>
      </c>
      <c r="Q145">
        <v>34</v>
      </c>
    </row>
    <row r="146" spans="1:17" x14ac:dyDescent="0.35">
      <c r="A146">
        <v>145</v>
      </c>
      <c r="B146" s="1">
        <v>40550</v>
      </c>
      <c r="C146">
        <v>1</v>
      </c>
      <c r="D146">
        <v>0</v>
      </c>
      <c r="E146">
        <v>1</v>
      </c>
      <c r="F146">
        <v>7</v>
      </c>
      <c r="G146">
        <v>0</v>
      </c>
      <c r="H146">
        <v>5</v>
      </c>
      <c r="I146">
        <v>1</v>
      </c>
      <c r="J146">
        <v>0.2</v>
      </c>
      <c r="K146">
        <v>145</v>
      </c>
      <c r="L146">
        <v>0.21210000000000001</v>
      </c>
      <c r="M146">
        <v>0.69</v>
      </c>
      <c r="N146">
        <v>0.1343</v>
      </c>
      <c r="O146">
        <v>8</v>
      </c>
      <c r="P146">
        <v>76</v>
      </c>
      <c r="Q146">
        <v>84</v>
      </c>
    </row>
    <row r="147" spans="1:17" x14ac:dyDescent="0.35">
      <c r="A147">
        <v>146</v>
      </c>
      <c r="B147" s="1">
        <v>40550</v>
      </c>
      <c r="C147">
        <v>1</v>
      </c>
      <c r="D147">
        <v>0</v>
      </c>
      <c r="E147">
        <v>1</v>
      </c>
      <c r="F147">
        <v>8</v>
      </c>
      <c r="G147">
        <v>0</v>
      </c>
      <c r="H147">
        <v>5</v>
      </c>
      <c r="I147">
        <v>1</v>
      </c>
      <c r="J147">
        <v>0.2</v>
      </c>
      <c r="K147">
        <v>146</v>
      </c>
      <c r="L147">
        <v>0.19700000000000001</v>
      </c>
      <c r="M147">
        <v>0.51</v>
      </c>
      <c r="N147">
        <v>0.25369999999999998</v>
      </c>
      <c r="O147">
        <v>20</v>
      </c>
      <c r="P147">
        <v>190</v>
      </c>
      <c r="Q147">
        <v>210</v>
      </c>
    </row>
    <row r="148" spans="1:17" x14ac:dyDescent="0.35">
      <c r="A148">
        <v>147</v>
      </c>
      <c r="B148" s="1">
        <v>40550</v>
      </c>
      <c r="C148">
        <v>1</v>
      </c>
      <c r="D148">
        <v>0</v>
      </c>
      <c r="E148">
        <v>1</v>
      </c>
      <c r="F148">
        <v>9</v>
      </c>
      <c r="G148">
        <v>0</v>
      </c>
      <c r="H148">
        <v>5</v>
      </c>
      <c r="I148">
        <v>1</v>
      </c>
      <c r="J148">
        <v>0.2</v>
      </c>
      <c r="K148">
        <v>147</v>
      </c>
      <c r="L148">
        <v>0.18179999999999999</v>
      </c>
      <c r="M148">
        <v>0.47</v>
      </c>
      <c r="N148">
        <v>0.29849999999999999</v>
      </c>
      <c r="O148">
        <v>9</v>
      </c>
      <c r="P148">
        <v>125</v>
      </c>
      <c r="Q148">
        <v>134</v>
      </c>
    </row>
    <row r="149" spans="1:17" x14ac:dyDescent="0.35">
      <c r="A149">
        <v>148</v>
      </c>
      <c r="B149" s="1">
        <v>40550</v>
      </c>
      <c r="C149">
        <v>1</v>
      </c>
      <c r="D149">
        <v>0</v>
      </c>
      <c r="E149">
        <v>1</v>
      </c>
      <c r="F149">
        <v>10</v>
      </c>
      <c r="G149">
        <v>0</v>
      </c>
      <c r="H149">
        <v>5</v>
      </c>
      <c r="I149">
        <v>1</v>
      </c>
      <c r="J149">
        <v>0.22</v>
      </c>
      <c r="K149">
        <v>148</v>
      </c>
      <c r="L149">
        <v>0.19700000000000001</v>
      </c>
      <c r="M149">
        <v>0.37</v>
      </c>
      <c r="N149">
        <v>0.32840000000000003</v>
      </c>
      <c r="O149">
        <v>16</v>
      </c>
      <c r="P149">
        <v>47</v>
      </c>
      <c r="Q149">
        <v>63</v>
      </c>
    </row>
    <row r="150" spans="1:17" x14ac:dyDescent="0.35">
      <c r="A150">
        <v>149</v>
      </c>
      <c r="B150" s="1">
        <v>40550</v>
      </c>
      <c r="C150">
        <v>1</v>
      </c>
      <c r="D150">
        <v>0</v>
      </c>
      <c r="E150">
        <v>1</v>
      </c>
      <c r="F150">
        <v>11</v>
      </c>
      <c r="G150">
        <v>0</v>
      </c>
      <c r="H150">
        <v>5</v>
      </c>
      <c r="I150">
        <v>2</v>
      </c>
      <c r="J150">
        <v>0.2</v>
      </c>
      <c r="K150">
        <v>149</v>
      </c>
      <c r="L150">
        <v>0.19700000000000001</v>
      </c>
      <c r="M150">
        <v>0.4</v>
      </c>
      <c r="N150">
        <v>0.22389999999999999</v>
      </c>
      <c r="O150">
        <v>19</v>
      </c>
      <c r="P150">
        <v>48</v>
      </c>
      <c r="Q150">
        <v>67</v>
      </c>
    </row>
    <row r="151" spans="1:17" x14ac:dyDescent="0.35">
      <c r="A151">
        <v>150</v>
      </c>
      <c r="B151" s="1">
        <v>40550</v>
      </c>
      <c r="C151">
        <v>1</v>
      </c>
      <c r="D151">
        <v>0</v>
      </c>
      <c r="E151">
        <v>1</v>
      </c>
      <c r="F151">
        <v>12</v>
      </c>
      <c r="G151">
        <v>0</v>
      </c>
      <c r="H151">
        <v>5</v>
      </c>
      <c r="I151">
        <v>2</v>
      </c>
      <c r="J151">
        <v>0.2</v>
      </c>
      <c r="K151">
        <v>150</v>
      </c>
      <c r="L151">
        <v>0.19700000000000001</v>
      </c>
      <c r="M151">
        <v>0.37</v>
      </c>
      <c r="N151">
        <v>0.25369999999999998</v>
      </c>
      <c r="O151">
        <v>9</v>
      </c>
      <c r="P151">
        <v>50</v>
      </c>
      <c r="Q151">
        <v>59</v>
      </c>
    </row>
    <row r="152" spans="1:17" x14ac:dyDescent="0.35">
      <c r="A152">
        <v>151</v>
      </c>
      <c r="B152" s="1">
        <v>40550</v>
      </c>
      <c r="C152">
        <v>1</v>
      </c>
      <c r="D152">
        <v>0</v>
      </c>
      <c r="E152">
        <v>1</v>
      </c>
      <c r="F152">
        <v>13</v>
      </c>
      <c r="G152">
        <v>0</v>
      </c>
      <c r="H152">
        <v>5</v>
      </c>
      <c r="I152">
        <v>2</v>
      </c>
      <c r="J152">
        <v>0.2</v>
      </c>
      <c r="K152">
        <v>151</v>
      </c>
      <c r="L152">
        <v>0.18179999999999999</v>
      </c>
      <c r="M152">
        <v>0.37</v>
      </c>
      <c r="N152">
        <v>0.28360000000000002</v>
      </c>
      <c r="O152">
        <v>9</v>
      </c>
      <c r="P152">
        <v>64</v>
      </c>
      <c r="Q152">
        <v>73</v>
      </c>
    </row>
    <row r="153" spans="1:17" x14ac:dyDescent="0.35">
      <c r="A153">
        <v>152</v>
      </c>
      <c r="B153" s="1">
        <v>40550</v>
      </c>
      <c r="C153">
        <v>1</v>
      </c>
      <c r="D153">
        <v>0</v>
      </c>
      <c r="E153">
        <v>1</v>
      </c>
      <c r="F153">
        <v>14</v>
      </c>
      <c r="G153">
        <v>0</v>
      </c>
      <c r="H153">
        <v>5</v>
      </c>
      <c r="I153">
        <v>2</v>
      </c>
      <c r="J153">
        <v>0.2</v>
      </c>
      <c r="K153">
        <v>152</v>
      </c>
      <c r="L153">
        <v>0.19700000000000001</v>
      </c>
      <c r="M153">
        <v>0.4</v>
      </c>
      <c r="N153">
        <v>0.25369999999999998</v>
      </c>
      <c r="O153">
        <v>7</v>
      </c>
      <c r="P153">
        <v>43</v>
      </c>
      <c r="Q153">
        <v>50</v>
      </c>
    </row>
    <row r="154" spans="1:17" x14ac:dyDescent="0.35">
      <c r="A154">
        <v>153</v>
      </c>
      <c r="B154" s="1">
        <v>40550</v>
      </c>
      <c r="C154">
        <v>1</v>
      </c>
      <c r="D154">
        <v>0</v>
      </c>
      <c r="E154">
        <v>1</v>
      </c>
      <c r="F154">
        <v>15</v>
      </c>
      <c r="G154">
        <v>0</v>
      </c>
      <c r="H154">
        <v>5</v>
      </c>
      <c r="I154">
        <v>2</v>
      </c>
      <c r="J154">
        <v>0.2</v>
      </c>
      <c r="K154">
        <v>153</v>
      </c>
      <c r="L154">
        <v>0.21210000000000001</v>
      </c>
      <c r="M154">
        <v>0.37</v>
      </c>
      <c r="N154">
        <v>0.16420000000000001</v>
      </c>
      <c r="O154">
        <v>9</v>
      </c>
      <c r="P154">
        <v>63</v>
      </c>
      <c r="Q154">
        <v>72</v>
      </c>
    </row>
    <row r="155" spans="1:17" x14ac:dyDescent="0.35">
      <c r="A155">
        <v>154</v>
      </c>
      <c r="B155" s="1">
        <v>40550</v>
      </c>
      <c r="C155">
        <v>1</v>
      </c>
      <c r="D155">
        <v>0</v>
      </c>
      <c r="E155">
        <v>1</v>
      </c>
      <c r="F155">
        <v>16</v>
      </c>
      <c r="G155">
        <v>0</v>
      </c>
      <c r="H155">
        <v>5</v>
      </c>
      <c r="I155">
        <v>2</v>
      </c>
      <c r="J155">
        <v>0.2</v>
      </c>
      <c r="K155">
        <v>154</v>
      </c>
      <c r="L155">
        <v>0.21210000000000001</v>
      </c>
      <c r="M155">
        <v>0.37</v>
      </c>
      <c r="N155">
        <v>0.16420000000000001</v>
      </c>
      <c r="O155">
        <v>5</v>
      </c>
      <c r="P155">
        <v>82</v>
      </c>
      <c r="Q155">
        <v>87</v>
      </c>
    </row>
    <row r="156" spans="1:17" x14ac:dyDescent="0.35">
      <c r="A156">
        <v>155</v>
      </c>
      <c r="B156" s="1">
        <v>40550</v>
      </c>
      <c r="C156">
        <v>1</v>
      </c>
      <c r="D156">
        <v>0</v>
      </c>
      <c r="E156">
        <v>1</v>
      </c>
      <c r="F156">
        <v>17</v>
      </c>
      <c r="G156">
        <v>0</v>
      </c>
      <c r="H156">
        <v>5</v>
      </c>
      <c r="I156">
        <v>2</v>
      </c>
      <c r="J156">
        <v>0.2</v>
      </c>
      <c r="K156">
        <v>155</v>
      </c>
      <c r="L156">
        <v>0.2576</v>
      </c>
      <c r="M156">
        <v>0.37</v>
      </c>
      <c r="N156">
        <v>0</v>
      </c>
      <c r="O156">
        <v>9</v>
      </c>
      <c r="P156">
        <v>178</v>
      </c>
      <c r="Q156">
        <v>187</v>
      </c>
    </row>
    <row r="157" spans="1:17" x14ac:dyDescent="0.35">
      <c r="A157">
        <v>156</v>
      </c>
      <c r="B157" s="1">
        <v>40550</v>
      </c>
      <c r="C157">
        <v>1</v>
      </c>
      <c r="D157">
        <v>0</v>
      </c>
      <c r="E157">
        <v>1</v>
      </c>
      <c r="F157">
        <v>18</v>
      </c>
      <c r="G157">
        <v>0</v>
      </c>
      <c r="H157">
        <v>5</v>
      </c>
      <c r="I157">
        <v>1</v>
      </c>
      <c r="J157">
        <v>0.2</v>
      </c>
      <c r="K157">
        <v>156</v>
      </c>
      <c r="L157">
        <v>0.2273</v>
      </c>
      <c r="M157">
        <v>0.4</v>
      </c>
      <c r="N157">
        <v>8.9599999999999999E-2</v>
      </c>
      <c r="O157">
        <v>7</v>
      </c>
      <c r="P157">
        <v>116</v>
      </c>
      <c r="Q157">
        <v>123</v>
      </c>
    </row>
    <row r="158" spans="1:17" x14ac:dyDescent="0.35">
      <c r="A158">
        <v>157</v>
      </c>
      <c r="B158" s="1">
        <v>40550</v>
      </c>
      <c r="C158">
        <v>1</v>
      </c>
      <c r="D158">
        <v>0</v>
      </c>
      <c r="E158">
        <v>1</v>
      </c>
      <c r="F158">
        <v>19</v>
      </c>
      <c r="G158">
        <v>0</v>
      </c>
      <c r="H158">
        <v>5</v>
      </c>
      <c r="I158">
        <v>1</v>
      </c>
      <c r="J158">
        <v>0.16</v>
      </c>
      <c r="K158">
        <v>157</v>
      </c>
      <c r="L158">
        <v>0.19700000000000001</v>
      </c>
      <c r="M158">
        <v>0.55000000000000004</v>
      </c>
      <c r="N158">
        <v>8.9599999999999999E-2</v>
      </c>
      <c r="O158">
        <v>3</v>
      </c>
      <c r="P158">
        <v>92</v>
      </c>
      <c r="Q158">
        <v>95</v>
      </c>
    </row>
    <row r="159" spans="1:17" x14ac:dyDescent="0.35">
      <c r="A159">
        <v>158</v>
      </c>
      <c r="B159" s="1">
        <v>40550</v>
      </c>
      <c r="C159">
        <v>1</v>
      </c>
      <c r="D159">
        <v>0</v>
      </c>
      <c r="E159">
        <v>1</v>
      </c>
      <c r="F159">
        <v>20</v>
      </c>
      <c r="G159">
        <v>0</v>
      </c>
      <c r="H159">
        <v>5</v>
      </c>
      <c r="I159">
        <v>1</v>
      </c>
      <c r="J159">
        <v>0.18</v>
      </c>
      <c r="K159">
        <v>158</v>
      </c>
      <c r="L159">
        <v>0.21210000000000001</v>
      </c>
      <c r="M159">
        <v>0.47</v>
      </c>
      <c r="N159">
        <v>0.1045</v>
      </c>
      <c r="O159">
        <v>1</v>
      </c>
      <c r="P159">
        <v>50</v>
      </c>
      <c r="Q159">
        <v>51</v>
      </c>
    </row>
    <row r="160" spans="1:17" x14ac:dyDescent="0.35">
      <c r="A160">
        <v>159</v>
      </c>
      <c r="B160" s="1">
        <v>40550</v>
      </c>
      <c r="C160">
        <v>1</v>
      </c>
      <c r="D160">
        <v>0</v>
      </c>
      <c r="E160">
        <v>1</v>
      </c>
      <c r="F160">
        <v>21</v>
      </c>
      <c r="G160">
        <v>0</v>
      </c>
      <c r="H160">
        <v>5</v>
      </c>
      <c r="I160">
        <v>1</v>
      </c>
      <c r="J160">
        <v>0.18</v>
      </c>
      <c r="K160">
        <v>159</v>
      </c>
      <c r="L160">
        <v>0.19700000000000001</v>
      </c>
      <c r="M160">
        <v>0.47</v>
      </c>
      <c r="N160">
        <v>0.1343</v>
      </c>
      <c r="O160">
        <v>0</v>
      </c>
      <c r="P160">
        <v>39</v>
      </c>
      <c r="Q160">
        <v>39</v>
      </c>
    </row>
    <row r="161" spans="1:17" x14ac:dyDescent="0.35">
      <c r="A161">
        <v>160</v>
      </c>
      <c r="B161" s="1">
        <v>40550</v>
      </c>
      <c r="C161">
        <v>1</v>
      </c>
      <c r="D161">
        <v>0</v>
      </c>
      <c r="E161">
        <v>1</v>
      </c>
      <c r="F161">
        <v>22</v>
      </c>
      <c r="G161">
        <v>0</v>
      </c>
      <c r="H161">
        <v>5</v>
      </c>
      <c r="I161">
        <v>2</v>
      </c>
      <c r="J161">
        <v>0.18</v>
      </c>
      <c r="K161">
        <v>160</v>
      </c>
      <c r="L161">
        <v>0.19700000000000001</v>
      </c>
      <c r="M161">
        <v>0.43</v>
      </c>
      <c r="N161">
        <v>0.16420000000000001</v>
      </c>
      <c r="O161">
        <v>2</v>
      </c>
      <c r="P161">
        <v>34</v>
      </c>
      <c r="Q161">
        <v>36</v>
      </c>
    </row>
    <row r="162" spans="1:17" x14ac:dyDescent="0.35">
      <c r="A162">
        <v>161</v>
      </c>
      <c r="B162" s="1">
        <v>40550</v>
      </c>
      <c r="C162">
        <v>1</v>
      </c>
      <c r="D162">
        <v>0</v>
      </c>
      <c r="E162">
        <v>1</v>
      </c>
      <c r="F162">
        <v>23</v>
      </c>
      <c r="G162">
        <v>0</v>
      </c>
      <c r="H162">
        <v>5</v>
      </c>
      <c r="I162">
        <v>2</v>
      </c>
      <c r="J162">
        <v>0.18</v>
      </c>
      <c r="K162">
        <v>161</v>
      </c>
      <c r="L162">
        <v>0.19700000000000001</v>
      </c>
      <c r="M162">
        <v>0.51</v>
      </c>
      <c r="N162">
        <v>0.16420000000000001</v>
      </c>
      <c r="O162">
        <v>1</v>
      </c>
      <c r="P162">
        <v>14</v>
      </c>
      <c r="Q162">
        <v>15</v>
      </c>
    </row>
    <row r="163" spans="1:17" x14ac:dyDescent="0.35">
      <c r="A163">
        <v>162</v>
      </c>
      <c r="B163" s="1">
        <v>40551</v>
      </c>
      <c r="C163">
        <v>1</v>
      </c>
      <c r="D163">
        <v>0</v>
      </c>
      <c r="E163">
        <v>1</v>
      </c>
      <c r="F163">
        <v>0</v>
      </c>
      <c r="G163">
        <v>0</v>
      </c>
      <c r="H163">
        <v>6</v>
      </c>
      <c r="I163">
        <v>2</v>
      </c>
      <c r="J163">
        <v>0.18</v>
      </c>
      <c r="K163">
        <v>162</v>
      </c>
      <c r="L163">
        <v>0.19700000000000001</v>
      </c>
      <c r="M163">
        <v>0.51</v>
      </c>
      <c r="N163">
        <v>0.16420000000000001</v>
      </c>
      <c r="O163">
        <v>1</v>
      </c>
      <c r="P163">
        <v>24</v>
      </c>
      <c r="Q163">
        <v>25</v>
      </c>
    </row>
    <row r="164" spans="1:17" x14ac:dyDescent="0.35">
      <c r="A164">
        <v>163</v>
      </c>
      <c r="B164" s="1">
        <v>40551</v>
      </c>
      <c r="C164">
        <v>1</v>
      </c>
      <c r="D164">
        <v>0</v>
      </c>
      <c r="E164">
        <v>1</v>
      </c>
      <c r="F164">
        <v>1</v>
      </c>
      <c r="G164">
        <v>0</v>
      </c>
      <c r="H164">
        <v>6</v>
      </c>
      <c r="I164">
        <v>2</v>
      </c>
      <c r="J164">
        <v>0.18</v>
      </c>
      <c r="K164">
        <v>163</v>
      </c>
      <c r="L164">
        <v>0.21210000000000001</v>
      </c>
      <c r="M164">
        <v>0.55000000000000004</v>
      </c>
      <c r="N164">
        <v>8.9599999999999999E-2</v>
      </c>
      <c r="O164">
        <v>1</v>
      </c>
      <c r="P164">
        <v>15</v>
      </c>
      <c r="Q164">
        <v>16</v>
      </c>
    </row>
    <row r="165" spans="1:17" x14ac:dyDescent="0.35">
      <c r="A165">
        <v>164</v>
      </c>
      <c r="B165" s="1">
        <v>40551</v>
      </c>
      <c r="C165">
        <v>1</v>
      </c>
      <c r="D165">
        <v>0</v>
      </c>
      <c r="E165">
        <v>1</v>
      </c>
      <c r="F165">
        <v>2</v>
      </c>
      <c r="G165">
        <v>0</v>
      </c>
      <c r="H165">
        <v>6</v>
      </c>
      <c r="I165">
        <v>2</v>
      </c>
      <c r="J165">
        <v>0.18</v>
      </c>
      <c r="K165">
        <v>164</v>
      </c>
      <c r="L165">
        <v>0.2424</v>
      </c>
      <c r="M165">
        <v>0.55000000000000004</v>
      </c>
      <c r="N165">
        <v>0</v>
      </c>
      <c r="O165">
        <v>3</v>
      </c>
      <c r="P165">
        <v>13</v>
      </c>
      <c r="Q165">
        <v>16</v>
      </c>
    </row>
    <row r="166" spans="1:17" x14ac:dyDescent="0.35">
      <c r="A166">
        <v>165</v>
      </c>
      <c r="B166" s="1">
        <v>40551</v>
      </c>
      <c r="C166">
        <v>1</v>
      </c>
      <c r="D166">
        <v>0</v>
      </c>
      <c r="E166">
        <v>1</v>
      </c>
      <c r="F166">
        <v>3</v>
      </c>
      <c r="G166">
        <v>0</v>
      </c>
      <c r="H166">
        <v>6</v>
      </c>
      <c r="I166">
        <v>3</v>
      </c>
      <c r="J166">
        <v>0.18</v>
      </c>
      <c r="K166">
        <v>165</v>
      </c>
      <c r="L166">
        <v>0.19700000000000001</v>
      </c>
      <c r="M166">
        <v>0.55000000000000004</v>
      </c>
      <c r="N166">
        <v>0.16420000000000001</v>
      </c>
      <c r="O166">
        <v>0</v>
      </c>
      <c r="P166">
        <v>7</v>
      </c>
      <c r="Q166">
        <v>7</v>
      </c>
    </row>
    <row r="167" spans="1:17" x14ac:dyDescent="0.35">
      <c r="A167">
        <v>166</v>
      </c>
      <c r="B167" s="1">
        <v>40551</v>
      </c>
      <c r="C167">
        <v>1</v>
      </c>
      <c r="D167">
        <v>0</v>
      </c>
      <c r="E167">
        <v>1</v>
      </c>
      <c r="F167">
        <v>4</v>
      </c>
      <c r="G167">
        <v>0</v>
      </c>
      <c r="H167">
        <v>6</v>
      </c>
      <c r="I167">
        <v>3</v>
      </c>
      <c r="J167">
        <v>0.18</v>
      </c>
      <c r="K167">
        <v>166</v>
      </c>
      <c r="L167">
        <v>0.19700000000000001</v>
      </c>
      <c r="M167">
        <v>0.55000000000000004</v>
      </c>
      <c r="N167">
        <v>0.16420000000000001</v>
      </c>
      <c r="O167">
        <v>0</v>
      </c>
      <c r="P167">
        <v>1</v>
      </c>
      <c r="Q167">
        <v>1</v>
      </c>
    </row>
    <row r="168" spans="1:17" x14ac:dyDescent="0.35">
      <c r="A168">
        <v>167</v>
      </c>
      <c r="B168" s="1">
        <v>40551</v>
      </c>
      <c r="C168">
        <v>1</v>
      </c>
      <c r="D168">
        <v>0</v>
      </c>
      <c r="E168">
        <v>1</v>
      </c>
      <c r="F168">
        <v>5</v>
      </c>
      <c r="G168">
        <v>0</v>
      </c>
      <c r="H168">
        <v>6</v>
      </c>
      <c r="I168">
        <v>2</v>
      </c>
      <c r="J168">
        <v>0.16</v>
      </c>
      <c r="K168">
        <v>167</v>
      </c>
      <c r="L168">
        <v>0.16669999999999999</v>
      </c>
      <c r="M168">
        <v>0.74</v>
      </c>
      <c r="N168">
        <v>0.16420000000000001</v>
      </c>
      <c r="O168">
        <v>0</v>
      </c>
      <c r="P168">
        <v>5</v>
      </c>
      <c r="Q168">
        <v>5</v>
      </c>
    </row>
    <row r="169" spans="1:17" x14ac:dyDescent="0.35">
      <c r="A169">
        <v>168</v>
      </c>
      <c r="B169" s="1">
        <v>40551</v>
      </c>
      <c r="C169">
        <v>1</v>
      </c>
      <c r="D169">
        <v>0</v>
      </c>
      <c r="E169">
        <v>1</v>
      </c>
      <c r="F169">
        <v>6</v>
      </c>
      <c r="G169">
        <v>0</v>
      </c>
      <c r="H169">
        <v>6</v>
      </c>
      <c r="I169">
        <v>2</v>
      </c>
      <c r="J169">
        <v>0.16</v>
      </c>
      <c r="K169">
        <v>168</v>
      </c>
      <c r="L169">
        <v>0.16669999999999999</v>
      </c>
      <c r="M169">
        <v>0.74</v>
      </c>
      <c r="N169">
        <v>0.16420000000000001</v>
      </c>
      <c r="O169">
        <v>0</v>
      </c>
      <c r="P169">
        <v>2</v>
      </c>
      <c r="Q169">
        <v>2</v>
      </c>
    </row>
    <row r="170" spans="1:17" x14ac:dyDescent="0.35">
      <c r="A170">
        <v>169</v>
      </c>
      <c r="B170" s="1">
        <v>40551</v>
      </c>
      <c r="C170">
        <v>1</v>
      </c>
      <c r="D170">
        <v>0</v>
      </c>
      <c r="E170">
        <v>1</v>
      </c>
      <c r="F170">
        <v>7</v>
      </c>
      <c r="G170">
        <v>0</v>
      </c>
      <c r="H170">
        <v>6</v>
      </c>
      <c r="I170">
        <v>2</v>
      </c>
      <c r="J170">
        <v>0.16</v>
      </c>
      <c r="K170">
        <v>169</v>
      </c>
      <c r="L170">
        <v>0.18179999999999999</v>
      </c>
      <c r="M170">
        <v>0.74</v>
      </c>
      <c r="N170">
        <v>0.1045</v>
      </c>
      <c r="O170">
        <v>1</v>
      </c>
      <c r="P170">
        <v>8</v>
      </c>
      <c r="Q170">
        <v>9</v>
      </c>
    </row>
    <row r="171" spans="1:17" x14ac:dyDescent="0.35">
      <c r="A171">
        <v>170</v>
      </c>
      <c r="B171" s="1">
        <v>40551</v>
      </c>
      <c r="C171">
        <v>1</v>
      </c>
      <c r="D171">
        <v>0</v>
      </c>
      <c r="E171">
        <v>1</v>
      </c>
      <c r="F171">
        <v>8</v>
      </c>
      <c r="G171">
        <v>0</v>
      </c>
      <c r="H171">
        <v>6</v>
      </c>
      <c r="I171">
        <v>3</v>
      </c>
      <c r="J171">
        <v>0.16</v>
      </c>
      <c r="K171">
        <v>170</v>
      </c>
      <c r="L171">
        <v>0.18179999999999999</v>
      </c>
      <c r="M171">
        <v>0.93</v>
      </c>
      <c r="N171">
        <v>0.1045</v>
      </c>
      <c r="O171">
        <v>0</v>
      </c>
      <c r="P171">
        <v>15</v>
      </c>
      <c r="Q171">
        <v>15</v>
      </c>
    </row>
    <row r="172" spans="1:17" x14ac:dyDescent="0.35">
      <c r="A172">
        <v>171</v>
      </c>
      <c r="B172" s="1">
        <v>40551</v>
      </c>
      <c r="C172">
        <v>1</v>
      </c>
      <c r="D172">
        <v>0</v>
      </c>
      <c r="E172">
        <v>1</v>
      </c>
      <c r="F172">
        <v>9</v>
      </c>
      <c r="G172">
        <v>0</v>
      </c>
      <c r="H172">
        <v>6</v>
      </c>
      <c r="I172">
        <v>3</v>
      </c>
      <c r="J172">
        <v>0.16</v>
      </c>
      <c r="K172">
        <v>171</v>
      </c>
      <c r="L172">
        <v>0.18179999999999999</v>
      </c>
      <c r="M172">
        <v>0.93</v>
      </c>
      <c r="N172">
        <v>0.1045</v>
      </c>
      <c r="O172">
        <v>0</v>
      </c>
      <c r="P172">
        <v>20</v>
      </c>
      <c r="Q172">
        <v>20</v>
      </c>
    </row>
    <row r="173" spans="1:17" x14ac:dyDescent="0.35">
      <c r="A173">
        <v>172</v>
      </c>
      <c r="B173" s="1">
        <v>40551</v>
      </c>
      <c r="C173">
        <v>1</v>
      </c>
      <c r="D173">
        <v>0</v>
      </c>
      <c r="E173">
        <v>1</v>
      </c>
      <c r="F173">
        <v>10</v>
      </c>
      <c r="G173">
        <v>0</v>
      </c>
      <c r="H173">
        <v>6</v>
      </c>
      <c r="I173">
        <v>2</v>
      </c>
      <c r="J173">
        <v>0.18</v>
      </c>
      <c r="K173">
        <v>172</v>
      </c>
      <c r="L173">
        <v>0.19700000000000001</v>
      </c>
      <c r="M173">
        <v>0.8</v>
      </c>
      <c r="N173">
        <v>0.16420000000000001</v>
      </c>
      <c r="O173">
        <v>5</v>
      </c>
      <c r="P173">
        <v>56</v>
      </c>
      <c r="Q173">
        <v>61</v>
      </c>
    </row>
    <row r="174" spans="1:17" x14ac:dyDescent="0.35">
      <c r="A174">
        <v>173</v>
      </c>
      <c r="B174" s="1">
        <v>40551</v>
      </c>
      <c r="C174">
        <v>1</v>
      </c>
      <c r="D174">
        <v>0</v>
      </c>
      <c r="E174">
        <v>1</v>
      </c>
      <c r="F174">
        <v>11</v>
      </c>
      <c r="G174">
        <v>0</v>
      </c>
      <c r="H174">
        <v>6</v>
      </c>
      <c r="I174">
        <v>2</v>
      </c>
      <c r="J174">
        <v>0.2</v>
      </c>
      <c r="K174">
        <v>173</v>
      </c>
      <c r="L174">
        <v>0.18179999999999999</v>
      </c>
      <c r="M174">
        <v>0.69</v>
      </c>
      <c r="N174">
        <v>0.3881</v>
      </c>
      <c r="O174">
        <v>2</v>
      </c>
      <c r="P174">
        <v>60</v>
      </c>
      <c r="Q174">
        <v>62</v>
      </c>
    </row>
    <row r="175" spans="1:17" x14ac:dyDescent="0.35">
      <c r="A175">
        <v>174</v>
      </c>
      <c r="B175" s="1">
        <v>40551</v>
      </c>
      <c r="C175">
        <v>1</v>
      </c>
      <c r="D175">
        <v>0</v>
      </c>
      <c r="E175">
        <v>1</v>
      </c>
      <c r="F175">
        <v>12</v>
      </c>
      <c r="G175">
        <v>0</v>
      </c>
      <c r="H175">
        <v>6</v>
      </c>
      <c r="I175">
        <v>2</v>
      </c>
      <c r="J175">
        <v>0.2</v>
      </c>
      <c r="K175">
        <v>174</v>
      </c>
      <c r="L175">
        <v>0.18179999999999999</v>
      </c>
      <c r="M175">
        <v>0.59</v>
      </c>
      <c r="N175">
        <v>0.35820000000000002</v>
      </c>
      <c r="O175">
        <v>8</v>
      </c>
      <c r="P175">
        <v>90</v>
      </c>
      <c r="Q175">
        <v>98</v>
      </c>
    </row>
    <row r="176" spans="1:17" x14ac:dyDescent="0.35">
      <c r="A176">
        <v>175</v>
      </c>
      <c r="B176" s="1">
        <v>40551</v>
      </c>
      <c r="C176">
        <v>1</v>
      </c>
      <c r="D176">
        <v>0</v>
      </c>
      <c r="E176">
        <v>1</v>
      </c>
      <c r="F176">
        <v>13</v>
      </c>
      <c r="G176">
        <v>0</v>
      </c>
      <c r="H176">
        <v>6</v>
      </c>
      <c r="I176">
        <v>1</v>
      </c>
      <c r="J176">
        <v>0.2</v>
      </c>
      <c r="K176">
        <v>175</v>
      </c>
      <c r="L176">
        <v>0.18179999999999999</v>
      </c>
      <c r="M176">
        <v>0.44</v>
      </c>
      <c r="N176">
        <v>0.32840000000000003</v>
      </c>
      <c r="O176">
        <v>7</v>
      </c>
      <c r="P176">
        <v>95</v>
      </c>
      <c r="Q176">
        <v>102</v>
      </c>
    </row>
    <row r="177" spans="1:17" x14ac:dyDescent="0.35">
      <c r="A177">
        <v>176</v>
      </c>
      <c r="B177" s="1">
        <v>40551</v>
      </c>
      <c r="C177">
        <v>1</v>
      </c>
      <c r="D177">
        <v>0</v>
      </c>
      <c r="E177">
        <v>1</v>
      </c>
      <c r="F177">
        <v>14</v>
      </c>
      <c r="G177">
        <v>0</v>
      </c>
      <c r="H177">
        <v>6</v>
      </c>
      <c r="I177">
        <v>1</v>
      </c>
      <c r="J177">
        <v>0.2</v>
      </c>
      <c r="K177">
        <v>176</v>
      </c>
      <c r="L177">
        <v>0.16669999999999999</v>
      </c>
      <c r="M177">
        <v>0.32</v>
      </c>
      <c r="N177">
        <v>0.49249999999999999</v>
      </c>
      <c r="O177">
        <v>12</v>
      </c>
      <c r="P177">
        <v>83</v>
      </c>
      <c r="Q177">
        <v>95</v>
      </c>
    </row>
    <row r="178" spans="1:17" x14ac:dyDescent="0.35">
      <c r="A178">
        <v>177</v>
      </c>
      <c r="B178" s="1">
        <v>40551</v>
      </c>
      <c r="C178">
        <v>1</v>
      </c>
      <c r="D178">
        <v>0</v>
      </c>
      <c r="E178">
        <v>1</v>
      </c>
      <c r="F178">
        <v>15</v>
      </c>
      <c r="G178">
        <v>0</v>
      </c>
      <c r="H178">
        <v>6</v>
      </c>
      <c r="I178">
        <v>1</v>
      </c>
      <c r="J178">
        <v>0.2</v>
      </c>
      <c r="K178">
        <v>177</v>
      </c>
      <c r="L178">
        <v>0.16669999999999999</v>
      </c>
      <c r="M178">
        <v>0.32</v>
      </c>
      <c r="N178">
        <v>0.44779999999999998</v>
      </c>
      <c r="O178">
        <v>5</v>
      </c>
      <c r="P178">
        <v>69</v>
      </c>
      <c r="Q178">
        <v>74</v>
      </c>
    </row>
    <row r="179" spans="1:17" x14ac:dyDescent="0.35">
      <c r="A179">
        <v>178</v>
      </c>
      <c r="B179" s="1">
        <v>40551</v>
      </c>
      <c r="C179">
        <v>1</v>
      </c>
      <c r="D179">
        <v>0</v>
      </c>
      <c r="E179">
        <v>1</v>
      </c>
      <c r="F179">
        <v>16</v>
      </c>
      <c r="G179">
        <v>0</v>
      </c>
      <c r="H179">
        <v>6</v>
      </c>
      <c r="I179">
        <v>1</v>
      </c>
      <c r="J179">
        <v>0.18</v>
      </c>
      <c r="K179">
        <v>178</v>
      </c>
      <c r="L179">
        <v>0.13639999999999999</v>
      </c>
      <c r="M179">
        <v>0.28999999999999998</v>
      </c>
      <c r="N179">
        <v>0.44779999999999998</v>
      </c>
      <c r="O179">
        <v>8</v>
      </c>
      <c r="P179">
        <v>68</v>
      </c>
      <c r="Q179">
        <v>76</v>
      </c>
    </row>
    <row r="180" spans="1:17" x14ac:dyDescent="0.35">
      <c r="A180">
        <v>179</v>
      </c>
      <c r="B180" s="1">
        <v>40551</v>
      </c>
      <c r="C180">
        <v>1</v>
      </c>
      <c r="D180">
        <v>0</v>
      </c>
      <c r="E180">
        <v>1</v>
      </c>
      <c r="F180">
        <v>17</v>
      </c>
      <c r="G180">
        <v>0</v>
      </c>
      <c r="H180">
        <v>6</v>
      </c>
      <c r="I180">
        <v>1</v>
      </c>
      <c r="J180">
        <v>0.16</v>
      </c>
      <c r="K180">
        <v>179</v>
      </c>
      <c r="L180">
        <v>0.1212</v>
      </c>
      <c r="M180">
        <v>0.37</v>
      </c>
      <c r="N180">
        <v>0.55220000000000002</v>
      </c>
      <c r="O180">
        <v>5</v>
      </c>
      <c r="P180">
        <v>64</v>
      </c>
      <c r="Q180">
        <v>69</v>
      </c>
    </row>
    <row r="181" spans="1:17" x14ac:dyDescent="0.35">
      <c r="A181">
        <v>180</v>
      </c>
      <c r="B181" s="1">
        <v>40551</v>
      </c>
      <c r="C181">
        <v>1</v>
      </c>
      <c r="D181">
        <v>0</v>
      </c>
      <c r="E181">
        <v>1</v>
      </c>
      <c r="F181">
        <v>18</v>
      </c>
      <c r="G181">
        <v>0</v>
      </c>
      <c r="H181">
        <v>6</v>
      </c>
      <c r="I181">
        <v>1</v>
      </c>
      <c r="J181">
        <v>0.14000000000000001</v>
      </c>
      <c r="K181">
        <v>180</v>
      </c>
      <c r="L181">
        <v>0.1212</v>
      </c>
      <c r="M181">
        <v>0.39</v>
      </c>
      <c r="N181">
        <v>0.29849999999999999</v>
      </c>
      <c r="O181">
        <v>3</v>
      </c>
      <c r="P181">
        <v>52</v>
      </c>
      <c r="Q181">
        <v>55</v>
      </c>
    </row>
    <row r="182" spans="1:17" x14ac:dyDescent="0.35">
      <c r="A182">
        <v>181</v>
      </c>
      <c r="B182" s="1">
        <v>40551</v>
      </c>
      <c r="C182">
        <v>1</v>
      </c>
      <c r="D182">
        <v>0</v>
      </c>
      <c r="E182">
        <v>1</v>
      </c>
      <c r="F182">
        <v>19</v>
      </c>
      <c r="G182">
        <v>0</v>
      </c>
      <c r="H182">
        <v>6</v>
      </c>
      <c r="I182">
        <v>1</v>
      </c>
      <c r="J182">
        <v>0.14000000000000001</v>
      </c>
      <c r="K182">
        <v>181</v>
      </c>
      <c r="L182">
        <v>0.1212</v>
      </c>
      <c r="M182">
        <v>0.36</v>
      </c>
      <c r="N182">
        <v>0.25369999999999998</v>
      </c>
      <c r="O182">
        <v>4</v>
      </c>
      <c r="P182">
        <v>26</v>
      </c>
      <c r="Q182">
        <v>30</v>
      </c>
    </row>
    <row r="183" spans="1:17" x14ac:dyDescent="0.35">
      <c r="A183">
        <v>182</v>
      </c>
      <c r="B183" s="1">
        <v>40551</v>
      </c>
      <c r="C183">
        <v>1</v>
      </c>
      <c r="D183">
        <v>0</v>
      </c>
      <c r="E183">
        <v>1</v>
      </c>
      <c r="F183">
        <v>20</v>
      </c>
      <c r="G183">
        <v>0</v>
      </c>
      <c r="H183">
        <v>6</v>
      </c>
      <c r="I183">
        <v>1</v>
      </c>
      <c r="J183">
        <v>0.12</v>
      </c>
      <c r="K183">
        <v>182</v>
      </c>
      <c r="L183">
        <v>0.1212</v>
      </c>
      <c r="M183">
        <v>0.36</v>
      </c>
      <c r="N183">
        <v>0.25369999999999998</v>
      </c>
      <c r="O183">
        <v>0</v>
      </c>
      <c r="P183">
        <v>28</v>
      </c>
      <c r="Q183">
        <v>28</v>
      </c>
    </row>
    <row r="184" spans="1:17" x14ac:dyDescent="0.35">
      <c r="A184">
        <v>183</v>
      </c>
      <c r="B184" s="1">
        <v>40551</v>
      </c>
      <c r="C184">
        <v>1</v>
      </c>
      <c r="D184">
        <v>0</v>
      </c>
      <c r="E184">
        <v>1</v>
      </c>
      <c r="F184">
        <v>21</v>
      </c>
      <c r="G184">
        <v>0</v>
      </c>
      <c r="H184">
        <v>6</v>
      </c>
      <c r="I184">
        <v>1</v>
      </c>
      <c r="J184">
        <v>0.12</v>
      </c>
      <c r="K184">
        <v>183</v>
      </c>
      <c r="L184">
        <v>0.1061</v>
      </c>
      <c r="M184">
        <v>0.39</v>
      </c>
      <c r="N184">
        <v>0.35820000000000002</v>
      </c>
      <c r="O184">
        <v>2</v>
      </c>
      <c r="P184">
        <v>35</v>
      </c>
      <c r="Q184">
        <v>37</v>
      </c>
    </row>
    <row r="185" spans="1:17" x14ac:dyDescent="0.35">
      <c r="A185">
        <v>184</v>
      </c>
      <c r="B185" s="1">
        <v>40551</v>
      </c>
      <c r="C185">
        <v>1</v>
      </c>
      <c r="D185">
        <v>0</v>
      </c>
      <c r="E185">
        <v>1</v>
      </c>
      <c r="F185">
        <v>22</v>
      </c>
      <c r="G185">
        <v>0</v>
      </c>
      <c r="H185">
        <v>6</v>
      </c>
      <c r="I185">
        <v>1</v>
      </c>
      <c r="J185">
        <v>0.12</v>
      </c>
      <c r="K185">
        <v>184</v>
      </c>
      <c r="L185">
        <v>0.1061</v>
      </c>
      <c r="M185">
        <v>0.36</v>
      </c>
      <c r="N185">
        <v>0.3881</v>
      </c>
      <c r="O185">
        <v>1</v>
      </c>
      <c r="P185">
        <v>33</v>
      </c>
      <c r="Q185">
        <v>34</v>
      </c>
    </row>
    <row r="186" spans="1:17" x14ac:dyDescent="0.35">
      <c r="A186">
        <v>185</v>
      </c>
      <c r="B186" s="1">
        <v>40551</v>
      </c>
      <c r="C186">
        <v>1</v>
      </c>
      <c r="D186">
        <v>0</v>
      </c>
      <c r="E186">
        <v>1</v>
      </c>
      <c r="F186">
        <v>23</v>
      </c>
      <c r="G186">
        <v>0</v>
      </c>
      <c r="H186">
        <v>6</v>
      </c>
      <c r="I186">
        <v>1</v>
      </c>
      <c r="J186">
        <v>0.1</v>
      </c>
      <c r="K186">
        <v>185</v>
      </c>
      <c r="L186">
        <v>6.0600000000000001E-2</v>
      </c>
      <c r="M186">
        <v>0.39</v>
      </c>
      <c r="N186">
        <v>0.44779999999999998</v>
      </c>
      <c r="O186">
        <v>0</v>
      </c>
      <c r="P186">
        <v>22</v>
      </c>
      <c r="Q186">
        <v>22</v>
      </c>
    </row>
    <row r="187" spans="1:17" x14ac:dyDescent="0.35">
      <c r="A187">
        <v>186</v>
      </c>
      <c r="B187" s="1">
        <v>40552</v>
      </c>
      <c r="C187">
        <v>1</v>
      </c>
      <c r="D187">
        <v>0</v>
      </c>
      <c r="E187">
        <v>1</v>
      </c>
      <c r="F187">
        <v>0</v>
      </c>
      <c r="G187">
        <v>0</v>
      </c>
      <c r="H187">
        <v>0</v>
      </c>
      <c r="I187">
        <v>1</v>
      </c>
      <c r="J187">
        <v>0.1</v>
      </c>
      <c r="K187">
        <v>186</v>
      </c>
      <c r="L187">
        <v>7.5800000000000006E-2</v>
      </c>
      <c r="M187">
        <v>0.42</v>
      </c>
      <c r="N187">
        <v>0.3881</v>
      </c>
      <c r="O187">
        <v>1</v>
      </c>
      <c r="P187">
        <v>24</v>
      </c>
      <c r="Q187">
        <v>25</v>
      </c>
    </row>
    <row r="188" spans="1:17" x14ac:dyDescent="0.35">
      <c r="A188">
        <v>187</v>
      </c>
      <c r="B188" s="1">
        <v>40552</v>
      </c>
      <c r="C188">
        <v>1</v>
      </c>
      <c r="D188">
        <v>0</v>
      </c>
      <c r="E188">
        <v>1</v>
      </c>
      <c r="F188">
        <v>1</v>
      </c>
      <c r="G188">
        <v>0</v>
      </c>
      <c r="H188">
        <v>0</v>
      </c>
      <c r="I188">
        <v>1</v>
      </c>
      <c r="J188">
        <v>0.1</v>
      </c>
      <c r="K188">
        <v>187</v>
      </c>
      <c r="L188">
        <v>6.0600000000000001E-2</v>
      </c>
      <c r="M188">
        <v>0.42</v>
      </c>
      <c r="N188">
        <v>0.4627</v>
      </c>
      <c r="O188">
        <v>0</v>
      </c>
      <c r="P188">
        <v>12</v>
      </c>
      <c r="Q188">
        <v>12</v>
      </c>
    </row>
    <row r="189" spans="1:17" x14ac:dyDescent="0.35">
      <c r="A189">
        <v>188</v>
      </c>
      <c r="B189" s="1">
        <v>40552</v>
      </c>
      <c r="C189">
        <v>1</v>
      </c>
      <c r="D189">
        <v>0</v>
      </c>
      <c r="E189">
        <v>1</v>
      </c>
      <c r="F189">
        <v>2</v>
      </c>
      <c r="G189">
        <v>0</v>
      </c>
      <c r="H189">
        <v>0</v>
      </c>
      <c r="I189">
        <v>1</v>
      </c>
      <c r="J189">
        <v>0.1</v>
      </c>
      <c r="K189">
        <v>188</v>
      </c>
      <c r="L189">
        <v>6.0600000000000001E-2</v>
      </c>
      <c r="M189">
        <v>0.46</v>
      </c>
      <c r="N189">
        <v>0.4627</v>
      </c>
      <c r="O189">
        <v>0</v>
      </c>
      <c r="P189">
        <v>11</v>
      </c>
      <c r="Q189">
        <v>11</v>
      </c>
    </row>
    <row r="190" spans="1:17" x14ac:dyDescent="0.35">
      <c r="A190">
        <v>189</v>
      </c>
      <c r="B190" s="1">
        <v>40552</v>
      </c>
      <c r="C190">
        <v>1</v>
      </c>
      <c r="D190">
        <v>0</v>
      </c>
      <c r="E190">
        <v>1</v>
      </c>
      <c r="F190">
        <v>3</v>
      </c>
      <c r="G190">
        <v>0</v>
      </c>
      <c r="H190">
        <v>0</v>
      </c>
      <c r="I190">
        <v>1</v>
      </c>
      <c r="J190">
        <v>0.1</v>
      </c>
      <c r="K190">
        <v>189</v>
      </c>
      <c r="L190">
        <v>7.5800000000000006E-2</v>
      </c>
      <c r="M190">
        <v>0.46</v>
      </c>
      <c r="N190">
        <v>0.41789999999999999</v>
      </c>
      <c r="O190">
        <v>0</v>
      </c>
      <c r="P190">
        <v>4</v>
      </c>
      <c r="Q190">
        <v>4</v>
      </c>
    </row>
    <row r="191" spans="1:17" x14ac:dyDescent="0.35">
      <c r="A191">
        <v>190</v>
      </c>
      <c r="B191" s="1">
        <v>40552</v>
      </c>
      <c r="C191">
        <v>1</v>
      </c>
      <c r="D191">
        <v>0</v>
      </c>
      <c r="E191">
        <v>1</v>
      </c>
      <c r="F191">
        <v>4</v>
      </c>
      <c r="G191">
        <v>0</v>
      </c>
      <c r="H191">
        <v>0</v>
      </c>
      <c r="I191">
        <v>1</v>
      </c>
      <c r="J191">
        <v>0.08</v>
      </c>
      <c r="K191">
        <v>190</v>
      </c>
      <c r="L191">
        <v>9.0899999999999995E-2</v>
      </c>
      <c r="M191">
        <v>0.53</v>
      </c>
      <c r="N191">
        <v>0.19400000000000001</v>
      </c>
      <c r="O191">
        <v>0</v>
      </c>
      <c r="P191">
        <v>1</v>
      </c>
      <c r="Q191">
        <v>1</v>
      </c>
    </row>
    <row r="192" spans="1:17" x14ac:dyDescent="0.35">
      <c r="A192">
        <v>191</v>
      </c>
      <c r="B192" s="1">
        <v>40552</v>
      </c>
      <c r="C192">
        <v>1</v>
      </c>
      <c r="D192">
        <v>0</v>
      </c>
      <c r="E192">
        <v>1</v>
      </c>
      <c r="F192">
        <v>5</v>
      </c>
      <c r="G192">
        <v>0</v>
      </c>
      <c r="H192">
        <v>0</v>
      </c>
      <c r="I192">
        <v>1</v>
      </c>
      <c r="J192">
        <v>0.08</v>
      </c>
      <c r="K192">
        <v>191</v>
      </c>
      <c r="L192">
        <v>9.0899999999999995E-2</v>
      </c>
      <c r="M192">
        <v>0.53</v>
      </c>
      <c r="N192">
        <v>0.19400000000000001</v>
      </c>
      <c r="O192">
        <v>0</v>
      </c>
      <c r="P192">
        <v>1</v>
      </c>
      <c r="Q192">
        <v>1</v>
      </c>
    </row>
    <row r="193" spans="1:17" x14ac:dyDescent="0.35">
      <c r="A193">
        <v>192</v>
      </c>
      <c r="B193" s="1">
        <v>40552</v>
      </c>
      <c r="C193">
        <v>1</v>
      </c>
      <c r="D193">
        <v>0</v>
      </c>
      <c r="E193">
        <v>1</v>
      </c>
      <c r="F193">
        <v>6</v>
      </c>
      <c r="G193">
        <v>0</v>
      </c>
      <c r="H193">
        <v>0</v>
      </c>
      <c r="I193">
        <v>1</v>
      </c>
      <c r="J193">
        <v>0.1</v>
      </c>
      <c r="K193">
        <v>192</v>
      </c>
      <c r="L193">
        <v>9.0899999999999995E-2</v>
      </c>
      <c r="M193">
        <v>0.49</v>
      </c>
      <c r="N193">
        <v>0.28360000000000002</v>
      </c>
      <c r="O193">
        <v>0</v>
      </c>
      <c r="P193">
        <v>1</v>
      </c>
      <c r="Q193">
        <v>1</v>
      </c>
    </row>
    <row r="194" spans="1:17" x14ac:dyDescent="0.35">
      <c r="A194">
        <v>193</v>
      </c>
      <c r="B194" s="1">
        <v>40552</v>
      </c>
      <c r="C194">
        <v>1</v>
      </c>
      <c r="D194">
        <v>0</v>
      </c>
      <c r="E194">
        <v>1</v>
      </c>
      <c r="F194">
        <v>7</v>
      </c>
      <c r="G194">
        <v>0</v>
      </c>
      <c r="H194">
        <v>0</v>
      </c>
      <c r="I194">
        <v>1</v>
      </c>
      <c r="J194">
        <v>0.08</v>
      </c>
      <c r="K194">
        <v>193</v>
      </c>
      <c r="L194">
        <v>9.0899999999999995E-2</v>
      </c>
      <c r="M194">
        <v>0.53</v>
      </c>
      <c r="N194">
        <v>0.19400000000000001</v>
      </c>
      <c r="O194">
        <v>1</v>
      </c>
      <c r="P194">
        <v>5</v>
      </c>
      <c r="Q194">
        <v>6</v>
      </c>
    </row>
    <row r="195" spans="1:17" x14ac:dyDescent="0.35">
      <c r="A195">
        <v>194</v>
      </c>
      <c r="B195" s="1">
        <v>40552</v>
      </c>
      <c r="C195">
        <v>1</v>
      </c>
      <c r="D195">
        <v>0</v>
      </c>
      <c r="E195">
        <v>1</v>
      </c>
      <c r="F195">
        <v>8</v>
      </c>
      <c r="G195">
        <v>0</v>
      </c>
      <c r="H195">
        <v>0</v>
      </c>
      <c r="I195">
        <v>1</v>
      </c>
      <c r="J195">
        <v>0.1</v>
      </c>
      <c r="K195">
        <v>194</v>
      </c>
      <c r="L195">
        <v>9.0899999999999995E-2</v>
      </c>
      <c r="M195">
        <v>0.49</v>
      </c>
      <c r="N195">
        <v>0.28360000000000002</v>
      </c>
      <c r="O195">
        <v>0</v>
      </c>
      <c r="P195">
        <v>10</v>
      </c>
      <c r="Q195">
        <v>10</v>
      </c>
    </row>
    <row r="196" spans="1:17" x14ac:dyDescent="0.35">
      <c r="A196">
        <v>195</v>
      </c>
      <c r="B196" s="1">
        <v>40552</v>
      </c>
      <c r="C196">
        <v>1</v>
      </c>
      <c r="D196">
        <v>0</v>
      </c>
      <c r="E196">
        <v>1</v>
      </c>
      <c r="F196">
        <v>9</v>
      </c>
      <c r="G196">
        <v>0</v>
      </c>
      <c r="H196">
        <v>0</v>
      </c>
      <c r="I196">
        <v>1</v>
      </c>
      <c r="J196">
        <v>0.12</v>
      </c>
      <c r="K196">
        <v>195</v>
      </c>
      <c r="L196">
        <v>7.5800000000000006E-2</v>
      </c>
      <c r="M196">
        <v>0.46</v>
      </c>
      <c r="N196">
        <v>0.52239999999999998</v>
      </c>
      <c r="O196">
        <v>0</v>
      </c>
      <c r="P196">
        <v>19</v>
      </c>
      <c r="Q196">
        <v>19</v>
      </c>
    </row>
    <row r="197" spans="1:17" x14ac:dyDescent="0.35">
      <c r="A197">
        <v>196</v>
      </c>
      <c r="B197" s="1">
        <v>40552</v>
      </c>
      <c r="C197">
        <v>1</v>
      </c>
      <c r="D197">
        <v>0</v>
      </c>
      <c r="E197">
        <v>1</v>
      </c>
      <c r="F197">
        <v>10</v>
      </c>
      <c r="G197">
        <v>0</v>
      </c>
      <c r="H197">
        <v>0</v>
      </c>
      <c r="I197">
        <v>1</v>
      </c>
      <c r="J197">
        <v>0.14000000000000001</v>
      </c>
      <c r="K197">
        <v>196</v>
      </c>
      <c r="L197">
        <v>0.1061</v>
      </c>
      <c r="M197">
        <v>0.43</v>
      </c>
      <c r="N197">
        <v>0.3881</v>
      </c>
      <c r="O197">
        <v>0</v>
      </c>
      <c r="P197">
        <v>49</v>
      </c>
      <c r="Q197">
        <v>49</v>
      </c>
    </row>
    <row r="198" spans="1:17" x14ac:dyDescent="0.35">
      <c r="A198">
        <v>197</v>
      </c>
      <c r="B198" s="1">
        <v>40552</v>
      </c>
      <c r="C198">
        <v>1</v>
      </c>
      <c r="D198">
        <v>0</v>
      </c>
      <c r="E198">
        <v>1</v>
      </c>
      <c r="F198">
        <v>11</v>
      </c>
      <c r="G198">
        <v>0</v>
      </c>
      <c r="H198">
        <v>0</v>
      </c>
      <c r="I198">
        <v>1</v>
      </c>
      <c r="J198">
        <v>0.16</v>
      </c>
      <c r="K198">
        <v>197</v>
      </c>
      <c r="L198">
        <v>0.1212</v>
      </c>
      <c r="M198">
        <v>0.4</v>
      </c>
      <c r="N198">
        <v>0.52239999999999998</v>
      </c>
      <c r="O198">
        <v>2</v>
      </c>
      <c r="P198">
        <v>47</v>
      </c>
      <c r="Q198">
        <v>49</v>
      </c>
    </row>
    <row r="199" spans="1:17" x14ac:dyDescent="0.35">
      <c r="A199">
        <v>198</v>
      </c>
      <c r="B199" s="1">
        <v>40552</v>
      </c>
      <c r="C199">
        <v>1</v>
      </c>
      <c r="D199">
        <v>0</v>
      </c>
      <c r="E199">
        <v>1</v>
      </c>
      <c r="F199">
        <v>12</v>
      </c>
      <c r="G199">
        <v>0</v>
      </c>
      <c r="H199">
        <v>0</v>
      </c>
      <c r="I199">
        <v>1</v>
      </c>
      <c r="J199">
        <v>0.18</v>
      </c>
      <c r="K199">
        <v>198</v>
      </c>
      <c r="L199">
        <v>0.13639999999999999</v>
      </c>
      <c r="M199">
        <v>0.37</v>
      </c>
      <c r="N199">
        <v>0.44779999999999998</v>
      </c>
      <c r="O199">
        <v>4</v>
      </c>
      <c r="P199">
        <v>79</v>
      </c>
      <c r="Q199">
        <v>83</v>
      </c>
    </row>
    <row r="200" spans="1:17" x14ac:dyDescent="0.35">
      <c r="A200">
        <v>199</v>
      </c>
      <c r="B200" s="1">
        <v>40552</v>
      </c>
      <c r="C200">
        <v>1</v>
      </c>
      <c r="D200">
        <v>0</v>
      </c>
      <c r="E200">
        <v>1</v>
      </c>
      <c r="F200">
        <v>13</v>
      </c>
      <c r="G200">
        <v>0</v>
      </c>
      <c r="H200">
        <v>0</v>
      </c>
      <c r="I200">
        <v>1</v>
      </c>
      <c r="J200">
        <v>0.2</v>
      </c>
      <c r="K200">
        <v>199</v>
      </c>
      <c r="L200">
        <v>0.16669999999999999</v>
      </c>
      <c r="M200">
        <v>0.34</v>
      </c>
      <c r="N200">
        <v>0.44779999999999998</v>
      </c>
      <c r="O200">
        <v>6</v>
      </c>
      <c r="P200">
        <v>69</v>
      </c>
      <c r="Q200">
        <v>75</v>
      </c>
    </row>
    <row r="201" spans="1:17" x14ac:dyDescent="0.35">
      <c r="A201">
        <v>200</v>
      </c>
      <c r="B201" s="1">
        <v>40552</v>
      </c>
      <c r="C201">
        <v>1</v>
      </c>
      <c r="D201">
        <v>0</v>
      </c>
      <c r="E201">
        <v>1</v>
      </c>
      <c r="F201">
        <v>14</v>
      </c>
      <c r="G201">
        <v>0</v>
      </c>
      <c r="H201">
        <v>0</v>
      </c>
      <c r="I201">
        <v>1</v>
      </c>
      <c r="J201">
        <v>0.22</v>
      </c>
      <c r="K201">
        <v>200</v>
      </c>
      <c r="L201">
        <v>0.18179999999999999</v>
      </c>
      <c r="M201">
        <v>0.32</v>
      </c>
      <c r="N201">
        <v>0.4627</v>
      </c>
      <c r="O201">
        <v>8</v>
      </c>
      <c r="P201">
        <v>64</v>
      </c>
      <c r="Q201">
        <v>72</v>
      </c>
    </row>
    <row r="202" spans="1:17" x14ac:dyDescent="0.35">
      <c r="A202">
        <v>201</v>
      </c>
      <c r="B202" s="1">
        <v>40552</v>
      </c>
      <c r="C202">
        <v>1</v>
      </c>
      <c r="D202">
        <v>0</v>
      </c>
      <c r="E202">
        <v>1</v>
      </c>
      <c r="F202">
        <v>15</v>
      </c>
      <c r="G202">
        <v>0</v>
      </c>
      <c r="H202">
        <v>0</v>
      </c>
      <c r="I202">
        <v>1</v>
      </c>
      <c r="J202">
        <v>0.22</v>
      </c>
      <c r="K202">
        <v>201</v>
      </c>
      <c r="L202">
        <v>0.19700000000000001</v>
      </c>
      <c r="M202">
        <v>0.35</v>
      </c>
      <c r="N202">
        <v>0.35820000000000002</v>
      </c>
      <c r="O202">
        <v>5</v>
      </c>
      <c r="P202">
        <v>77</v>
      </c>
      <c r="Q202">
        <v>82</v>
      </c>
    </row>
    <row r="203" spans="1:17" x14ac:dyDescent="0.35">
      <c r="A203">
        <v>202</v>
      </c>
      <c r="B203" s="1">
        <v>40552</v>
      </c>
      <c r="C203">
        <v>1</v>
      </c>
      <c r="D203">
        <v>0</v>
      </c>
      <c r="E203">
        <v>1</v>
      </c>
      <c r="F203">
        <v>16</v>
      </c>
      <c r="G203">
        <v>0</v>
      </c>
      <c r="H203">
        <v>0</v>
      </c>
      <c r="I203">
        <v>1</v>
      </c>
      <c r="J203">
        <v>0.2</v>
      </c>
      <c r="K203">
        <v>202</v>
      </c>
      <c r="L203">
        <v>0.16669999999999999</v>
      </c>
      <c r="M203">
        <v>0.34</v>
      </c>
      <c r="N203">
        <v>0.44779999999999998</v>
      </c>
      <c r="O203">
        <v>13</v>
      </c>
      <c r="P203">
        <v>79</v>
      </c>
      <c r="Q203">
        <v>92</v>
      </c>
    </row>
    <row r="204" spans="1:17" x14ac:dyDescent="0.35">
      <c r="A204">
        <v>203</v>
      </c>
      <c r="B204" s="1">
        <v>40552</v>
      </c>
      <c r="C204">
        <v>1</v>
      </c>
      <c r="D204">
        <v>0</v>
      </c>
      <c r="E204">
        <v>1</v>
      </c>
      <c r="F204">
        <v>17</v>
      </c>
      <c r="G204">
        <v>0</v>
      </c>
      <c r="H204">
        <v>0</v>
      </c>
      <c r="I204">
        <v>1</v>
      </c>
      <c r="J204">
        <v>0.18</v>
      </c>
      <c r="K204">
        <v>203</v>
      </c>
      <c r="L204">
        <v>0.1515</v>
      </c>
      <c r="M204">
        <v>0.37</v>
      </c>
      <c r="N204">
        <v>0.3881</v>
      </c>
      <c r="O204">
        <v>3</v>
      </c>
      <c r="P204">
        <v>59</v>
      </c>
      <c r="Q204">
        <v>62</v>
      </c>
    </row>
    <row r="205" spans="1:17" x14ac:dyDescent="0.35">
      <c r="A205">
        <v>204</v>
      </c>
      <c r="B205" s="1">
        <v>40552</v>
      </c>
      <c r="C205">
        <v>1</v>
      </c>
      <c r="D205">
        <v>0</v>
      </c>
      <c r="E205">
        <v>1</v>
      </c>
      <c r="F205">
        <v>18</v>
      </c>
      <c r="G205">
        <v>0</v>
      </c>
      <c r="H205">
        <v>0</v>
      </c>
      <c r="I205">
        <v>1</v>
      </c>
      <c r="J205">
        <v>0.16</v>
      </c>
      <c r="K205">
        <v>204</v>
      </c>
      <c r="L205">
        <v>0.13639999999999999</v>
      </c>
      <c r="M205">
        <v>0.4</v>
      </c>
      <c r="N205">
        <v>0.32840000000000003</v>
      </c>
      <c r="O205">
        <v>4</v>
      </c>
      <c r="P205">
        <v>44</v>
      </c>
      <c r="Q205">
        <v>48</v>
      </c>
    </row>
    <row r="206" spans="1:17" x14ac:dyDescent="0.35">
      <c r="A206">
        <v>205</v>
      </c>
      <c r="B206" s="1">
        <v>40552</v>
      </c>
      <c r="C206">
        <v>1</v>
      </c>
      <c r="D206">
        <v>0</v>
      </c>
      <c r="E206">
        <v>1</v>
      </c>
      <c r="F206">
        <v>19</v>
      </c>
      <c r="G206">
        <v>0</v>
      </c>
      <c r="H206">
        <v>0</v>
      </c>
      <c r="I206">
        <v>1</v>
      </c>
      <c r="J206">
        <v>0.16</v>
      </c>
      <c r="K206">
        <v>205</v>
      </c>
      <c r="L206">
        <v>0.13639999999999999</v>
      </c>
      <c r="M206">
        <v>0.43</v>
      </c>
      <c r="N206">
        <v>0.32840000000000003</v>
      </c>
      <c r="O206">
        <v>1</v>
      </c>
      <c r="P206">
        <v>40</v>
      </c>
      <c r="Q206">
        <v>41</v>
      </c>
    </row>
    <row r="207" spans="1:17" x14ac:dyDescent="0.35">
      <c r="A207">
        <v>206</v>
      </c>
      <c r="B207" s="1">
        <v>40552</v>
      </c>
      <c r="C207">
        <v>1</v>
      </c>
      <c r="D207">
        <v>0</v>
      </c>
      <c r="E207">
        <v>1</v>
      </c>
      <c r="F207">
        <v>20</v>
      </c>
      <c r="G207">
        <v>0</v>
      </c>
      <c r="H207">
        <v>0</v>
      </c>
      <c r="I207">
        <v>1</v>
      </c>
      <c r="J207">
        <v>0.14000000000000001</v>
      </c>
      <c r="K207">
        <v>206</v>
      </c>
      <c r="L207">
        <v>0.1212</v>
      </c>
      <c r="M207">
        <v>0.46</v>
      </c>
      <c r="N207">
        <v>0.25369999999999998</v>
      </c>
      <c r="O207">
        <v>0</v>
      </c>
      <c r="P207">
        <v>38</v>
      </c>
      <c r="Q207">
        <v>38</v>
      </c>
    </row>
    <row r="208" spans="1:17" x14ac:dyDescent="0.35">
      <c r="A208">
        <v>207</v>
      </c>
      <c r="B208" s="1">
        <v>40552</v>
      </c>
      <c r="C208">
        <v>1</v>
      </c>
      <c r="D208">
        <v>0</v>
      </c>
      <c r="E208">
        <v>1</v>
      </c>
      <c r="F208">
        <v>21</v>
      </c>
      <c r="G208">
        <v>0</v>
      </c>
      <c r="H208">
        <v>0</v>
      </c>
      <c r="I208">
        <v>1</v>
      </c>
      <c r="J208">
        <v>0.14000000000000001</v>
      </c>
      <c r="K208">
        <v>207</v>
      </c>
      <c r="L208">
        <v>0.1061</v>
      </c>
      <c r="M208">
        <v>0.46</v>
      </c>
      <c r="N208">
        <v>0.41789999999999999</v>
      </c>
      <c r="O208">
        <v>1</v>
      </c>
      <c r="P208">
        <v>19</v>
      </c>
      <c r="Q208">
        <v>20</v>
      </c>
    </row>
    <row r="209" spans="1:17" x14ac:dyDescent="0.35">
      <c r="A209">
        <v>208</v>
      </c>
      <c r="B209" s="1">
        <v>40552</v>
      </c>
      <c r="C209">
        <v>1</v>
      </c>
      <c r="D209">
        <v>0</v>
      </c>
      <c r="E209">
        <v>1</v>
      </c>
      <c r="F209">
        <v>22</v>
      </c>
      <c r="G209">
        <v>0</v>
      </c>
      <c r="H209">
        <v>0</v>
      </c>
      <c r="I209">
        <v>1</v>
      </c>
      <c r="J209">
        <v>0.14000000000000001</v>
      </c>
      <c r="K209">
        <v>208</v>
      </c>
      <c r="L209">
        <v>0.1212</v>
      </c>
      <c r="M209">
        <v>0.46</v>
      </c>
      <c r="N209">
        <v>0.29849999999999999</v>
      </c>
      <c r="O209">
        <v>5</v>
      </c>
      <c r="P209">
        <v>10</v>
      </c>
      <c r="Q209">
        <v>15</v>
      </c>
    </row>
    <row r="210" spans="1:17" x14ac:dyDescent="0.35">
      <c r="A210">
        <v>209</v>
      </c>
      <c r="B210" s="1">
        <v>40552</v>
      </c>
      <c r="C210">
        <v>1</v>
      </c>
      <c r="D210">
        <v>0</v>
      </c>
      <c r="E210">
        <v>1</v>
      </c>
      <c r="F210">
        <v>23</v>
      </c>
      <c r="G210">
        <v>0</v>
      </c>
      <c r="H210">
        <v>0</v>
      </c>
      <c r="I210">
        <v>1</v>
      </c>
      <c r="J210">
        <v>0.12</v>
      </c>
      <c r="K210">
        <v>209</v>
      </c>
      <c r="L210">
        <v>0.13639999999999999</v>
      </c>
      <c r="M210">
        <v>0.5</v>
      </c>
      <c r="N210">
        <v>0.19400000000000001</v>
      </c>
      <c r="O210">
        <v>0</v>
      </c>
      <c r="P210">
        <v>6</v>
      </c>
      <c r="Q210">
        <v>6</v>
      </c>
    </row>
    <row r="211" spans="1:17" x14ac:dyDescent="0.35">
      <c r="A211">
        <v>210</v>
      </c>
      <c r="B211" s="1">
        <v>40553</v>
      </c>
      <c r="C211">
        <v>1</v>
      </c>
      <c r="D211">
        <v>0</v>
      </c>
      <c r="E211">
        <v>1</v>
      </c>
      <c r="F211">
        <v>0</v>
      </c>
      <c r="G211">
        <v>0</v>
      </c>
      <c r="H211">
        <v>1</v>
      </c>
      <c r="I211">
        <v>1</v>
      </c>
      <c r="J211">
        <v>0.12</v>
      </c>
      <c r="K211">
        <v>210</v>
      </c>
      <c r="L211">
        <v>0.1212</v>
      </c>
      <c r="M211">
        <v>0.5</v>
      </c>
      <c r="N211">
        <v>0.28360000000000002</v>
      </c>
      <c r="O211">
        <v>2</v>
      </c>
      <c r="P211">
        <v>3</v>
      </c>
      <c r="Q211">
        <v>5</v>
      </c>
    </row>
    <row r="212" spans="1:17" x14ac:dyDescent="0.35">
      <c r="A212">
        <v>211</v>
      </c>
      <c r="B212" s="1">
        <v>40553</v>
      </c>
      <c r="C212">
        <v>1</v>
      </c>
      <c r="D212">
        <v>0</v>
      </c>
      <c r="E212">
        <v>1</v>
      </c>
      <c r="F212">
        <v>1</v>
      </c>
      <c r="G212">
        <v>0</v>
      </c>
      <c r="H212">
        <v>1</v>
      </c>
      <c r="I212">
        <v>1</v>
      </c>
      <c r="J212">
        <v>0.12</v>
      </c>
      <c r="K212">
        <v>211</v>
      </c>
      <c r="L212">
        <v>0.1212</v>
      </c>
      <c r="M212">
        <v>0.5</v>
      </c>
      <c r="N212">
        <v>0.28360000000000002</v>
      </c>
      <c r="O212">
        <v>1</v>
      </c>
      <c r="P212">
        <v>0</v>
      </c>
      <c r="Q212">
        <v>1</v>
      </c>
    </row>
    <row r="213" spans="1:17" x14ac:dyDescent="0.35">
      <c r="A213">
        <v>212</v>
      </c>
      <c r="B213" s="1">
        <v>40553</v>
      </c>
      <c r="C213">
        <v>1</v>
      </c>
      <c r="D213">
        <v>0</v>
      </c>
      <c r="E213">
        <v>1</v>
      </c>
      <c r="F213">
        <v>2</v>
      </c>
      <c r="G213">
        <v>0</v>
      </c>
      <c r="H213">
        <v>1</v>
      </c>
      <c r="I213">
        <v>1</v>
      </c>
      <c r="J213">
        <v>0.12</v>
      </c>
      <c r="K213">
        <v>212</v>
      </c>
      <c r="L213">
        <v>0.1212</v>
      </c>
      <c r="M213">
        <v>0.5</v>
      </c>
      <c r="N213">
        <v>0.22389999999999999</v>
      </c>
      <c r="O213">
        <v>0</v>
      </c>
      <c r="P213">
        <v>3</v>
      </c>
      <c r="Q213">
        <v>3</v>
      </c>
    </row>
    <row r="214" spans="1:17" x14ac:dyDescent="0.35">
      <c r="A214">
        <v>213</v>
      </c>
      <c r="B214" s="1">
        <v>40553</v>
      </c>
      <c r="C214">
        <v>1</v>
      </c>
      <c r="D214">
        <v>0</v>
      </c>
      <c r="E214">
        <v>1</v>
      </c>
      <c r="F214">
        <v>3</v>
      </c>
      <c r="G214">
        <v>0</v>
      </c>
      <c r="H214">
        <v>1</v>
      </c>
      <c r="I214">
        <v>1</v>
      </c>
      <c r="J214">
        <v>0.12</v>
      </c>
      <c r="K214">
        <v>213</v>
      </c>
      <c r="L214">
        <v>0.1212</v>
      </c>
      <c r="M214">
        <v>0.5</v>
      </c>
      <c r="N214">
        <v>0.22389999999999999</v>
      </c>
      <c r="O214">
        <v>0</v>
      </c>
      <c r="P214">
        <v>1</v>
      </c>
      <c r="Q214">
        <v>1</v>
      </c>
    </row>
    <row r="215" spans="1:17" x14ac:dyDescent="0.35">
      <c r="A215">
        <v>214</v>
      </c>
      <c r="B215" s="1">
        <v>40553</v>
      </c>
      <c r="C215">
        <v>1</v>
      </c>
      <c r="D215">
        <v>0</v>
      </c>
      <c r="E215">
        <v>1</v>
      </c>
      <c r="F215">
        <v>4</v>
      </c>
      <c r="G215">
        <v>0</v>
      </c>
      <c r="H215">
        <v>1</v>
      </c>
      <c r="I215">
        <v>1</v>
      </c>
      <c r="J215">
        <v>0.1</v>
      </c>
      <c r="K215">
        <v>214</v>
      </c>
      <c r="L215">
        <v>0.1212</v>
      </c>
      <c r="M215">
        <v>0.54</v>
      </c>
      <c r="N215">
        <v>0.1343</v>
      </c>
      <c r="O215">
        <v>1</v>
      </c>
      <c r="P215">
        <v>2</v>
      </c>
      <c r="Q215">
        <v>3</v>
      </c>
    </row>
    <row r="216" spans="1:17" x14ac:dyDescent="0.35">
      <c r="A216">
        <v>215</v>
      </c>
      <c r="B216" s="1">
        <v>40553</v>
      </c>
      <c r="C216">
        <v>1</v>
      </c>
      <c r="D216">
        <v>0</v>
      </c>
      <c r="E216">
        <v>1</v>
      </c>
      <c r="F216">
        <v>5</v>
      </c>
      <c r="G216">
        <v>0</v>
      </c>
      <c r="H216">
        <v>1</v>
      </c>
      <c r="I216">
        <v>1</v>
      </c>
      <c r="J216">
        <v>0.1</v>
      </c>
      <c r="K216">
        <v>215</v>
      </c>
      <c r="L216">
        <v>0.1061</v>
      </c>
      <c r="M216">
        <v>0.54</v>
      </c>
      <c r="N216">
        <v>0.25369999999999998</v>
      </c>
      <c r="O216">
        <v>0</v>
      </c>
      <c r="P216">
        <v>3</v>
      </c>
      <c r="Q216">
        <v>3</v>
      </c>
    </row>
    <row r="217" spans="1:17" x14ac:dyDescent="0.35">
      <c r="A217">
        <v>216</v>
      </c>
      <c r="B217" s="1">
        <v>40553</v>
      </c>
      <c r="C217">
        <v>1</v>
      </c>
      <c r="D217">
        <v>0</v>
      </c>
      <c r="E217">
        <v>1</v>
      </c>
      <c r="F217">
        <v>6</v>
      </c>
      <c r="G217">
        <v>0</v>
      </c>
      <c r="H217">
        <v>1</v>
      </c>
      <c r="I217">
        <v>1</v>
      </c>
      <c r="J217">
        <v>0.12</v>
      </c>
      <c r="K217">
        <v>216</v>
      </c>
      <c r="L217">
        <v>0.1212</v>
      </c>
      <c r="M217">
        <v>0.5</v>
      </c>
      <c r="N217">
        <v>0.28360000000000002</v>
      </c>
      <c r="O217">
        <v>0</v>
      </c>
      <c r="P217">
        <v>31</v>
      </c>
      <c r="Q217">
        <v>31</v>
      </c>
    </row>
    <row r="218" spans="1:17" x14ac:dyDescent="0.35">
      <c r="A218">
        <v>217</v>
      </c>
      <c r="B218" s="1">
        <v>40553</v>
      </c>
      <c r="C218">
        <v>1</v>
      </c>
      <c r="D218">
        <v>0</v>
      </c>
      <c r="E218">
        <v>1</v>
      </c>
      <c r="F218">
        <v>7</v>
      </c>
      <c r="G218">
        <v>0</v>
      </c>
      <c r="H218">
        <v>1</v>
      </c>
      <c r="I218">
        <v>1</v>
      </c>
      <c r="J218">
        <v>0.12</v>
      </c>
      <c r="K218">
        <v>217</v>
      </c>
      <c r="L218">
        <v>0.1212</v>
      </c>
      <c r="M218">
        <v>0.5</v>
      </c>
      <c r="N218">
        <v>0.22389999999999999</v>
      </c>
      <c r="O218">
        <v>2</v>
      </c>
      <c r="P218">
        <v>75</v>
      </c>
      <c r="Q218">
        <v>77</v>
      </c>
    </row>
    <row r="219" spans="1:17" x14ac:dyDescent="0.35">
      <c r="A219">
        <v>218</v>
      </c>
      <c r="B219" s="1">
        <v>40553</v>
      </c>
      <c r="C219">
        <v>1</v>
      </c>
      <c r="D219">
        <v>0</v>
      </c>
      <c r="E219">
        <v>1</v>
      </c>
      <c r="F219">
        <v>8</v>
      </c>
      <c r="G219">
        <v>0</v>
      </c>
      <c r="H219">
        <v>1</v>
      </c>
      <c r="I219">
        <v>2</v>
      </c>
      <c r="J219">
        <v>0.12</v>
      </c>
      <c r="K219">
        <v>218</v>
      </c>
      <c r="L219">
        <v>0.1212</v>
      </c>
      <c r="M219">
        <v>0.5</v>
      </c>
      <c r="N219">
        <v>0.28360000000000002</v>
      </c>
      <c r="O219">
        <v>4</v>
      </c>
      <c r="P219">
        <v>184</v>
      </c>
      <c r="Q219">
        <v>188</v>
      </c>
    </row>
    <row r="220" spans="1:17" x14ac:dyDescent="0.35">
      <c r="A220">
        <v>219</v>
      </c>
      <c r="B220" s="1">
        <v>40553</v>
      </c>
      <c r="C220">
        <v>1</v>
      </c>
      <c r="D220">
        <v>0</v>
      </c>
      <c r="E220">
        <v>1</v>
      </c>
      <c r="F220">
        <v>9</v>
      </c>
      <c r="G220">
        <v>0</v>
      </c>
      <c r="H220">
        <v>1</v>
      </c>
      <c r="I220">
        <v>2</v>
      </c>
      <c r="J220">
        <v>0.14000000000000001</v>
      </c>
      <c r="K220">
        <v>219</v>
      </c>
      <c r="L220">
        <v>0.1212</v>
      </c>
      <c r="M220">
        <v>0.5</v>
      </c>
      <c r="N220">
        <v>0.25369999999999998</v>
      </c>
      <c r="O220">
        <v>2</v>
      </c>
      <c r="P220">
        <v>92</v>
      </c>
      <c r="Q220">
        <v>94</v>
      </c>
    </row>
    <row r="221" spans="1:17" x14ac:dyDescent="0.35">
      <c r="A221">
        <v>220</v>
      </c>
      <c r="B221" s="1">
        <v>40553</v>
      </c>
      <c r="C221">
        <v>1</v>
      </c>
      <c r="D221">
        <v>0</v>
      </c>
      <c r="E221">
        <v>1</v>
      </c>
      <c r="F221">
        <v>10</v>
      </c>
      <c r="G221">
        <v>0</v>
      </c>
      <c r="H221">
        <v>1</v>
      </c>
      <c r="I221">
        <v>2</v>
      </c>
      <c r="J221">
        <v>0.14000000000000001</v>
      </c>
      <c r="K221">
        <v>220</v>
      </c>
      <c r="L221">
        <v>0.1212</v>
      </c>
      <c r="M221">
        <v>0.5</v>
      </c>
      <c r="N221">
        <v>0.29849999999999999</v>
      </c>
      <c r="O221">
        <v>0</v>
      </c>
      <c r="P221">
        <v>31</v>
      </c>
      <c r="Q221">
        <v>31</v>
      </c>
    </row>
    <row r="222" spans="1:17" x14ac:dyDescent="0.35">
      <c r="A222">
        <v>221</v>
      </c>
      <c r="B222" s="1">
        <v>40553</v>
      </c>
      <c r="C222">
        <v>1</v>
      </c>
      <c r="D222">
        <v>0</v>
      </c>
      <c r="E222">
        <v>1</v>
      </c>
      <c r="F222">
        <v>11</v>
      </c>
      <c r="G222">
        <v>0</v>
      </c>
      <c r="H222">
        <v>1</v>
      </c>
      <c r="I222">
        <v>2</v>
      </c>
      <c r="J222">
        <v>0.16</v>
      </c>
      <c r="K222">
        <v>221</v>
      </c>
      <c r="L222">
        <v>0.13639999999999999</v>
      </c>
      <c r="M222">
        <v>0.47</v>
      </c>
      <c r="N222">
        <v>0.28360000000000002</v>
      </c>
      <c r="O222">
        <v>2</v>
      </c>
      <c r="P222">
        <v>28</v>
      </c>
      <c r="Q222">
        <v>30</v>
      </c>
    </row>
    <row r="223" spans="1:17" x14ac:dyDescent="0.35">
      <c r="A223">
        <v>222</v>
      </c>
      <c r="B223" s="1">
        <v>40553</v>
      </c>
      <c r="C223">
        <v>1</v>
      </c>
      <c r="D223">
        <v>0</v>
      </c>
      <c r="E223">
        <v>1</v>
      </c>
      <c r="F223">
        <v>12</v>
      </c>
      <c r="G223">
        <v>0</v>
      </c>
      <c r="H223">
        <v>1</v>
      </c>
      <c r="I223">
        <v>2</v>
      </c>
      <c r="J223">
        <v>0.2</v>
      </c>
      <c r="K223">
        <v>222</v>
      </c>
      <c r="L223">
        <v>0.18179999999999999</v>
      </c>
      <c r="M223">
        <v>0.4</v>
      </c>
      <c r="N223">
        <v>0.28360000000000002</v>
      </c>
      <c r="O223">
        <v>5</v>
      </c>
      <c r="P223">
        <v>47</v>
      </c>
      <c r="Q223">
        <v>52</v>
      </c>
    </row>
    <row r="224" spans="1:17" x14ac:dyDescent="0.35">
      <c r="A224">
        <v>223</v>
      </c>
      <c r="B224" s="1">
        <v>40553</v>
      </c>
      <c r="C224">
        <v>1</v>
      </c>
      <c r="D224">
        <v>0</v>
      </c>
      <c r="E224">
        <v>1</v>
      </c>
      <c r="F224">
        <v>13</v>
      </c>
      <c r="G224">
        <v>0</v>
      </c>
      <c r="H224">
        <v>1</v>
      </c>
      <c r="I224">
        <v>2</v>
      </c>
      <c r="J224">
        <v>0.2</v>
      </c>
      <c r="K224">
        <v>223</v>
      </c>
      <c r="L224">
        <v>0.18179999999999999</v>
      </c>
      <c r="M224">
        <v>0.4</v>
      </c>
      <c r="N224">
        <v>0.28360000000000002</v>
      </c>
      <c r="O224">
        <v>4</v>
      </c>
      <c r="P224">
        <v>50</v>
      </c>
      <c r="Q224">
        <v>54</v>
      </c>
    </row>
    <row r="225" spans="1:17" x14ac:dyDescent="0.35">
      <c r="A225">
        <v>224</v>
      </c>
      <c r="B225" s="1">
        <v>40553</v>
      </c>
      <c r="C225">
        <v>1</v>
      </c>
      <c r="D225">
        <v>0</v>
      </c>
      <c r="E225">
        <v>1</v>
      </c>
      <c r="F225">
        <v>14</v>
      </c>
      <c r="G225">
        <v>0</v>
      </c>
      <c r="H225">
        <v>1</v>
      </c>
      <c r="I225">
        <v>2</v>
      </c>
      <c r="J225">
        <v>0.2</v>
      </c>
      <c r="K225">
        <v>224</v>
      </c>
      <c r="L225">
        <v>0.19700000000000001</v>
      </c>
      <c r="M225">
        <v>0.4</v>
      </c>
      <c r="N225">
        <v>0.22389999999999999</v>
      </c>
      <c r="O225">
        <v>0</v>
      </c>
      <c r="P225">
        <v>47</v>
      </c>
      <c r="Q225">
        <v>47</v>
      </c>
    </row>
    <row r="226" spans="1:17" x14ac:dyDescent="0.35">
      <c r="A226">
        <v>225</v>
      </c>
      <c r="B226" s="1">
        <v>40553</v>
      </c>
      <c r="C226">
        <v>1</v>
      </c>
      <c r="D226">
        <v>0</v>
      </c>
      <c r="E226">
        <v>1</v>
      </c>
      <c r="F226">
        <v>15</v>
      </c>
      <c r="G226">
        <v>0</v>
      </c>
      <c r="H226">
        <v>1</v>
      </c>
      <c r="I226">
        <v>2</v>
      </c>
      <c r="J226">
        <v>0.2</v>
      </c>
      <c r="K226">
        <v>225</v>
      </c>
      <c r="L226">
        <v>0.19700000000000001</v>
      </c>
      <c r="M226">
        <v>0.4</v>
      </c>
      <c r="N226">
        <v>0.22389999999999999</v>
      </c>
      <c r="O226">
        <v>2</v>
      </c>
      <c r="P226">
        <v>43</v>
      </c>
      <c r="Q226">
        <v>45</v>
      </c>
    </row>
    <row r="227" spans="1:17" x14ac:dyDescent="0.35">
      <c r="A227">
        <v>226</v>
      </c>
      <c r="B227" s="1">
        <v>40553</v>
      </c>
      <c r="C227">
        <v>1</v>
      </c>
      <c r="D227">
        <v>0</v>
      </c>
      <c r="E227">
        <v>1</v>
      </c>
      <c r="F227">
        <v>16</v>
      </c>
      <c r="G227">
        <v>0</v>
      </c>
      <c r="H227">
        <v>1</v>
      </c>
      <c r="I227">
        <v>1</v>
      </c>
      <c r="J227">
        <v>0.2</v>
      </c>
      <c r="K227">
        <v>226</v>
      </c>
      <c r="L227">
        <v>0.21210000000000001</v>
      </c>
      <c r="M227">
        <v>0.4</v>
      </c>
      <c r="N227">
        <v>0.1343</v>
      </c>
      <c r="O227">
        <v>4</v>
      </c>
      <c r="P227">
        <v>70</v>
      </c>
      <c r="Q227">
        <v>74</v>
      </c>
    </row>
    <row r="228" spans="1:17" x14ac:dyDescent="0.35">
      <c r="A228">
        <v>227</v>
      </c>
      <c r="B228" s="1">
        <v>40553</v>
      </c>
      <c r="C228">
        <v>1</v>
      </c>
      <c r="D228">
        <v>0</v>
      </c>
      <c r="E228">
        <v>1</v>
      </c>
      <c r="F228">
        <v>17</v>
      </c>
      <c r="G228">
        <v>0</v>
      </c>
      <c r="H228">
        <v>1</v>
      </c>
      <c r="I228">
        <v>1</v>
      </c>
      <c r="J228">
        <v>0.2</v>
      </c>
      <c r="K228">
        <v>227</v>
      </c>
      <c r="L228">
        <v>0.2273</v>
      </c>
      <c r="M228">
        <v>0.4</v>
      </c>
      <c r="N228">
        <v>0.1045</v>
      </c>
      <c r="O228">
        <v>4</v>
      </c>
      <c r="P228">
        <v>174</v>
      </c>
      <c r="Q228">
        <v>178</v>
      </c>
    </row>
    <row r="229" spans="1:17" x14ac:dyDescent="0.35">
      <c r="A229">
        <v>228</v>
      </c>
      <c r="B229" s="1">
        <v>40553</v>
      </c>
      <c r="C229">
        <v>1</v>
      </c>
      <c r="D229">
        <v>0</v>
      </c>
      <c r="E229">
        <v>1</v>
      </c>
      <c r="F229">
        <v>18</v>
      </c>
      <c r="G229">
        <v>0</v>
      </c>
      <c r="H229">
        <v>1</v>
      </c>
      <c r="I229">
        <v>1</v>
      </c>
      <c r="J229">
        <v>0.2</v>
      </c>
      <c r="K229">
        <v>228</v>
      </c>
      <c r="L229">
        <v>0.19700000000000001</v>
      </c>
      <c r="M229">
        <v>0.4</v>
      </c>
      <c r="N229">
        <v>0.22389999999999999</v>
      </c>
      <c r="O229">
        <v>1</v>
      </c>
      <c r="P229">
        <v>154</v>
      </c>
      <c r="Q229">
        <v>155</v>
      </c>
    </row>
    <row r="230" spans="1:17" x14ac:dyDescent="0.35">
      <c r="A230">
        <v>229</v>
      </c>
      <c r="B230" s="1">
        <v>40553</v>
      </c>
      <c r="C230">
        <v>1</v>
      </c>
      <c r="D230">
        <v>0</v>
      </c>
      <c r="E230">
        <v>1</v>
      </c>
      <c r="F230">
        <v>19</v>
      </c>
      <c r="G230">
        <v>0</v>
      </c>
      <c r="H230">
        <v>1</v>
      </c>
      <c r="I230">
        <v>1</v>
      </c>
      <c r="J230">
        <v>0.16</v>
      </c>
      <c r="K230">
        <v>229</v>
      </c>
      <c r="L230">
        <v>0.16669999999999999</v>
      </c>
      <c r="M230">
        <v>0.47</v>
      </c>
      <c r="N230">
        <v>0.16420000000000001</v>
      </c>
      <c r="O230">
        <v>3</v>
      </c>
      <c r="P230">
        <v>92</v>
      </c>
      <c r="Q230">
        <v>95</v>
      </c>
    </row>
    <row r="231" spans="1:17" x14ac:dyDescent="0.35">
      <c r="A231">
        <v>230</v>
      </c>
      <c r="B231" s="1">
        <v>40553</v>
      </c>
      <c r="C231">
        <v>1</v>
      </c>
      <c r="D231">
        <v>0</v>
      </c>
      <c r="E231">
        <v>1</v>
      </c>
      <c r="F231">
        <v>20</v>
      </c>
      <c r="G231">
        <v>0</v>
      </c>
      <c r="H231">
        <v>1</v>
      </c>
      <c r="I231">
        <v>1</v>
      </c>
      <c r="J231">
        <v>0.16</v>
      </c>
      <c r="K231">
        <v>230</v>
      </c>
      <c r="L231">
        <v>0.16669999999999999</v>
      </c>
      <c r="M231">
        <v>0.5</v>
      </c>
      <c r="N231">
        <v>0.16420000000000001</v>
      </c>
      <c r="O231">
        <v>1</v>
      </c>
      <c r="P231">
        <v>73</v>
      </c>
      <c r="Q231">
        <v>74</v>
      </c>
    </row>
    <row r="232" spans="1:17" x14ac:dyDescent="0.35">
      <c r="A232">
        <v>231</v>
      </c>
      <c r="B232" s="1">
        <v>40553</v>
      </c>
      <c r="C232">
        <v>1</v>
      </c>
      <c r="D232">
        <v>0</v>
      </c>
      <c r="E232">
        <v>1</v>
      </c>
      <c r="F232">
        <v>21</v>
      </c>
      <c r="G232">
        <v>0</v>
      </c>
      <c r="H232">
        <v>1</v>
      </c>
      <c r="I232">
        <v>1</v>
      </c>
      <c r="J232">
        <v>0.14000000000000001</v>
      </c>
      <c r="K232">
        <v>231</v>
      </c>
      <c r="L232">
        <v>0.13639999999999999</v>
      </c>
      <c r="M232">
        <v>0.59</v>
      </c>
      <c r="N232">
        <v>0.19400000000000001</v>
      </c>
      <c r="O232">
        <v>1</v>
      </c>
      <c r="P232">
        <v>37</v>
      </c>
      <c r="Q232">
        <v>38</v>
      </c>
    </row>
    <row r="233" spans="1:17" x14ac:dyDescent="0.35">
      <c r="A233">
        <v>232</v>
      </c>
      <c r="B233" s="1">
        <v>40553</v>
      </c>
      <c r="C233">
        <v>1</v>
      </c>
      <c r="D233">
        <v>0</v>
      </c>
      <c r="E233">
        <v>1</v>
      </c>
      <c r="F233">
        <v>22</v>
      </c>
      <c r="G233">
        <v>0</v>
      </c>
      <c r="H233">
        <v>1</v>
      </c>
      <c r="I233">
        <v>1</v>
      </c>
      <c r="J233">
        <v>0.14000000000000001</v>
      </c>
      <c r="K233">
        <v>232</v>
      </c>
      <c r="L233">
        <v>0.1515</v>
      </c>
      <c r="M233">
        <v>0.59</v>
      </c>
      <c r="N233">
        <v>0.16420000000000001</v>
      </c>
      <c r="O233">
        <v>2</v>
      </c>
      <c r="P233">
        <v>22</v>
      </c>
      <c r="Q233">
        <v>24</v>
      </c>
    </row>
    <row r="234" spans="1:17" x14ac:dyDescent="0.35">
      <c r="A234">
        <v>233</v>
      </c>
      <c r="B234" s="1">
        <v>40553</v>
      </c>
      <c r="C234">
        <v>1</v>
      </c>
      <c r="D234">
        <v>0</v>
      </c>
      <c r="E234">
        <v>1</v>
      </c>
      <c r="F234">
        <v>23</v>
      </c>
      <c r="G234">
        <v>0</v>
      </c>
      <c r="H234">
        <v>1</v>
      </c>
      <c r="I234">
        <v>1</v>
      </c>
      <c r="J234">
        <v>0.14000000000000001</v>
      </c>
      <c r="K234">
        <v>233</v>
      </c>
      <c r="L234">
        <v>0.1515</v>
      </c>
      <c r="M234">
        <v>0.59</v>
      </c>
      <c r="N234">
        <v>0.16420000000000001</v>
      </c>
      <c r="O234">
        <v>0</v>
      </c>
      <c r="P234">
        <v>18</v>
      </c>
      <c r="Q234">
        <v>18</v>
      </c>
    </row>
    <row r="235" spans="1:17" x14ac:dyDescent="0.35">
      <c r="A235">
        <v>234</v>
      </c>
      <c r="B235" s="1">
        <v>40554</v>
      </c>
      <c r="C235">
        <v>1</v>
      </c>
      <c r="D235">
        <v>0</v>
      </c>
      <c r="E235">
        <v>1</v>
      </c>
      <c r="F235">
        <v>0</v>
      </c>
      <c r="G235">
        <v>0</v>
      </c>
      <c r="H235">
        <v>2</v>
      </c>
      <c r="I235">
        <v>1</v>
      </c>
      <c r="J235">
        <v>0.14000000000000001</v>
      </c>
      <c r="K235">
        <v>234</v>
      </c>
      <c r="L235">
        <v>0.16669999999999999</v>
      </c>
      <c r="M235">
        <v>0.59</v>
      </c>
      <c r="N235">
        <v>0.1045</v>
      </c>
      <c r="O235">
        <v>2</v>
      </c>
      <c r="P235">
        <v>10</v>
      </c>
      <c r="Q235">
        <v>12</v>
      </c>
    </row>
    <row r="236" spans="1:17" x14ac:dyDescent="0.35">
      <c r="A236">
        <v>235</v>
      </c>
      <c r="B236" s="1">
        <v>40554</v>
      </c>
      <c r="C236">
        <v>1</v>
      </c>
      <c r="D236">
        <v>0</v>
      </c>
      <c r="E236">
        <v>1</v>
      </c>
      <c r="F236">
        <v>1</v>
      </c>
      <c r="G236">
        <v>0</v>
      </c>
      <c r="H236">
        <v>2</v>
      </c>
      <c r="I236">
        <v>1</v>
      </c>
      <c r="J236">
        <v>0.14000000000000001</v>
      </c>
      <c r="K236">
        <v>235</v>
      </c>
      <c r="L236">
        <v>0.1515</v>
      </c>
      <c r="M236">
        <v>0.59</v>
      </c>
      <c r="N236">
        <v>0.16420000000000001</v>
      </c>
      <c r="O236">
        <v>0</v>
      </c>
      <c r="P236">
        <v>3</v>
      </c>
      <c r="Q236">
        <v>3</v>
      </c>
    </row>
    <row r="237" spans="1:17" x14ac:dyDescent="0.35">
      <c r="A237">
        <v>236</v>
      </c>
      <c r="B237" s="1">
        <v>40554</v>
      </c>
      <c r="C237">
        <v>1</v>
      </c>
      <c r="D237">
        <v>0</v>
      </c>
      <c r="E237">
        <v>1</v>
      </c>
      <c r="F237">
        <v>2</v>
      </c>
      <c r="G237">
        <v>0</v>
      </c>
      <c r="H237">
        <v>2</v>
      </c>
      <c r="I237">
        <v>2</v>
      </c>
      <c r="J237">
        <v>0.16</v>
      </c>
      <c r="K237">
        <v>236</v>
      </c>
      <c r="L237">
        <v>0.1515</v>
      </c>
      <c r="M237">
        <v>0.55000000000000004</v>
      </c>
      <c r="N237">
        <v>0.19400000000000001</v>
      </c>
      <c r="O237">
        <v>0</v>
      </c>
      <c r="P237">
        <v>3</v>
      </c>
      <c r="Q237">
        <v>3</v>
      </c>
    </row>
    <row r="238" spans="1:17" x14ac:dyDescent="0.35">
      <c r="A238">
        <v>237</v>
      </c>
      <c r="B238" s="1">
        <v>40554</v>
      </c>
      <c r="C238">
        <v>1</v>
      </c>
      <c r="D238">
        <v>0</v>
      </c>
      <c r="E238">
        <v>1</v>
      </c>
      <c r="F238">
        <v>5</v>
      </c>
      <c r="G238">
        <v>0</v>
      </c>
      <c r="H238">
        <v>2</v>
      </c>
      <c r="I238">
        <v>2</v>
      </c>
      <c r="J238">
        <v>0.16</v>
      </c>
      <c r="K238">
        <v>237</v>
      </c>
      <c r="L238">
        <v>0.18179999999999999</v>
      </c>
      <c r="M238">
        <v>0.55000000000000004</v>
      </c>
      <c r="N238">
        <v>0.1343</v>
      </c>
      <c r="O238">
        <v>0</v>
      </c>
      <c r="P238">
        <v>6</v>
      </c>
      <c r="Q238">
        <v>6</v>
      </c>
    </row>
    <row r="239" spans="1:17" x14ac:dyDescent="0.35">
      <c r="A239">
        <v>238</v>
      </c>
      <c r="B239" s="1">
        <v>40554</v>
      </c>
      <c r="C239">
        <v>1</v>
      </c>
      <c r="D239">
        <v>0</v>
      </c>
      <c r="E239">
        <v>1</v>
      </c>
      <c r="F239">
        <v>6</v>
      </c>
      <c r="G239">
        <v>0</v>
      </c>
      <c r="H239">
        <v>2</v>
      </c>
      <c r="I239">
        <v>2</v>
      </c>
      <c r="J239">
        <v>0.16</v>
      </c>
      <c r="K239">
        <v>238</v>
      </c>
      <c r="L239">
        <v>0.18179999999999999</v>
      </c>
      <c r="M239">
        <v>0.55000000000000004</v>
      </c>
      <c r="N239">
        <v>0.1343</v>
      </c>
      <c r="O239">
        <v>0</v>
      </c>
      <c r="P239">
        <v>27</v>
      </c>
      <c r="Q239">
        <v>27</v>
      </c>
    </row>
    <row r="240" spans="1:17" x14ac:dyDescent="0.35">
      <c r="A240">
        <v>239</v>
      </c>
      <c r="B240" s="1">
        <v>40554</v>
      </c>
      <c r="C240">
        <v>1</v>
      </c>
      <c r="D240">
        <v>0</v>
      </c>
      <c r="E240">
        <v>1</v>
      </c>
      <c r="F240">
        <v>7</v>
      </c>
      <c r="G240">
        <v>0</v>
      </c>
      <c r="H240">
        <v>2</v>
      </c>
      <c r="I240">
        <v>2</v>
      </c>
      <c r="J240">
        <v>0.16</v>
      </c>
      <c r="K240">
        <v>239</v>
      </c>
      <c r="L240">
        <v>0.2273</v>
      </c>
      <c r="M240">
        <v>0.55000000000000004</v>
      </c>
      <c r="N240">
        <v>0</v>
      </c>
      <c r="O240">
        <v>2</v>
      </c>
      <c r="P240">
        <v>97</v>
      </c>
      <c r="Q240">
        <v>99</v>
      </c>
    </row>
    <row r="241" spans="1:17" x14ac:dyDescent="0.35">
      <c r="A241">
        <v>240</v>
      </c>
      <c r="B241" s="1">
        <v>40554</v>
      </c>
      <c r="C241">
        <v>1</v>
      </c>
      <c r="D241">
        <v>0</v>
      </c>
      <c r="E241">
        <v>1</v>
      </c>
      <c r="F241">
        <v>8</v>
      </c>
      <c r="G241">
        <v>0</v>
      </c>
      <c r="H241">
        <v>2</v>
      </c>
      <c r="I241">
        <v>2</v>
      </c>
      <c r="J241">
        <v>0.18</v>
      </c>
      <c r="K241">
        <v>240</v>
      </c>
      <c r="L241">
        <v>0.21210000000000001</v>
      </c>
      <c r="M241">
        <v>0.51</v>
      </c>
      <c r="N241">
        <v>8.9599999999999999E-2</v>
      </c>
      <c r="O241">
        <v>3</v>
      </c>
      <c r="P241">
        <v>214</v>
      </c>
      <c r="Q241">
        <v>217</v>
      </c>
    </row>
    <row r="242" spans="1:17" x14ac:dyDescent="0.35">
      <c r="A242">
        <v>241</v>
      </c>
      <c r="B242" s="1">
        <v>40554</v>
      </c>
      <c r="C242">
        <v>1</v>
      </c>
      <c r="D242">
        <v>0</v>
      </c>
      <c r="E242">
        <v>1</v>
      </c>
      <c r="F242">
        <v>9</v>
      </c>
      <c r="G242">
        <v>0</v>
      </c>
      <c r="H242">
        <v>2</v>
      </c>
      <c r="I242">
        <v>2</v>
      </c>
      <c r="J242">
        <v>0.18</v>
      </c>
      <c r="K242">
        <v>241</v>
      </c>
      <c r="L242">
        <v>0.19700000000000001</v>
      </c>
      <c r="M242">
        <v>0.51</v>
      </c>
      <c r="N242">
        <v>0.16420000000000001</v>
      </c>
      <c r="O242">
        <v>3</v>
      </c>
      <c r="P242">
        <v>127</v>
      </c>
      <c r="Q242">
        <v>130</v>
      </c>
    </row>
    <row r="243" spans="1:17" x14ac:dyDescent="0.35">
      <c r="A243">
        <v>242</v>
      </c>
      <c r="B243" s="1">
        <v>40554</v>
      </c>
      <c r="C243">
        <v>1</v>
      </c>
      <c r="D243">
        <v>0</v>
      </c>
      <c r="E243">
        <v>1</v>
      </c>
      <c r="F243">
        <v>10</v>
      </c>
      <c r="G243">
        <v>0</v>
      </c>
      <c r="H243">
        <v>2</v>
      </c>
      <c r="I243">
        <v>2</v>
      </c>
      <c r="J243">
        <v>0.2</v>
      </c>
      <c r="K243">
        <v>242</v>
      </c>
      <c r="L243">
        <v>0.21210000000000001</v>
      </c>
      <c r="M243">
        <v>0.51</v>
      </c>
      <c r="N243">
        <v>0.16420000000000001</v>
      </c>
      <c r="O243">
        <v>3</v>
      </c>
      <c r="P243">
        <v>51</v>
      </c>
      <c r="Q243">
        <v>54</v>
      </c>
    </row>
    <row r="244" spans="1:17" x14ac:dyDescent="0.35">
      <c r="A244">
        <v>243</v>
      </c>
      <c r="B244" s="1">
        <v>40554</v>
      </c>
      <c r="C244">
        <v>1</v>
      </c>
      <c r="D244">
        <v>0</v>
      </c>
      <c r="E244">
        <v>1</v>
      </c>
      <c r="F244">
        <v>11</v>
      </c>
      <c r="G244">
        <v>0</v>
      </c>
      <c r="H244">
        <v>2</v>
      </c>
      <c r="I244">
        <v>2</v>
      </c>
      <c r="J244">
        <v>0.2</v>
      </c>
      <c r="K244">
        <v>243</v>
      </c>
      <c r="L244">
        <v>0.21210000000000001</v>
      </c>
      <c r="M244">
        <v>0.47</v>
      </c>
      <c r="N244">
        <v>0.1343</v>
      </c>
      <c r="O244">
        <v>4</v>
      </c>
      <c r="P244">
        <v>31</v>
      </c>
      <c r="Q244">
        <v>35</v>
      </c>
    </row>
    <row r="245" spans="1:17" x14ac:dyDescent="0.35">
      <c r="A245">
        <v>244</v>
      </c>
      <c r="B245" s="1">
        <v>40554</v>
      </c>
      <c r="C245">
        <v>1</v>
      </c>
      <c r="D245">
        <v>0</v>
      </c>
      <c r="E245">
        <v>1</v>
      </c>
      <c r="F245">
        <v>12</v>
      </c>
      <c r="G245">
        <v>0</v>
      </c>
      <c r="H245">
        <v>2</v>
      </c>
      <c r="I245">
        <v>2</v>
      </c>
      <c r="J245">
        <v>0.2</v>
      </c>
      <c r="K245">
        <v>244</v>
      </c>
      <c r="L245">
        <v>0.2273</v>
      </c>
      <c r="M245">
        <v>0.51</v>
      </c>
      <c r="N245">
        <v>0.1045</v>
      </c>
      <c r="O245">
        <v>2</v>
      </c>
      <c r="P245">
        <v>55</v>
      </c>
      <c r="Q245">
        <v>57</v>
      </c>
    </row>
    <row r="246" spans="1:17" x14ac:dyDescent="0.35">
      <c r="A246">
        <v>245</v>
      </c>
      <c r="B246" s="1">
        <v>40554</v>
      </c>
      <c r="C246">
        <v>1</v>
      </c>
      <c r="D246">
        <v>0</v>
      </c>
      <c r="E246">
        <v>1</v>
      </c>
      <c r="F246">
        <v>13</v>
      </c>
      <c r="G246">
        <v>0</v>
      </c>
      <c r="H246">
        <v>2</v>
      </c>
      <c r="I246">
        <v>2</v>
      </c>
      <c r="J246">
        <v>0.2</v>
      </c>
      <c r="K246">
        <v>245</v>
      </c>
      <c r="L246">
        <v>0.2273</v>
      </c>
      <c r="M246">
        <v>0.59</v>
      </c>
      <c r="N246">
        <v>8.9599999999999999E-2</v>
      </c>
      <c r="O246">
        <v>6</v>
      </c>
      <c r="P246">
        <v>46</v>
      </c>
      <c r="Q246">
        <v>52</v>
      </c>
    </row>
    <row r="247" spans="1:17" x14ac:dyDescent="0.35">
      <c r="A247">
        <v>246</v>
      </c>
      <c r="B247" s="1">
        <v>40554</v>
      </c>
      <c r="C247">
        <v>1</v>
      </c>
      <c r="D247">
        <v>0</v>
      </c>
      <c r="E247">
        <v>1</v>
      </c>
      <c r="F247">
        <v>14</v>
      </c>
      <c r="G247">
        <v>0</v>
      </c>
      <c r="H247">
        <v>2</v>
      </c>
      <c r="I247">
        <v>2</v>
      </c>
      <c r="J247">
        <v>0.2</v>
      </c>
      <c r="K247">
        <v>246</v>
      </c>
      <c r="L247">
        <v>0.2273</v>
      </c>
      <c r="M247">
        <v>0.59</v>
      </c>
      <c r="N247">
        <v>8.9599999999999999E-2</v>
      </c>
      <c r="O247">
        <v>3</v>
      </c>
      <c r="P247">
        <v>60</v>
      </c>
      <c r="Q247">
        <v>63</v>
      </c>
    </row>
    <row r="248" spans="1:17" x14ac:dyDescent="0.35">
      <c r="A248">
        <v>247</v>
      </c>
      <c r="B248" s="1">
        <v>40554</v>
      </c>
      <c r="C248">
        <v>1</v>
      </c>
      <c r="D248">
        <v>0</v>
      </c>
      <c r="E248">
        <v>1</v>
      </c>
      <c r="F248">
        <v>15</v>
      </c>
      <c r="G248">
        <v>0</v>
      </c>
      <c r="H248">
        <v>2</v>
      </c>
      <c r="I248">
        <v>2</v>
      </c>
      <c r="J248">
        <v>0.16</v>
      </c>
      <c r="K248">
        <v>247</v>
      </c>
      <c r="L248">
        <v>0.19700000000000001</v>
      </c>
      <c r="M248">
        <v>0.8</v>
      </c>
      <c r="N248">
        <v>8.9599999999999999E-2</v>
      </c>
      <c r="O248">
        <v>2</v>
      </c>
      <c r="P248">
        <v>45</v>
      </c>
      <c r="Q248">
        <v>47</v>
      </c>
    </row>
    <row r="249" spans="1:17" x14ac:dyDescent="0.35">
      <c r="A249">
        <v>248</v>
      </c>
      <c r="B249" s="1">
        <v>40554</v>
      </c>
      <c r="C249">
        <v>1</v>
      </c>
      <c r="D249">
        <v>0</v>
      </c>
      <c r="E249">
        <v>1</v>
      </c>
      <c r="F249">
        <v>16</v>
      </c>
      <c r="G249">
        <v>0</v>
      </c>
      <c r="H249">
        <v>2</v>
      </c>
      <c r="I249">
        <v>2</v>
      </c>
      <c r="J249">
        <v>0.16</v>
      </c>
      <c r="K249">
        <v>248</v>
      </c>
      <c r="L249">
        <v>0.1515</v>
      </c>
      <c r="M249">
        <v>0.86</v>
      </c>
      <c r="N249">
        <v>0.22389999999999999</v>
      </c>
      <c r="O249">
        <v>4</v>
      </c>
      <c r="P249">
        <v>72</v>
      </c>
      <c r="Q249">
        <v>76</v>
      </c>
    </row>
    <row r="250" spans="1:17" x14ac:dyDescent="0.35">
      <c r="A250">
        <v>249</v>
      </c>
      <c r="B250" s="1">
        <v>40554</v>
      </c>
      <c r="C250">
        <v>1</v>
      </c>
      <c r="D250">
        <v>0</v>
      </c>
      <c r="E250">
        <v>1</v>
      </c>
      <c r="F250">
        <v>17</v>
      </c>
      <c r="G250">
        <v>0</v>
      </c>
      <c r="H250">
        <v>2</v>
      </c>
      <c r="I250">
        <v>2</v>
      </c>
      <c r="J250">
        <v>0.16</v>
      </c>
      <c r="K250">
        <v>249</v>
      </c>
      <c r="L250">
        <v>0.1515</v>
      </c>
      <c r="M250">
        <v>0.86</v>
      </c>
      <c r="N250">
        <v>0.22389999999999999</v>
      </c>
      <c r="O250">
        <v>6</v>
      </c>
      <c r="P250">
        <v>130</v>
      </c>
      <c r="Q250">
        <v>136</v>
      </c>
    </row>
    <row r="251" spans="1:17" x14ac:dyDescent="0.35">
      <c r="A251">
        <v>250</v>
      </c>
      <c r="B251" s="1">
        <v>40554</v>
      </c>
      <c r="C251">
        <v>1</v>
      </c>
      <c r="D251">
        <v>0</v>
      </c>
      <c r="E251">
        <v>1</v>
      </c>
      <c r="F251">
        <v>18</v>
      </c>
      <c r="G251">
        <v>0</v>
      </c>
      <c r="H251">
        <v>2</v>
      </c>
      <c r="I251">
        <v>3</v>
      </c>
      <c r="J251">
        <v>0.16</v>
      </c>
      <c r="K251">
        <v>250</v>
      </c>
      <c r="L251">
        <v>0.18179999999999999</v>
      </c>
      <c r="M251">
        <v>0.93</v>
      </c>
      <c r="N251">
        <v>0.1045</v>
      </c>
      <c r="O251">
        <v>1</v>
      </c>
      <c r="P251">
        <v>94</v>
      </c>
      <c r="Q251">
        <v>95</v>
      </c>
    </row>
    <row r="252" spans="1:17" x14ac:dyDescent="0.35">
      <c r="A252">
        <v>251</v>
      </c>
      <c r="B252" s="1">
        <v>40554</v>
      </c>
      <c r="C252">
        <v>1</v>
      </c>
      <c r="D252">
        <v>0</v>
      </c>
      <c r="E252">
        <v>1</v>
      </c>
      <c r="F252">
        <v>19</v>
      </c>
      <c r="G252">
        <v>0</v>
      </c>
      <c r="H252">
        <v>2</v>
      </c>
      <c r="I252">
        <v>3</v>
      </c>
      <c r="J252">
        <v>0.16</v>
      </c>
      <c r="K252">
        <v>251</v>
      </c>
      <c r="L252">
        <v>0.2273</v>
      </c>
      <c r="M252">
        <v>0.93</v>
      </c>
      <c r="N252">
        <v>0</v>
      </c>
      <c r="O252">
        <v>0</v>
      </c>
      <c r="P252">
        <v>51</v>
      </c>
      <c r="Q252">
        <v>51</v>
      </c>
    </row>
    <row r="253" spans="1:17" x14ac:dyDescent="0.35">
      <c r="A253">
        <v>252</v>
      </c>
      <c r="B253" s="1">
        <v>40554</v>
      </c>
      <c r="C253">
        <v>1</v>
      </c>
      <c r="D253">
        <v>0</v>
      </c>
      <c r="E253">
        <v>1</v>
      </c>
      <c r="F253">
        <v>20</v>
      </c>
      <c r="G253">
        <v>0</v>
      </c>
      <c r="H253">
        <v>2</v>
      </c>
      <c r="I253">
        <v>3</v>
      </c>
      <c r="J253">
        <v>0.16</v>
      </c>
      <c r="K253">
        <v>252</v>
      </c>
      <c r="L253">
        <v>0.1515</v>
      </c>
      <c r="M253">
        <v>0.93</v>
      </c>
      <c r="N253">
        <v>0.19400000000000001</v>
      </c>
      <c r="O253">
        <v>0</v>
      </c>
      <c r="P253">
        <v>32</v>
      </c>
      <c r="Q253">
        <v>32</v>
      </c>
    </row>
    <row r="254" spans="1:17" x14ac:dyDescent="0.35">
      <c r="A254">
        <v>253</v>
      </c>
      <c r="B254" s="1">
        <v>40554</v>
      </c>
      <c r="C254">
        <v>1</v>
      </c>
      <c r="D254">
        <v>0</v>
      </c>
      <c r="E254">
        <v>1</v>
      </c>
      <c r="F254">
        <v>21</v>
      </c>
      <c r="G254">
        <v>0</v>
      </c>
      <c r="H254">
        <v>2</v>
      </c>
      <c r="I254">
        <v>3</v>
      </c>
      <c r="J254">
        <v>0.16</v>
      </c>
      <c r="K254">
        <v>253</v>
      </c>
      <c r="L254">
        <v>0.19700000000000001</v>
      </c>
      <c r="M254">
        <v>0.86</v>
      </c>
      <c r="N254">
        <v>8.9599999999999999E-2</v>
      </c>
      <c r="O254">
        <v>0</v>
      </c>
      <c r="P254">
        <v>20</v>
      </c>
      <c r="Q254">
        <v>20</v>
      </c>
    </row>
    <row r="255" spans="1:17" x14ac:dyDescent="0.35">
      <c r="A255">
        <v>254</v>
      </c>
      <c r="B255" s="1">
        <v>40554</v>
      </c>
      <c r="C255">
        <v>1</v>
      </c>
      <c r="D255">
        <v>0</v>
      </c>
      <c r="E255">
        <v>1</v>
      </c>
      <c r="F255">
        <v>22</v>
      </c>
      <c r="G255">
        <v>0</v>
      </c>
      <c r="H255">
        <v>2</v>
      </c>
      <c r="I255">
        <v>3</v>
      </c>
      <c r="J255">
        <v>0.16</v>
      </c>
      <c r="K255">
        <v>254</v>
      </c>
      <c r="L255">
        <v>0.18179999999999999</v>
      </c>
      <c r="M255">
        <v>0.93</v>
      </c>
      <c r="N255">
        <v>0.1045</v>
      </c>
      <c r="O255">
        <v>1</v>
      </c>
      <c r="P255">
        <v>28</v>
      </c>
      <c r="Q255">
        <v>29</v>
      </c>
    </row>
    <row r="256" spans="1:17" x14ac:dyDescent="0.35">
      <c r="A256">
        <v>255</v>
      </c>
      <c r="B256" s="1">
        <v>40554</v>
      </c>
      <c r="C256">
        <v>1</v>
      </c>
      <c r="D256">
        <v>0</v>
      </c>
      <c r="E256">
        <v>1</v>
      </c>
      <c r="F256">
        <v>23</v>
      </c>
      <c r="G256">
        <v>0</v>
      </c>
      <c r="H256">
        <v>2</v>
      </c>
      <c r="I256">
        <v>3</v>
      </c>
      <c r="J256">
        <v>0.16</v>
      </c>
      <c r="K256">
        <v>255</v>
      </c>
      <c r="L256">
        <v>0.19700000000000001</v>
      </c>
      <c r="M256">
        <v>0.93</v>
      </c>
      <c r="N256">
        <v>8.9599999999999999E-2</v>
      </c>
      <c r="O256">
        <v>1</v>
      </c>
      <c r="P256">
        <v>18</v>
      </c>
      <c r="Q256">
        <v>19</v>
      </c>
    </row>
    <row r="257" spans="1:17" x14ac:dyDescent="0.35">
      <c r="A257">
        <v>256</v>
      </c>
      <c r="B257" s="1">
        <v>40555</v>
      </c>
      <c r="C257">
        <v>1</v>
      </c>
      <c r="D257">
        <v>0</v>
      </c>
      <c r="E257">
        <v>1</v>
      </c>
      <c r="F257">
        <v>0</v>
      </c>
      <c r="G257">
        <v>0</v>
      </c>
      <c r="H257">
        <v>3</v>
      </c>
      <c r="I257">
        <v>2</v>
      </c>
      <c r="J257">
        <v>0.16</v>
      </c>
      <c r="K257">
        <v>256</v>
      </c>
      <c r="L257">
        <v>0.19700000000000001</v>
      </c>
      <c r="M257">
        <v>0.86</v>
      </c>
      <c r="N257">
        <v>8.9599999999999999E-2</v>
      </c>
      <c r="O257">
        <v>0</v>
      </c>
      <c r="P257">
        <v>7</v>
      </c>
      <c r="Q257">
        <v>7</v>
      </c>
    </row>
    <row r="258" spans="1:17" x14ac:dyDescent="0.35">
      <c r="A258">
        <v>257</v>
      </c>
      <c r="B258" s="1">
        <v>40555</v>
      </c>
      <c r="C258">
        <v>1</v>
      </c>
      <c r="D258">
        <v>0</v>
      </c>
      <c r="E258">
        <v>1</v>
      </c>
      <c r="F258">
        <v>1</v>
      </c>
      <c r="G258">
        <v>0</v>
      </c>
      <c r="H258">
        <v>3</v>
      </c>
      <c r="I258">
        <v>2</v>
      </c>
      <c r="J258">
        <v>0.16</v>
      </c>
      <c r="K258">
        <v>257</v>
      </c>
      <c r="L258">
        <v>0.18179999999999999</v>
      </c>
      <c r="M258">
        <v>0.86</v>
      </c>
      <c r="N258">
        <v>0.1045</v>
      </c>
      <c r="O258">
        <v>0</v>
      </c>
      <c r="P258">
        <v>6</v>
      </c>
      <c r="Q258">
        <v>6</v>
      </c>
    </row>
    <row r="259" spans="1:17" x14ac:dyDescent="0.35">
      <c r="A259">
        <v>258</v>
      </c>
      <c r="B259" s="1">
        <v>40555</v>
      </c>
      <c r="C259">
        <v>1</v>
      </c>
      <c r="D259">
        <v>0</v>
      </c>
      <c r="E259">
        <v>1</v>
      </c>
      <c r="F259">
        <v>2</v>
      </c>
      <c r="G259">
        <v>0</v>
      </c>
      <c r="H259">
        <v>3</v>
      </c>
      <c r="I259">
        <v>1</v>
      </c>
      <c r="J259">
        <v>0.14000000000000001</v>
      </c>
      <c r="K259">
        <v>258</v>
      </c>
      <c r="L259">
        <v>0.1515</v>
      </c>
      <c r="M259">
        <v>0.86</v>
      </c>
      <c r="N259">
        <v>0.1343</v>
      </c>
      <c r="O259">
        <v>0</v>
      </c>
      <c r="P259">
        <v>1</v>
      </c>
      <c r="Q259">
        <v>1</v>
      </c>
    </row>
    <row r="260" spans="1:17" x14ac:dyDescent="0.35">
      <c r="A260">
        <v>259</v>
      </c>
      <c r="B260" s="1">
        <v>40555</v>
      </c>
      <c r="C260">
        <v>1</v>
      </c>
      <c r="D260">
        <v>0</v>
      </c>
      <c r="E260">
        <v>1</v>
      </c>
      <c r="F260">
        <v>5</v>
      </c>
      <c r="G260">
        <v>0</v>
      </c>
      <c r="H260">
        <v>3</v>
      </c>
      <c r="I260">
        <v>1</v>
      </c>
      <c r="J260">
        <v>0.14000000000000001</v>
      </c>
      <c r="K260">
        <v>259</v>
      </c>
      <c r="L260">
        <v>0.1515</v>
      </c>
      <c r="M260">
        <v>0.86</v>
      </c>
      <c r="N260">
        <v>0.16420000000000001</v>
      </c>
      <c r="O260">
        <v>0</v>
      </c>
      <c r="P260">
        <v>5</v>
      </c>
      <c r="Q260">
        <v>5</v>
      </c>
    </row>
    <row r="261" spans="1:17" x14ac:dyDescent="0.35">
      <c r="A261">
        <v>260</v>
      </c>
      <c r="B261" s="1">
        <v>40555</v>
      </c>
      <c r="C261">
        <v>1</v>
      </c>
      <c r="D261">
        <v>0</v>
      </c>
      <c r="E261">
        <v>1</v>
      </c>
      <c r="F261">
        <v>6</v>
      </c>
      <c r="G261">
        <v>0</v>
      </c>
      <c r="H261">
        <v>3</v>
      </c>
      <c r="I261">
        <v>1</v>
      </c>
      <c r="J261">
        <v>0.12</v>
      </c>
      <c r="K261">
        <v>260</v>
      </c>
      <c r="L261">
        <v>0.1515</v>
      </c>
      <c r="M261">
        <v>0.93</v>
      </c>
      <c r="N261">
        <v>0.1343</v>
      </c>
      <c r="O261">
        <v>0</v>
      </c>
      <c r="P261">
        <v>16</v>
      </c>
      <c r="Q261">
        <v>16</v>
      </c>
    </row>
    <row r="262" spans="1:17" x14ac:dyDescent="0.35">
      <c r="A262">
        <v>261</v>
      </c>
      <c r="B262" s="1">
        <v>40555</v>
      </c>
      <c r="C262">
        <v>1</v>
      </c>
      <c r="D262">
        <v>0</v>
      </c>
      <c r="E262">
        <v>1</v>
      </c>
      <c r="F262">
        <v>7</v>
      </c>
      <c r="G262">
        <v>0</v>
      </c>
      <c r="H262">
        <v>3</v>
      </c>
      <c r="I262">
        <v>1</v>
      </c>
      <c r="J262">
        <v>0.14000000000000001</v>
      </c>
      <c r="K262">
        <v>261</v>
      </c>
      <c r="L262">
        <v>0.1515</v>
      </c>
      <c r="M262">
        <v>0.69</v>
      </c>
      <c r="N262">
        <v>0.1343</v>
      </c>
      <c r="O262">
        <v>0</v>
      </c>
      <c r="P262">
        <v>54</v>
      </c>
      <c r="Q262">
        <v>54</v>
      </c>
    </row>
    <row r="263" spans="1:17" x14ac:dyDescent="0.35">
      <c r="A263">
        <v>262</v>
      </c>
      <c r="B263" s="1">
        <v>40555</v>
      </c>
      <c r="C263">
        <v>1</v>
      </c>
      <c r="D263">
        <v>0</v>
      </c>
      <c r="E263">
        <v>1</v>
      </c>
      <c r="F263">
        <v>8</v>
      </c>
      <c r="G263">
        <v>0</v>
      </c>
      <c r="H263">
        <v>3</v>
      </c>
      <c r="I263">
        <v>1</v>
      </c>
      <c r="J263">
        <v>0.16</v>
      </c>
      <c r="K263">
        <v>262</v>
      </c>
      <c r="L263">
        <v>0.16669999999999999</v>
      </c>
      <c r="M263">
        <v>0.59</v>
      </c>
      <c r="N263">
        <v>0.16420000000000001</v>
      </c>
      <c r="O263">
        <v>3</v>
      </c>
      <c r="P263">
        <v>125</v>
      </c>
      <c r="Q263">
        <v>128</v>
      </c>
    </row>
    <row r="264" spans="1:17" x14ac:dyDescent="0.35">
      <c r="A264">
        <v>263</v>
      </c>
      <c r="B264" s="1">
        <v>40555</v>
      </c>
      <c r="C264">
        <v>1</v>
      </c>
      <c r="D264">
        <v>0</v>
      </c>
      <c r="E264">
        <v>1</v>
      </c>
      <c r="F264">
        <v>9</v>
      </c>
      <c r="G264">
        <v>0</v>
      </c>
      <c r="H264">
        <v>3</v>
      </c>
      <c r="I264">
        <v>1</v>
      </c>
      <c r="J264">
        <v>0.16</v>
      </c>
      <c r="K264">
        <v>263</v>
      </c>
      <c r="L264">
        <v>0.13639999999999999</v>
      </c>
      <c r="M264">
        <v>0.59</v>
      </c>
      <c r="N264">
        <v>0.32840000000000003</v>
      </c>
      <c r="O264">
        <v>3</v>
      </c>
      <c r="P264">
        <v>78</v>
      </c>
      <c r="Q264">
        <v>81</v>
      </c>
    </row>
    <row r="265" spans="1:17" x14ac:dyDescent="0.35">
      <c r="A265">
        <v>264</v>
      </c>
      <c r="B265" s="1">
        <v>40555</v>
      </c>
      <c r="C265">
        <v>1</v>
      </c>
      <c r="D265">
        <v>0</v>
      </c>
      <c r="E265">
        <v>1</v>
      </c>
      <c r="F265">
        <v>10</v>
      </c>
      <c r="G265">
        <v>0</v>
      </c>
      <c r="H265">
        <v>3</v>
      </c>
      <c r="I265">
        <v>1</v>
      </c>
      <c r="J265">
        <v>0.18</v>
      </c>
      <c r="K265">
        <v>264</v>
      </c>
      <c r="L265">
        <v>0.18179999999999999</v>
      </c>
      <c r="M265">
        <v>0.55000000000000004</v>
      </c>
      <c r="N265">
        <v>0.22389999999999999</v>
      </c>
      <c r="O265">
        <v>0</v>
      </c>
      <c r="P265">
        <v>39</v>
      </c>
      <c r="Q265">
        <v>39</v>
      </c>
    </row>
    <row r="266" spans="1:17" x14ac:dyDescent="0.35">
      <c r="A266">
        <v>265</v>
      </c>
      <c r="B266" s="1">
        <v>40555</v>
      </c>
      <c r="C266">
        <v>1</v>
      </c>
      <c r="D266">
        <v>0</v>
      </c>
      <c r="E266">
        <v>1</v>
      </c>
      <c r="F266">
        <v>11</v>
      </c>
      <c r="G266">
        <v>0</v>
      </c>
      <c r="H266">
        <v>3</v>
      </c>
      <c r="I266">
        <v>1</v>
      </c>
      <c r="J266">
        <v>0.2</v>
      </c>
      <c r="K266">
        <v>265</v>
      </c>
      <c r="L266">
        <v>0.18179999999999999</v>
      </c>
      <c r="M266">
        <v>0.51</v>
      </c>
      <c r="N266">
        <v>0.3881</v>
      </c>
      <c r="O266">
        <v>3</v>
      </c>
      <c r="P266">
        <v>32</v>
      </c>
      <c r="Q266">
        <v>35</v>
      </c>
    </row>
    <row r="267" spans="1:17" x14ac:dyDescent="0.35">
      <c r="A267">
        <v>266</v>
      </c>
      <c r="B267" s="1">
        <v>40555</v>
      </c>
      <c r="C267">
        <v>1</v>
      </c>
      <c r="D267">
        <v>0</v>
      </c>
      <c r="E267">
        <v>1</v>
      </c>
      <c r="F267">
        <v>12</v>
      </c>
      <c r="G267">
        <v>0</v>
      </c>
      <c r="H267">
        <v>3</v>
      </c>
      <c r="I267">
        <v>1</v>
      </c>
      <c r="J267">
        <v>0.2</v>
      </c>
      <c r="K267">
        <v>266</v>
      </c>
      <c r="L267">
        <v>0.1515</v>
      </c>
      <c r="M267">
        <v>0.47</v>
      </c>
      <c r="N267">
        <v>0.58209999999999995</v>
      </c>
      <c r="O267">
        <v>3</v>
      </c>
      <c r="P267">
        <v>52</v>
      </c>
      <c r="Q267">
        <v>55</v>
      </c>
    </row>
    <row r="268" spans="1:17" x14ac:dyDescent="0.35">
      <c r="A268">
        <v>267</v>
      </c>
      <c r="B268" s="1">
        <v>40555</v>
      </c>
      <c r="C268">
        <v>1</v>
      </c>
      <c r="D268">
        <v>0</v>
      </c>
      <c r="E268">
        <v>1</v>
      </c>
      <c r="F268">
        <v>13</v>
      </c>
      <c r="G268">
        <v>0</v>
      </c>
      <c r="H268">
        <v>3</v>
      </c>
      <c r="I268">
        <v>1</v>
      </c>
      <c r="J268">
        <v>0.22</v>
      </c>
      <c r="K268">
        <v>267</v>
      </c>
      <c r="L268">
        <v>0.19700000000000001</v>
      </c>
      <c r="M268">
        <v>0.44</v>
      </c>
      <c r="N268">
        <v>0.35820000000000002</v>
      </c>
      <c r="O268">
        <v>0</v>
      </c>
      <c r="P268">
        <v>49</v>
      </c>
      <c r="Q268">
        <v>49</v>
      </c>
    </row>
    <row r="269" spans="1:17" x14ac:dyDescent="0.35">
      <c r="A269">
        <v>268</v>
      </c>
      <c r="B269" s="1">
        <v>40555</v>
      </c>
      <c r="C269">
        <v>1</v>
      </c>
      <c r="D269">
        <v>0</v>
      </c>
      <c r="E269">
        <v>1</v>
      </c>
      <c r="F269">
        <v>14</v>
      </c>
      <c r="G269">
        <v>0</v>
      </c>
      <c r="H269">
        <v>3</v>
      </c>
      <c r="I269">
        <v>1</v>
      </c>
      <c r="J269">
        <v>0.2</v>
      </c>
      <c r="K269">
        <v>268</v>
      </c>
      <c r="L269">
        <v>0.18179999999999999</v>
      </c>
      <c r="M269">
        <v>0.47</v>
      </c>
      <c r="N269">
        <v>0.32840000000000003</v>
      </c>
      <c r="O269">
        <v>0</v>
      </c>
      <c r="P269">
        <v>44</v>
      </c>
      <c r="Q269">
        <v>44</v>
      </c>
    </row>
    <row r="270" spans="1:17" x14ac:dyDescent="0.35">
      <c r="A270">
        <v>269</v>
      </c>
      <c r="B270" s="1">
        <v>40555</v>
      </c>
      <c r="C270">
        <v>1</v>
      </c>
      <c r="D270">
        <v>0</v>
      </c>
      <c r="E270">
        <v>1</v>
      </c>
      <c r="F270">
        <v>15</v>
      </c>
      <c r="G270">
        <v>0</v>
      </c>
      <c r="H270">
        <v>3</v>
      </c>
      <c r="I270">
        <v>1</v>
      </c>
      <c r="J270">
        <v>0.2</v>
      </c>
      <c r="K270">
        <v>269</v>
      </c>
      <c r="L270">
        <v>0.16669999999999999</v>
      </c>
      <c r="M270">
        <v>0.47</v>
      </c>
      <c r="N270">
        <v>0.41789999999999999</v>
      </c>
      <c r="O270">
        <v>1</v>
      </c>
      <c r="P270">
        <v>48</v>
      </c>
      <c r="Q270">
        <v>49</v>
      </c>
    </row>
    <row r="271" spans="1:17" x14ac:dyDescent="0.35">
      <c r="A271">
        <v>270</v>
      </c>
      <c r="B271" s="1">
        <v>40555</v>
      </c>
      <c r="C271">
        <v>1</v>
      </c>
      <c r="D271">
        <v>0</v>
      </c>
      <c r="E271">
        <v>1</v>
      </c>
      <c r="F271">
        <v>16</v>
      </c>
      <c r="G271">
        <v>0</v>
      </c>
      <c r="H271">
        <v>3</v>
      </c>
      <c r="I271">
        <v>1</v>
      </c>
      <c r="J271">
        <v>0.22</v>
      </c>
      <c r="K271">
        <v>270</v>
      </c>
      <c r="L271">
        <v>0.19700000000000001</v>
      </c>
      <c r="M271">
        <v>0.44</v>
      </c>
      <c r="N271">
        <v>0.32840000000000003</v>
      </c>
      <c r="O271">
        <v>5</v>
      </c>
      <c r="P271">
        <v>63</v>
      </c>
      <c r="Q271">
        <v>68</v>
      </c>
    </row>
    <row r="272" spans="1:17" x14ac:dyDescent="0.35">
      <c r="A272">
        <v>271</v>
      </c>
      <c r="B272" s="1">
        <v>40555</v>
      </c>
      <c r="C272">
        <v>1</v>
      </c>
      <c r="D272">
        <v>0</v>
      </c>
      <c r="E272">
        <v>1</v>
      </c>
      <c r="F272">
        <v>17</v>
      </c>
      <c r="G272">
        <v>0</v>
      </c>
      <c r="H272">
        <v>3</v>
      </c>
      <c r="I272">
        <v>1</v>
      </c>
      <c r="J272">
        <v>0.2</v>
      </c>
      <c r="K272">
        <v>271</v>
      </c>
      <c r="L272">
        <v>0.18179999999999999</v>
      </c>
      <c r="M272">
        <v>0.47</v>
      </c>
      <c r="N272">
        <v>0.35820000000000002</v>
      </c>
      <c r="O272">
        <v>0</v>
      </c>
      <c r="P272">
        <v>139</v>
      </c>
      <c r="Q272">
        <v>139</v>
      </c>
    </row>
    <row r="273" spans="1:17" x14ac:dyDescent="0.35">
      <c r="A273">
        <v>272</v>
      </c>
      <c r="B273" s="1">
        <v>40555</v>
      </c>
      <c r="C273">
        <v>1</v>
      </c>
      <c r="D273">
        <v>0</v>
      </c>
      <c r="E273">
        <v>1</v>
      </c>
      <c r="F273">
        <v>18</v>
      </c>
      <c r="G273">
        <v>0</v>
      </c>
      <c r="H273">
        <v>3</v>
      </c>
      <c r="I273">
        <v>1</v>
      </c>
      <c r="J273">
        <v>0.2</v>
      </c>
      <c r="K273">
        <v>272</v>
      </c>
      <c r="L273">
        <v>0.1515</v>
      </c>
      <c r="M273">
        <v>0.47</v>
      </c>
      <c r="N273">
        <v>0.52239999999999998</v>
      </c>
      <c r="O273">
        <v>2</v>
      </c>
      <c r="P273">
        <v>135</v>
      </c>
      <c r="Q273">
        <v>137</v>
      </c>
    </row>
    <row r="274" spans="1:17" x14ac:dyDescent="0.35">
      <c r="A274">
        <v>273</v>
      </c>
      <c r="B274" s="1">
        <v>40555</v>
      </c>
      <c r="C274">
        <v>1</v>
      </c>
      <c r="D274">
        <v>0</v>
      </c>
      <c r="E274">
        <v>1</v>
      </c>
      <c r="F274">
        <v>19</v>
      </c>
      <c r="G274">
        <v>0</v>
      </c>
      <c r="H274">
        <v>3</v>
      </c>
      <c r="I274">
        <v>1</v>
      </c>
      <c r="J274">
        <v>0.18</v>
      </c>
      <c r="K274">
        <v>273</v>
      </c>
      <c r="L274">
        <v>0.1515</v>
      </c>
      <c r="M274">
        <v>0.47</v>
      </c>
      <c r="N274">
        <v>0.41789999999999999</v>
      </c>
      <c r="O274">
        <v>1</v>
      </c>
      <c r="P274">
        <v>82</v>
      </c>
      <c r="Q274">
        <v>83</v>
      </c>
    </row>
    <row r="275" spans="1:17" x14ac:dyDescent="0.35">
      <c r="A275">
        <v>274</v>
      </c>
      <c r="B275" s="1">
        <v>40555</v>
      </c>
      <c r="C275">
        <v>1</v>
      </c>
      <c r="D275">
        <v>0</v>
      </c>
      <c r="E275">
        <v>1</v>
      </c>
      <c r="F275">
        <v>20</v>
      </c>
      <c r="G275">
        <v>0</v>
      </c>
      <c r="H275">
        <v>3</v>
      </c>
      <c r="I275">
        <v>1</v>
      </c>
      <c r="J275">
        <v>0.16</v>
      </c>
      <c r="K275">
        <v>274</v>
      </c>
      <c r="L275">
        <v>0.13639999999999999</v>
      </c>
      <c r="M275">
        <v>0.5</v>
      </c>
      <c r="N275">
        <v>0.32840000000000003</v>
      </c>
      <c r="O275">
        <v>2</v>
      </c>
      <c r="P275">
        <v>54</v>
      </c>
      <c r="Q275">
        <v>56</v>
      </c>
    </row>
    <row r="276" spans="1:17" x14ac:dyDescent="0.35">
      <c r="A276">
        <v>275</v>
      </c>
      <c r="B276" s="1">
        <v>40555</v>
      </c>
      <c r="C276">
        <v>1</v>
      </c>
      <c r="D276">
        <v>0</v>
      </c>
      <c r="E276">
        <v>1</v>
      </c>
      <c r="F276">
        <v>21</v>
      </c>
      <c r="G276">
        <v>0</v>
      </c>
      <c r="H276">
        <v>3</v>
      </c>
      <c r="I276">
        <v>1</v>
      </c>
      <c r="J276">
        <v>0.16</v>
      </c>
      <c r="K276">
        <v>275</v>
      </c>
      <c r="L276">
        <v>0.13639999999999999</v>
      </c>
      <c r="M276">
        <v>0.55000000000000004</v>
      </c>
      <c r="N276">
        <v>0.32840000000000003</v>
      </c>
      <c r="O276">
        <v>0</v>
      </c>
      <c r="P276">
        <v>57</v>
      </c>
      <c r="Q276">
        <v>57</v>
      </c>
    </row>
    <row r="277" spans="1:17" x14ac:dyDescent="0.35">
      <c r="A277">
        <v>276</v>
      </c>
      <c r="B277" s="1">
        <v>40555</v>
      </c>
      <c r="C277">
        <v>1</v>
      </c>
      <c r="D277">
        <v>0</v>
      </c>
      <c r="E277">
        <v>1</v>
      </c>
      <c r="F277">
        <v>22</v>
      </c>
      <c r="G277">
        <v>0</v>
      </c>
      <c r="H277">
        <v>3</v>
      </c>
      <c r="I277">
        <v>1</v>
      </c>
      <c r="J277">
        <v>0.16</v>
      </c>
      <c r="K277">
        <v>276</v>
      </c>
      <c r="L277">
        <v>0.1212</v>
      </c>
      <c r="M277">
        <v>0.55000000000000004</v>
      </c>
      <c r="N277">
        <v>0.44779999999999998</v>
      </c>
      <c r="O277">
        <v>1</v>
      </c>
      <c r="P277">
        <v>32</v>
      </c>
      <c r="Q277">
        <v>33</v>
      </c>
    </row>
    <row r="278" spans="1:17" x14ac:dyDescent="0.35">
      <c r="A278">
        <v>277</v>
      </c>
      <c r="B278" s="1">
        <v>40555</v>
      </c>
      <c r="C278">
        <v>1</v>
      </c>
      <c r="D278">
        <v>0</v>
      </c>
      <c r="E278">
        <v>1</v>
      </c>
      <c r="F278">
        <v>23</v>
      </c>
      <c r="G278">
        <v>0</v>
      </c>
      <c r="H278">
        <v>3</v>
      </c>
      <c r="I278">
        <v>1</v>
      </c>
      <c r="J278">
        <v>0.14000000000000001</v>
      </c>
      <c r="K278">
        <v>277</v>
      </c>
      <c r="L278">
        <v>0.1061</v>
      </c>
      <c r="M278">
        <v>0.59</v>
      </c>
      <c r="N278">
        <v>0.41789999999999999</v>
      </c>
      <c r="O278">
        <v>1</v>
      </c>
      <c r="P278">
        <v>19</v>
      </c>
      <c r="Q278">
        <v>20</v>
      </c>
    </row>
    <row r="279" spans="1:17" x14ac:dyDescent="0.35">
      <c r="A279">
        <v>278</v>
      </c>
      <c r="B279" s="1">
        <v>40556</v>
      </c>
      <c r="C279">
        <v>1</v>
      </c>
      <c r="D279">
        <v>0</v>
      </c>
      <c r="E279">
        <v>1</v>
      </c>
      <c r="F279">
        <v>0</v>
      </c>
      <c r="G279">
        <v>0</v>
      </c>
      <c r="H279">
        <v>4</v>
      </c>
      <c r="I279">
        <v>1</v>
      </c>
      <c r="J279">
        <v>0.14000000000000001</v>
      </c>
      <c r="K279">
        <v>278</v>
      </c>
      <c r="L279">
        <v>0.1212</v>
      </c>
      <c r="M279">
        <v>0.59</v>
      </c>
      <c r="N279">
        <v>0.28360000000000002</v>
      </c>
      <c r="O279">
        <v>1</v>
      </c>
      <c r="P279">
        <v>6</v>
      </c>
      <c r="Q279">
        <v>7</v>
      </c>
    </row>
    <row r="280" spans="1:17" x14ac:dyDescent="0.35">
      <c r="A280">
        <v>279</v>
      </c>
      <c r="B280" s="1">
        <v>40556</v>
      </c>
      <c r="C280">
        <v>1</v>
      </c>
      <c r="D280">
        <v>0</v>
      </c>
      <c r="E280">
        <v>1</v>
      </c>
      <c r="F280">
        <v>1</v>
      </c>
      <c r="G280">
        <v>0</v>
      </c>
      <c r="H280">
        <v>4</v>
      </c>
      <c r="I280">
        <v>1</v>
      </c>
      <c r="J280">
        <v>0.14000000000000001</v>
      </c>
      <c r="K280">
        <v>279</v>
      </c>
      <c r="L280">
        <v>0.1212</v>
      </c>
      <c r="M280">
        <v>0.5</v>
      </c>
      <c r="N280">
        <v>0.28360000000000002</v>
      </c>
      <c r="O280">
        <v>0</v>
      </c>
      <c r="P280">
        <v>2</v>
      </c>
      <c r="Q280">
        <v>2</v>
      </c>
    </row>
    <row r="281" spans="1:17" x14ac:dyDescent="0.35">
      <c r="A281">
        <v>280</v>
      </c>
      <c r="B281" s="1">
        <v>40556</v>
      </c>
      <c r="C281">
        <v>1</v>
      </c>
      <c r="D281">
        <v>0</v>
      </c>
      <c r="E281">
        <v>1</v>
      </c>
      <c r="F281">
        <v>2</v>
      </c>
      <c r="G281">
        <v>0</v>
      </c>
      <c r="H281">
        <v>4</v>
      </c>
      <c r="I281">
        <v>1</v>
      </c>
      <c r="J281">
        <v>0.14000000000000001</v>
      </c>
      <c r="K281">
        <v>280</v>
      </c>
      <c r="L281">
        <v>0.1212</v>
      </c>
      <c r="M281">
        <v>0.5</v>
      </c>
      <c r="N281">
        <v>0.35820000000000002</v>
      </c>
      <c r="O281">
        <v>0</v>
      </c>
      <c r="P281">
        <v>2</v>
      </c>
      <c r="Q281">
        <v>2</v>
      </c>
    </row>
    <row r="282" spans="1:17" x14ac:dyDescent="0.35">
      <c r="A282">
        <v>281</v>
      </c>
      <c r="B282" s="1">
        <v>40556</v>
      </c>
      <c r="C282">
        <v>1</v>
      </c>
      <c r="D282">
        <v>0</v>
      </c>
      <c r="E282">
        <v>1</v>
      </c>
      <c r="F282">
        <v>3</v>
      </c>
      <c r="G282">
        <v>0</v>
      </c>
      <c r="H282">
        <v>4</v>
      </c>
      <c r="I282">
        <v>1</v>
      </c>
      <c r="J282">
        <v>0.14000000000000001</v>
      </c>
      <c r="K282">
        <v>281</v>
      </c>
      <c r="L282">
        <v>0.1212</v>
      </c>
      <c r="M282">
        <v>0.5</v>
      </c>
      <c r="N282">
        <v>0.32840000000000003</v>
      </c>
      <c r="O282">
        <v>0</v>
      </c>
      <c r="P282">
        <v>3</v>
      </c>
      <c r="Q282">
        <v>3</v>
      </c>
    </row>
    <row r="283" spans="1:17" x14ac:dyDescent="0.35">
      <c r="A283">
        <v>282</v>
      </c>
      <c r="B283" s="1">
        <v>40556</v>
      </c>
      <c r="C283">
        <v>1</v>
      </c>
      <c r="D283">
        <v>0</v>
      </c>
      <c r="E283">
        <v>1</v>
      </c>
      <c r="F283">
        <v>4</v>
      </c>
      <c r="G283">
        <v>0</v>
      </c>
      <c r="H283">
        <v>4</v>
      </c>
      <c r="I283">
        <v>1</v>
      </c>
      <c r="J283">
        <v>0.14000000000000001</v>
      </c>
      <c r="K283">
        <v>282</v>
      </c>
      <c r="L283">
        <v>0.1212</v>
      </c>
      <c r="M283">
        <v>0.5</v>
      </c>
      <c r="N283">
        <v>0.25369999999999998</v>
      </c>
      <c r="O283">
        <v>0</v>
      </c>
      <c r="P283">
        <v>4</v>
      </c>
      <c r="Q283">
        <v>4</v>
      </c>
    </row>
    <row r="284" spans="1:17" x14ac:dyDescent="0.35">
      <c r="A284">
        <v>283</v>
      </c>
      <c r="B284" s="1">
        <v>40556</v>
      </c>
      <c r="C284">
        <v>1</v>
      </c>
      <c r="D284">
        <v>0</v>
      </c>
      <c r="E284">
        <v>1</v>
      </c>
      <c r="F284">
        <v>5</v>
      </c>
      <c r="G284">
        <v>0</v>
      </c>
      <c r="H284">
        <v>4</v>
      </c>
      <c r="I284">
        <v>1</v>
      </c>
      <c r="J284">
        <v>0.14000000000000001</v>
      </c>
      <c r="K284">
        <v>283</v>
      </c>
      <c r="L284">
        <v>0.1212</v>
      </c>
      <c r="M284">
        <v>0.5</v>
      </c>
      <c r="N284">
        <v>0.29849999999999999</v>
      </c>
      <c r="O284">
        <v>0</v>
      </c>
      <c r="P284">
        <v>3</v>
      </c>
      <c r="Q284">
        <v>3</v>
      </c>
    </row>
    <row r="285" spans="1:17" x14ac:dyDescent="0.35">
      <c r="A285">
        <v>284</v>
      </c>
      <c r="B285" s="1">
        <v>40556</v>
      </c>
      <c r="C285">
        <v>1</v>
      </c>
      <c r="D285">
        <v>0</v>
      </c>
      <c r="E285">
        <v>1</v>
      </c>
      <c r="F285">
        <v>6</v>
      </c>
      <c r="G285">
        <v>0</v>
      </c>
      <c r="H285">
        <v>4</v>
      </c>
      <c r="I285">
        <v>1</v>
      </c>
      <c r="J285">
        <v>0.12</v>
      </c>
      <c r="K285">
        <v>284</v>
      </c>
      <c r="L285">
        <v>0.1515</v>
      </c>
      <c r="M285">
        <v>0.54</v>
      </c>
      <c r="N285">
        <v>0.1343</v>
      </c>
      <c r="O285">
        <v>0</v>
      </c>
      <c r="P285">
        <v>28</v>
      </c>
      <c r="Q285">
        <v>28</v>
      </c>
    </row>
    <row r="286" spans="1:17" x14ac:dyDescent="0.35">
      <c r="A286">
        <v>285</v>
      </c>
      <c r="B286" s="1">
        <v>40556</v>
      </c>
      <c r="C286">
        <v>1</v>
      </c>
      <c r="D286">
        <v>0</v>
      </c>
      <c r="E286">
        <v>1</v>
      </c>
      <c r="F286">
        <v>7</v>
      </c>
      <c r="G286">
        <v>0</v>
      </c>
      <c r="H286">
        <v>4</v>
      </c>
      <c r="I286">
        <v>1</v>
      </c>
      <c r="J286">
        <v>0.12</v>
      </c>
      <c r="K286">
        <v>285</v>
      </c>
      <c r="L286">
        <v>0.1515</v>
      </c>
      <c r="M286">
        <v>0.54</v>
      </c>
      <c r="N286">
        <v>0.1343</v>
      </c>
      <c r="O286">
        <v>0</v>
      </c>
      <c r="P286">
        <v>72</v>
      </c>
      <c r="Q286">
        <v>72</v>
      </c>
    </row>
    <row r="287" spans="1:17" x14ac:dyDescent="0.35">
      <c r="A287">
        <v>286</v>
      </c>
      <c r="B287" s="1">
        <v>40556</v>
      </c>
      <c r="C287">
        <v>1</v>
      </c>
      <c r="D287">
        <v>0</v>
      </c>
      <c r="E287">
        <v>1</v>
      </c>
      <c r="F287">
        <v>8</v>
      </c>
      <c r="G287">
        <v>0</v>
      </c>
      <c r="H287">
        <v>4</v>
      </c>
      <c r="I287">
        <v>1</v>
      </c>
      <c r="J287">
        <v>0.14000000000000001</v>
      </c>
      <c r="K287">
        <v>286</v>
      </c>
      <c r="L287">
        <v>0.13639999999999999</v>
      </c>
      <c r="M287">
        <v>0.5</v>
      </c>
      <c r="N287">
        <v>0.19400000000000001</v>
      </c>
      <c r="O287">
        <v>5</v>
      </c>
      <c r="P287">
        <v>197</v>
      </c>
      <c r="Q287">
        <v>202</v>
      </c>
    </row>
    <row r="288" spans="1:17" x14ac:dyDescent="0.35">
      <c r="A288">
        <v>287</v>
      </c>
      <c r="B288" s="1">
        <v>40556</v>
      </c>
      <c r="C288">
        <v>1</v>
      </c>
      <c r="D288">
        <v>0</v>
      </c>
      <c r="E288">
        <v>1</v>
      </c>
      <c r="F288">
        <v>9</v>
      </c>
      <c r="G288">
        <v>0</v>
      </c>
      <c r="H288">
        <v>4</v>
      </c>
      <c r="I288">
        <v>1</v>
      </c>
      <c r="J288">
        <v>0.14000000000000001</v>
      </c>
      <c r="K288">
        <v>287</v>
      </c>
      <c r="L288">
        <v>0.1212</v>
      </c>
      <c r="M288">
        <v>0.5</v>
      </c>
      <c r="N288">
        <v>0.32840000000000003</v>
      </c>
      <c r="O288">
        <v>2</v>
      </c>
      <c r="P288">
        <v>137</v>
      </c>
      <c r="Q288">
        <v>139</v>
      </c>
    </row>
    <row r="289" spans="1:17" x14ac:dyDescent="0.35">
      <c r="A289">
        <v>288</v>
      </c>
      <c r="B289" s="1">
        <v>40556</v>
      </c>
      <c r="C289">
        <v>1</v>
      </c>
      <c r="D289">
        <v>0</v>
      </c>
      <c r="E289">
        <v>1</v>
      </c>
      <c r="F289">
        <v>10</v>
      </c>
      <c r="G289">
        <v>0</v>
      </c>
      <c r="H289">
        <v>4</v>
      </c>
      <c r="I289">
        <v>2</v>
      </c>
      <c r="J289">
        <v>0.16</v>
      </c>
      <c r="K289">
        <v>288</v>
      </c>
      <c r="L289">
        <v>0.13639999999999999</v>
      </c>
      <c r="M289">
        <v>0.5</v>
      </c>
      <c r="N289">
        <v>0.35820000000000002</v>
      </c>
      <c r="O289">
        <v>2</v>
      </c>
      <c r="P289">
        <v>36</v>
      </c>
      <c r="Q289">
        <v>38</v>
      </c>
    </row>
    <row r="290" spans="1:17" x14ac:dyDescent="0.35">
      <c r="A290">
        <v>289</v>
      </c>
      <c r="B290" s="1">
        <v>40556</v>
      </c>
      <c r="C290">
        <v>1</v>
      </c>
      <c r="D290">
        <v>0</v>
      </c>
      <c r="E290">
        <v>1</v>
      </c>
      <c r="F290">
        <v>11</v>
      </c>
      <c r="G290">
        <v>0</v>
      </c>
      <c r="H290">
        <v>4</v>
      </c>
      <c r="I290">
        <v>2</v>
      </c>
      <c r="J290">
        <v>0.2</v>
      </c>
      <c r="K290">
        <v>289</v>
      </c>
      <c r="L290">
        <v>0.16669999999999999</v>
      </c>
      <c r="M290">
        <v>0.44</v>
      </c>
      <c r="N290">
        <v>0.44779999999999998</v>
      </c>
      <c r="O290">
        <v>4</v>
      </c>
      <c r="P290">
        <v>33</v>
      </c>
      <c r="Q290">
        <v>37</v>
      </c>
    </row>
    <row r="291" spans="1:17" x14ac:dyDescent="0.35">
      <c r="A291">
        <v>290</v>
      </c>
      <c r="B291" s="1">
        <v>40556</v>
      </c>
      <c r="C291">
        <v>1</v>
      </c>
      <c r="D291">
        <v>0</v>
      </c>
      <c r="E291">
        <v>1</v>
      </c>
      <c r="F291">
        <v>12</v>
      </c>
      <c r="G291">
        <v>0</v>
      </c>
      <c r="H291">
        <v>4</v>
      </c>
      <c r="I291">
        <v>1</v>
      </c>
      <c r="J291">
        <v>0.2</v>
      </c>
      <c r="K291">
        <v>290</v>
      </c>
      <c r="L291">
        <v>0.16669999999999999</v>
      </c>
      <c r="M291">
        <v>0.44</v>
      </c>
      <c r="N291">
        <v>0.41789999999999999</v>
      </c>
      <c r="O291">
        <v>3</v>
      </c>
      <c r="P291">
        <v>49</v>
      </c>
      <c r="Q291">
        <v>52</v>
      </c>
    </row>
    <row r="292" spans="1:17" x14ac:dyDescent="0.35">
      <c r="A292">
        <v>291</v>
      </c>
      <c r="B292" s="1">
        <v>40556</v>
      </c>
      <c r="C292">
        <v>1</v>
      </c>
      <c r="D292">
        <v>0</v>
      </c>
      <c r="E292">
        <v>1</v>
      </c>
      <c r="F292">
        <v>13</v>
      </c>
      <c r="G292">
        <v>0</v>
      </c>
      <c r="H292">
        <v>4</v>
      </c>
      <c r="I292">
        <v>1</v>
      </c>
      <c r="J292">
        <v>0.22</v>
      </c>
      <c r="K292">
        <v>291</v>
      </c>
      <c r="L292">
        <v>0.19700000000000001</v>
      </c>
      <c r="M292">
        <v>0.41</v>
      </c>
      <c r="N292">
        <v>0.44779999999999998</v>
      </c>
      <c r="O292">
        <v>2</v>
      </c>
      <c r="P292">
        <v>81</v>
      </c>
      <c r="Q292">
        <v>83</v>
      </c>
    </row>
    <row r="293" spans="1:17" x14ac:dyDescent="0.35">
      <c r="A293">
        <v>292</v>
      </c>
      <c r="B293" s="1">
        <v>40556</v>
      </c>
      <c r="C293">
        <v>1</v>
      </c>
      <c r="D293">
        <v>0</v>
      </c>
      <c r="E293">
        <v>1</v>
      </c>
      <c r="F293">
        <v>14</v>
      </c>
      <c r="G293">
        <v>0</v>
      </c>
      <c r="H293">
        <v>4</v>
      </c>
      <c r="I293">
        <v>1</v>
      </c>
      <c r="J293">
        <v>0.22</v>
      </c>
      <c r="K293">
        <v>292</v>
      </c>
      <c r="L293">
        <v>0.19700000000000001</v>
      </c>
      <c r="M293">
        <v>0.41</v>
      </c>
      <c r="N293">
        <v>0.3881</v>
      </c>
      <c r="O293">
        <v>3</v>
      </c>
      <c r="P293">
        <v>39</v>
      </c>
      <c r="Q293">
        <v>42</v>
      </c>
    </row>
    <row r="294" spans="1:17" x14ac:dyDescent="0.35">
      <c r="A294">
        <v>293</v>
      </c>
      <c r="B294" s="1">
        <v>40556</v>
      </c>
      <c r="C294">
        <v>1</v>
      </c>
      <c r="D294">
        <v>0</v>
      </c>
      <c r="E294">
        <v>1</v>
      </c>
      <c r="F294">
        <v>15</v>
      </c>
      <c r="G294">
        <v>0</v>
      </c>
      <c r="H294">
        <v>4</v>
      </c>
      <c r="I294">
        <v>1</v>
      </c>
      <c r="J294">
        <v>0.24</v>
      </c>
      <c r="K294">
        <v>293</v>
      </c>
      <c r="L294">
        <v>0.21210000000000001</v>
      </c>
      <c r="M294">
        <v>0.38</v>
      </c>
      <c r="N294">
        <v>0.29849999999999999</v>
      </c>
      <c r="O294">
        <v>5</v>
      </c>
      <c r="P294">
        <v>55</v>
      </c>
      <c r="Q294">
        <v>60</v>
      </c>
    </row>
    <row r="295" spans="1:17" x14ac:dyDescent="0.35">
      <c r="A295">
        <v>294</v>
      </c>
      <c r="B295" s="1">
        <v>40556</v>
      </c>
      <c r="C295">
        <v>1</v>
      </c>
      <c r="D295">
        <v>0</v>
      </c>
      <c r="E295">
        <v>1</v>
      </c>
      <c r="F295">
        <v>16</v>
      </c>
      <c r="G295">
        <v>0</v>
      </c>
      <c r="H295">
        <v>4</v>
      </c>
      <c r="I295">
        <v>1</v>
      </c>
      <c r="J295">
        <v>0.24</v>
      </c>
      <c r="K295">
        <v>294</v>
      </c>
      <c r="L295">
        <v>0.21210000000000001</v>
      </c>
      <c r="M295">
        <v>0.38</v>
      </c>
      <c r="N295">
        <v>0.35820000000000002</v>
      </c>
      <c r="O295">
        <v>2</v>
      </c>
      <c r="P295">
        <v>76</v>
      </c>
      <c r="Q295">
        <v>78</v>
      </c>
    </row>
    <row r="296" spans="1:17" x14ac:dyDescent="0.35">
      <c r="A296">
        <v>295</v>
      </c>
      <c r="B296" s="1">
        <v>40556</v>
      </c>
      <c r="C296">
        <v>1</v>
      </c>
      <c r="D296">
        <v>0</v>
      </c>
      <c r="E296">
        <v>1</v>
      </c>
      <c r="F296">
        <v>17</v>
      </c>
      <c r="G296">
        <v>0</v>
      </c>
      <c r="H296">
        <v>4</v>
      </c>
      <c r="I296">
        <v>1</v>
      </c>
      <c r="J296">
        <v>0.2</v>
      </c>
      <c r="K296">
        <v>295</v>
      </c>
      <c r="L296">
        <v>0.18179999999999999</v>
      </c>
      <c r="M296">
        <v>0.4</v>
      </c>
      <c r="N296">
        <v>0.28360000000000002</v>
      </c>
      <c r="O296">
        <v>4</v>
      </c>
      <c r="P296">
        <v>158</v>
      </c>
      <c r="Q296">
        <v>162</v>
      </c>
    </row>
    <row r="297" spans="1:17" x14ac:dyDescent="0.35">
      <c r="A297">
        <v>296</v>
      </c>
      <c r="B297" s="1">
        <v>40556</v>
      </c>
      <c r="C297">
        <v>1</v>
      </c>
      <c r="D297">
        <v>0</v>
      </c>
      <c r="E297">
        <v>1</v>
      </c>
      <c r="F297">
        <v>18</v>
      </c>
      <c r="G297">
        <v>0</v>
      </c>
      <c r="H297">
        <v>4</v>
      </c>
      <c r="I297">
        <v>1</v>
      </c>
      <c r="J297">
        <v>0.2</v>
      </c>
      <c r="K297">
        <v>296</v>
      </c>
      <c r="L297">
        <v>0.18179999999999999</v>
      </c>
      <c r="M297">
        <v>0.4</v>
      </c>
      <c r="N297">
        <v>0.32840000000000003</v>
      </c>
      <c r="O297">
        <v>3</v>
      </c>
      <c r="P297">
        <v>141</v>
      </c>
      <c r="Q297">
        <v>144</v>
      </c>
    </row>
    <row r="298" spans="1:17" x14ac:dyDescent="0.35">
      <c r="A298">
        <v>297</v>
      </c>
      <c r="B298" s="1">
        <v>40556</v>
      </c>
      <c r="C298">
        <v>1</v>
      </c>
      <c r="D298">
        <v>0</v>
      </c>
      <c r="E298">
        <v>1</v>
      </c>
      <c r="F298">
        <v>19</v>
      </c>
      <c r="G298">
        <v>0</v>
      </c>
      <c r="H298">
        <v>4</v>
      </c>
      <c r="I298">
        <v>1</v>
      </c>
      <c r="J298">
        <v>0.16</v>
      </c>
      <c r="K298">
        <v>297</v>
      </c>
      <c r="L298">
        <v>0.1515</v>
      </c>
      <c r="M298">
        <v>0.47</v>
      </c>
      <c r="N298">
        <v>0.25369999999999998</v>
      </c>
      <c r="O298">
        <v>1</v>
      </c>
      <c r="P298">
        <v>98</v>
      </c>
      <c r="Q298">
        <v>99</v>
      </c>
    </row>
    <row r="299" spans="1:17" x14ac:dyDescent="0.35">
      <c r="A299">
        <v>298</v>
      </c>
      <c r="B299" s="1">
        <v>40556</v>
      </c>
      <c r="C299">
        <v>1</v>
      </c>
      <c r="D299">
        <v>0</v>
      </c>
      <c r="E299">
        <v>1</v>
      </c>
      <c r="F299">
        <v>20</v>
      </c>
      <c r="G299">
        <v>0</v>
      </c>
      <c r="H299">
        <v>4</v>
      </c>
      <c r="I299">
        <v>1</v>
      </c>
      <c r="J299">
        <v>0.16</v>
      </c>
      <c r="K299">
        <v>298</v>
      </c>
      <c r="L299">
        <v>0.1515</v>
      </c>
      <c r="M299">
        <v>0.47</v>
      </c>
      <c r="N299">
        <v>0.22389999999999999</v>
      </c>
      <c r="O299">
        <v>0</v>
      </c>
      <c r="P299">
        <v>64</v>
      </c>
      <c r="Q299">
        <v>64</v>
      </c>
    </row>
    <row r="300" spans="1:17" x14ac:dyDescent="0.35">
      <c r="A300">
        <v>299</v>
      </c>
      <c r="B300" s="1">
        <v>40556</v>
      </c>
      <c r="C300">
        <v>1</v>
      </c>
      <c r="D300">
        <v>0</v>
      </c>
      <c r="E300">
        <v>1</v>
      </c>
      <c r="F300">
        <v>21</v>
      </c>
      <c r="G300">
        <v>0</v>
      </c>
      <c r="H300">
        <v>4</v>
      </c>
      <c r="I300">
        <v>1</v>
      </c>
      <c r="J300">
        <v>0.14000000000000001</v>
      </c>
      <c r="K300">
        <v>299</v>
      </c>
      <c r="L300">
        <v>0.1212</v>
      </c>
      <c r="M300">
        <v>0.46</v>
      </c>
      <c r="N300">
        <v>0.29849999999999999</v>
      </c>
      <c r="O300">
        <v>0</v>
      </c>
      <c r="P300">
        <v>40</v>
      </c>
      <c r="Q300">
        <v>40</v>
      </c>
    </row>
    <row r="301" spans="1:17" x14ac:dyDescent="0.35">
      <c r="A301">
        <v>300</v>
      </c>
      <c r="B301" s="1">
        <v>40556</v>
      </c>
      <c r="C301">
        <v>1</v>
      </c>
      <c r="D301">
        <v>0</v>
      </c>
      <c r="E301">
        <v>1</v>
      </c>
      <c r="F301">
        <v>22</v>
      </c>
      <c r="G301">
        <v>0</v>
      </c>
      <c r="H301">
        <v>4</v>
      </c>
      <c r="I301">
        <v>1</v>
      </c>
      <c r="J301">
        <v>0.14000000000000001</v>
      </c>
      <c r="K301">
        <v>300</v>
      </c>
      <c r="L301">
        <v>0.1212</v>
      </c>
      <c r="M301">
        <v>0.46</v>
      </c>
      <c r="N301">
        <v>0.32840000000000003</v>
      </c>
      <c r="O301">
        <v>0</v>
      </c>
      <c r="P301">
        <v>30</v>
      </c>
      <c r="Q301">
        <v>30</v>
      </c>
    </row>
    <row r="302" spans="1:17" x14ac:dyDescent="0.35">
      <c r="A302">
        <v>301</v>
      </c>
      <c r="B302" s="1">
        <v>40556</v>
      </c>
      <c r="C302">
        <v>1</v>
      </c>
      <c r="D302">
        <v>0</v>
      </c>
      <c r="E302">
        <v>1</v>
      </c>
      <c r="F302">
        <v>23</v>
      </c>
      <c r="G302">
        <v>0</v>
      </c>
      <c r="H302">
        <v>4</v>
      </c>
      <c r="I302">
        <v>1</v>
      </c>
      <c r="J302">
        <v>0.12</v>
      </c>
      <c r="K302">
        <v>301</v>
      </c>
      <c r="L302">
        <v>0.13639999999999999</v>
      </c>
      <c r="M302">
        <v>0.5</v>
      </c>
      <c r="N302">
        <v>0.19400000000000001</v>
      </c>
      <c r="O302">
        <v>1</v>
      </c>
      <c r="P302">
        <v>14</v>
      </c>
      <c r="Q302">
        <v>15</v>
      </c>
    </row>
    <row r="303" spans="1:17" x14ac:dyDescent="0.35">
      <c r="A303">
        <v>302</v>
      </c>
      <c r="B303" s="1">
        <v>40557</v>
      </c>
      <c r="C303">
        <v>1</v>
      </c>
      <c r="D303">
        <v>0</v>
      </c>
      <c r="E303">
        <v>1</v>
      </c>
      <c r="F303">
        <v>0</v>
      </c>
      <c r="G303">
        <v>0</v>
      </c>
      <c r="H303">
        <v>5</v>
      </c>
      <c r="I303">
        <v>1</v>
      </c>
      <c r="J303">
        <v>0.12</v>
      </c>
      <c r="K303">
        <v>302</v>
      </c>
      <c r="L303">
        <v>0.13639999999999999</v>
      </c>
      <c r="M303">
        <v>0.5</v>
      </c>
      <c r="N303">
        <v>0.19400000000000001</v>
      </c>
      <c r="O303">
        <v>0</v>
      </c>
      <c r="P303">
        <v>14</v>
      </c>
      <c r="Q303">
        <v>14</v>
      </c>
    </row>
    <row r="304" spans="1:17" x14ac:dyDescent="0.35">
      <c r="A304">
        <v>303</v>
      </c>
      <c r="B304" s="1">
        <v>40557</v>
      </c>
      <c r="C304">
        <v>1</v>
      </c>
      <c r="D304">
        <v>0</v>
      </c>
      <c r="E304">
        <v>1</v>
      </c>
      <c r="F304">
        <v>1</v>
      </c>
      <c r="G304">
        <v>0</v>
      </c>
      <c r="H304">
        <v>5</v>
      </c>
      <c r="I304">
        <v>1</v>
      </c>
      <c r="J304">
        <v>0.1</v>
      </c>
      <c r="K304">
        <v>303</v>
      </c>
      <c r="L304">
        <v>0.1212</v>
      </c>
      <c r="M304">
        <v>0.54</v>
      </c>
      <c r="N304">
        <v>0.16420000000000001</v>
      </c>
      <c r="O304">
        <v>0</v>
      </c>
      <c r="P304">
        <v>5</v>
      </c>
      <c r="Q304">
        <v>5</v>
      </c>
    </row>
    <row r="305" spans="1:17" x14ac:dyDescent="0.35">
      <c r="A305">
        <v>304</v>
      </c>
      <c r="B305" s="1">
        <v>40557</v>
      </c>
      <c r="C305">
        <v>1</v>
      </c>
      <c r="D305">
        <v>0</v>
      </c>
      <c r="E305">
        <v>1</v>
      </c>
      <c r="F305">
        <v>2</v>
      </c>
      <c r="G305">
        <v>0</v>
      </c>
      <c r="H305">
        <v>5</v>
      </c>
      <c r="I305">
        <v>1</v>
      </c>
      <c r="J305">
        <v>0.1</v>
      </c>
      <c r="K305">
        <v>304</v>
      </c>
      <c r="L305">
        <v>0.1212</v>
      </c>
      <c r="M305">
        <v>0.54</v>
      </c>
      <c r="N305">
        <v>0.1343</v>
      </c>
      <c r="O305">
        <v>0</v>
      </c>
      <c r="P305">
        <v>1</v>
      </c>
      <c r="Q305">
        <v>1</v>
      </c>
    </row>
    <row r="306" spans="1:17" x14ac:dyDescent="0.35">
      <c r="A306">
        <v>305</v>
      </c>
      <c r="B306" s="1">
        <v>40557</v>
      </c>
      <c r="C306">
        <v>1</v>
      </c>
      <c r="D306">
        <v>0</v>
      </c>
      <c r="E306">
        <v>1</v>
      </c>
      <c r="F306">
        <v>3</v>
      </c>
      <c r="G306">
        <v>0</v>
      </c>
      <c r="H306">
        <v>5</v>
      </c>
      <c r="I306">
        <v>1</v>
      </c>
      <c r="J306">
        <v>0.1</v>
      </c>
      <c r="K306">
        <v>305</v>
      </c>
      <c r="L306">
        <v>0.13639999999999999</v>
      </c>
      <c r="M306">
        <v>0.54</v>
      </c>
      <c r="N306">
        <v>0.1045</v>
      </c>
      <c r="O306">
        <v>0</v>
      </c>
      <c r="P306">
        <v>1</v>
      </c>
      <c r="Q306">
        <v>1</v>
      </c>
    </row>
    <row r="307" spans="1:17" x14ac:dyDescent="0.35">
      <c r="A307">
        <v>306</v>
      </c>
      <c r="B307" s="1">
        <v>40557</v>
      </c>
      <c r="C307">
        <v>1</v>
      </c>
      <c r="D307">
        <v>0</v>
      </c>
      <c r="E307">
        <v>1</v>
      </c>
      <c r="F307">
        <v>5</v>
      </c>
      <c r="G307">
        <v>0</v>
      </c>
      <c r="H307">
        <v>5</v>
      </c>
      <c r="I307">
        <v>1</v>
      </c>
      <c r="J307">
        <v>0.1</v>
      </c>
      <c r="K307">
        <v>306</v>
      </c>
      <c r="L307">
        <v>0.13639999999999999</v>
      </c>
      <c r="M307">
        <v>0.54</v>
      </c>
      <c r="N307">
        <v>8.9599999999999999E-2</v>
      </c>
      <c r="O307">
        <v>0</v>
      </c>
      <c r="P307">
        <v>8</v>
      </c>
      <c r="Q307">
        <v>8</v>
      </c>
    </row>
    <row r="308" spans="1:17" x14ac:dyDescent="0.35">
      <c r="A308">
        <v>307</v>
      </c>
      <c r="B308" s="1">
        <v>40557</v>
      </c>
      <c r="C308">
        <v>1</v>
      </c>
      <c r="D308">
        <v>0</v>
      </c>
      <c r="E308">
        <v>1</v>
      </c>
      <c r="F308">
        <v>6</v>
      </c>
      <c r="G308">
        <v>0</v>
      </c>
      <c r="H308">
        <v>5</v>
      </c>
      <c r="I308">
        <v>1</v>
      </c>
      <c r="J308">
        <v>0.1</v>
      </c>
      <c r="K308">
        <v>307</v>
      </c>
      <c r="L308">
        <v>0.18179999999999999</v>
      </c>
      <c r="M308">
        <v>0.54</v>
      </c>
      <c r="N308">
        <v>0</v>
      </c>
      <c r="O308">
        <v>0</v>
      </c>
      <c r="P308">
        <v>17</v>
      </c>
      <c r="Q308">
        <v>17</v>
      </c>
    </row>
    <row r="309" spans="1:17" x14ac:dyDescent="0.35">
      <c r="A309">
        <v>308</v>
      </c>
      <c r="B309" s="1">
        <v>40557</v>
      </c>
      <c r="C309">
        <v>1</v>
      </c>
      <c r="D309">
        <v>0</v>
      </c>
      <c r="E309">
        <v>1</v>
      </c>
      <c r="F309">
        <v>7</v>
      </c>
      <c r="G309">
        <v>0</v>
      </c>
      <c r="H309">
        <v>5</v>
      </c>
      <c r="I309">
        <v>1</v>
      </c>
      <c r="J309">
        <v>0.1</v>
      </c>
      <c r="K309">
        <v>308</v>
      </c>
      <c r="L309">
        <v>0.1212</v>
      </c>
      <c r="M309">
        <v>0.74</v>
      </c>
      <c r="N309">
        <v>0.16420000000000001</v>
      </c>
      <c r="O309">
        <v>0</v>
      </c>
      <c r="P309">
        <v>70</v>
      </c>
      <c r="Q309">
        <v>70</v>
      </c>
    </row>
    <row r="310" spans="1:17" x14ac:dyDescent="0.35">
      <c r="A310">
        <v>309</v>
      </c>
      <c r="B310" s="1">
        <v>40557</v>
      </c>
      <c r="C310">
        <v>1</v>
      </c>
      <c r="D310">
        <v>0</v>
      </c>
      <c r="E310">
        <v>1</v>
      </c>
      <c r="F310">
        <v>8</v>
      </c>
      <c r="G310">
        <v>0</v>
      </c>
      <c r="H310">
        <v>5</v>
      </c>
      <c r="I310">
        <v>1</v>
      </c>
      <c r="J310">
        <v>0.12</v>
      </c>
      <c r="K310">
        <v>309</v>
      </c>
      <c r="L310">
        <v>0.16669999999999999</v>
      </c>
      <c r="M310">
        <v>0.68</v>
      </c>
      <c r="N310">
        <v>0</v>
      </c>
      <c r="O310">
        <v>2</v>
      </c>
      <c r="P310">
        <v>156</v>
      </c>
      <c r="Q310">
        <v>158</v>
      </c>
    </row>
    <row r="311" spans="1:17" x14ac:dyDescent="0.35">
      <c r="A311">
        <v>310</v>
      </c>
      <c r="B311" s="1">
        <v>40557</v>
      </c>
      <c r="C311">
        <v>1</v>
      </c>
      <c r="D311">
        <v>0</v>
      </c>
      <c r="E311">
        <v>1</v>
      </c>
      <c r="F311">
        <v>9</v>
      </c>
      <c r="G311">
        <v>0</v>
      </c>
      <c r="H311">
        <v>5</v>
      </c>
      <c r="I311">
        <v>1</v>
      </c>
      <c r="J311">
        <v>0.14000000000000001</v>
      </c>
      <c r="K311">
        <v>310</v>
      </c>
      <c r="L311">
        <v>0.1515</v>
      </c>
      <c r="M311">
        <v>0.69</v>
      </c>
      <c r="N311">
        <v>0.1343</v>
      </c>
      <c r="O311">
        <v>0</v>
      </c>
      <c r="P311">
        <v>117</v>
      </c>
      <c r="Q311">
        <v>117</v>
      </c>
    </row>
    <row r="312" spans="1:17" x14ac:dyDescent="0.35">
      <c r="A312">
        <v>311</v>
      </c>
      <c r="B312" s="1">
        <v>40557</v>
      </c>
      <c r="C312">
        <v>1</v>
      </c>
      <c r="D312">
        <v>0</v>
      </c>
      <c r="E312">
        <v>1</v>
      </c>
      <c r="F312">
        <v>10</v>
      </c>
      <c r="G312">
        <v>0</v>
      </c>
      <c r="H312">
        <v>5</v>
      </c>
      <c r="I312">
        <v>1</v>
      </c>
      <c r="J312">
        <v>0.18</v>
      </c>
      <c r="K312">
        <v>311</v>
      </c>
      <c r="L312">
        <v>0.18179999999999999</v>
      </c>
      <c r="M312">
        <v>0.55000000000000004</v>
      </c>
      <c r="N312">
        <v>0.19400000000000001</v>
      </c>
      <c r="O312">
        <v>4</v>
      </c>
      <c r="P312">
        <v>40</v>
      </c>
      <c r="Q312">
        <v>44</v>
      </c>
    </row>
    <row r="313" spans="1:17" x14ac:dyDescent="0.35">
      <c r="A313">
        <v>312</v>
      </c>
      <c r="B313" s="1">
        <v>40557</v>
      </c>
      <c r="C313">
        <v>1</v>
      </c>
      <c r="D313">
        <v>0</v>
      </c>
      <c r="E313">
        <v>1</v>
      </c>
      <c r="F313">
        <v>11</v>
      </c>
      <c r="G313">
        <v>0</v>
      </c>
      <c r="H313">
        <v>5</v>
      </c>
      <c r="I313">
        <v>1</v>
      </c>
      <c r="J313">
        <v>0.18</v>
      </c>
      <c r="K313">
        <v>312</v>
      </c>
      <c r="L313">
        <v>0.16669999999999999</v>
      </c>
      <c r="M313">
        <v>0.51</v>
      </c>
      <c r="N313">
        <v>0.28360000000000002</v>
      </c>
      <c r="O313">
        <v>6</v>
      </c>
      <c r="P313">
        <v>47</v>
      </c>
      <c r="Q313">
        <v>53</v>
      </c>
    </row>
    <row r="314" spans="1:17" x14ac:dyDescent="0.35">
      <c r="A314">
        <v>313</v>
      </c>
      <c r="B314" s="1">
        <v>40557</v>
      </c>
      <c r="C314">
        <v>1</v>
      </c>
      <c r="D314">
        <v>0</v>
      </c>
      <c r="E314">
        <v>1</v>
      </c>
      <c r="F314">
        <v>12</v>
      </c>
      <c r="G314">
        <v>0</v>
      </c>
      <c r="H314">
        <v>5</v>
      </c>
      <c r="I314">
        <v>1</v>
      </c>
      <c r="J314">
        <v>0.2</v>
      </c>
      <c r="K314">
        <v>313</v>
      </c>
      <c r="L314">
        <v>0.19700000000000001</v>
      </c>
      <c r="M314">
        <v>0.44</v>
      </c>
      <c r="N314">
        <v>0.25369999999999998</v>
      </c>
      <c r="O314">
        <v>2</v>
      </c>
      <c r="P314">
        <v>59</v>
      </c>
      <c r="Q314">
        <v>61</v>
      </c>
    </row>
    <row r="315" spans="1:17" x14ac:dyDescent="0.35">
      <c r="A315">
        <v>314</v>
      </c>
      <c r="B315" s="1">
        <v>40557</v>
      </c>
      <c r="C315">
        <v>1</v>
      </c>
      <c r="D315">
        <v>0</v>
      </c>
      <c r="E315">
        <v>1</v>
      </c>
      <c r="F315">
        <v>13</v>
      </c>
      <c r="G315">
        <v>0</v>
      </c>
      <c r="H315">
        <v>5</v>
      </c>
      <c r="I315">
        <v>1</v>
      </c>
      <c r="J315">
        <v>0.22</v>
      </c>
      <c r="K315">
        <v>314</v>
      </c>
      <c r="L315">
        <v>0.19700000000000001</v>
      </c>
      <c r="M315">
        <v>0.37</v>
      </c>
      <c r="N315">
        <v>0.3881</v>
      </c>
      <c r="O315">
        <v>4</v>
      </c>
      <c r="P315">
        <v>73</v>
      </c>
      <c r="Q315">
        <v>77</v>
      </c>
    </row>
    <row r="316" spans="1:17" x14ac:dyDescent="0.35">
      <c r="A316">
        <v>315</v>
      </c>
      <c r="B316" s="1">
        <v>40557</v>
      </c>
      <c r="C316">
        <v>1</v>
      </c>
      <c r="D316">
        <v>0</v>
      </c>
      <c r="E316">
        <v>1</v>
      </c>
      <c r="F316">
        <v>14</v>
      </c>
      <c r="G316">
        <v>0</v>
      </c>
      <c r="H316">
        <v>5</v>
      </c>
      <c r="I316">
        <v>1</v>
      </c>
      <c r="J316">
        <v>0.22</v>
      </c>
      <c r="K316">
        <v>315</v>
      </c>
      <c r="L316">
        <v>0.21210000000000001</v>
      </c>
      <c r="M316">
        <v>0.41</v>
      </c>
      <c r="N316">
        <v>0.28360000000000002</v>
      </c>
      <c r="O316">
        <v>5</v>
      </c>
      <c r="P316">
        <v>59</v>
      </c>
      <c r="Q316">
        <v>64</v>
      </c>
    </row>
    <row r="317" spans="1:17" x14ac:dyDescent="0.35">
      <c r="A317">
        <v>316</v>
      </c>
      <c r="B317" s="1">
        <v>40557</v>
      </c>
      <c r="C317">
        <v>1</v>
      </c>
      <c r="D317">
        <v>0</v>
      </c>
      <c r="E317">
        <v>1</v>
      </c>
      <c r="F317">
        <v>15</v>
      </c>
      <c r="G317">
        <v>0</v>
      </c>
      <c r="H317">
        <v>5</v>
      </c>
      <c r="I317">
        <v>1</v>
      </c>
      <c r="J317">
        <v>0.24</v>
      </c>
      <c r="K317">
        <v>316</v>
      </c>
      <c r="L317">
        <v>0.2424</v>
      </c>
      <c r="M317">
        <v>0.38</v>
      </c>
      <c r="N317">
        <v>0.16420000000000001</v>
      </c>
      <c r="O317">
        <v>9</v>
      </c>
      <c r="P317">
        <v>59</v>
      </c>
      <c r="Q317">
        <v>68</v>
      </c>
    </row>
    <row r="318" spans="1:17" x14ac:dyDescent="0.35">
      <c r="A318">
        <v>317</v>
      </c>
      <c r="B318" s="1">
        <v>40557</v>
      </c>
      <c r="C318">
        <v>1</v>
      </c>
      <c r="D318">
        <v>0</v>
      </c>
      <c r="E318">
        <v>1</v>
      </c>
      <c r="F318">
        <v>16</v>
      </c>
      <c r="G318">
        <v>0</v>
      </c>
      <c r="H318">
        <v>5</v>
      </c>
      <c r="I318">
        <v>1</v>
      </c>
      <c r="J318">
        <v>0.22</v>
      </c>
      <c r="K318">
        <v>317</v>
      </c>
      <c r="L318">
        <v>0.2424</v>
      </c>
      <c r="M318">
        <v>0.41</v>
      </c>
      <c r="N318">
        <v>0.1045</v>
      </c>
      <c r="O318">
        <v>3</v>
      </c>
      <c r="P318">
        <v>87</v>
      </c>
      <c r="Q318">
        <v>90</v>
      </c>
    </row>
    <row r="319" spans="1:17" x14ac:dyDescent="0.35">
      <c r="A319">
        <v>318</v>
      </c>
      <c r="B319" s="1">
        <v>40557</v>
      </c>
      <c r="C319">
        <v>1</v>
      </c>
      <c r="D319">
        <v>0</v>
      </c>
      <c r="E319">
        <v>1</v>
      </c>
      <c r="F319">
        <v>17</v>
      </c>
      <c r="G319">
        <v>0</v>
      </c>
      <c r="H319">
        <v>5</v>
      </c>
      <c r="I319">
        <v>1</v>
      </c>
      <c r="J319">
        <v>0.22</v>
      </c>
      <c r="K319">
        <v>318</v>
      </c>
      <c r="L319">
        <v>0.2273</v>
      </c>
      <c r="M319">
        <v>0.41</v>
      </c>
      <c r="N319">
        <v>0.16420000000000001</v>
      </c>
      <c r="O319">
        <v>4</v>
      </c>
      <c r="P319">
        <v>155</v>
      </c>
      <c r="Q319">
        <v>159</v>
      </c>
    </row>
    <row r="320" spans="1:17" x14ac:dyDescent="0.35">
      <c r="A320">
        <v>319</v>
      </c>
      <c r="B320" s="1">
        <v>40557</v>
      </c>
      <c r="C320">
        <v>1</v>
      </c>
      <c r="D320">
        <v>0</v>
      </c>
      <c r="E320">
        <v>1</v>
      </c>
      <c r="F320">
        <v>18</v>
      </c>
      <c r="G320">
        <v>0</v>
      </c>
      <c r="H320">
        <v>5</v>
      </c>
      <c r="I320">
        <v>1</v>
      </c>
      <c r="J320">
        <v>0.2</v>
      </c>
      <c r="K320">
        <v>319</v>
      </c>
      <c r="L320">
        <v>0.2576</v>
      </c>
      <c r="M320">
        <v>0.47</v>
      </c>
      <c r="N320">
        <v>0</v>
      </c>
      <c r="O320">
        <v>5</v>
      </c>
      <c r="P320">
        <v>134</v>
      </c>
      <c r="Q320">
        <v>139</v>
      </c>
    </row>
    <row r="321" spans="1:17" x14ac:dyDescent="0.35">
      <c r="A321">
        <v>320</v>
      </c>
      <c r="B321" s="1">
        <v>40557</v>
      </c>
      <c r="C321">
        <v>1</v>
      </c>
      <c r="D321">
        <v>0</v>
      </c>
      <c r="E321">
        <v>1</v>
      </c>
      <c r="F321">
        <v>19</v>
      </c>
      <c r="G321">
        <v>0</v>
      </c>
      <c r="H321">
        <v>5</v>
      </c>
      <c r="I321">
        <v>1</v>
      </c>
      <c r="J321">
        <v>0.16</v>
      </c>
      <c r="K321">
        <v>320</v>
      </c>
      <c r="L321">
        <v>0.19700000000000001</v>
      </c>
      <c r="M321">
        <v>0.59</v>
      </c>
      <c r="N321">
        <v>8.9599999999999999E-2</v>
      </c>
      <c r="O321">
        <v>3</v>
      </c>
      <c r="P321">
        <v>89</v>
      </c>
      <c r="Q321">
        <v>92</v>
      </c>
    </row>
    <row r="322" spans="1:17" x14ac:dyDescent="0.35">
      <c r="A322">
        <v>321</v>
      </c>
      <c r="B322" s="1">
        <v>40557</v>
      </c>
      <c r="C322">
        <v>1</v>
      </c>
      <c r="D322">
        <v>0</v>
      </c>
      <c r="E322">
        <v>1</v>
      </c>
      <c r="F322">
        <v>20</v>
      </c>
      <c r="G322">
        <v>0</v>
      </c>
      <c r="H322">
        <v>5</v>
      </c>
      <c r="I322">
        <v>1</v>
      </c>
      <c r="J322">
        <v>0.18</v>
      </c>
      <c r="K322">
        <v>321</v>
      </c>
      <c r="L322">
        <v>0.2424</v>
      </c>
      <c r="M322">
        <v>0.59</v>
      </c>
      <c r="N322">
        <v>0</v>
      </c>
      <c r="O322">
        <v>0</v>
      </c>
      <c r="P322">
        <v>68</v>
      </c>
      <c r="Q322">
        <v>68</v>
      </c>
    </row>
    <row r="323" spans="1:17" x14ac:dyDescent="0.35">
      <c r="A323">
        <v>322</v>
      </c>
      <c r="B323" s="1">
        <v>40557</v>
      </c>
      <c r="C323">
        <v>1</v>
      </c>
      <c r="D323">
        <v>0</v>
      </c>
      <c r="E323">
        <v>1</v>
      </c>
      <c r="F323">
        <v>21</v>
      </c>
      <c r="G323">
        <v>0</v>
      </c>
      <c r="H323">
        <v>5</v>
      </c>
      <c r="I323">
        <v>1</v>
      </c>
      <c r="J323">
        <v>0.16</v>
      </c>
      <c r="K323">
        <v>322</v>
      </c>
      <c r="L323">
        <v>0.2273</v>
      </c>
      <c r="M323">
        <v>0.69</v>
      </c>
      <c r="N323">
        <v>0</v>
      </c>
      <c r="O323">
        <v>4</v>
      </c>
      <c r="P323">
        <v>48</v>
      </c>
      <c r="Q323">
        <v>52</v>
      </c>
    </row>
    <row r="324" spans="1:17" x14ac:dyDescent="0.35">
      <c r="A324">
        <v>323</v>
      </c>
      <c r="B324" s="1">
        <v>40557</v>
      </c>
      <c r="C324">
        <v>1</v>
      </c>
      <c r="D324">
        <v>0</v>
      </c>
      <c r="E324">
        <v>1</v>
      </c>
      <c r="F324">
        <v>22</v>
      </c>
      <c r="G324">
        <v>0</v>
      </c>
      <c r="H324">
        <v>5</v>
      </c>
      <c r="I324">
        <v>2</v>
      </c>
      <c r="J324">
        <v>0.16</v>
      </c>
      <c r="K324">
        <v>323</v>
      </c>
      <c r="L324">
        <v>0.2273</v>
      </c>
      <c r="M324">
        <v>0.69</v>
      </c>
      <c r="N324">
        <v>0</v>
      </c>
      <c r="O324">
        <v>2</v>
      </c>
      <c r="P324">
        <v>34</v>
      </c>
      <c r="Q324">
        <v>36</v>
      </c>
    </row>
    <row r="325" spans="1:17" x14ac:dyDescent="0.35">
      <c r="A325">
        <v>324</v>
      </c>
      <c r="B325" s="1">
        <v>40557</v>
      </c>
      <c r="C325">
        <v>1</v>
      </c>
      <c r="D325">
        <v>0</v>
      </c>
      <c r="E325">
        <v>1</v>
      </c>
      <c r="F325">
        <v>23</v>
      </c>
      <c r="G325">
        <v>0</v>
      </c>
      <c r="H325">
        <v>5</v>
      </c>
      <c r="I325">
        <v>2</v>
      </c>
      <c r="J325">
        <v>0.18</v>
      </c>
      <c r="K325">
        <v>324</v>
      </c>
      <c r="L325">
        <v>0.2424</v>
      </c>
      <c r="M325">
        <v>0.55000000000000004</v>
      </c>
      <c r="N325">
        <v>0</v>
      </c>
      <c r="O325">
        <v>1</v>
      </c>
      <c r="P325">
        <v>26</v>
      </c>
      <c r="Q325">
        <v>27</v>
      </c>
    </row>
    <row r="326" spans="1:17" x14ac:dyDescent="0.35">
      <c r="A326">
        <v>325</v>
      </c>
      <c r="B326" s="1">
        <v>40558</v>
      </c>
      <c r="C326">
        <v>1</v>
      </c>
      <c r="D326">
        <v>0</v>
      </c>
      <c r="E326">
        <v>1</v>
      </c>
      <c r="F326">
        <v>0</v>
      </c>
      <c r="G326">
        <v>0</v>
      </c>
      <c r="H326">
        <v>6</v>
      </c>
      <c r="I326">
        <v>1</v>
      </c>
      <c r="J326">
        <v>0.18</v>
      </c>
      <c r="K326">
        <v>325</v>
      </c>
      <c r="L326">
        <v>0.2424</v>
      </c>
      <c r="M326">
        <v>0.55000000000000004</v>
      </c>
      <c r="N326">
        <v>0</v>
      </c>
      <c r="O326">
        <v>3</v>
      </c>
      <c r="P326">
        <v>25</v>
      </c>
      <c r="Q326">
        <v>28</v>
      </c>
    </row>
    <row r="327" spans="1:17" x14ac:dyDescent="0.35">
      <c r="A327">
        <v>326</v>
      </c>
      <c r="B327" s="1">
        <v>40558</v>
      </c>
      <c r="C327">
        <v>1</v>
      </c>
      <c r="D327">
        <v>0</v>
      </c>
      <c r="E327">
        <v>1</v>
      </c>
      <c r="F327">
        <v>1</v>
      </c>
      <c r="G327">
        <v>0</v>
      </c>
      <c r="H327">
        <v>6</v>
      </c>
      <c r="I327">
        <v>2</v>
      </c>
      <c r="J327">
        <v>0.16</v>
      </c>
      <c r="K327">
        <v>326</v>
      </c>
      <c r="L327">
        <v>0.19700000000000001</v>
      </c>
      <c r="M327">
        <v>0.59</v>
      </c>
      <c r="N327">
        <v>8.9599999999999999E-2</v>
      </c>
      <c r="O327">
        <v>2</v>
      </c>
      <c r="P327">
        <v>18</v>
      </c>
      <c r="Q327">
        <v>20</v>
      </c>
    </row>
    <row r="328" spans="1:17" x14ac:dyDescent="0.35">
      <c r="A328">
        <v>327</v>
      </c>
      <c r="B328" s="1">
        <v>40558</v>
      </c>
      <c r="C328">
        <v>1</v>
      </c>
      <c r="D328">
        <v>0</v>
      </c>
      <c r="E328">
        <v>1</v>
      </c>
      <c r="F328">
        <v>2</v>
      </c>
      <c r="G328">
        <v>0</v>
      </c>
      <c r="H328">
        <v>6</v>
      </c>
      <c r="I328">
        <v>2</v>
      </c>
      <c r="J328">
        <v>0.16</v>
      </c>
      <c r="K328">
        <v>327</v>
      </c>
      <c r="L328">
        <v>0.19700000000000001</v>
      </c>
      <c r="M328">
        <v>0.59</v>
      </c>
      <c r="N328">
        <v>8.9599999999999999E-2</v>
      </c>
      <c r="O328">
        <v>0</v>
      </c>
      <c r="P328">
        <v>12</v>
      </c>
      <c r="Q328">
        <v>12</v>
      </c>
    </row>
    <row r="329" spans="1:17" x14ac:dyDescent="0.35">
      <c r="A329">
        <v>328</v>
      </c>
      <c r="B329" s="1">
        <v>40558</v>
      </c>
      <c r="C329">
        <v>1</v>
      </c>
      <c r="D329">
        <v>0</v>
      </c>
      <c r="E329">
        <v>1</v>
      </c>
      <c r="F329">
        <v>3</v>
      </c>
      <c r="G329">
        <v>0</v>
      </c>
      <c r="H329">
        <v>6</v>
      </c>
      <c r="I329">
        <v>2</v>
      </c>
      <c r="J329">
        <v>0.16</v>
      </c>
      <c r="K329">
        <v>328</v>
      </c>
      <c r="L329">
        <v>0.2273</v>
      </c>
      <c r="M329">
        <v>0.59</v>
      </c>
      <c r="N329">
        <v>0</v>
      </c>
      <c r="O329">
        <v>1</v>
      </c>
      <c r="P329">
        <v>7</v>
      </c>
      <c r="Q329">
        <v>8</v>
      </c>
    </row>
    <row r="330" spans="1:17" x14ac:dyDescent="0.35">
      <c r="A330">
        <v>329</v>
      </c>
      <c r="B330" s="1">
        <v>40558</v>
      </c>
      <c r="C330">
        <v>1</v>
      </c>
      <c r="D330">
        <v>0</v>
      </c>
      <c r="E330">
        <v>1</v>
      </c>
      <c r="F330">
        <v>4</v>
      </c>
      <c r="G330">
        <v>0</v>
      </c>
      <c r="H330">
        <v>6</v>
      </c>
      <c r="I330">
        <v>2</v>
      </c>
      <c r="J330">
        <v>0.16</v>
      </c>
      <c r="K330">
        <v>329</v>
      </c>
      <c r="L330">
        <v>0.2273</v>
      </c>
      <c r="M330">
        <v>0.59</v>
      </c>
      <c r="N330">
        <v>0</v>
      </c>
      <c r="O330">
        <v>0</v>
      </c>
      <c r="P330">
        <v>5</v>
      </c>
      <c r="Q330">
        <v>5</v>
      </c>
    </row>
    <row r="331" spans="1:17" x14ac:dyDescent="0.35">
      <c r="A331">
        <v>330</v>
      </c>
      <c r="B331" s="1">
        <v>40558</v>
      </c>
      <c r="C331">
        <v>1</v>
      </c>
      <c r="D331">
        <v>0</v>
      </c>
      <c r="E331">
        <v>1</v>
      </c>
      <c r="F331">
        <v>5</v>
      </c>
      <c r="G331">
        <v>0</v>
      </c>
      <c r="H331">
        <v>6</v>
      </c>
      <c r="I331">
        <v>1</v>
      </c>
      <c r="J331">
        <v>0.16</v>
      </c>
      <c r="K331">
        <v>330</v>
      </c>
      <c r="L331">
        <v>0.2273</v>
      </c>
      <c r="M331">
        <v>0.59</v>
      </c>
      <c r="N331">
        <v>0</v>
      </c>
      <c r="O331">
        <v>0</v>
      </c>
      <c r="P331">
        <v>1</v>
      </c>
      <c r="Q331">
        <v>1</v>
      </c>
    </row>
    <row r="332" spans="1:17" x14ac:dyDescent="0.35">
      <c r="A332">
        <v>331</v>
      </c>
      <c r="B332" s="1">
        <v>40558</v>
      </c>
      <c r="C332">
        <v>1</v>
      </c>
      <c r="D332">
        <v>0</v>
      </c>
      <c r="E332">
        <v>1</v>
      </c>
      <c r="F332">
        <v>6</v>
      </c>
      <c r="G332">
        <v>0</v>
      </c>
      <c r="H332">
        <v>6</v>
      </c>
      <c r="I332">
        <v>1</v>
      </c>
      <c r="J332">
        <v>0.14000000000000001</v>
      </c>
      <c r="K332">
        <v>331</v>
      </c>
      <c r="L332">
        <v>0.16669999999999999</v>
      </c>
      <c r="M332">
        <v>0.63</v>
      </c>
      <c r="N332">
        <v>0.1045</v>
      </c>
      <c r="O332">
        <v>1</v>
      </c>
      <c r="P332">
        <v>2</v>
      </c>
      <c r="Q332">
        <v>3</v>
      </c>
    </row>
    <row r="333" spans="1:17" x14ac:dyDescent="0.35">
      <c r="A333">
        <v>332</v>
      </c>
      <c r="B333" s="1">
        <v>40558</v>
      </c>
      <c r="C333">
        <v>1</v>
      </c>
      <c r="D333">
        <v>0</v>
      </c>
      <c r="E333">
        <v>1</v>
      </c>
      <c r="F333">
        <v>7</v>
      </c>
      <c r="G333">
        <v>0</v>
      </c>
      <c r="H333">
        <v>6</v>
      </c>
      <c r="I333">
        <v>1</v>
      </c>
      <c r="J333">
        <v>0.14000000000000001</v>
      </c>
      <c r="K333">
        <v>332</v>
      </c>
      <c r="L333">
        <v>0.21210000000000001</v>
      </c>
      <c r="M333">
        <v>0.63</v>
      </c>
      <c r="N333">
        <v>0</v>
      </c>
      <c r="O333">
        <v>1</v>
      </c>
      <c r="P333">
        <v>9</v>
      </c>
      <c r="Q333">
        <v>10</v>
      </c>
    </row>
    <row r="334" spans="1:17" x14ac:dyDescent="0.35">
      <c r="A334">
        <v>333</v>
      </c>
      <c r="B334" s="1">
        <v>40558</v>
      </c>
      <c r="C334">
        <v>1</v>
      </c>
      <c r="D334">
        <v>0</v>
      </c>
      <c r="E334">
        <v>1</v>
      </c>
      <c r="F334">
        <v>8</v>
      </c>
      <c r="G334">
        <v>0</v>
      </c>
      <c r="H334">
        <v>6</v>
      </c>
      <c r="I334">
        <v>1</v>
      </c>
      <c r="J334">
        <v>0.14000000000000001</v>
      </c>
      <c r="K334">
        <v>333</v>
      </c>
      <c r="L334">
        <v>0.1515</v>
      </c>
      <c r="M334">
        <v>0.63</v>
      </c>
      <c r="N334">
        <v>0.1343</v>
      </c>
      <c r="O334">
        <v>1</v>
      </c>
      <c r="P334">
        <v>22</v>
      </c>
      <c r="Q334">
        <v>23</v>
      </c>
    </row>
    <row r="335" spans="1:17" x14ac:dyDescent="0.35">
      <c r="A335">
        <v>334</v>
      </c>
      <c r="B335" s="1">
        <v>40558</v>
      </c>
      <c r="C335">
        <v>1</v>
      </c>
      <c r="D335">
        <v>0</v>
      </c>
      <c r="E335">
        <v>1</v>
      </c>
      <c r="F335">
        <v>9</v>
      </c>
      <c r="G335">
        <v>0</v>
      </c>
      <c r="H335">
        <v>6</v>
      </c>
      <c r="I335">
        <v>1</v>
      </c>
      <c r="J335">
        <v>0.16</v>
      </c>
      <c r="K335">
        <v>334</v>
      </c>
      <c r="L335">
        <v>0.18179999999999999</v>
      </c>
      <c r="M335">
        <v>0.64</v>
      </c>
      <c r="N335">
        <v>0.1343</v>
      </c>
      <c r="O335">
        <v>2</v>
      </c>
      <c r="P335">
        <v>31</v>
      </c>
      <c r="Q335">
        <v>33</v>
      </c>
    </row>
    <row r="336" spans="1:17" x14ac:dyDescent="0.35">
      <c r="A336">
        <v>335</v>
      </c>
      <c r="B336" s="1">
        <v>40558</v>
      </c>
      <c r="C336">
        <v>1</v>
      </c>
      <c r="D336">
        <v>0</v>
      </c>
      <c r="E336">
        <v>1</v>
      </c>
      <c r="F336">
        <v>10</v>
      </c>
      <c r="G336">
        <v>0</v>
      </c>
      <c r="H336">
        <v>6</v>
      </c>
      <c r="I336">
        <v>1</v>
      </c>
      <c r="J336">
        <v>0.18</v>
      </c>
      <c r="K336">
        <v>335</v>
      </c>
      <c r="L336">
        <v>0.19700000000000001</v>
      </c>
      <c r="M336">
        <v>0.59</v>
      </c>
      <c r="N336">
        <v>0.16420000000000001</v>
      </c>
      <c r="O336">
        <v>2</v>
      </c>
      <c r="P336">
        <v>57</v>
      </c>
      <c r="Q336">
        <v>59</v>
      </c>
    </row>
    <row r="337" spans="1:17" x14ac:dyDescent="0.35">
      <c r="A337">
        <v>336</v>
      </c>
      <c r="B337" s="1">
        <v>40558</v>
      </c>
      <c r="C337">
        <v>1</v>
      </c>
      <c r="D337">
        <v>0</v>
      </c>
      <c r="E337">
        <v>1</v>
      </c>
      <c r="F337">
        <v>11</v>
      </c>
      <c r="G337">
        <v>0</v>
      </c>
      <c r="H337">
        <v>6</v>
      </c>
      <c r="I337">
        <v>1</v>
      </c>
      <c r="J337">
        <v>0.2</v>
      </c>
      <c r="K337">
        <v>336</v>
      </c>
      <c r="L337">
        <v>0.19700000000000001</v>
      </c>
      <c r="M337">
        <v>0.55000000000000004</v>
      </c>
      <c r="N337">
        <v>0.22389999999999999</v>
      </c>
      <c r="O337">
        <v>18</v>
      </c>
      <c r="P337">
        <v>54</v>
      </c>
      <c r="Q337">
        <v>72</v>
      </c>
    </row>
    <row r="338" spans="1:17" x14ac:dyDescent="0.35">
      <c r="A338">
        <v>337</v>
      </c>
      <c r="B338" s="1">
        <v>40558</v>
      </c>
      <c r="C338">
        <v>1</v>
      </c>
      <c r="D338">
        <v>0</v>
      </c>
      <c r="E338">
        <v>1</v>
      </c>
      <c r="F338">
        <v>12</v>
      </c>
      <c r="G338">
        <v>0</v>
      </c>
      <c r="H338">
        <v>6</v>
      </c>
      <c r="I338">
        <v>1</v>
      </c>
      <c r="J338">
        <v>0.24</v>
      </c>
      <c r="K338">
        <v>337</v>
      </c>
      <c r="L338">
        <v>0.2273</v>
      </c>
      <c r="M338">
        <v>0.48</v>
      </c>
      <c r="N338">
        <v>0.22389999999999999</v>
      </c>
      <c r="O338">
        <v>15</v>
      </c>
      <c r="P338">
        <v>74</v>
      </c>
      <c r="Q338">
        <v>89</v>
      </c>
    </row>
    <row r="339" spans="1:17" x14ac:dyDescent="0.35">
      <c r="A339">
        <v>338</v>
      </c>
      <c r="B339" s="1">
        <v>40558</v>
      </c>
      <c r="C339">
        <v>1</v>
      </c>
      <c r="D339">
        <v>0</v>
      </c>
      <c r="E339">
        <v>1</v>
      </c>
      <c r="F339">
        <v>13</v>
      </c>
      <c r="G339">
        <v>0</v>
      </c>
      <c r="H339">
        <v>6</v>
      </c>
      <c r="I339">
        <v>1</v>
      </c>
      <c r="J339">
        <v>0.28000000000000003</v>
      </c>
      <c r="K339">
        <v>338</v>
      </c>
      <c r="L339">
        <v>0.2576</v>
      </c>
      <c r="M339">
        <v>0.38</v>
      </c>
      <c r="N339">
        <v>0.29849999999999999</v>
      </c>
      <c r="O339">
        <v>21</v>
      </c>
      <c r="P339">
        <v>80</v>
      </c>
      <c r="Q339">
        <v>101</v>
      </c>
    </row>
    <row r="340" spans="1:17" x14ac:dyDescent="0.35">
      <c r="A340">
        <v>339</v>
      </c>
      <c r="B340" s="1">
        <v>40558</v>
      </c>
      <c r="C340">
        <v>1</v>
      </c>
      <c r="D340">
        <v>0</v>
      </c>
      <c r="E340">
        <v>1</v>
      </c>
      <c r="F340">
        <v>14</v>
      </c>
      <c r="G340">
        <v>0</v>
      </c>
      <c r="H340">
        <v>6</v>
      </c>
      <c r="I340">
        <v>1</v>
      </c>
      <c r="J340">
        <v>0.3</v>
      </c>
      <c r="K340">
        <v>339</v>
      </c>
      <c r="L340">
        <v>0.28789999999999999</v>
      </c>
      <c r="M340">
        <v>0.39</v>
      </c>
      <c r="N340">
        <v>0.28360000000000002</v>
      </c>
      <c r="O340">
        <v>26</v>
      </c>
      <c r="P340">
        <v>92</v>
      </c>
      <c r="Q340">
        <v>118</v>
      </c>
    </row>
    <row r="341" spans="1:17" x14ac:dyDescent="0.35">
      <c r="A341">
        <v>340</v>
      </c>
      <c r="B341" s="1">
        <v>40558</v>
      </c>
      <c r="C341">
        <v>1</v>
      </c>
      <c r="D341">
        <v>0</v>
      </c>
      <c r="E341">
        <v>1</v>
      </c>
      <c r="F341">
        <v>15</v>
      </c>
      <c r="G341">
        <v>0</v>
      </c>
      <c r="H341">
        <v>6</v>
      </c>
      <c r="I341">
        <v>2</v>
      </c>
      <c r="J341">
        <v>0.32</v>
      </c>
      <c r="K341">
        <v>340</v>
      </c>
      <c r="L341">
        <v>0.31819999999999998</v>
      </c>
      <c r="M341">
        <v>0.36</v>
      </c>
      <c r="N341">
        <v>0.19400000000000001</v>
      </c>
      <c r="O341">
        <v>21</v>
      </c>
      <c r="P341">
        <v>108</v>
      </c>
      <c r="Q341">
        <v>129</v>
      </c>
    </row>
    <row r="342" spans="1:17" x14ac:dyDescent="0.35">
      <c r="A342">
        <v>341</v>
      </c>
      <c r="B342" s="1">
        <v>40558</v>
      </c>
      <c r="C342">
        <v>1</v>
      </c>
      <c r="D342">
        <v>0</v>
      </c>
      <c r="E342">
        <v>1</v>
      </c>
      <c r="F342">
        <v>16</v>
      </c>
      <c r="G342">
        <v>0</v>
      </c>
      <c r="H342">
        <v>6</v>
      </c>
      <c r="I342">
        <v>2</v>
      </c>
      <c r="J342">
        <v>0.34</v>
      </c>
      <c r="K342">
        <v>341</v>
      </c>
      <c r="L342">
        <v>0.33329999999999999</v>
      </c>
      <c r="M342">
        <v>0.34</v>
      </c>
      <c r="N342">
        <v>0.19400000000000001</v>
      </c>
      <c r="O342">
        <v>33</v>
      </c>
      <c r="P342">
        <v>95</v>
      </c>
      <c r="Q342">
        <v>128</v>
      </c>
    </row>
    <row r="343" spans="1:17" x14ac:dyDescent="0.35">
      <c r="A343">
        <v>342</v>
      </c>
      <c r="B343" s="1">
        <v>40558</v>
      </c>
      <c r="C343">
        <v>1</v>
      </c>
      <c r="D343">
        <v>0</v>
      </c>
      <c r="E343">
        <v>1</v>
      </c>
      <c r="F343">
        <v>17</v>
      </c>
      <c r="G343">
        <v>0</v>
      </c>
      <c r="H343">
        <v>6</v>
      </c>
      <c r="I343">
        <v>2</v>
      </c>
      <c r="J343">
        <v>0.32</v>
      </c>
      <c r="K343">
        <v>342</v>
      </c>
      <c r="L343">
        <v>0.30299999999999999</v>
      </c>
      <c r="M343">
        <v>0.36</v>
      </c>
      <c r="N343">
        <v>0.28360000000000002</v>
      </c>
      <c r="O343">
        <v>29</v>
      </c>
      <c r="P343">
        <v>54</v>
      </c>
      <c r="Q343">
        <v>83</v>
      </c>
    </row>
    <row r="344" spans="1:17" x14ac:dyDescent="0.35">
      <c r="A344">
        <v>343</v>
      </c>
      <c r="B344" s="1">
        <v>40558</v>
      </c>
      <c r="C344">
        <v>1</v>
      </c>
      <c r="D344">
        <v>0</v>
      </c>
      <c r="E344">
        <v>1</v>
      </c>
      <c r="F344">
        <v>18</v>
      </c>
      <c r="G344">
        <v>0</v>
      </c>
      <c r="H344">
        <v>6</v>
      </c>
      <c r="I344">
        <v>2</v>
      </c>
      <c r="J344">
        <v>0.3</v>
      </c>
      <c r="K344">
        <v>343</v>
      </c>
      <c r="L344">
        <v>0.28789999999999999</v>
      </c>
      <c r="M344">
        <v>0.45</v>
      </c>
      <c r="N344">
        <v>0.25369999999999998</v>
      </c>
      <c r="O344">
        <v>15</v>
      </c>
      <c r="P344">
        <v>69</v>
      </c>
      <c r="Q344">
        <v>84</v>
      </c>
    </row>
    <row r="345" spans="1:17" x14ac:dyDescent="0.35">
      <c r="A345">
        <v>344</v>
      </c>
      <c r="B345" s="1">
        <v>40558</v>
      </c>
      <c r="C345">
        <v>1</v>
      </c>
      <c r="D345">
        <v>0</v>
      </c>
      <c r="E345">
        <v>1</v>
      </c>
      <c r="F345">
        <v>19</v>
      </c>
      <c r="G345">
        <v>0</v>
      </c>
      <c r="H345">
        <v>6</v>
      </c>
      <c r="I345">
        <v>2</v>
      </c>
      <c r="J345">
        <v>0.32</v>
      </c>
      <c r="K345">
        <v>344</v>
      </c>
      <c r="L345">
        <v>0.30299999999999999</v>
      </c>
      <c r="M345">
        <v>0.39</v>
      </c>
      <c r="N345">
        <v>0.25369999999999998</v>
      </c>
      <c r="O345">
        <v>14</v>
      </c>
      <c r="P345">
        <v>60</v>
      </c>
      <c r="Q345">
        <v>74</v>
      </c>
    </row>
    <row r="346" spans="1:17" x14ac:dyDescent="0.35">
      <c r="A346">
        <v>345</v>
      </c>
      <c r="B346" s="1">
        <v>40558</v>
      </c>
      <c r="C346">
        <v>1</v>
      </c>
      <c r="D346">
        <v>0</v>
      </c>
      <c r="E346">
        <v>1</v>
      </c>
      <c r="F346">
        <v>20</v>
      </c>
      <c r="G346">
        <v>0</v>
      </c>
      <c r="H346">
        <v>6</v>
      </c>
      <c r="I346">
        <v>2</v>
      </c>
      <c r="J346">
        <v>0.32</v>
      </c>
      <c r="K346">
        <v>345</v>
      </c>
      <c r="L346">
        <v>0.30299999999999999</v>
      </c>
      <c r="M346">
        <v>0.39</v>
      </c>
      <c r="N346">
        <v>0.25369999999999998</v>
      </c>
      <c r="O346">
        <v>6</v>
      </c>
      <c r="P346">
        <v>35</v>
      </c>
      <c r="Q346">
        <v>41</v>
      </c>
    </row>
    <row r="347" spans="1:17" x14ac:dyDescent="0.35">
      <c r="A347">
        <v>346</v>
      </c>
      <c r="B347" s="1">
        <v>40558</v>
      </c>
      <c r="C347">
        <v>1</v>
      </c>
      <c r="D347">
        <v>0</v>
      </c>
      <c r="E347">
        <v>1</v>
      </c>
      <c r="F347">
        <v>21</v>
      </c>
      <c r="G347">
        <v>0</v>
      </c>
      <c r="H347">
        <v>6</v>
      </c>
      <c r="I347">
        <v>2</v>
      </c>
      <c r="J347">
        <v>0.32</v>
      </c>
      <c r="K347">
        <v>346</v>
      </c>
      <c r="L347">
        <v>0.30299999999999999</v>
      </c>
      <c r="M347">
        <v>0.39</v>
      </c>
      <c r="N347">
        <v>0.22389999999999999</v>
      </c>
      <c r="O347">
        <v>6</v>
      </c>
      <c r="P347">
        <v>51</v>
      </c>
      <c r="Q347">
        <v>57</v>
      </c>
    </row>
    <row r="348" spans="1:17" x14ac:dyDescent="0.35">
      <c r="A348">
        <v>347</v>
      </c>
      <c r="B348" s="1">
        <v>40558</v>
      </c>
      <c r="C348">
        <v>1</v>
      </c>
      <c r="D348">
        <v>0</v>
      </c>
      <c r="E348">
        <v>1</v>
      </c>
      <c r="F348">
        <v>22</v>
      </c>
      <c r="G348">
        <v>0</v>
      </c>
      <c r="H348">
        <v>6</v>
      </c>
      <c r="I348">
        <v>2</v>
      </c>
      <c r="J348">
        <v>0.3</v>
      </c>
      <c r="K348">
        <v>347</v>
      </c>
      <c r="L348">
        <v>0.31819999999999998</v>
      </c>
      <c r="M348">
        <v>0.42</v>
      </c>
      <c r="N348">
        <v>0.1045</v>
      </c>
      <c r="O348">
        <v>0</v>
      </c>
      <c r="P348">
        <v>26</v>
      </c>
      <c r="Q348">
        <v>26</v>
      </c>
    </row>
    <row r="349" spans="1:17" x14ac:dyDescent="0.35">
      <c r="A349">
        <v>348</v>
      </c>
      <c r="B349" s="1">
        <v>40558</v>
      </c>
      <c r="C349">
        <v>1</v>
      </c>
      <c r="D349">
        <v>0</v>
      </c>
      <c r="E349">
        <v>1</v>
      </c>
      <c r="F349">
        <v>23</v>
      </c>
      <c r="G349">
        <v>0</v>
      </c>
      <c r="H349">
        <v>6</v>
      </c>
      <c r="I349">
        <v>1</v>
      </c>
      <c r="J349">
        <v>0.3</v>
      </c>
      <c r="K349">
        <v>348</v>
      </c>
      <c r="L349">
        <v>0.28789999999999999</v>
      </c>
      <c r="M349">
        <v>0.45</v>
      </c>
      <c r="N349">
        <v>0.28360000000000002</v>
      </c>
      <c r="O349">
        <v>5</v>
      </c>
      <c r="P349">
        <v>39</v>
      </c>
      <c r="Q349">
        <v>44</v>
      </c>
    </row>
    <row r="350" spans="1:17" x14ac:dyDescent="0.35">
      <c r="A350">
        <v>349</v>
      </c>
      <c r="B350" s="1">
        <v>40559</v>
      </c>
      <c r="C350">
        <v>1</v>
      </c>
      <c r="D350">
        <v>0</v>
      </c>
      <c r="E350">
        <v>1</v>
      </c>
      <c r="F350">
        <v>0</v>
      </c>
      <c r="G350">
        <v>0</v>
      </c>
      <c r="H350">
        <v>0</v>
      </c>
      <c r="I350">
        <v>1</v>
      </c>
      <c r="J350">
        <v>0.26</v>
      </c>
      <c r="K350">
        <v>349</v>
      </c>
      <c r="L350">
        <v>0.30299999999999999</v>
      </c>
      <c r="M350">
        <v>0.56000000000000005</v>
      </c>
      <c r="N350">
        <v>0</v>
      </c>
      <c r="O350">
        <v>6</v>
      </c>
      <c r="P350">
        <v>33</v>
      </c>
      <c r="Q350">
        <v>39</v>
      </c>
    </row>
    <row r="351" spans="1:17" x14ac:dyDescent="0.35">
      <c r="A351">
        <v>350</v>
      </c>
      <c r="B351" s="1">
        <v>40559</v>
      </c>
      <c r="C351">
        <v>1</v>
      </c>
      <c r="D351">
        <v>0</v>
      </c>
      <c r="E351">
        <v>1</v>
      </c>
      <c r="F351">
        <v>1</v>
      </c>
      <c r="G351">
        <v>0</v>
      </c>
      <c r="H351">
        <v>0</v>
      </c>
      <c r="I351">
        <v>1</v>
      </c>
      <c r="J351">
        <v>0.26</v>
      </c>
      <c r="K351">
        <v>350</v>
      </c>
      <c r="L351">
        <v>0.2727</v>
      </c>
      <c r="M351">
        <v>0.56000000000000005</v>
      </c>
      <c r="N351">
        <v>0.1343</v>
      </c>
      <c r="O351">
        <v>4</v>
      </c>
      <c r="P351">
        <v>19</v>
      </c>
      <c r="Q351">
        <v>23</v>
      </c>
    </row>
    <row r="352" spans="1:17" x14ac:dyDescent="0.35">
      <c r="A352">
        <v>351</v>
      </c>
      <c r="B352" s="1">
        <v>40559</v>
      </c>
      <c r="C352">
        <v>1</v>
      </c>
      <c r="D352">
        <v>0</v>
      </c>
      <c r="E352">
        <v>1</v>
      </c>
      <c r="F352">
        <v>2</v>
      </c>
      <c r="G352">
        <v>0</v>
      </c>
      <c r="H352">
        <v>0</v>
      </c>
      <c r="I352">
        <v>1</v>
      </c>
      <c r="J352">
        <v>0.26</v>
      </c>
      <c r="K352">
        <v>351</v>
      </c>
      <c r="L352">
        <v>0.28789999999999999</v>
      </c>
      <c r="M352">
        <v>0.56000000000000005</v>
      </c>
      <c r="N352">
        <v>8.9599999999999999E-2</v>
      </c>
      <c r="O352">
        <v>3</v>
      </c>
      <c r="P352">
        <v>13</v>
      </c>
      <c r="Q352">
        <v>16</v>
      </c>
    </row>
    <row r="353" spans="1:17" x14ac:dyDescent="0.35">
      <c r="A353">
        <v>352</v>
      </c>
      <c r="B353" s="1">
        <v>40559</v>
      </c>
      <c r="C353">
        <v>1</v>
      </c>
      <c r="D353">
        <v>0</v>
      </c>
      <c r="E353">
        <v>1</v>
      </c>
      <c r="F353">
        <v>3</v>
      </c>
      <c r="G353">
        <v>0</v>
      </c>
      <c r="H353">
        <v>0</v>
      </c>
      <c r="I353">
        <v>1</v>
      </c>
      <c r="J353">
        <v>0.22</v>
      </c>
      <c r="K353">
        <v>352</v>
      </c>
      <c r="L353">
        <v>0.2727</v>
      </c>
      <c r="M353">
        <v>0.69</v>
      </c>
      <c r="N353">
        <v>0</v>
      </c>
      <c r="O353">
        <v>9</v>
      </c>
      <c r="P353">
        <v>6</v>
      </c>
      <c r="Q353">
        <v>15</v>
      </c>
    </row>
    <row r="354" spans="1:17" x14ac:dyDescent="0.35">
      <c r="A354">
        <v>353</v>
      </c>
      <c r="B354" s="1">
        <v>40559</v>
      </c>
      <c r="C354">
        <v>1</v>
      </c>
      <c r="D354">
        <v>0</v>
      </c>
      <c r="E354">
        <v>1</v>
      </c>
      <c r="F354">
        <v>4</v>
      </c>
      <c r="G354">
        <v>0</v>
      </c>
      <c r="H354">
        <v>0</v>
      </c>
      <c r="I354">
        <v>1</v>
      </c>
      <c r="J354">
        <v>0.26</v>
      </c>
      <c r="K354">
        <v>353</v>
      </c>
      <c r="L354">
        <v>0.2576</v>
      </c>
      <c r="M354">
        <v>0.56000000000000005</v>
      </c>
      <c r="N354">
        <v>0.16420000000000001</v>
      </c>
      <c r="O354">
        <v>0</v>
      </c>
      <c r="P354">
        <v>1</v>
      </c>
      <c r="Q354">
        <v>1</v>
      </c>
    </row>
    <row r="355" spans="1:17" x14ac:dyDescent="0.35">
      <c r="A355">
        <v>354</v>
      </c>
      <c r="B355" s="1">
        <v>40559</v>
      </c>
      <c r="C355">
        <v>1</v>
      </c>
      <c r="D355">
        <v>0</v>
      </c>
      <c r="E355">
        <v>1</v>
      </c>
      <c r="F355">
        <v>5</v>
      </c>
      <c r="G355">
        <v>0</v>
      </c>
      <c r="H355">
        <v>0</v>
      </c>
      <c r="I355">
        <v>2</v>
      </c>
      <c r="J355">
        <v>0.26</v>
      </c>
      <c r="K355">
        <v>354</v>
      </c>
      <c r="L355">
        <v>0.2576</v>
      </c>
      <c r="M355">
        <v>0.56000000000000005</v>
      </c>
      <c r="N355">
        <v>0.16420000000000001</v>
      </c>
      <c r="O355">
        <v>1</v>
      </c>
      <c r="P355">
        <v>1</v>
      </c>
      <c r="Q355">
        <v>2</v>
      </c>
    </row>
    <row r="356" spans="1:17" x14ac:dyDescent="0.35">
      <c r="A356">
        <v>355</v>
      </c>
      <c r="B356" s="1">
        <v>40559</v>
      </c>
      <c r="C356">
        <v>1</v>
      </c>
      <c r="D356">
        <v>0</v>
      </c>
      <c r="E356">
        <v>1</v>
      </c>
      <c r="F356">
        <v>6</v>
      </c>
      <c r="G356">
        <v>0</v>
      </c>
      <c r="H356">
        <v>0</v>
      </c>
      <c r="I356">
        <v>2</v>
      </c>
      <c r="J356">
        <v>0.26</v>
      </c>
      <c r="K356">
        <v>355</v>
      </c>
      <c r="L356">
        <v>0.2576</v>
      </c>
      <c r="M356">
        <v>0.56000000000000005</v>
      </c>
      <c r="N356">
        <v>0.16420000000000001</v>
      </c>
      <c r="O356">
        <v>0</v>
      </c>
      <c r="P356">
        <v>1</v>
      </c>
      <c r="Q356">
        <v>1</v>
      </c>
    </row>
    <row r="357" spans="1:17" x14ac:dyDescent="0.35">
      <c r="A357">
        <v>356</v>
      </c>
      <c r="B357" s="1">
        <v>40559</v>
      </c>
      <c r="C357">
        <v>1</v>
      </c>
      <c r="D357">
        <v>0</v>
      </c>
      <c r="E357">
        <v>1</v>
      </c>
      <c r="F357">
        <v>7</v>
      </c>
      <c r="G357">
        <v>0</v>
      </c>
      <c r="H357">
        <v>0</v>
      </c>
      <c r="I357">
        <v>2</v>
      </c>
      <c r="J357">
        <v>0.24</v>
      </c>
      <c r="K357">
        <v>356</v>
      </c>
      <c r="L357">
        <v>0.21210000000000001</v>
      </c>
      <c r="M357">
        <v>0.56000000000000005</v>
      </c>
      <c r="N357">
        <v>0.29849999999999999</v>
      </c>
      <c r="O357">
        <v>0</v>
      </c>
      <c r="P357">
        <v>3</v>
      </c>
      <c r="Q357">
        <v>3</v>
      </c>
    </row>
    <row r="358" spans="1:17" x14ac:dyDescent="0.35">
      <c r="A358">
        <v>357</v>
      </c>
      <c r="B358" s="1">
        <v>40559</v>
      </c>
      <c r="C358">
        <v>1</v>
      </c>
      <c r="D358">
        <v>0</v>
      </c>
      <c r="E358">
        <v>1</v>
      </c>
      <c r="F358">
        <v>8</v>
      </c>
      <c r="G358">
        <v>0</v>
      </c>
      <c r="H358">
        <v>0</v>
      </c>
      <c r="I358">
        <v>1</v>
      </c>
      <c r="J358">
        <v>0.22</v>
      </c>
      <c r="K358">
        <v>357</v>
      </c>
      <c r="L358">
        <v>0.21210000000000001</v>
      </c>
      <c r="M358">
        <v>0.55000000000000004</v>
      </c>
      <c r="N358">
        <v>0.28360000000000002</v>
      </c>
      <c r="O358">
        <v>0</v>
      </c>
      <c r="P358">
        <v>18</v>
      </c>
      <c r="Q358">
        <v>18</v>
      </c>
    </row>
    <row r="359" spans="1:17" x14ac:dyDescent="0.35">
      <c r="A359">
        <v>358</v>
      </c>
      <c r="B359" s="1">
        <v>40559</v>
      </c>
      <c r="C359">
        <v>1</v>
      </c>
      <c r="D359">
        <v>0</v>
      </c>
      <c r="E359">
        <v>1</v>
      </c>
      <c r="F359">
        <v>9</v>
      </c>
      <c r="G359">
        <v>0</v>
      </c>
      <c r="H359">
        <v>0</v>
      </c>
      <c r="I359">
        <v>1</v>
      </c>
      <c r="J359">
        <v>0.22</v>
      </c>
      <c r="K359">
        <v>358</v>
      </c>
      <c r="L359">
        <v>0.21210000000000001</v>
      </c>
      <c r="M359">
        <v>0.51</v>
      </c>
      <c r="N359">
        <v>0.25369999999999998</v>
      </c>
      <c r="O359">
        <v>3</v>
      </c>
      <c r="P359">
        <v>29</v>
      </c>
      <c r="Q359">
        <v>32</v>
      </c>
    </row>
    <row r="360" spans="1:17" x14ac:dyDescent="0.35">
      <c r="A360">
        <v>359</v>
      </c>
      <c r="B360" s="1">
        <v>40559</v>
      </c>
      <c r="C360">
        <v>1</v>
      </c>
      <c r="D360">
        <v>0</v>
      </c>
      <c r="E360">
        <v>1</v>
      </c>
      <c r="F360">
        <v>10</v>
      </c>
      <c r="G360">
        <v>0</v>
      </c>
      <c r="H360">
        <v>0</v>
      </c>
      <c r="I360">
        <v>1</v>
      </c>
      <c r="J360">
        <v>0.22</v>
      </c>
      <c r="K360">
        <v>359</v>
      </c>
      <c r="L360">
        <v>0.21210000000000001</v>
      </c>
      <c r="M360">
        <v>0.51</v>
      </c>
      <c r="N360">
        <v>0.28360000000000002</v>
      </c>
      <c r="O360">
        <v>8</v>
      </c>
      <c r="P360">
        <v>71</v>
      </c>
      <c r="Q360">
        <v>79</v>
      </c>
    </row>
    <row r="361" spans="1:17" x14ac:dyDescent="0.35">
      <c r="A361">
        <v>360</v>
      </c>
      <c r="B361" s="1">
        <v>40559</v>
      </c>
      <c r="C361">
        <v>1</v>
      </c>
      <c r="D361">
        <v>0</v>
      </c>
      <c r="E361">
        <v>1</v>
      </c>
      <c r="F361">
        <v>11</v>
      </c>
      <c r="G361">
        <v>0</v>
      </c>
      <c r="H361">
        <v>0</v>
      </c>
      <c r="I361">
        <v>1</v>
      </c>
      <c r="J361">
        <v>0.24</v>
      </c>
      <c r="K361">
        <v>360</v>
      </c>
      <c r="L361">
        <v>0.2273</v>
      </c>
      <c r="M361">
        <v>0.44</v>
      </c>
      <c r="N361">
        <v>0.25369999999999998</v>
      </c>
      <c r="O361">
        <v>23</v>
      </c>
      <c r="P361">
        <v>70</v>
      </c>
      <c r="Q361">
        <v>93</v>
      </c>
    </row>
    <row r="362" spans="1:17" x14ac:dyDescent="0.35">
      <c r="A362">
        <v>361</v>
      </c>
      <c r="B362" s="1">
        <v>40559</v>
      </c>
      <c r="C362">
        <v>1</v>
      </c>
      <c r="D362">
        <v>0</v>
      </c>
      <c r="E362">
        <v>1</v>
      </c>
      <c r="F362">
        <v>12</v>
      </c>
      <c r="G362">
        <v>0</v>
      </c>
      <c r="H362">
        <v>0</v>
      </c>
      <c r="I362">
        <v>1</v>
      </c>
      <c r="J362">
        <v>0.24</v>
      </c>
      <c r="K362">
        <v>361</v>
      </c>
      <c r="L362">
        <v>0.21210000000000001</v>
      </c>
      <c r="M362">
        <v>0.41</v>
      </c>
      <c r="N362">
        <v>0.28360000000000002</v>
      </c>
      <c r="O362">
        <v>29</v>
      </c>
      <c r="P362">
        <v>75</v>
      </c>
      <c r="Q362">
        <v>104</v>
      </c>
    </row>
    <row r="363" spans="1:17" x14ac:dyDescent="0.35">
      <c r="A363">
        <v>362</v>
      </c>
      <c r="B363" s="1">
        <v>40559</v>
      </c>
      <c r="C363">
        <v>1</v>
      </c>
      <c r="D363">
        <v>0</v>
      </c>
      <c r="E363">
        <v>1</v>
      </c>
      <c r="F363">
        <v>13</v>
      </c>
      <c r="G363">
        <v>0</v>
      </c>
      <c r="H363">
        <v>0</v>
      </c>
      <c r="I363">
        <v>1</v>
      </c>
      <c r="J363">
        <v>0.26</v>
      </c>
      <c r="K363">
        <v>362</v>
      </c>
      <c r="L363">
        <v>0.2273</v>
      </c>
      <c r="M363">
        <v>0.35</v>
      </c>
      <c r="N363">
        <v>0.29849999999999999</v>
      </c>
      <c r="O363">
        <v>23</v>
      </c>
      <c r="P363">
        <v>95</v>
      </c>
      <c r="Q363">
        <v>118</v>
      </c>
    </row>
    <row r="364" spans="1:17" x14ac:dyDescent="0.35">
      <c r="A364">
        <v>363</v>
      </c>
      <c r="B364" s="1">
        <v>40559</v>
      </c>
      <c r="C364">
        <v>1</v>
      </c>
      <c r="D364">
        <v>0</v>
      </c>
      <c r="E364">
        <v>1</v>
      </c>
      <c r="F364">
        <v>14</v>
      </c>
      <c r="G364">
        <v>0</v>
      </c>
      <c r="H364">
        <v>0</v>
      </c>
      <c r="I364">
        <v>1</v>
      </c>
      <c r="J364">
        <v>0.28000000000000003</v>
      </c>
      <c r="K364">
        <v>363</v>
      </c>
      <c r="L364">
        <v>0.2727</v>
      </c>
      <c r="M364">
        <v>0.36</v>
      </c>
      <c r="N364">
        <v>0.25369999999999998</v>
      </c>
      <c r="O364">
        <v>22</v>
      </c>
      <c r="P364">
        <v>69</v>
      </c>
      <c r="Q364">
        <v>91</v>
      </c>
    </row>
    <row r="365" spans="1:17" x14ac:dyDescent="0.35">
      <c r="A365">
        <v>364</v>
      </c>
      <c r="B365" s="1">
        <v>40559</v>
      </c>
      <c r="C365">
        <v>1</v>
      </c>
      <c r="D365">
        <v>0</v>
      </c>
      <c r="E365">
        <v>1</v>
      </c>
      <c r="F365">
        <v>15</v>
      </c>
      <c r="G365">
        <v>0</v>
      </c>
      <c r="H365">
        <v>0</v>
      </c>
      <c r="I365">
        <v>1</v>
      </c>
      <c r="J365">
        <v>0.26</v>
      </c>
      <c r="K365">
        <v>364</v>
      </c>
      <c r="L365">
        <v>0.2424</v>
      </c>
      <c r="M365">
        <v>0.38</v>
      </c>
      <c r="N365">
        <v>0.25369999999999998</v>
      </c>
      <c r="O365">
        <v>35</v>
      </c>
      <c r="P365">
        <v>78</v>
      </c>
      <c r="Q365">
        <v>113</v>
      </c>
    </row>
    <row r="366" spans="1:17" x14ac:dyDescent="0.35">
      <c r="A366">
        <v>365</v>
      </c>
      <c r="B366" s="1">
        <v>40559</v>
      </c>
      <c r="C366">
        <v>1</v>
      </c>
      <c r="D366">
        <v>0</v>
      </c>
      <c r="E366">
        <v>1</v>
      </c>
      <c r="F366">
        <v>16</v>
      </c>
      <c r="G366">
        <v>0</v>
      </c>
      <c r="H366">
        <v>0</v>
      </c>
      <c r="I366">
        <v>1</v>
      </c>
      <c r="J366">
        <v>0.24</v>
      </c>
      <c r="K366">
        <v>365</v>
      </c>
      <c r="L366">
        <v>0.2273</v>
      </c>
      <c r="M366">
        <v>0.38</v>
      </c>
      <c r="N366">
        <v>0.22389999999999999</v>
      </c>
      <c r="O366">
        <v>22</v>
      </c>
      <c r="P366">
        <v>77</v>
      </c>
      <c r="Q366">
        <v>99</v>
      </c>
    </row>
    <row r="367" spans="1:17" x14ac:dyDescent="0.35">
      <c r="A367">
        <v>366</v>
      </c>
      <c r="B367" s="1">
        <v>40559</v>
      </c>
      <c r="C367">
        <v>1</v>
      </c>
      <c r="D367">
        <v>0</v>
      </c>
      <c r="E367">
        <v>1</v>
      </c>
      <c r="F367">
        <v>17</v>
      </c>
      <c r="G367">
        <v>0</v>
      </c>
      <c r="H367">
        <v>0</v>
      </c>
      <c r="I367">
        <v>1</v>
      </c>
      <c r="J367">
        <v>0.22</v>
      </c>
      <c r="K367">
        <v>366</v>
      </c>
      <c r="L367">
        <v>0.21210000000000001</v>
      </c>
      <c r="M367">
        <v>0.37</v>
      </c>
      <c r="N367">
        <v>0.25369999999999998</v>
      </c>
      <c r="O367">
        <v>23</v>
      </c>
      <c r="P367">
        <v>82</v>
      </c>
      <c r="Q367">
        <v>105</v>
      </c>
    </row>
    <row r="368" spans="1:17" x14ac:dyDescent="0.35">
      <c r="A368">
        <v>367</v>
      </c>
      <c r="B368" s="1">
        <v>40559</v>
      </c>
      <c r="C368">
        <v>1</v>
      </c>
      <c r="D368">
        <v>0</v>
      </c>
      <c r="E368">
        <v>1</v>
      </c>
      <c r="F368">
        <v>18</v>
      </c>
      <c r="G368">
        <v>0</v>
      </c>
      <c r="H368">
        <v>0</v>
      </c>
      <c r="I368">
        <v>1</v>
      </c>
      <c r="J368">
        <v>0.2</v>
      </c>
      <c r="K368">
        <v>367</v>
      </c>
      <c r="L368">
        <v>0.21210000000000001</v>
      </c>
      <c r="M368">
        <v>0.4</v>
      </c>
      <c r="N368">
        <v>0.16420000000000001</v>
      </c>
      <c r="O368">
        <v>11</v>
      </c>
      <c r="P368">
        <v>56</v>
      </c>
      <c r="Q368">
        <v>67</v>
      </c>
    </row>
    <row r="369" spans="1:17" x14ac:dyDescent="0.35">
      <c r="A369">
        <v>368</v>
      </c>
      <c r="B369" s="1">
        <v>40559</v>
      </c>
      <c r="C369">
        <v>1</v>
      </c>
      <c r="D369">
        <v>0</v>
      </c>
      <c r="E369">
        <v>1</v>
      </c>
      <c r="F369">
        <v>19</v>
      </c>
      <c r="G369">
        <v>0</v>
      </c>
      <c r="H369">
        <v>0</v>
      </c>
      <c r="I369">
        <v>1</v>
      </c>
      <c r="J369">
        <v>0.18</v>
      </c>
      <c r="K369">
        <v>368</v>
      </c>
      <c r="L369">
        <v>0.19700000000000001</v>
      </c>
      <c r="M369">
        <v>0.47</v>
      </c>
      <c r="N369">
        <v>0.1343</v>
      </c>
      <c r="O369">
        <v>14</v>
      </c>
      <c r="P369">
        <v>47</v>
      </c>
      <c r="Q369">
        <v>61</v>
      </c>
    </row>
    <row r="370" spans="1:17" x14ac:dyDescent="0.35">
      <c r="A370">
        <v>369</v>
      </c>
      <c r="B370" s="1">
        <v>40559</v>
      </c>
      <c r="C370">
        <v>1</v>
      </c>
      <c r="D370">
        <v>0</v>
      </c>
      <c r="E370">
        <v>1</v>
      </c>
      <c r="F370">
        <v>20</v>
      </c>
      <c r="G370">
        <v>0</v>
      </c>
      <c r="H370">
        <v>0</v>
      </c>
      <c r="I370">
        <v>1</v>
      </c>
      <c r="J370">
        <v>0.18</v>
      </c>
      <c r="K370">
        <v>369</v>
      </c>
      <c r="L370">
        <v>0.19700000000000001</v>
      </c>
      <c r="M370">
        <v>0.47</v>
      </c>
      <c r="N370">
        <v>0.16420000000000001</v>
      </c>
      <c r="O370">
        <v>7</v>
      </c>
      <c r="P370">
        <v>50</v>
      </c>
      <c r="Q370">
        <v>57</v>
      </c>
    </row>
    <row r="371" spans="1:17" x14ac:dyDescent="0.35">
      <c r="A371">
        <v>370</v>
      </c>
      <c r="B371" s="1">
        <v>40559</v>
      </c>
      <c r="C371">
        <v>1</v>
      </c>
      <c r="D371">
        <v>0</v>
      </c>
      <c r="E371">
        <v>1</v>
      </c>
      <c r="F371">
        <v>21</v>
      </c>
      <c r="G371">
        <v>0</v>
      </c>
      <c r="H371">
        <v>0</v>
      </c>
      <c r="I371">
        <v>1</v>
      </c>
      <c r="J371">
        <v>0.18</v>
      </c>
      <c r="K371">
        <v>370</v>
      </c>
      <c r="L371">
        <v>0.19700000000000001</v>
      </c>
      <c r="M371">
        <v>0.51</v>
      </c>
      <c r="N371">
        <v>0.16420000000000001</v>
      </c>
      <c r="O371">
        <v>6</v>
      </c>
      <c r="P371">
        <v>22</v>
      </c>
      <c r="Q371">
        <v>28</v>
      </c>
    </row>
    <row r="372" spans="1:17" x14ac:dyDescent="0.35">
      <c r="A372">
        <v>371</v>
      </c>
      <c r="B372" s="1">
        <v>40559</v>
      </c>
      <c r="C372">
        <v>1</v>
      </c>
      <c r="D372">
        <v>0</v>
      </c>
      <c r="E372">
        <v>1</v>
      </c>
      <c r="F372">
        <v>22</v>
      </c>
      <c r="G372">
        <v>0</v>
      </c>
      <c r="H372">
        <v>0</v>
      </c>
      <c r="I372">
        <v>2</v>
      </c>
      <c r="J372">
        <v>0.2</v>
      </c>
      <c r="K372">
        <v>371</v>
      </c>
      <c r="L372">
        <v>0.21210000000000001</v>
      </c>
      <c r="M372">
        <v>0.49</v>
      </c>
      <c r="N372">
        <v>0.1343</v>
      </c>
      <c r="O372">
        <v>2</v>
      </c>
      <c r="P372">
        <v>19</v>
      </c>
      <c r="Q372">
        <v>21</v>
      </c>
    </row>
    <row r="373" spans="1:17" x14ac:dyDescent="0.35">
      <c r="A373">
        <v>372</v>
      </c>
      <c r="B373" s="1">
        <v>40559</v>
      </c>
      <c r="C373">
        <v>1</v>
      </c>
      <c r="D373">
        <v>0</v>
      </c>
      <c r="E373">
        <v>1</v>
      </c>
      <c r="F373">
        <v>23</v>
      </c>
      <c r="G373">
        <v>0</v>
      </c>
      <c r="H373">
        <v>0</v>
      </c>
      <c r="I373">
        <v>2</v>
      </c>
      <c r="J373">
        <v>0.2</v>
      </c>
      <c r="K373">
        <v>372</v>
      </c>
      <c r="L373">
        <v>0.2273</v>
      </c>
      <c r="M373">
        <v>0.4</v>
      </c>
      <c r="N373">
        <v>0.1045</v>
      </c>
      <c r="O373">
        <v>0</v>
      </c>
      <c r="P373">
        <v>18</v>
      </c>
      <c r="Q373">
        <v>18</v>
      </c>
    </row>
    <row r="374" spans="1:17" x14ac:dyDescent="0.35">
      <c r="A374">
        <v>373</v>
      </c>
      <c r="B374" s="1">
        <v>40560</v>
      </c>
      <c r="C374">
        <v>1</v>
      </c>
      <c r="D374">
        <v>0</v>
      </c>
      <c r="E374">
        <v>1</v>
      </c>
      <c r="F374">
        <v>0</v>
      </c>
      <c r="G374">
        <v>1</v>
      </c>
      <c r="H374">
        <v>1</v>
      </c>
      <c r="I374">
        <v>2</v>
      </c>
      <c r="J374">
        <v>0.2</v>
      </c>
      <c r="K374">
        <v>373</v>
      </c>
      <c r="L374">
        <v>0.19700000000000001</v>
      </c>
      <c r="M374">
        <v>0.47</v>
      </c>
      <c r="N374">
        <v>0.22389999999999999</v>
      </c>
      <c r="O374">
        <v>1</v>
      </c>
      <c r="P374">
        <v>16</v>
      </c>
      <c r="Q374">
        <v>17</v>
      </c>
    </row>
    <row r="375" spans="1:17" x14ac:dyDescent="0.35">
      <c r="A375">
        <v>374</v>
      </c>
      <c r="B375" s="1">
        <v>40560</v>
      </c>
      <c r="C375">
        <v>1</v>
      </c>
      <c r="D375">
        <v>0</v>
      </c>
      <c r="E375">
        <v>1</v>
      </c>
      <c r="F375">
        <v>1</v>
      </c>
      <c r="G375">
        <v>1</v>
      </c>
      <c r="H375">
        <v>1</v>
      </c>
      <c r="I375">
        <v>2</v>
      </c>
      <c r="J375">
        <v>0.2</v>
      </c>
      <c r="K375">
        <v>374</v>
      </c>
      <c r="L375">
        <v>0.19700000000000001</v>
      </c>
      <c r="M375">
        <v>0.44</v>
      </c>
      <c r="N375">
        <v>0.19400000000000001</v>
      </c>
      <c r="O375">
        <v>1</v>
      </c>
      <c r="P375">
        <v>15</v>
      </c>
      <c r="Q375">
        <v>16</v>
      </c>
    </row>
    <row r="376" spans="1:17" x14ac:dyDescent="0.35">
      <c r="A376">
        <v>375</v>
      </c>
      <c r="B376" s="1">
        <v>40560</v>
      </c>
      <c r="C376">
        <v>1</v>
      </c>
      <c r="D376">
        <v>0</v>
      </c>
      <c r="E376">
        <v>1</v>
      </c>
      <c r="F376">
        <v>2</v>
      </c>
      <c r="G376">
        <v>1</v>
      </c>
      <c r="H376">
        <v>1</v>
      </c>
      <c r="I376">
        <v>2</v>
      </c>
      <c r="J376">
        <v>0.18</v>
      </c>
      <c r="K376">
        <v>375</v>
      </c>
      <c r="L376">
        <v>0.16669999999999999</v>
      </c>
      <c r="M376">
        <v>0.43</v>
      </c>
      <c r="N376">
        <v>0.25369999999999998</v>
      </c>
      <c r="O376">
        <v>0</v>
      </c>
      <c r="P376">
        <v>8</v>
      </c>
      <c r="Q376">
        <v>8</v>
      </c>
    </row>
    <row r="377" spans="1:17" x14ac:dyDescent="0.35">
      <c r="A377">
        <v>376</v>
      </c>
      <c r="B377" s="1">
        <v>40560</v>
      </c>
      <c r="C377">
        <v>1</v>
      </c>
      <c r="D377">
        <v>0</v>
      </c>
      <c r="E377">
        <v>1</v>
      </c>
      <c r="F377">
        <v>3</v>
      </c>
      <c r="G377">
        <v>1</v>
      </c>
      <c r="H377">
        <v>1</v>
      </c>
      <c r="I377">
        <v>2</v>
      </c>
      <c r="J377">
        <v>0.18</v>
      </c>
      <c r="K377">
        <v>376</v>
      </c>
      <c r="L377">
        <v>0.18179999999999999</v>
      </c>
      <c r="M377">
        <v>0.43</v>
      </c>
      <c r="N377">
        <v>0.19400000000000001</v>
      </c>
      <c r="O377">
        <v>0</v>
      </c>
      <c r="P377">
        <v>2</v>
      </c>
      <c r="Q377">
        <v>2</v>
      </c>
    </row>
    <row r="378" spans="1:17" x14ac:dyDescent="0.35">
      <c r="A378">
        <v>377</v>
      </c>
      <c r="B378" s="1">
        <v>40560</v>
      </c>
      <c r="C378">
        <v>1</v>
      </c>
      <c r="D378">
        <v>0</v>
      </c>
      <c r="E378">
        <v>1</v>
      </c>
      <c r="F378">
        <v>4</v>
      </c>
      <c r="G378">
        <v>1</v>
      </c>
      <c r="H378">
        <v>1</v>
      </c>
      <c r="I378">
        <v>2</v>
      </c>
      <c r="J378">
        <v>0.18</v>
      </c>
      <c r="K378">
        <v>377</v>
      </c>
      <c r="L378">
        <v>0.19700000000000001</v>
      </c>
      <c r="M378">
        <v>0.43</v>
      </c>
      <c r="N378">
        <v>0.1343</v>
      </c>
      <c r="O378">
        <v>1</v>
      </c>
      <c r="P378">
        <v>2</v>
      </c>
      <c r="Q378">
        <v>3</v>
      </c>
    </row>
    <row r="379" spans="1:17" x14ac:dyDescent="0.35">
      <c r="A379">
        <v>378</v>
      </c>
      <c r="B379" s="1">
        <v>40560</v>
      </c>
      <c r="C379">
        <v>1</v>
      </c>
      <c r="D379">
        <v>0</v>
      </c>
      <c r="E379">
        <v>1</v>
      </c>
      <c r="F379">
        <v>5</v>
      </c>
      <c r="G379">
        <v>1</v>
      </c>
      <c r="H379">
        <v>1</v>
      </c>
      <c r="I379">
        <v>2</v>
      </c>
      <c r="J379">
        <v>0.18</v>
      </c>
      <c r="K379">
        <v>378</v>
      </c>
      <c r="L379">
        <v>0.19700000000000001</v>
      </c>
      <c r="M379">
        <v>0.43</v>
      </c>
      <c r="N379">
        <v>0.16420000000000001</v>
      </c>
      <c r="O379">
        <v>0</v>
      </c>
      <c r="P379">
        <v>1</v>
      </c>
      <c r="Q379">
        <v>1</v>
      </c>
    </row>
    <row r="380" spans="1:17" x14ac:dyDescent="0.35">
      <c r="A380">
        <v>379</v>
      </c>
      <c r="B380" s="1">
        <v>40560</v>
      </c>
      <c r="C380">
        <v>1</v>
      </c>
      <c r="D380">
        <v>0</v>
      </c>
      <c r="E380">
        <v>1</v>
      </c>
      <c r="F380">
        <v>6</v>
      </c>
      <c r="G380">
        <v>1</v>
      </c>
      <c r="H380">
        <v>1</v>
      </c>
      <c r="I380">
        <v>2</v>
      </c>
      <c r="J380">
        <v>0.18</v>
      </c>
      <c r="K380">
        <v>379</v>
      </c>
      <c r="L380">
        <v>0.18179999999999999</v>
      </c>
      <c r="M380">
        <v>0.43</v>
      </c>
      <c r="N380">
        <v>0.19400000000000001</v>
      </c>
      <c r="O380">
        <v>0</v>
      </c>
      <c r="P380">
        <v>5</v>
      </c>
      <c r="Q380">
        <v>5</v>
      </c>
    </row>
    <row r="381" spans="1:17" x14ac:dyDescent="0.35">
      <c r="A381">
        <v>380</v>
      </c>
      <c r="B381" s="1">
        <v>40560</v>
      </c>
      <c r="C381">
        <v>1</v>
      </c>
      <c r="D381">
        <v>0</v>
      </c>
      <c r="E381">
        <v>1</v>
      </c>
      <c r="F381">
        <v>7</v>
      </c>
      <c r="G381">
        <v>1</v>
      </c>
      <c r="H381">
        <v>1</v>
      </c>
      <c r="I381">
        <v>2</v>
      </c>
      <c r="J381">
        <v>0.16</v>
      </c>
      <c r="K381">
        <v>380</v>
      </c>
      <c r="L381">
        <v>0.18179999999999999</v>
      </c>
      <c r="M381">
        <v>0.5</v>
      </c>
      <c r="N381">
        <v>0.1343</v>
      </c>
      <c r="O381">
        <v>4</v>
      </c>
      <c r="P381">
        <v>9</v>
      </c>
      <c r="Q381">
        <v>13</v>
      </c>
    </row>
    <row r="382" spans="1:17" x14ac:dyDescent="0.35">
      <c r="A382">
        <v>381</v>
      </c>
      <c r="B382" s="1">
        <v>40560</v>
      </c>
      <c r="C382">
        <v>1</v>
      </c>
      <c r="D382">
        <v>0</v>
      </c>
      <c r="E382">
        <v>1</v>
      </c>
      <c r="F382">
        <v>8</v>
      </c>
      <c r="G382">
        <v>1</v>
      </c>
      <c r="H382">
        <v>1</v>
      </c>
      <c r="I382">
        <v>2</v>
      </c>
      <c r="J382">
        <v>0.16</v>
      </c>
      <c r="K382">
        <v>381</v>
      </c>
      <c r="L382">
        <v>0.1515</v>
      </c>
      <c r="M382">
        <v>0.47</v>
      </c>
      <c r="N382">
        <v>0.22389999999999999</v>
      </c>
      <c r="O382">
        <v>3</v>
      </c>
      <c r="P382">
        <v>30</v>
      </c>
      <c r="Q382">
        <v>33</v>
      </c>
    </row>
    <row r="383" spans="1:17" x14ac:dyDescent="0.35">
      <c r="A383">
        <v>382</v>
      </c>
      <c r="B383" s="1">
        <v>40560</v>
      </c>
      <c r="C383">
        <v>1</v>
      </c>
      <c r="D383">
        <v>0</v>
      </c>
      <c r="E383">
        <v>1</v>
      </c>
      <c r="F383">
        <v>9</v>
      </c>
      <c r="G383">
        <v>1</v>
      </c>
      <c r="H383">
        <v>1</v>
      </c>
      <c r="I383">
        <v>2</v>
      </c>
      <c r="J383">
        <v>0.16</v>
      </c>
      <c r="K383">
        <v>382</v>
      </c>
      <c r="L383">
        <v>0.1515</v>
      </c>
      <c r="M383">
        <v>0.47</v>
      </c>
      <c r="N383">
        <v>0.22389999999999999</v>
      </c>
      <c r="O383">
        <v>8</v>
      </c>
      <c r="P383">
        <v>39</v>
      </c>
      <c r="Q383">
        <v>47</v>
      </c>
    </row>
    <row r="384" spans="1:17" x14ac:dyDescent="0.35">
      <c r="A384">
        <v>383</v>
      </c>
      <c r="B384" s="1">
        <v>40560</v>
      </c>
      <c r="C384">
        <v>1</v>
      </c>
      <c r="D384">
        <v>0</v>
      </c>
      <c r="E384">
        <v>1</v>
      </c>
      <c r="F384">
        <v>10</v>
      </c>
      <c r="G384">
        <v>1</v>
      </c>
      <c r="H384">
        <v>1</v>
      </c>
      <c r="I384">
        <v>2</v>
      </c>
      <c r="J384">
        <v>0.16</v>
      </c>
      <c r="K384">
        <v>383</v>
      </c>
      <c r="L384">
        <v>0.1515</v>
      </c>
      <c r="M384">
        <v>0.5</v>
      </c>
      <c r="N384">
        <v>0.25369999999999998</v>
      </c>
      <c r="O384">
        <v>7</v>
      </c>
      <c r="P384">
        <v>50</v>
      </c>
      <c r="Q384">
        <v>57</v>
      </c>
    </row>
    <row r="385" spans="1:17" x14ac:dyDescent="0.35">
      <c r="A385">
        <v>384</v>
      </c>
      <c r="B385" s="1">
        <v>40560</v>
      </c>
      <c r="C385">
        <v>1</v>
      </c>
      <c r="D385">
        <v>0</v>
      </c>
      <c r="E385">
        <v>1</v>
      </c>
      <c r="F385">
        <v>11</v>
      </c>
      <c r="G385">
        <v>1</v>
      </c>
      <c r="H385">
        <v>1</v>
      </c>
      <c r="I385">
        <v>2</v>
      </c>
      <c r="J385">
        <v>0.16</v>
      </c>
      <c r="K385">
        <v>384</v>
      </c>
      <c r="L385">
        <v>0.1515</v>
      </c>
      <c r="M385">
        <v>0.55000000000000004</v>
      </c>
      <c r="N385">
        <v>0.19400000000000001</v>
      </c>
      <c r="O385">
        <v>9</v>
      </c>
      <c r="P385">
        <v>55</v>
      </c>
      <c r="Q385">
        <v>64</v>
      </c>
    </row>
    <row r="386" spans="1:17" x14ac:dyDescent="0.35">
      <c r="A386">
        <v>385</v>
      </c>
      <c r="B386" s="1">
        <v>40560</v>
      </c>
      <c r="C386">
        <v>1</v>
      </c>
      <c r="D386">
        <v>0</v>
      </c>
      <c r="E386">
        <v>1</v>
      </c>
      <c r="F386">
        <v>12</v>
      </c>
      <c r="G386">
        <v>1</v>
      </c>
      <c r="H386">
        <v>1</v>
      </c>
      <c r="I386">
        <v>2</v>
      </c>
      <c r="J386">
        <v>0.18</v>
      </c>
      <c r="K386">
        <v>385</v>
      </c>
      <c r="L386">
        <v>0.19700000000000001</v>
      </c>
      <c r="M386">
        <v>0.47</v>
      </c>
      <c r="N386">
        <v>0.1343</v>
      </c>
      <c r="O386">
        <v>10</v>
      </c>
      <c r="P386">
        <v>70</v>
      </c>
      <c r="Q386">
        <v>80</v>
      </c>
    </row>
    <row r="387" spans="1:17" x14ac:dyDescent="0.35">
      <c r="A387">
        <v>386</v>
      </c>
      <c r="B387" s="1">
        <v>40560</v>
      </c>
      <c r="C387">
        <v>1</v>
      </c>
      <c r="D387">
        <v>0</v>
      </c>
      <c r="E387">
        <v>1</v>
      </c>
      <c r="F387">
        <v>13</v>
      </c>
      <c r="G387">
        <v>1</v>
      </c>
      <c r="H387">
        <v>1</v>
      </c>
      <c r="I387">
        <v>2</v>
      </c>
      <c r="J387">
        <v>0.18</v>
      </c>
      <c r="K387">
        <v>386</v>
      </c>
      <c r="L387">
        <v>0.19700000000000001</v>
      </c>
      <c r="M387">
        <v>0.47</v>
      </c>
      <c r="N387">
        <v>0.1343</v>
      </c>
      <c r="O387">
        <v>13</v>
      </c>
      <c r="P387">
        <v>80</v>
      </c>
      <c r="Q387">
        <v>93</v>
      </c>
    </row>
    <row r="388" spans="1:17" x14ac:dyDescent="0.35">
      <c r="A388">
        <v>387</v>
      </c>
      <c r="B388" s="1">
        <v>40560</v>
      </c>
      <c r="C388">
        <v>1</v>
      </c>
      <c r="D388">
        <v>0</v>
      </c>
      <c r="E388">
        <v>1</v>
      </c>
      <c r="F388">
        <v>14</v>
      </c>
      <c r="G388">
        <v>1</v>
      </c>
      <c r="H388">
        <v>1</v>
      </c>
      <c r="I388">
        <v>2</v>
      </c>
      <c r="J388">
        <v>0.18</v>
      </c>
      <c r="K388">
        <v>387</v>
      </c>
      <c r="L388">
        <v>0.21210000000000001</v>
      </c>
      <c r="M388">
        <v>0.43</v>
      </c>
      <c r="N388">
        <v>0.1045</v>
      </c>
      <c r="O388">
        <v>12</v>
      </c>
      <c r="P388">
        <v>74</v>
      </c>
      <c r="Q388">
        <v>86</v>
      </c>
    </row>
    <row r="389" spans="1:17" x14ac:dyDescent="0.35">
      <c r="A389">
        <v>388</v>
      </c>
      <c r="B389" s="1">
        <v>40560</v>
      </c>
      <c r="C389">
        <v>1</v>
      </c>
      <c r="D389">
        <v>0</v>
      </c>
      <c r="E389">
        <v>1</v>
      </c>
      <c r="F389">
        <v>15</v>
      </c>
      <c r="G389">
        <v>1</v>
      </c>
      <c r="H389">
        <v>1</v>
      </c>
      <c r="I389">
        <v>2</v>
      </c>
      <c r="J389">
        <v>0.2</v>
      </c>
      <c r="K389">
        <v>388</v>
      </c>
      <c r="L389">
        <v>0.21210000000000001</v>
      </c>
      <c r="M389">
        <v>0.47</v>
      </c>
      <c r="N389">
        <v>0.16420000000000001</v>
      </c>
      <c r="O389">
        <v>21</v>
      </c>
      <c r="P389">
        <v>72</v>
      </c>
      <c r="Q389">
        <v>93</v>
      </c>
    </row>
    <row r="390" spans="1:17" x14ac:dyDescent="0.35">
      <c r="A390">
        <v>389</v>
      </c>
      <c r="B390" s="1">
        <v>40560</v>
      </c>
      <c r="C390">
        <v>1</v>
      </c>
      <c r="D390">
        <v>0</v>
      </c>
      <c r="E390">
        <v>1</v>
      </c>
      <c r="F390">
        <v>16</v>
      </c>
      <c r="G390">
        <v>1</v>
      </c>
      <c r="H390">
        <v>1</v>
      </c>
      <c r="I390">
        <v>2</v>
      </c>
      <c r="J390">
        <v>0.2</v>
      </c>
      <c r="K390">
        <v>389</v>
      </c>
      <c r="L390">
        <v>0.21210000000000001</v>
      </c>
      <c r="M390">
        <v>0.47</v>
      </c>
      <c r="N390">
        <v>0.16420000000000001</v>
      </c>
      <c r="O390">
        <v>6</v>
      </c>
      <c r="P390">
        <v>76</v>
      </c>
      <c r="Q390">
        <v>82</v>
      </c>
    </row>
    <row r="391" spans="1:17" x14ac:dyDescent="0.35">
      <c r="A391">
        <v>390</v>
      </c>
      <c r="B391" s="1">
        <v>40560</v>
      </c>
      <c r="C391">
        <v>1</v>
      </c>
      <c r="D391">
        <v>0</v>
      </c>
      <c r="E391">
        <v>1</v>
      </c>
      <c r="F391">
        <v>17</v>
      </c>
      <c r="G391">
        <v>1</v>
      </c>
      <c r="H391">
        <v>1</v>
      </c>
      <c r="I391">
        <v>1</v>
      </c>
      <c r="J391">
        <v>0.2</v>
      </c>
      <c r="K391">
        <v>390</v>
      </c>
      <c r="L391">
        <v>0.19700000000000001</v>
      </c>
      <c r="M391">
        <v>0.51</v>
      </c>
      <c r="N391">
        <v>0.19400000000000001</v>
      </c>
      <c r="O391">
        <v>4</v>
      </c>
      <c r="P391">
        <v>67</v>
      </c>
      <c r="Q391">
        <v>71</v>
      </c>
    </row>
    <row r="392" spans="1:17" x14ac:dyDescent="0.35">
      <c r="A392">
        <v>391</v>
      </c>
      <c r="B392" s="1">
        <v>40560</v>
      </c>
      <c r="C392">
        <v>1</v>
      </c>
      <c r="D392">
        <v>0</v>
      </c>
      <c r="E392">
        <v>1</v>
      </c>
      <c r="F392">
        <v>18</v>
      </c>
      <c r="G392">
        <v>1</v>
      </c>
      <c r="H392">
        <v>1</v>
      </c>
      <c r="I392">
        <v>2</v>
      </c>
      <c r="J392">
        <v>0.18</v>
      </c>
      <c r="K392">
        <v>391</v>
      </c>
      <c r="L392">
        <v>0.16669999999999999</v>
      </c>
      <c r="M392">
        <v>0.55000000000000004</v>
      </c>
      <c r="N392">
        <v>0.25369999999999998</v>
      </c>
      <c r="O392">
        <v>7</v>
      </c>
      <c r="P392">
        <v>85</v>
      </c>
      <c r="Q392">
        <v>92</v>
      </c>
    </row>
    <row r="393" spans="1:17" x14ac:dyDescent="0.35">
      <c r="A393">
        <v>392</v>
      </c>
      <c r="B393" s="1">
        <v>40560</v>
      </c>
      <c r="C393">
        <v>1</v>
      </c>
      <c r="D393">
        <v>0</v>
      </c>
      <c r="E393">
        <v>1</v>
      </c>
      <c r="F393">
        <v>19</v>
      </c>
      <c r="G393">
        <v>1</v>
      </c>
      <c r="H393">
        <v>1</v>
      </c>
      <c r="I393">
        <v>3</v>
      </c>
      <c r="J393">
        <v>0.18</v>
      </c>
      <c r="K393">
        <v>392</v>
      </c>
      <c r="L393">
        <v>0.18179999999999999</v>
      </c>
      <c r="M393">
        <v>0.59</v>
      </c>
      <c r="N393">
        <v>0.19400000000000001</v>
      </c>
      <c r="O393">
        <v>2</v>
      </c>
      <c r="P393">
        <v>58</v>
      </c>
      <c r="Q393">
        <v>60</v>
      </c>
    </row>
    <row r="394" spans="1:17" x14ac:dyDescent="0.35">
      <c r="A394">
        <v>393</v>
      </c>
      <c r="B394" s="1">
        <v>40560</v>
      </c>
      <c r="C394">
        <v>1</v>
      </c>
      <c r="D394">
        <v>0</v>
      </c>
      <c r="E394">
        <v>1</v>
      </c>
      <c r="F394">
        <v>20</v>
      </c>
      <c r="G394">
        <v>1</v>
      </c>
      <c r="H394">
        <v>1</v>
      </c>
      <c r="I394">
        <v>3</v>
      </c>
      <c r="J394">
        <v>0.16</v>
      </c>
      <c r="K394">
        <v>393</v>
      </c>
      <c r="L394">
        <v>0.1515</v>
      </c>
      <c r="M394">
        <v>0.8</v>
      </c>
      <c r="N394">
        <v>0.19400000000000001</v>
      </c>
      <c r="O394">
        <v>4</v>
      </c>
      <c r="P394">
        <v>29</v>
      </c>
      <c r="Q394">
        <v>33</v>
      </c>
    </row>
    <row r="395" spans="1:17" x14ac:dyDescent="0.35">
      <c r="A395">
        <v>394</v>
      </c>
      <c r="B395" s="1">
        <v>40560</v>
      </c>
      <c r="C395">
        <v>1</v>
      </c>
      <c r="D395">
        <v>0</v>
      </c>
      <c r="E395">
        <v>1</v>
      </c>
      <c r="F395">
        <v>21</v>
      </c>
      <c r="G395">
        <v>1</v>
      </c>
      <c r="H395">
        <v>1</v>
      </c>
      <c r="I395">
        <v>3</v>
      </c>
      <c r="J395">
        <v>0.16</v>
      </c>
      <c r="K395">
        <v>394</v>
      </c>
      <c r="L395">
        <v>0.1515</v>
      </c>
      <c r="M395">
        <v>0.8</v>
      </c>
      <c r="N395">
        <v>0.19400000000000001</v>
      </c>
      <c r="O395">
        <v>3</v>
      </c>
      <c r="P395">
        <v>24</v>
      </c>
      <c r="Q395">
        <v>27</v>
      </c>
    </row>
    <row r="396" spans="1:17" x14ac:dyDescent="0.35">
      <c r="A396">
        <v>395</v>
      </c>
      <c r="B396" s="1">
        <v>40560</v>
      </c>
      <c r="C396">
        <v>1</v>
      </c>
      <c r="D396">
        <v>0</v>
      </c>
      <c r="E396">
        <v>1</v>
      </c>
      <c r="F396">
        <v>22</v>
      </c>
      <c r="G396">
        <v>1</v>
      </c>
      <c r="H396">
        <v>1</v>
      </c>
      <c r="I396">
        <v>3</v>
      </c>
      <c r="J396">
        <v>0.14000000000000001</v>
      </c>
      <c r="K396">
        <v>395</v>
      </c>
      <c r="L396">
        <v>0.1212</v>
      </c>
      <c r="M396">
        <v>0.93</v>
      </c>
      <c r="N396">
        <v>0.25369999999999998</v>
      </c>
      <c r="O396">
        <v>0</v>
      </c>
      <c r="P396">
        <v>13</v>
      </c>
      <c r="Q396">
        <v>13</v>
      </c>
    </row>
    <row r="397" spans="1:17" x14ac:dyDescent="0.35">
      <c r="A397">
        <v>396</v>
      </c>
      <c r="B397" s="1">
        <v>40560</v>
      </c>
      <c r="C397">
        <v>1</v>
      </c>
      <c r="D397">
        <v>0</v>
      </c>
      <c r="E397">
        <v>1</v>
      </c>
      <c r="F397">
        <v>23</v>
      </c>
      <c r="G397">
        <v>1</v>
      </c>
      <c r="H397">
        <v>1</v>
      </c>
      <c r="I397">
        <v>3</v>
      </c>
      <c r="J397">
        <v>0.16</v>
      </c>
      <c r="K397">
        <v>396</v>
      </c>
      <c r="L397">
        <v>0.13639999999999999</v>
      </c>
      <c r="M397">
        <v>0.86</v>
      </c>
      <c r="N397">
        <v>0.28360000000000002</v>
      </c>
      <c r="O397">
        <v>1</v>
      </c>
      <c r="P397">
        <v>3</v>
      </c>
      <c r="Q397">
        <v>4</v>
      </c>
    </row>
    <row r="398" spans="1:17" x14ac:dyDescent="0.35">
      <c r="A398">
        <v>397</v>
      </c>
      <c r="B398" s="1">
        <v>40561</v>
      </c>
      <c r="C398">
        <v>1</v>
      </c>
      <c r="D398">
        <v>0</v>
      </c>
      <c r="E398">
        <v>1</v>
      </c>
      <c r="F398">
        <v>12</v>
      </c>
      <c r="G398">
        <v>0</v>
      </c>
      <c r="H398">
        <v>2</v>
      </c>
      <c r="I398">
        <v>2</v>
      </c>
      <c r="J398">
        <v>0.2</v>
      </c>
      <c r="K398">
        <v>397</v>
      </c>
      <c r="L398">
        <v>0.18179999999999999</v>
      </c>
      <c r="M398">
        <v>0.86</v>
      </c>
      <c r="N398">
        <v>0.32840000000000003</v>
      </c>
      <c r="O398">
        <v>0</v>
      </c>
      <c r="P398">
        <v>3</v>
      </c>
      <c r="Q398">
        <v>3</v>
      </c>
    </row>
    <row r="399" spans="1:17" x14ac:dyDescent="0.35">
      <c r="A399">
        <v>398</v>
      </c>
      <c r="B399" s="1">
        <v>40561</v>
      </c>
      <c r="C399">
        <v>1</v>
      </c>
      <c r="D399">
        <v>0</v>
      </c>
      <c r="E399">
        <v>1</v>
      </c>
      <c r="F399">
        <v>13</v>
      </c>
      <c r="G399">
        <v>0</v>
      </c>
      <c r="H399">
        <v>2</v>
      </c>
      <c r="I399">
        <v>2</v>
      </c>
      <c r="J399">
        <v>0.2</v>
      </c>
      <c r="K399">
        <v>398</v>
      </c>
      <c r="L399">
        <v>0.19700000000000001</v>
      </c>
      <c r="M399">
        <v>0.86</v>
      </c>
      <c r="N399">
        <v>0.22389999999999999</v>
      </c>
      <c r="O399">
        <v>0</v>
      </c>
      <c r="P399">
        <v>22</v>
      </c>
      <c r="Q399">
        <v>22</v>
      </c>
    </row>
    <row r="400" spans="1:17" x14ac:dyDescent="0.35">
      <c r="A400">
        <v>399</v>
      </c>
      <c r="B400" s="1">
        <v>40561</v>
      </c>
      <c r="C400">
        <v>1</v>
      </c>
      <c r="D400">
        <v>0</v>
      </c>
      <c r="E400">
        <v>1</v>
      </c>
      <c r="F400">
        <v>14</v>
      </c>
      <c r="G400">
        <v>0</v>
      </c>
      <c r="H400">
        <v>2</v>
      </c>
      <c r="I400">
        <v>2</v>
      </c>
      <c r="J400">
        <v>0.22</v>
      </c>
      <c r="K400">
        <v>399</v>
      </c>
      <c r="L400">
        <v>0.2273</v>
      </c>
      <c r="M400">
        <v>0.8</v>
      </c>
      <c r="N400">
        <v>0.16420000000000001</v>
      </c>
      <c r="O400">
        <v>2</v>
      </c>
      <c r="P400">
        <v>26</v>
      </c>
      <c r="Q400">
        <v>28</v>
      </c>
    </row>
    <row r="401" spans="1:17" x14ac:dyDescent="0.35">
      <c r="A401">
        <v>400</v>
      </c>
      <c r="B401" s="1">
        <v>40561</v>
      </c>
      <c r="C401">
        <v>1</v>
      </c>
      <c r="D401">
        <v>0</v>
      </c>
      <c r="E401">
        <v>1</v>
      </c>
      <c r="F401">
        <v>15</v>
      </c>
      <c r="G401">
        <v>0</v>
      </c>
      <c r="H401">
        <v>2</v>
      </c>
      <c r="I401">
        <v>2</v>
      </c>
      <c r="J401">
        <v>0.22</v>
      </c>
      <c r="K401">
        <v>400</v>
      </c>
      <c r="L401">
        <v>0.2273</v>
      </c>
      <c r="M401">
        <v>0.87</v>
      </c>
      <c r="N401">
        <v>0.16420000000000001</v>
      </c>
      <c r="O401">
        <v>3</v>
      </c>
      <c r="P401">
        <v>32</v>
      </c>
      <c r="Q401">
        <v>35</v>
      </c>
    </row>
    <row r="402" spans="1:17" x14ac:dyDescent="0.35">
      <c r="A402">
        <v>401</v>
      </c>
      <c r="B402" s="1">
        <v>40561</v>
      </c>
      <c r="C402">
        <v>1</v>
      </c>
      <c r="D402">
        <v>0</v>
      </c>
      <c r="E402">
        <v>1</v>
      </c>
      <c r="F402">
        <v>16</v>
      </c>
      <c r="G402">
        <v>0</v>
      </c>
      <c r="H402">
        <v>2</v>
      </c>
      <c r="I402">
        <v>2</v>
      </c>
      <c r="J402">
        <v>0.22</v>
      </c>
      <c r="K402">
        <v>401</v>
      </c>
      <c r="L402">
        <v>0.2273</v>
      </c>
      <c r="M402">
        <v>0.87</v>
      </c>
      <c r="N402">
        <v>0.19400000000000001</v>
      </c>
      <c r="O402">
        <v>0</v>
      </c>
      <c r="P402">
        <v>61</v>
      </c>
      <c r="Q402">
        <v>61</v>
      </c>
    </row>
    <row r="403" spans="1:17" x14ac:dyDescent="0.35">
      <c r="A403">
        <v>402</v>
      </c>
      <c r="B403" s="1">
        <v>40561</v>
      </c>
      <c r="C403">
        <v>1</v>
      </c>
      <c r="D403">
        <v>0</v>
      </c>
      <c r="E403">
        <v>1</v>
      </c>
      <c r="F403">
        <v>17</v>
      </c>
      <c r="G403">
        <v>0</v>
      </c>
      <c r="H403">
        <v>2</v>
      </c>
      <c r="I403">
        <v>2</v>
      </c>
      <c r="J403">
        <v>0.22</v>
      </c>
      <c r="K403">
        <v>402</v>
      </c>
      <c r="L403">
        <v>0.2273</v>
      </c>
      <c r="M403">
        <v>0.82</v>
      </c>
      <c r="N403">
        <v>0.19400000000000001</v>
      </c>
      <c r="O403">
        <v>1</v>
      </c>
      <c r="P403">
        <v>124</v>
      </c>
      <c r="Q403">
        <v>125</v>
      </c>
    </row>
    <row r="404" spans="1:17" x14ac:dyDescent="0.35">
      <c r="A404">
        <v>403</v>
      </c>
      <c r="B404" s="1">
        <v>40561</v>
      </c>
      <c r="C404">
        <v>1</v>
      </c>
      <c r="D404">
        <v>0</v>
      </c>
      <c r="E404">
        <v>1</v>
      </c>
      <c r="F404">
        <v>18</v>
      </c>
      <c r="G404">
        <v>0</v>
      </c>
      <c r="H404">
        <v>2</v>
      </c>
      <c r="I404">
        <v>2</v>
      </c>
      <c r="J404">
        <v>0.22</v>
      </c>
      <c r="K404">
        <v>403</v>
      </c>
      <c r="L404">
        <v>0.2273</v>
      </c>
      <c r="M404">
        <v>0.8</v>
      </c>
      <c r="N404">
        <v>0.16420000000000001</v>
      </c>
      <c r="O404">
        <v>1</v>
      </c>
      <c r="P404">
        <v>132</v>
      </c>
      <c r="Q404">
        <v>133</v>
      </c>
    </row>
    <row r="405" spans="1:17" x14ac:dyDescent="0.35">
      <c r="A405">
        <v>404</v>
      </c>
      <c r="B405" s="1">
        <v>40561</v>
      </c>
      <c r="C405">
        <v>1</v>
      </c>
      <c r="D405">
        <v>0</v>
      </c>
      <c r="E405">
        <v>1</v>
      </c>
      <c r="F405">
        <v>19</v>
      </c>
      <c r="G405">
        <v>0</v>
      </c>
      <c r="H405">
        <v>2</v>
      </c>
      <c r="I405">
        <v>2</v>
      </c>
      <c r="J405">
        <v>0.22</v>
      </c>
      <c r="K405">
        <v>404</v>
      </c>
      <c r="L405">
        <v>0.2273</v>
      </c>
      <c r="M405">
        <v>0.8</v>
      </c>
      <c r="N405">
        <v>0.1343</v>
      </c>
      <c r="O405">
        <v>1</v>
      </c>
      <c r="P405">
        <v>98</v>
      </c>
      <c r="Q405">
        <v>99</v>
      </c>
    </row>
    <row r="406" spans="1:17" x14ac:dyDescent="0.35">
      <c r="A406">
        <v>405</v>
      </c>
      <c r="B406" s="1">
        <v>40561</v>
      </c>
      <c r="C406">
        <v>1</v>
      </c>
      <c r="D406">
        <v>0</v>
      </c>
      <c r="E406">
        <v>1</v>
      </c>
      <c r="F406">
        <v>20</v>
      </c>
      <c r="G406">
        <v>0</v>
      </c>
      <c r="H406">
        <v>2</v>
      </c>
      <c r="I406">
        <v>2</v>
      </c>
      <c r="J406">
        <v>0.22</v>
      </c>
      <c r="K406">
        <v>405</v>
      </c>
      <c r="L406">
        <v>0.2727</v>
      </c>
      <c r="M406">
        <v>0.87</v>
      </c>
      <c r="N406">
        <v>0</v>
      </c>
      <c r="O406">
        <v>0</v>
      </c>
      <c r="P406">
        <v>83</v>
      </c>
      <c r="Q406">
        <v>83</v>
      </c>
    </row>
    <row r="407" spans="1:17" x14ac:dyDescent="0.35">
      <c r="A407">
        <v>406</v>
      </c>
      <c r="B407" s="1">
        <v>40561</v>
      </c>
      <c r="C407">
        <v>1</v>
      </c>
      <c r="D407">
        <v>0</v>
      </c>
      <c r="E407">
        <v>1</v>
      </c>
      <c r="F407">
        <v>21</v>
      </c>
      <c r="G407">
        <v>0</v>
      </c>
      <c r="H407">
        <v>2</v>
      </c>
      <c r="I407">
        <v>2</v>
      </c>
      <c r="J407">
        <v>0.22</v>
      </c>
      <c r="K407">
        <v>406</v>
      </c>
      <c r="L407">
        <v>0.2424</v>
      </c>
      <c r="M407">
        <v>0.93</v>
      </c>
      <c r="N407">
        <v>0.1045</v>
      </c>
      <c r="O407">
        <v>0</v>
      </c>
      <c r="P407">
        <v>41</v>
      </c>
      <c r="Q407">
        <v>41</v>
      </c>
    </row>
    <row r="408" spans="1:17" x14ac:dyDescent="0.35">
      <c r="A408">
        <v>407</v>
      </c>
      <c r="B408" s="1">
        <v>40561</v>
      </c>
      <c r="C408">
        <v>1</v>
      </c>
      <c r="D408">
        <v>0</v>
      </c>
      <c r="E408">
        <v>1</v>
      </c>
      <c r="F408">
        <v>22</v>
      </c>
      <c r="G408">
        <v>0</v>
      </c>
      <c r="H408">
        <v>2</v>
      </c>
      <c r="I408">
        <v>2</v>
      </c>
      <c r="J408">
        <v>0.22</v>
      </c>
      <c r="K408">
        <v>407</v>
      </c>
      <c r="L408">
        <v>0.2576</v>
      </c>
      <c r="M408">
        <v>0.93</v>
      </c>
      <c r="N408">
        <v>8.9599999999999999E-2</v>
      </c>
      <c r="O408">
        <v>0</v>
      </c>
      <c r="P408">
        <v>33</v>
      </c>
      <c r="Q408">
        <v>33</v>
      </c>
    </row>
    <row r="409" spans="1:17" x14ac:dyDescent="0.35">
      <c r="A409">
        <v>408</v>
      </c>
      <c r="B409" s="1">
        <v>40561</v>
      </c>
      <c r="C409">
        <v>1</v>
      </c>
      <c r="D409">
        <v>0</v>
      </c>
      <c r="E409">
        <v>1</v>
      </c>
      <c r="F409">
        <v>23</v>
      </c>
      <c r="G409">
        <v>0</v>
      </c>
      <c r="H409">
        <v>2</v>
      </c>
      <c r="I409">
        <v>2</v>
      </c>
      <c r="J409">
        <v>0.22</v>
      </c>
      <c r="K409">
        <v>408</v>
      </c>
      <c r="L409">
        <v>0.2727</v>
      </c>
      <c r="M409">
        <v>0.93</v>
      </c>
      <c r="N409">
        <v>0</v>
      </c>
      <c r="O409">
        <v>1</v>
      </c>
      <c r="P409">
        <v>19</v>
      </c>
      <c r="Q409">
        <v>20</v>
      </c>
    </row>
    <row r="410" spans="1:17" x14ac:dyDescent="0.35">
      <c r="A410">
        <v>409</v>
      </c>
      <c r="B410" s="1">
        <v>40562</v>
      </c>
      <c r="C410">
        <v>1</v>
      </c>
      <c r="D410">
        <v>0</v>
      </c>
      <c r="E410">
        <v>1</v>
      </c>
      <c r="F410">
        <v>0</v>
      </c>
      <c r="G410">
        <v>0</v>
      </c>
      <c r="H410">
        <v>3</v>
      </c>
      <c r="I410">
        <v>2</v>
      </c>
      <c r="J410">
        <v>0.22</v>
      </c>
      <c r="K410">
        <v>409</v>
      </c>
      <c r="L410">
        <v>0.2727</v>
      </c>
      <c r="M410">
        <v>0.93</v>
      </c>
      <c r="N410">
        <v>0</v>
      </c>
      <c r="O410">
        <v>0</v>
      </c>
      <c r="P410">
        <v>3</v>
      </c>
      <c r="Q410">
        <v>3</v>
      </c>
    </row>
    <row r="411" spans="1:17" x14ac:dyDescent="0.35">
      <c r="A411">
        <v>410</v>
      </c>
      <c r="B411" s="1">
        <v>40562</v>
      </c>
      <c r="C411">
        <v>1</v>
      </c>
      <c r="D411">
        <v>0</v>
      </c>
      <c r="E411">
        <v>1</v>
      </c>
      <c r="F411">
        <v>1</v>
      </c>
      <c r="G411">
        <v>0</v>
      </c>
      <c r="H411">
        <v>3</v>
      </c>
      <c r="I411">
        <v>3</v>
      </c>
      <c r="J411">
        <v>0.22</v>
      </c>
      <c r="K411">
        <v>410</v>
      </c>
      <c r="L411">
        <v>0.2273</v>
      </c>
      <c r="M411">
        <v>0.93</v>
      </c>
      <c r="N411">
        <v>0.1343</v>
      </c>
      <c r="O411">
        <v>1</v>
      </c>
      <c r="P411">
        <v>6</v>
      </c>
      <c r="Q411">
        <v>7</v>
      </c>
    </row>
    <row r="412" spans="1:17" x14ac:dyDescent="0.35">
      <c r="A412">
        <v>411</v>
      </c>
      <c r="B412" s="1">
        <v>40562</v>
      </c>
      <c r="C412">
        <v>1</v>
      </c>
      <c r="D412">
        <v>0</v>
      </c>
      <c r="E412">
        <v>1</v>
      </c>
      <c r="F412">
        <v>2</v>
      </c>
      <c r="G412">
        <v>0</v>
      </c>
      <c r="H412">
        <v>3</v>
      </c>
      <c r="I412">
        <v>3</v>
      </c>
      <c r="J412">
        <v>0.22</v>
      </c>
      <c r="K412">
        <v>411</v>
      </c>
      <c r="L412">
        <v>0.2273</v>
      </c>
      <c r="M412">
        <v>0.93</v>
      </c>
      <c r="N412">
        <v>0.1343</v>
      </c>
      <c r="O412">
        <v>0</v>
      </c>
      <c r="P412">
        <v>3</v>
      </c>
      <c r="Q412">
        <v>3</v>
      </c>
    </row>
    <row r="413" spans="1:17" x14ac:dyDescent="0.35">
      <c r="A413">
        <v>412</v>
      </c>
      <c r="B413" s="1">
        <v>40562</v>
      </c>
      <c r="C413">
        <v>1</v>
      </c>
      <c r="D413">
        <v>0</v>
      </c>
      <c r="E413">
        <v>1</v>
      </c>
      <c r="F413">
        <v>4</v>
      </c>
      <c r="G413">
        <v>0</v>
      </c>
      <c r="H413">
        <v>3</v>
      </c>
      <c r="I413">
        <v>3</v>
      </c>
      <c r="J413">
        <v>0.22</v>
      </c>
      <c r="K413">
        <v>412</v>
      </c>
      <c r="L413">
        <v>0.2273</v>
      </c>
      <c r="M413">
        <v>0.93</v>
      </c>
      <c r="N413">
        <v>0.1343</v>
      </c>
      <c r="O413">
        <v>1</v>
      </c>
      <c r="P413">
        <v>1</v>
      </c>
      <c r="Q413">
        <v>2</v>
      </c>
    </row>
    <row r="414" spans="1:17" x14ac:dyDescent="0.35">
      <c r="A414">
        <v>413</v>
      </c>
      <c r="B414" s="1">
        <v>40562</v>
      </c>
      <c r="C414">
        <v>1</v>
      </c>
      <c r="D414">
        <v>0</v>
      </c>
      <c r="E414">
        <v>1</v>
      </c>
      <c r="F414">
        <v>5</v>
      </c>
      <c r="G414">
        <v>0</v>
      </c>
      <c r="H414">
        <v>3</v>
      </c>
      <c r="I414">
        <v>2</v>
      </c>
      <c r="J414">
        <v>0.22</v>
      </c>
      <c r="K414">
        <v>413</v>
      </c>
      <c r="L414">
        <v>0.2576</v>
      </c>
      <c r="M414">
        <v>0.93</v>
      </c>
      <c r="N414">
        <v>8.9599999999999999E-2</v>
      </c>
      <c r="O414">
        <v>0</v>
      </c>
      <c r="P414">
        <v>7</v>
      </c>
      <c r="Q414">
        <v>7</v>
      </c>
    </row>
    <row r="415" spans="1:17" x14ac:dyDescent="0.35">
      <c r="A415">
        <v>414</v>
      </c>
      <c r="B415" s="1">
        <v>40562</v>
      </c>
      <c r="C415">
        <v>1</v>
      </c>
      <c r="D415">
        <v>0</v>
      </c>
      <c r="E415">
        <v>1</v>
      </c>
      <c r="F415">
        <v>6</v>
      </c>
      <c r="G415">
        <v>0</v>
      </c>
      <c r="H415">
        <v>3</v>
      </c>
      <c r="I415">
        <v>2</v>
      </c>
      <c r="J415">
        <v>0.22</v>
      </c>
      <c r="K415">
        <v>414</v>
      </c>
      <c r="L415">
        <v>0.2576</v>
      </c>
      <c r="M415">
        <v>0.93</v>
      </c>
      <c r="N415">
        <v>8.9599999999999999E-2</v>
      </c>
      <c r="O415">
        <v>0</v>
      </c>
      <c r="P415">
        <v>32</v>
      </c>
      <c r="Q415">
        <v>32</v>
      </c>
    </row>
    <row r="416" spans="1:17" x14ac:dyDescent="0.35">
      <c r="A416">
        <v>415</v>
      </c>
      <c r="B416" s="1">
        <v>40562</v>
      </c>
      <c r="C416">
        <v>1</v>
      </c>
      <c r="D416">
        <v>0</v>
      </c>
      <c r="E416">
        <v>1</v>
      </c>
      <c r="F416">
        <v>7</v>
      </c>
      <c r="G416">
        <v>0</v>
      </c>
      <c r="H416">
        <v>3</v>
      </c>
      <c r="I416">
        <v>2</v>
      </c>
      <c r="J416">
        <v>0.24</v>
      </c>
      <c r="K416">
        <v>415</v>
      </c>
      <c r="L416">
        <v>0.2576</v>
      </c>
      <c r="M416">
        <v>0.92</v>
      </c>
      <c r="N416">
        <v>0.1045</v>
      </c>
      <c r="O416">
        <v>1</v>
      </c>
      <c r="P416">
        <v>89</v>
      </c>
      <c r="Q416">
        <v>90</v>
      </c>
    </row>
    <row r="417" spans="1:17" x14ac:dyDescent="0.35">
      <c r="A417">
        <v>416</v>
      </c>
      <c r="B417" s="1">
        <v>40562</v>
      </c>
      <c r="C417">
        <v>1</v>
      </c>
      <c r="D417">
        <v>0</v>
      </c>
      <c r="E417">
        <v>1</v>
      </c>
      <c r="F417">
        <v>8</v>
      </c>
      <c r="G417">
        <v>0</v>
      </c>
      <c r="H417">
        <v>3</v>
      </c>
      <c r="I417">
        <v>2</v>
      </c>
      <c r="J417">
        <v>0.24</v>
      </c>
      <c r="K417">
        <v>416</v>
      </c>
      <c r="L417">
        <v>0.2576</v>
      </c>
      <c r="M417">
        <v>0.93</v>
      </c>
      <c r="N417">
        <v>0.1045</v>
      </c>
      <c r="O417">
        <v>1</v>
      </c>
      <c r="P417">
        <v>196</v>
      </c>
      <c r="Q417">
        <v>197</v>
      </c>
    </row>
    <row r="418" spans="1:17" x14ac:dyDescent="0.35">
      <c r="A418">
        <v>417</v>
      </c>
      <c r="B418" s="1">
        <v>40562</v>
      </c>
      <c r="C418">
        <v>1</v>
      </c>
      <c r="D418">
        <v>0</v>
      </c>
      <c r="E418">
        <v>1</v>
      </c>
      <c r="F418">
        <v>9</v>
      </c>
      <c r="G418">
        <v>0</v>
      </c>
      <c r="H418">
        <v>3</v>
      </c>
      <c r="I418">
        <v>2</v>
      </c>
      <c r="J418">
        <v>0.24</v>
      </c>
      <c r="K418">
        <v>417</v>
      </c>
      <c r="L418">
        <v>0.2576</v>
      </c>
      <c r="M418">
        <v>0.93</v>
      </c>
      <c r="N418">
        <v>0.1045</v>
      </c>
      <c r="O418">
        <v>2</v>
      </c>
      <c r="P418">
        <v>107</v>
      </c>
      <c r="Q418">
        <v>109</v>
      </c>
    </row>
    <row r="419" spans="1:17" x14ac:dyDescent="0.35">
      <c r="A419">
        <v>418</v>
      </c>
      <c r="B419" s="1">
        <v>40562</v>
      </c>
      <c r="C419">
        <v>1</v>
      </c>
      <c r="D419">
        <v>0</v>
      </c>
      <c r="E419">
        <v>1</v>
      </c>
      <c r="F419">
        <v>10</v>
      </c>
      <c r="G419">
        <v>0</v>
      </c>
      <c r="H419">
        <v>3</v>
      </c>
      <c r="I419">
        <v>2</v>
      </c>
      <c r="J419">
        <v>0.26</v>
      </c>
      <c r="K419">
        <v>418</v>
      </c>
      <c r="L419">
        <v>0.2727</v>
      </c>
      <c r="M419">
        <v>0.93</v>
      </c>
      <c r="N419">
        <v>0.1343</v>
      </c>
      <c r="O419">
        <v>1</v>
      </c>
      <c r="P419">
        <v>46</v>
      </c>
      <c r="Q419">
        <v>47</v>
      </c>
    </row>
    <row r="420" spans="1:17" x14ac:dyDescent="0.35">
      <c r="A420">
        <v>419</v>
      </c>
      <c r="B420" s="1">
        <v>40562</v>
      </c>
      <c r="C420">
        <v>1</v>
      </c>
      <c r="D420">
        <v>0</v>
      </c>
      <c r="E420">
        <v>1</v>
      </c>
      <c r="F420">
        <v>11</v>
      </c>
      <c r="G420">
        <v>0</v>
      </c>
      <c r="H420">
        <v>3</v>
      </c>
      <c r="I420">
        <v>2</v>
      </c>
      <c r="J420">
        <v>0.28000000000000003</v>
      </c>
      <c r="K420">
        <v>419</v>
      </c>
      <c r="L420">
        <v>0.30299999999999999</v>
      </c>
      <c r="M420">
        <v>0.87</v>
      </c>
      <c r="N420">
        <v>8.9599999999999999E-2</v>
      </c>
      <c r="O420">
        <v>5</v>
      </c>
      <c r="P420">
        <v>47</v>
      </c>
      <c r="Q420">
        <v>52</v>
      </c>
    </row>
    <row r="421" spans="1:17" x14ac:dyDescent="0.35">
      <c r="A421">
        <v>420</v>
      </c>
      <c r="B421" s="1">
        <v>40562</v>
      </c>
      <c r="C421">
        <v>1</v>
      </c>
      <c r="D421">
        <v>0</v>
      </c>
      <c r="E421">
        <v>1</v>
      </c>
      <c r="F421">
        <v>12</v>
      </c>
      <c r="G421">
        <v>0</v>
      </c>
      <c r="H421">
        <v>3</v>
      </c>
      <c r="I421">
        <v>2</v>
      </c>
      <c r="J421">
        <v>0.3</v>
      </c>
      <c r="K421">
        <v>420</v>
      </c>
      <c r="L421">
        <v>0.31819999999999998</v>
      </c>
      <c r="M421">
        <v>0.81</v>
      </c>
      <c r="N421">
        <v>8.9599999999999999E-2</v>
      </c>
      <c r="O421">
        <v>5</v>
      </c>
      <c r="P421">
        <v>65</v>
      </c>
      <c r="Q421">
        <v>70</v>
      </c>
    </row>
    <row r="422" spans="1:17" x14ac:dyDescent="0.35">
      <c r="A422">
        <v>421</v>
      </c>
      <c r="B422" s="1">
        <v>40562</v>
      </c>
      <c r="C422">
        <v>1</v>
      </c>
      <c r="D422">
        <v>0</v>
      </c>
      <c r="E422">
        <v>1</v>
      </c>
      <c r="F422">
        <v>13</v>
      </c>
      <c r="G422">
        <v>0</v>
      </c>
      <c r="H422">
        <v>3</v>
      </c>
      <c r="I422">
        <v>1</v>
      </c>
      <c r="J422">
        <v>0.4</v>
      </c>
      <c r="K422">
        <v>421</v>
      </c>
      <c r="L422">
        <v>0.40910000000000002</v>
      </c>
      <c r="M422">
        <v>0.62</v>
      </c>
      <c r="N422">
        <v>0.28360000000000002</v>
      </c>
      <c r="O422">
        <v>11</v>
      </c>
      <c r="P422">
        <v>67</v>
      </c>
      <c r="Q422">
        <v>78</v>
      </c>
    </row>
    <row r="423" spans="1:17" x14ac:dyDescent="0.35">
      <c r="A423">
        <v>422</v>
      </c>
      <c r="B423" s="1">
        <v>40562</v>
      </c>
      <c r="C423">
        <v>1</v>
      </c>
      <c r="D423">
        <v>0</v>
      </c>
      <c r="E423">
        <v>1</v>
      </c>
      <c r="F423">
        <v>14</v>
      </c>
      <c r="G423">
        <v>0</v>
      </c>
      <c r="H423">
        <v>3</v>
      </c>
      <c r="I423">
        <v>1</v>
      </c>
      <c r="J423">
        <v>0.4</v>
      </c>
      <c r="K423">
        <v>422</v>
      </c>
      <c r="L423">
        <v>0.40910000000000002</v>
      </c>
      <c r="M423">
        <v>0.57999999999999996</v>
      </c>
      <c r="N423">
        <v>0.25369999999999998</v>
      </c>
      <c r="O423">
        <v>7</v>
      </c>
      <c r="P423">
        <v>68</v>
      </c>
      <c r="Q423">
        <v>75</v>
      </c>
    </row>
    <row r="424" spans="1:17" x14ac:dyDescent="0.35">
      <c r="A424">
        <v>423</v>
      </c>
      <c r="B424" s="1">
        <v>40562</v>
      </c>
      <c r="C424">
        <v>1</v>
      </c>
      <c r="D424">
        <v>0</v>
      </c>
      <c r="E424">
        <v>1</v>
      </c>
      <c r="F424">
        <v>15</v>
      </c>
      <c r="G424">
        <v>0</v>
      </c>
      <c r="H424">
        <v>3</v>
      </c>
      <c r="I424">
        <v>1</v>
      </c>
      <c r="J424">
        <v>0.4</v>
      </c>
      <c r="K424">
        <v>423</v>
      </c>
      <c r="L424">
        <v>0.40910000000000002</v>
      </c>
      <c r="M424">
        <v>0.54</v>
      </c>
      <c r="N424">
        <v>0.28360000000000002</v>
      </c>
      <c r="O424">
        <v>4</v>
      </c>
      <c r="P424">
        <v>78</v>
      </c>
      <c r="Q424">
        <v>82</v>
      </c>
    </row>
    <row r="425" spans="1:17" x14ac:dyDescent="0.35">
      <c r="A425">
        <v>424</v>
      </c>
      <c r="B425" s="1">
        <v>40562</v>
      </c>
      <c r="C425">
        <v>1</v>
      </c>
      <c r="D425">
        <v>0</v>
      </c>
      <c r="E425">
        <v>1</v>
      </c>
      <c r="F425">
        <v>16</v>
      </c>
      <c r="G425">
        <v>0</v>
      </c>
      <c r="H425">
        <v>3</v>
      </c>
      <c r="I425">
        <v>1</v>
      </c>
      <c r="J425">
        <v>0.38</v>
      </c>
      <c r="K425">
        <v>424</v>
      </c>
      <c r="L425">
        <v>0.39389999999999997</v>
      </c>
      <c r="M425">
        <v>0.57999999999999996</v>
      </c>
      <c r="N425">
        <v>0.3881</v>
      </c>
      <c r="O425">
        <v>10</v>
      </c>
      <c r="P425">
        <v>94</v>
      </c>
      <c r="Q425">
        <v>104</v>
      </c>
    </row>
    <row r="426" spans="1:17" x14ac:dyDescent="0.35">
      <c r="A426">
        <v>425</v>
      </c>
      <c r="B426" s="1">
        <v>40562</v>
      </c>
      <c r="C426">
        <v>1</v>
      </c>
      <c r="D426">
        <v>0</v>
      </c>
      <c r="E426">
        <v>1</v>
      </c>
      <c r="F426">
        <v>17</v>
      </c>
      <c r="G426">
        <v>0</v>
      </c>
      <c r="H426">
        <v>3</v>
      </c>
      <c r="I426">
        <v>1</v>
      </c>
      <c r="J426">
        <v>0.36</v>
      </c>
      <c r="K426">
        <v>425</v>
      </c>
      <c r="L426">
        <v>0.33329999999999999</v>
      </c>
      <c r="M426">
        <v>0.56999999999999995</v>
      </c>
      <c r="N426">
        <v>0.32840000000000003</v>
      </c>
      <c r="O426">
        <v>7</v>
      </c>
      <c r="P426">
        <v>190</v>
      </c>
      <c r="Q426">
        <v>197</v>
      </c>
    </row>
    <row r="427" spans="1:17" x14ac:dyDescent="0.35">
      <c r="A427">
        <v>426</v>
      </c>
      <c r="B427" s="1">
        <v>40562</v>
      </c>
      <c r="C427">
        <v>1</v>
      </c>
      <c r="D427">
        <v>0</v>
      </c>
      <c r="E427">
        <v>1</v>
      </c>
      <c r="F427">
        <v>18</v>
      </c>
      <c r="G427">
        <v>0</v>
      </c>
      <c r="H427">
        <v>3</v>
      </c>
      <c r="I427">
        <v>1</v>
      </c>
      <c r="J427">
        <v>0.34</v>
      </c>
      <c r="K427">
        <v>426</v>
      </c>
      <c r="L427">
        <v>0.31819999999999998</v>
      </c>
      <c r="M427">
        <v>0.61</v>
      </c>
      <c r="N427">
        <v>0.28360000000000002</v>
      </c>
      <c r="O427">
        <v>5</v>
      </c>
      <c r="P427">
        <v>156</v>
      </c>
      <c r="Q427">
        <v>161</v>
      </c>
    </row>
    <row r="428" spans="1:17" x14ac:dyDescent="0.35">
      <c r="A428">
        <v>427</v>
      </c>
      <c r="B428" s="1">
        <v>40562</v>
      </c>
      <c r="C428">
        <v>1</v>
      </c>
      <c r="D428">
        <v>0</v>
      </c>
      <c r="E428">
        <v>1</v>
      </c>
      <c r="F428">
        <v>19</v>
      </c>
      <c r="G428">
        <v>0</v>
      </c>
      <c r="H428">
        <v>3</v>
      </c>
      <c r="I428">
        <v>1</v>
      </c>
      <c r="J428">
        <v>0.32</v>
      </c>
      <c r="K428">
        <v>427</v>
      </c>
      <c r="L428">
        <v>0.28789999999999999</v>
      </c>
      <c r="M428">
        <v>0.56999999999999995</v>
      </c>
      <c r="N428">
        <v>0.41789999999999999</v>
      </c>
      <c r="O428">
        <v>4</v>
      </c>
      <c r="P428">
        <v>108</v>
      </c>
      <c r="Q428">
        <v>112</v>
      </c>
    </row>
    <row r="429" spans="1:17" x14ac:dyDescent="0.35">
      <c r="A429">
        <v>428</v>
      </c>
      <c r="B429" s="1">
        <v>40562</v>
      </c>
      <c r="C429">
        <v>1</v>
      </c>
      <c r="D429">
        <v>0</v>
      </c>
      <c r="E429">
        <v>1</v>
      </c>
      <c r="F429">
        <v>20</v>
      </c>
      <c r="G429">
        <v>0</v>
      </c>
      <c r="H429">
        <v>3</v>
      </c>
      <c r="I429">
        <v>1</v>
      </c>
      <c r="J429">
        <v>0.32</v>
      </c>
      <c r="K429">
        <v>428</v>
      </c>
      <c r="L429">
        <v>0.30299999999999999</v>
      </c>
      <c r="M429">
        <v>0.49</v>
      </c>
      <c r="N429">
        <v>0.29849999999999999</v>
      </c>
      <c r="O429">
        <v>2</v>
      </c>
      <c r="P429">
        <v>74</v>
      </c>
      <c r="Q429">
        <v>76</v>
      </c>
    </row>
    <row r="430" spans="1:17" x14ac:dyDescent="0.35">
      <c r="A430">
        <v>429</v>
      </c>
      <c r="B430" s="1">
        <v>40562</v>
      </c>
      <c r="C430">
        <v>1</v>
      </c>
      <c r="D430">
        <v>0</v>
      </c>
      <c r="E430">
        <v>1</v>
      </c>
      <c r="F430">
        <v>21</v>
      </c>
      <c r="G430">
        <v>0</v>
      </c>
      <c r="H430">
        <v>3</v>
      </c>
      <c r="I430">
        <v>1</v>
      </c>
      <c r="J430">
        <v>0.32</v>
      </c>
      <c r="K430">
        <v>429</v>
      </c>
      <c r="L430">
        <v>0.28789999999999999</v>
      </c>
      <c r="M430">
        <v>0.49</v>
      </c>
      <c r="N430">
        <v>0.41789999999999999</v>
      </c>
      <c r="O430">
        <v>4</v>
      </c>
      <c r="P430">
        <v>55</v>
      </c>
      <c r="Q430">
        <v>59</v>
      </c>
    </row>
    <row r="431" spans="1:17" x14ac:dyDescent="0.35">
      <c r="A431">
        <v>430</v>
      </c>
      <c r="B431" s="1">
        <v>40562</v>
      </c>
      <c r="C431">
        <v>1</v>
      </c>
      <c r="D431">
        <v>0</v>
      </c>
      <c r="E431">
        <v>1</v>
      </c>
      <c r="F431">
        <v>22</v>
      </c>
      <c r="G431">
        <v>0</v>
      </c>
      <c r="H431">
        <v>3</v>
      </c>
      <c r="I431">
        <v>1</v>
      </c>
      <c r="J431">
        <v>0.3</v>
      </c>
      <c r="K431">
        <v>430</v>
      </c>
      <c r="L431">
        <v>0.30299999999999999</v>
      </c>
      <c r="M431">
        <v>0.52</v>
      </c>
      <c r="N431">
        <v>0.16420000000000001</v>
      </c>
      <c r="O431">
        <v>6</v>
      </c>
      <c r="P431">
        <v>53</v>
      </c>
      <c r="Q431">
        <v>59</v>
      </c>
    </row>
    <row r="432" spans="1:17" x14ac:dyDescent="0.35">
      <c r="A432">
        <v>431</v>
      </c>
      <c r="B432" s="1">
        <v>40562</v>
      </c>
      <c r="C432">
        <v>1</v>
      </c>
      <c r="D432">
        <v>0</v>
      </c>
      <c r="E432">
        <v>1</v>
      </c>
      <c r="F432">
        <v>23</v>
      </c>
      <c r="G432">
        <v>0</v>
      </c>
      <c r="H432">
        <v>3</v>
      </c>
      <c r="I432">
        <v>1</v>
      </c>
      <c r="J432">
        <v>0.3</v>
      </c>
      <c r="K432">
        <v>431</v>
      </c>
      <c r="L432">
        <v>0.2727</v>
      </c>
      <c r="M432">
        <v>0.52</v>
      </c>
      <c r="N432">
        <v>0.4627</v>
      </c>
      <c r="O432">
        <v>1</v>
      </c>
      <c r="P432">
        <v>27</v>
      </c>
      <c r="Q432">
        <v>28</v>
      </c>
    </row>
    <row r="433" spans="1:17" x14ac:dyDescent="0.35">
      <c r="A433">
        <v>432</v>
      </c>
      <c r="B433" s="1">
        <v>40563</v>
      </c>
      <c r="C433">
        <v>1</v>
      </c>
      <c r="D433">
        <v>0</v>
      </c>
      <c r="E433">
        <v>1</v>
      </c>
      <c r="F433">
        <v>0</v>
      </c>
      <c r="G433">
        <v>0</v>
      </c>
      <c r="H433">
        <v>4</v>
      </c>
      <c r="I433">
        <v>1</v>
      </c>
      <c r="J433">
        <v>0.26</v>
      </c>
      <c r="K433">
        <v>432</v>
      </c>
      <c r="L433">
        <v>0.2273</v>
      </c>
      <c r="M433">
        <v>0.56000000000000005</v>
      </c>
      <c r="N433">
        <v>0.3881</v>
      </c>
      <c r="O433">
        <v>5</v>
      </c>
      <c r="P433">
        <v>8</v>
      </c>
      <c r="Q433">
        <v>13</v>
      </c>
    </row>
    <row r="434" spans="1:17" x14ac:dyDescent="0.35">
      <c r="A434">
        <v>433</v>
      </c>
      <c r="B434" s="1">
        <v>40563</v>
      </c>
      <c r="C434">
        <v>1</v>
      </c>
      <c r="D434">
        <v>0</v>
      </c>
      <c r="E434">
        <v>1</v>
      </c>
      <c r="F434">
        <v>1</v>
      </c>
      <c r="G434">
        <v>0</v>
      </c>
      <c r="H434">
        <v>4</v>
      </c>
      <c r="I434">
        <v>1</v>
      </c>
      <c r="J434">
        <v>0.26</v>
      </c>
      <c r="K434">
        <v>433</v>
      </c>
      <c r="L434">
        <v>0.2727</v>
      </c>
      <c r="M434">
        <v>0.56000000000000005</v>
      </c>
      <c r="N434">
        <v>0</v>
      </c>
      <c r="O434">
        <v>2</v>
      </c>
      <c r="P434">
        <v>3</v>
      </c>
      <c r="Q434">
        <v>5</v>
      </c>
    </row>
    <row r="435" spans="1:17" x14ac:dyDescent="0.35">
      <c r="A435">
        <v>434</v>
      </c>
      <c r="B435" s="1">
        <v>40563</v>
      </c>
      <c r="C435">
        <v>1</v>
      </c>
      <c r="D435">
        <v>0</v>
      </c>
      <c r="E435">
        <v>1</v>
      </c>
      <c r="F435">
        <v>2</v>
      </c>
      <c r="G435">
        <v>0</v>
      </c>
      <c r="H435">
        <v>4</v>
      </c>
      <c r="I435">
        <v>1</v>
      </c>
      <c r="J435">
        <v>0.26</v>
      </c>
      <c r="K435">
        <v>434</v>
      </c>
      <c r="L435">
        <v>0.2727</v>
      </c>
      <c r="M435">
        <v>0.56000000000000005</v>
      </c>
      <c r="N435">
        <v>0</v>
      </c>
      <c r="O435">
        <v>0</v>
      </c>
      <c r="P435">
        <v>2</v>
      </c>
      <c r="Q435">
        <v>2</v>
      </c>
    </row>
    <row r="436" spans="1:17" x14ac:dyDescent="0.35">
      <c r="A436">
        <v>435</v>
      </c>
      <c r="B436" s="1">
        <v>40563</v>
      </c>
      <c r="C436">
        <v>1</v>
      </c>
      <c r="D436">
        <v>0</v>
      </c>
      <c r="E436">
        <v>1</v>
      </c>
      <c r="F436">
        <v>3</v>
      </c>
      <c r="G436">
        <v>0</v>
      </c>
      <c r="H436">
        <v>4</v>
      </c>
      <c r="I436">
        <v>1</v>
      </c>
      <c r="J436">
        <v>0.26</v>
      </c>
      <c r="K436">
        <v>435</v>
      </c>
      <c r="L436">
        <v>0.2576</v>
      </c>
      <c r="M436">
        <v>0.56000000000000005</v>
      </c>
      <c r="N436">
        <v>0.16420000000000001</v>
      </c>
      <c r="O436">
        <v>0</v>
      </c>
      <c r="P436">
        <v>1</v>
      </c>
      <c r="Q436">
        <v>1</v>
      </c>
    </row>
    <row r="437" spans="1:17" x14ac:dyDescent="0.35">
      <c r="A437">
        <v>436</v>
      </c>
      <c r="B437" s="1">
        <v>40563</v>
      </c>
      <c r="C437">
        <v>1</v>
      </c>
      <c r="D437">
        <v>0</v>
      </c>
      <c r="E437">
        <v>1</v>
      </c>
      <c r="F437">
        <v>4</v>
      </c>
      <c r="G437">
        <v>0</v>
      </c>
      <c r="H437">
        <v>4</v>
      </c>
      <c r="I437">
        <v>1</v>
      </c>
      <c r="J437">
        <v>0.26</v>
      </c>
      <c r="K437">
        <v>436</v>
      </c>
      <c r="L437">
        <v>0.2576</v>
      </c>
      <c r="M437">
        <v>0.56000000000000005</v>
      </c>
      <c r="N437">
        <v>0.16420000000000001</v>
      </c>
      <c r="O437">
        <v>0</v>
      </c>
      <c r="P437">
        <v>1</v>
      </c>
      <c r="Q437">
        <v>1</v>
      </c>
    </row>
    <row r="438" spans="1:17" x14ac:dyDescent="0.35">
      <c r="A438">
        <v>437</v>
      </c>
      <c r="B438" s="1">
        <v>40563</v>
      </c>
      <c r="C438">
        <v>1</v>
      </c>
      <c r="D438">
        <v>0</v>
      </c>
      <c r="E438">
        <v>1</v>
      </c>
      <c r="F438">
        <v>5</v>
      </c>
      <c r="G438">
        <v>0</v>
      </c>
      <c r="H438">
        <v>4</v>
      </c>
      <c r="I438">
        <v>1</v>
      </c>
      <c r="J438">
        <v>0.24</v>
      </c>
      <c r="K438">
        <v>437</v>
      </c>
      <c r="L438">
        <v>0.2273</v>
      </c>
      <c r="M438">
        <v>0.6</v>
      </c>
      <c r="N438">
        <v>0.22389999999999999</v>
      </c>
      <c r="O438">
        <v>0</v>
      </c>
      <c r="P438">
        <v>6</v>
      </c>
      <c r="Q438">
        <v>6</v>
      </c>
    </row>
    <row r="439" spans="1:17" x14ac:dyDescent="0.35">
      <c r="A439">
        <v>438</v>
      </c>
      <c r="B439" s="1">
        <v>40563</v>
      </c>
      <c r="C439">
        <v>1</v>
      </c>
      <c r="D439">
        <v>0</v>
      </c>
      <c r="E439">
        <v>1</v>
      </c>
      <c r="F439">
        <v>6</v>
      </c>
      <c r="G439">
        <v>0</v>
      </c>
      <c r="H439">
        <v>4</v>
      </c>
      <c r="I439">
        <v>1</v>
      </c>
      <c r="J439">
        <v>0.22</v>
      </c>
      <c r="K439">
        <v>438</v>
      </c>
      <c r="L439">
        <v>0.21210000000000001</v>
      </c>
      <c r="M439">
        <v>0.6</v>
      </c>
      <c r="N439">
        <v>0.22389999999999999</v>
      </c>
      <c r="O439">
        <v>0</v>
      </c>
      <c r="P439">
        <v>35</v>
      </c>
      <c r="Q439">
        <v>35</v>
      </c>
    </row>
    <row r="440" spans="1:17" x14ac:dyDescent="0.35">
      <c r="A440">
        <v>439</v>
      </c>
      <c r="B440" s="1">
        <v>40563</v>
      </c>
      <c r="C440">
        <v>1</v>
      </c>
      <c r="D440">
        <v>0</v>
      </c>
      <c r="E440">
        <v>1</v>
      </c>
      <c r="F440">
        <v>7</v>
      </c>
      <c r="G440">
        <v>0</v>
      </c>
      <c r="H440">
        <v>4</v>
      </c>
      <c r="I440">
        <v>1</v>
      </c>
      <c r="J440">
        <v>0.22</v>
      </c>
      <c r="K440">
        <v>439</v>
      </c>
      <c r="L440">
        <v>0.21210000000000001</v>
      </c>
      <c r="M440">
        <v>0.55000000000000004</v>
      </c>
      <c r="N440">
        <v>0.22389999999999999</v>
      </c>
      <c r="O440">
        <v>1</v>
      </c>
      <c r="P440">
        <v>100</v>
      </c>
      <c r="Q440">
        <v>101</v>
      </c>
    </row>
    <row r="441" spans="1:17" x14ac:dyDescent="0.35">
      <c r="A441">
        <v>440</v>
      </c>
      <c r="B441" s="1">
        <v>40563</v>
      </c>
      <c r="C441">
        <v>1</v>
      </c>
      <c r="D441">
        <v>0</v>
      </c>
      <c r="E441">
        <v>1</v>
      </c>
      <c r="F441">
        <v>8</v>
      </c>
      <c r="G441">
        <v>0</v>
      </c>
      <c r="H441">
        <v>4</v>
      </c>
      <c r="I441">
        <v>1</v>
      </c>
      <c r="J441">
        <v>0.22</v>
      </c>
      <c r="K441">
        <v>440</v>
      </c>
      <c r="L441">
        <v>0.21210000000000001</v>
      </c>
      <c r="M441">
        <v>0.55000000000000004</v>
      </c>
      <c r="N441">
        <v>0.28360000000000002</v>
      </c>
      <c r="O441">
        <v>2</v>
      </c>
      <c r="P441">
        <v>247</v>
      </c>
      <c r="Q441">
        <v>249</v>
      </c>
    </row>
    <row r="442" spans="1:17" x14ac:dyDescent="0.35">
      <c r="A442">
        <v>441</v>
      </c>
      <c r="B442" s="1">
        <v>40563</v>
      </c>
      <c r="C442">
        <v>1</v>
      </c>
      <c r="D442">
        <v>0</v>
      </c>
      <c r="E442">
        <v>1</v>
      </c>
      <c r="F442">
        <v>9</v>
      </c>
      <c r="G442">
        <v>0</v>
      </c>
      <c r="H442">
        <v>4</v>
      </c>
      <c r="I442">
        <v>2</v>
      </c>
      <c r="J442">
        <v>0.24</v>
      </c>
      <c r="K442">
        <v>441</v>
      </c>
      <c r="L442">
        <v>0.2273</v>
      </c>
      <c r="M442">
        <v>0.52</v>
      </c>
      <c r="N442">
        <v>0.22389999999999999</v>
      </c>
      <c r="O442">
        <v>3</v>
      </c>
      <c r="P442">
        <v>140</v>
      </c>
      <c r="Q442">
        <v>143</v>
      </c>
    </row>
    <row r="443" spans="1:17" x14ac:dyDescent="0.35">
      <c r="A443">
        <v>442</v>
      </c>
      <c r="B443" s="1">
        <v>40563</v>
      </c>
      <c r="C443">
        <v>1</v>
      </c>
      <c r="D443">
        <v>0</v>
      </c>
      <c r="E443">
        <v>1</v>
      </c>
      <c r="F443">
        <v>10</v>
      </c>
      <c r="G443">
        <v>0</v>
      </c>
      <c r="H443">
        <v>4</v>
      </c>
      <c r="I443">
        <v>1</v>
      </c>
      <c r="J443">
        <v>0.26</v>
      </c>
      <c r="K443">
        <v>442</v>
      </c>
      <c r="L443">
        <v>0.2273</v>
      </c>
      <c r="M443">
        <v>0.48</v>
      </c>
      <c r="N443">
        <v>0.29849999999999999</v>
      </c>
      <c r="O443">
        <v>1</v>
      </c>
      <c r="P443">
        <v>56</v>
      </c>
      <c r="Q443">
        <v>57</v>
      </c>
    </row>
    <row r="444" spans="1:17" x14ac:dyDescent="0.35">
      <c r="A444">
        <v>443</v>
      </c>
      <c r="B444" s="1">
        <v>40563</v>
      </c>
      <c r="C444">
        <v>1</v>
      </c>
      <c r="D444">
        <v>0</v>
      </c>
      <c r="E444">
        <v>1</v>
      </c>
      <c r="F444">
        <v>11</v>
      </c>
      <c r="G444">
        <v>0</v>
      </c>
      <c r="H444">
        <v>4</v>
      </c>
      <c r="I444">
        <v>2</v>
      </c>
      <c r="J444">
        <v>0.28000000000000003</v>
      </c>
      <c r="K444">
        <v>443</v>
      </c>
      <c r="L444">
        <v>0.2727</v>
      </c>
      <c r="M444">
        <v>0.45</v>
      </c>
      <c r="N444">
        <v>0.16420000000000001</v>
      </c>
      <c r="O444">
        <v>5</v>
      </c>
      <c r="P444">
        <v>63</v>
      </c>
      <c r="Q444">
        <v>68</v>
      </c>
    </row>
    <row r="445" spans="1:17" x14ac:dyDescent="0.35">
      <c r="A445">
        <v>444</v>
      </c>
      <c r="B445" s="1">
        <v>40563</v>
      </c>
      <c r="C445">
        <v>1</v>
      </c>
      <c r="D445">
        <v>0</v>
      </c>
      <c r="E445">
        <v>1</v>
      </c>
      <c r="F445">
        <v>12</v>
      </c>
      <c r="G445">
        <v>0</v>
      </c>
      <c r="H445">
        <v>4</v>
      </c>
      <c r="I445">
        <v>2</v>
      </c>
      <c r="J445">
        <v>0.3</v>
      </c>
      <c r="K445">
        <v>444</v>
      </c>
      <c r="L445">
        <v>0.33329999999999999</v>
      </c>
      <c r="M445">
        <v>0.42</v>
      </c>
      <c r="N445">
        <v>0</v>
      </c>
      <c r="O445">
        <v>7</v>
      </c>
      <c r="P445">
        <v>77</v>
      </c>
      <c r="Q445">
        <v>84</v>
      </c>
    </row>
    <row r="446" spans="1:17" x14ac:dyDescent="0.35">
      <c r="A446">
        <v>445</v>
      </c>
      <c r="B446" s="1">
        <v>40563</v>
      </c>
      <c r="C446">
        <v>1</v>
      </c>
      <c r="D446">
        <v>0</v>
      </c>
      <c r="E446">
        <v>1</v>
      </c>
      <c r="F446">
        <v>13</v>
      </c>
      <c r="G446">
        <v>0</v>
      </c>
      <c r="H446">
        <v>4</v>
      </c>
      <c r="I446">
        <v>2</v>
      </c>
      <c r="J446">
        <v>0.28000000000000003</v>
      </c>
      <c r="K446">
        <v>445</v>
      </c>
      <c r="L446">
        <v>0.28789999999999999</v>
      </c>
      <c r="M446">
        <v>0.45</v>
      </c>
      <c r="N446">
        <v>0.1045</v>
      </c>
      <c r="O446">
        <v>12</v>
      </c>
      <c r="P446">
        <v>86</v>
      </c>
      <c r="Q446">
        <v>98</v>
      </c>
    </row>
    <row r="447" spans="1:17" x14ac:dyDescent="0.35">
      <c r="A447">
        <v>446</v>
      </c>
      <c r="B447" s="1">
        <v>40563</v>
      </c>
      <c r="C447">
        <v>1</v>
      </c>
      <c r="D447">
        <v>0</v>
      </c>
      <c r="E447">
        <v>1</v>
      </c>
      <c r="F447">
        <v>14</v>
      </c>
      <c r="G447">
        <v>0</v>
      </c>
      <c r="H447">
        <v>4</v>
      </c>
      <c r="I447">
        <v>2</v>
      </c>
      <c r="J447">
        <v>0.3</v>
      </c>
      <c r="K447">
        <v>446</v>
      </c>
      <c r="L447">
        <v>0.30299999999999999</v>
      </c>
      <c r="M447">
        <v>0.45</v>
      </c>
      <c r="N447">
        <v>0.1343</v>
      </c>
      <c r="O447">
        <v>6</v>
      </c>
      <c r="P447">
        <v>75</v>
      </c>
      <c r="Q447">
        <v>81</v>
      </c>
    </row>
    <row r="448" spans="1:17" x14ac:dyDescent="0.35">
      <c r="A448">
        <v>447</v>
      </c>
      <c r="B448" s="1">
        <v>40563</v>
      </c>
      <c r="C448">
        <v>1</v>
      </c>
      <c r="D448">
        <v>0</v>
      </c>
      <c r="E448">
        <v>1</v>
      </c>
      <c r="F448">
        <v>15</v>
      </c>
      <c r="G448">
        <v>0</v>
      </c>
      <c r="H448">
        <v>4</v>
      </c>
      <c r="I448">
        <v>2</v>
      </c>
      <c r="J448">
        <v>0.32</v>
      </c>
      <c r="K448">
        <v>447</v>
      </c>
      <c r="L448">
        <v>0.31819999999999998</v>
      </c>
      <c r="M448">
        <v>0.45</v>
      </c>
      <c r="N448">
        <v>0.19400000000000001</v>
      </c>
      <c r="O448">
        <v>8</v>
      </c>
      <c r="P448">
        <v>62</v>
      </c>
      <c r="Q448">
        <v>70</v>
      </c>
    </row>
    <row r="449" spans="1:17" x14ac:dyDescent="0.35">
      <c r="A449">
        <v>448</v>
      </c>
      <c r="B449" s="1">
        <v>40563</v>
      </c>
      <c r="C449">
        <v>1</v>
      </c>
      <c r="D449">
        <v>0</v>
      </c>
      <c r="E449">
        <v>1</v>
      </c>
      <c r="F449">
        <v>16</v>
      </c>
      <c r="G449">
        <v>0</v>
      </c>
      <c r="H449">
        <v>4</v>
      </c>
      <c r="I449">
        <v>2</v>
      </c>
      <c r="J449">
        <v>0.3</v>
      </c>
      <c r="K449">
        <v>448</v>
      </c>
      <c r="L449">
        <v>0.30299999999999999</v>
      </c>
      <c r="M449">
        <v>0.49</v>
      </c>
      <c r="N449">
        <v>0.1343</v>
      </c>
      <c r="O449">
        <v>8</v>
      </c>
      <c r="P449">
        <v>83</v>
      </c>
      <c r="Q449">
        <v>91</v>
      </c>
    </row>
    <row r="450" spans="1:17" x14ac:dyDescent="0.35">
      <c r="A450">
        <v>449</v>
      </c>
      <c r="B450" s="1">
        <v>40563</v>
      </c>
      <c r="C450">
        <v>1</v>
      </c>
      <c r="D450">
        <v>0</v>
      </c>
      <c r="E450">
        <v>1</v>
      </c>
      <c r="F450">
        <v>17</v>
      </c>
      <c r="G450">
        <v>0</v>
      </c>
      <c r="H450">
        <v>4</v>
      </c>
      <c r="I450">
        <v>2</v>
      </c>
      <c r="J450">
        <v>0.3</v>
      </c>
      <c r="K450">
        <v>449</v>
      </c>
      <c r="L450">
        <v>0.31819999999999998</v>
      </c>
      <c r="M450">
        <v>0.49</v>
      </c>
      <c r="N450">
        <v>0.1045</v>
      </c>
      <c r="O450">
        <v>8</v>
      </c>
      <c r="P450">
        <v>207</v>
      </c>
      <c r="Q450">
        <v>215</v>
      </c>
    </row>
    <row r="451" spans="1:17" x14ac:dyDescent="0.35">
      <c r="A451">
        <v>450</v>
      </c>
      <c r="B451" s="1">
        <v>40563</v>
      </c>
      <c r="C451">
        <v>1</v>
      </c>
      <c r="D451">
        <v>0</v>
      </c>
      <c r="E451">
        <v>1</v>
      </c>
      <c r="F451">
        <v>18</v>
      </c>
      <c r="G451">
        <v>0</v>
      </c>
      <c r="H451">
        <v>4</v>
      </c>
      <c r="I451">
        <v>2</v>
      </c>
      <c r="J451">
        <v>0.26</v>
      </c>
      <c r="K451">
        <v>450</v>
      </c>
      <c r="L451">
        <v>0.2576</v>
      </c>
      <c r="M451">
        <v>0.56000000000000005</v>
      </c>
      <c r="N451">
        <v>0.19400000000000001</v>
      </c>
      <c r="O451">
        <v>1</v>
      </c>
      <c r="P451">
        <v>184</v>
      </c>
      <c r="Q451">
        <v>185</v>
      </c>
    </row>
    <row r="452" spans="1:17" x14ac:dyDescent="0.35">
      <c r="A452">
        <v>451</v>
      </c>
      <c r="B452" s="1">
        <v>40563</v>
      </c>
      <c r="C452">
        <v>1</v>
      </c>
      <c r="D452">
        <v>0</v>
      </c>
      <c r="E452">
        <v>1</v>
      </c>
      <c r="F452">
        <v>19</v>
      </c>
      <c r="G452">
        <v>0</v>
      </c>
      <c r="H452">
        <v>4</v>
      </c>
      <c r="I452">
        <v>1</v>
      </c>
      <c r="J452">
        <v>0.26</v>
      </c>
      <c r="K452">
        <v>451</v>
      </c>
      <c r="L452">
        <v>0.2273</v>
      </c>
      <c r="M452">
        <v>0.56000000000000005</v>
      </c>
      <c r="N452">
        <v>0.32840000000000003</v>
      </c>
      <c r="O452">
        <v>6</v>
      </c>
      <c r="P452">
        <v>146</v>
      </c>
      <c r="Q452">
        <v>152</v>
      </c>
    </row>
    <row r="453" spans="1:17" x14ac:dyDescent="0.35">
      <c r="A453">
        <v>452</v>
      </c>
      <c r="B453" s="1">
        <v>40563</v>
      </c>
      <c r="C453">
        <v>1</v>
      </c>
      <c r="D453">
        <v>0</v>
      </c>
      <c r="E453">
        <v>1</v>
      </c>
      <c r="F453">
        <v>20</v>
      </c>
      <c r="G453">
        <v>0</v>
      </c>
      <c r="H453">
        <v>4</v>
      </c>
      <c r="I453">
        <v>2</v>
      </c>
      <c r="J453">
        <v>0.26</v>
      </c>
      <c r="K453">
        <v>452</v>
      </c>
      <c r="L453">
        <v>0.2424</v>
      </c>
      <c r="M453">
        <v>0.6</v>
      </c>
      <c r="N453">
        <v>0.28360000000000002</v>
      </c>
      <c r="O453">
        <v>2</v>
      </c>
      <c r="P453">
        <v>124</v>
      </c>
      <c r="Q453">
        <v>126</v>
      </c>
    </row>
    <row r="454" spans="1:17" x14ac:dyDescent="0.35">
      <c r="A454">
        <v>453</v>
      </c>
      <c r="B454" s="1">
        <v>40563</v>
      </c>
      <c r="C454">
        <v>1</v>
      </c>
      <c r="D454">
        <v>0</v>
      </c>
      <c r="E454">
        <v>1</v>
      </c>
      <c r="F454">
        <v>21</v>
      </c>
      <c r="G454">
        <v>0</v>
      </c>
      <c r="H454">
        <v>4</v>
      </c>
      <c r="I454">
        <v>2</v>
      </c>
      <c r="J454">
        <v>0.24</v>
      </c>
      <c r="K454">
        <v>453</v>
      </c>
      <c r="L454">
        <v>0.2273</v>
      </c>
      <c r="M454">
        <v>0.6</v>
      </c>
      <c r="N454">
        <v>0.25369999999999998</v>
      </c>
      <c r="O454">
        <v>3</v>
      </c>
      <c r="P454">
        <v>54</v>
      </c>
      <c r="Q454">
        <v>57</v>
      </c>
    </row>
    <row r="455" spans="1:17" x14ac:dyDescent="0.35">
      <c r="A455">
        <v>454</v>
      </c>
      <c r="B455" s="1">
        <v>40563</v>
      </c>
      <c r="C455">
        <v>1</v>
      </c>
      <c r="D455">
        <v>0</v>
      </c>
      <c r="E455">
        <v>1</v>
      </c>
      <c r="F455">
        <v>22</v>
      </c>
      <c r="G455">
        <v>0</v>
      </c>
      <c r="H455">
        <v>4</v>
      </c>
      <c r="I455">
        <v>2</v>
      </c>
      <c r="J455">
        <v>0.24</v>
      </c>
      <c r="K455">
        <v>454</v>
      </c>
      <c r="L455">
        <v>0.21210000000000001</v>
      </c>
      <c r="M455">
        <v>0.65</v>
      </c>
      <c r="N455">
        <v>0.28360000000000002</v>
      </c>
      <c r="O455">
        <v>0</v>
      </c>
      <c r="P455">
        <v>56</v>
      </c>
      <c r="Q455">
        <v>56</v>
      </c>
    </row>
    <row r="456" spans="1:17" x14ac:dyDescent="0.35">
      <c r="A456">
        <v>455</v>
      </c>
      <c r="B456" s="1">
        <v>40563</v>
      </c>
      <c r="C456">
        <v>1</v>
      </c>
      <c r="D456">
        <v>0</v>
      </c>
      <c r="E456">
        <v>1</v>
      </c>
      <c r="F456">
        <v>23</v>
      </c>
      <c r="G456">
        <v>0</v>
      </c>
      <c r="H456">
        <v>4</v>
      </c>
      <c r="I456">
        <v>2</v>
      </c>
      <c r="J456">
        <v>0.24</v>
      </c>
      <c r="K456">
        <v>455</v>
      </c>
      <c r="L456">
        <v>0.21210000000000001</v>
      </c>
      <c r="M456">
        <v>0.65</v>
      </c>
      <c r="N456">
        <v>0.32840000000000003</v>
      </c>
      <c r="O456">
        <v>3</v>
      </c>
      <c r="P456">
        <v>28</v>
      </c>
      <c r="Q456">
        <v>31</v>
      </c>
    </row>
    <row r="457" spans="1:17" x14ac:dyDescent="0.35">
      <c r="A457">
        <v>456</v>
      </c>
      <c r="B457" s="1">
        <v>40564</v>
      </c>
      <c r="C457">
        <v>1</v>
      </c>
      <c r="D457">
        <v>0</v>
      </c>
      <c r="E457">
        <v>1</v>
      </c>
      <c r="F457">
        <v>0</v>
      </c>
      <c r="G457">
        <v>0</v>
      </c>
      <c r="H457">
        <v>5</v>
      </c>
      <c r="I457">
        <v>2</v>
      </c>
      <c r="J457">
        <v>0.24</v>
      </c>
      <c r="K457">
        <v>456</v>
      </c>
      <c r="L457">
        <v>0.2273</v>
      </c>
      <c r="M457">
        <v>0.7</v>
      </c>
      <c r="N457">
        <v>0.25369999999999998</v>
      </c>
      <c r="O457">
        <v>1</v>
      </c>
      <c r="P457">
        <v>20</v>
      </c>
      <c r="Q457">
        <v>21</v>
      </c>
    </row>
    <row r="458" spans="1:17" x14ac:dyDescent="0.35">
      <c r="A458">
        <v>457</v>
      </c>
      <c r="B458" s="1">
        <v>40564</v>
      </c>
      <c r="C458">
        <v>1</v>
      </c>
      <c r="D458">
        <v>0</v>
      </c>
      <c r="E458">
        <v>1</v>
      </c>
      <c r="F458">
        <v>1</v>
      </c>
      <c r="G458">
        <v>0</v>
      </c>
      <c r="H458">
        <v>5</v>
      </c>
      <c r="I458">
        <v>2</v>
      </c>
      <c r="J458">
        <v>0.24</v>
      </c>
      <c r="K458">
        <v>457</v>
      </c>
      <c r="L458">
        <v>0.2273</v>
      </c>
      <c r="M458">
        <v>0.7</v>
      </c>
      <c r="N458">
        <v>0.25369999999999998</v>
      </c>
      <c r="O458">
        <v>0</v>
      </c>
      <c r="P458">
        <v>6</v>
      </c>
      <c r="Q458">
        <v>6</v>
      </c>
    </row>
    <row r="459" spans="1:17" x14ac:dyDescent="0.35">
      <c r="A459">
        <v>458</v>
      </c>
      <c r="B459" s="1">
        <v>40564</v>
      </c>
      <c r="C459">
        <v>1</v>
      </c>
      <c r="D459">
        <v>0</v>
      </c>
      <c r="E459">
        <v>1</v>
      </c>
      <c r="F459">
        <v>2</v>
      </c>
      <c r="G459">
        <v>0</v>
      </c>
      <c r="H459">
        <v>5</v>
      </c>
      <c r="I459">
        <v>3</v>
      </c>
      <c r="J459">
        <v>0.24</v>
      </c>
      <c r="K459">
        <v>458</v>
      </c>
      <c r="L459">
        <v>0.2424</v>
      </c>
      <c r="M459">
        <v>0.75</v>
      </c>
      <c r="N459">
        <v>0.16420000000000001</v>
      </c>
      <c r="O459">
        <v>0</v>
      </c>
      <c r="P459">
        <v>2</v>
      </c>
      <c r="Q459">
        <v>2</v>
      </c>
    </row>
    <row r="460" spans="1:17" x14ac:dyDescent="0.35">
      <c r="A460">
        <v>459</v>
      </c>
      <c r="B460" s="1">
        <v>40564</v>
      </c>
      <c r="C460">
        <v>1</v>
      </c>
      <c r="D460">
        <v>0</v>
      </c>
      <c r="E460">
        <v>1</v>
      </c>
      <c r="F460">
        <v>3</v>
      </c>
      <c r="G460">
        <v>0</v>
      </c>
      <c r="H460">
        <v>5</v>
      </c>
      <c r="I460">
        <v>3</v>
      </c>
      <c r="J460">
        <v>0.22</v>
      </c>
      <c r="K460">
        <v>459</v>
      </c>
      <c r="L460">
        <v>0.21210000000000001</v>
      </c>
      <c r="M460">
        <v>0.8</v>
      </c>
      <c r="N460">
        <v>0.29849999999999999</v>
      </c>
      <c r="O460">
        <v>0</v>
      </c>
      <c r="P460">
        <v>1</v>
      </c>
      <c r="Q460">
        <v>1</v>
      </c>
    </row>
    <row r="461" spans="1:17" x14ac:dyDescent="0.35">
      <c r="A461">
        <v>460</v>
      </c>
      <c r="B461" s="1">
        <v>40564</v>
      </c>
      <c r="C461">
        <v>1</v>
      </c>
      <c r="D461">
        <v>0</v>
      </c>
      <c r="E461">
        <v>1</v>
      </c>
      <c r="F461">
        <v>4</v>
      </c>
      <c r="G461">
        <v>0</v>
      </c>
      <c r="H461">
        <v>5</v>
      </c>
      <c r="I461">
        <v>2</v>
      </c>
      <c r="J461">
        <v>0.22</v>
      </c>
      <c r="K461">
        <v>460</v>
      </c>
      <c r="L461">
        <v>0.2576</v>
      </c>
      <c r="M461">
        <v>0.87</v>
      </c>
      <c r="N461">
        <v>8.9599999999999999E-2</v>
      </c>
      <c r="O461">
        <v>0</v>
      </c>
      <c r="P461">
        <v>1</v>
      </c>
      <c r="Q461">
        <v>1</v>
      </c>
    </row>
    <row r="462" spans="1:17" x14ac:dyDescent="0.35">
      <c r="A462">
        <v>461</v>
      </c>
      <c r="B462" s="1">
        <v>40564</v>
      </c>
      <c r="C462">
        <v>1</v>
      </c>
      <c r="D462">
        <v>0</v>
      </c>
      <c r="E462">
        <v>1</v>
      </c>
      <c r="F462">
        <v>5</v>
      </c>
      <c r="G462">
        <v>0</v>
      </c>
      <c r="H462">
        <v>5</v>
      </c>
      <c r="I462">
        <v>1</v>
      </c>
      <c r="J462">
        <v>0.24</v>
      </c>
      <c r="K462">
        <v>461</v>
      </c>
      <c r="L462">
        <v>0.19700000000000001</v>
      </c>
      <c r="M462">
        <v>0.6</v>
      </c>
      <c r="N462">
        <v>0.41789999999999999</v>
      </c>
      <c r="O462">
        <v>1</v>
      </c>
      <c r="P462">
        <v>4</v>
      </c>
      <c r="Q462">
        <v>5</v>
      </c>
    </row>
    <row r="463" spans="1:17" x14ac:dyDescent="0.35">
      <c r="A463">
        <v>462</v>
      </c>
      <c r="B463" s="1">
        <v>40564</v>
      </c>
      <c r="C463">
        <v>1</v>
      </c>
      <c r="D463">
        <v>0</v>
      </c>
      <c r="E463">
        <v>1</v>
      </c>
      <c r="F463">
        <v>6</v>
      </c>
      <c r="G463">
        <v>0</v>
      </c>
      <c r="H463">
        <v>5</v>
      </c>
      <c r="I463">
        <v>1</v>
      </c>
      <c r="J463">
        <v>0.22</v>
      </c>
      <c r="K463">
        <v>462</v>
      </c>
      <c r="L463">
        <v>0.21210000000000001</v>
      </c>
      <c r="M463">
        <v>0.55000000000000004</v>
      </c>
      <c r="N463">
        <v>0.25369999999999998</v>
      </c>
      <c r="O463">
        <v>0</v>
      </c>
      <c r="P463">
        <v>27</v>
      </c>
      <c r="Q463">
        <v>27</v>
      </c>
    </row>
    <row r="464" spans="1:17" x14ac:dyDescent="0.35">
      <c r="A464">
        <v>463</v>
      </c>
      <c r="B464" s="1">
        <v>40564</v>
      </c>
      <c r="C464">
        <v>1</v>
      </c>
      <c r="D464">
        <v>0</v>
      </c>
      <c r="E464">
        <v>1</v>
      </c>
      <c r="F464">
        <v>7</v>
      </c>
      <c r="G464">
        <v>0</v>
      </c>
      <c r="H464">
        <v>5</v>
      </c>
      <c r="I464">
        <v>1</v>
      </c>
      <c r="J464">
        <v>0.2</v>
      </c>
      <c r="K464">
        <v>463</v>
      </c>
      <c r="L464">
        <v>0.18179999999999999</v>
      </c>
      <c r="M464">
        <v>0.51</v>
      </c>
      <c r="N464">
        <v>0.28360000000000002</v>
      </c>
      <c r="O464">
        <v>2</v>
      </c>
      <c r="P464">
        <v>66</v>
      </c>
      <c r="Q464">
        <v>68</v>
      </c>
    </row>
    <row r="465" spans="1:17" x14ac:dyDescent="0.35">
      <c r="A465">
        <v>464</v>
      </c>
      <c r="B465" s="1">
        <v>40564</v>
      </c>
      <c r="C465">
        <v>1</v>
      </c>
      <c r="D465">
        <v>0</v>
      </c>
      <c r="E465">
        <v>1</v>
      </c>
      <c r="F465">
        <v>8</v>
      </c>
      <c r="G465">
        <v>0</v>
      </c>
      <c r="H465">
        <v>5</v>
      </c>
      <c r="I465">
        <v>1</v>
      </c>
      <c r="J465">
        <v>0.2</v>
      </c>
      <c r="K465">
        <v>464</v>
      </c>
      <c r="L465">
        <v>0.18179999999999999</v>
      </c>
      <c r="M465">
        <v>0.47</v>
      </c>
      <c r="N465">
        <v>0.32840000000000003</v>
      </c>
      <c r="O465">
        <v>7</v>
      </c>
      <c r="P465">
        <v>210</v>
      </c>
      <c r="Q465">
        <v>217</v>
      </c>
    </row>
    <row r="466" spans="1:17" x14ac:dyDescent="0.35">
      <c r="A466">
        <v>465</v>
      </c>
      <c r="B466" s="1">
        <v>40564</v>
      </c>
      <c r="C466">
        <v>1</v>
      </c>
      <c r="D466">
        <v>0</v>
      </c>
      <c r="E466">
        <v>1</v>
      </c>
      <c r="F466">
        <v>9</v>
      </c>
      <c r="G466">
        <v>0</v>
      </c>
      <c r="H466">
        <v>5</v>
      </c>
      <c r="I466">
        <v>1</v>
      </c>
      <c r="J466">
        <v>0.2</v>
      </c>
      <c r="K466">
        <v>465</v>
      </c>
      <c r="L466">
        <v>0.18179999999999999</v>
      </c>
      <c r="M466">
        <v>0.51</v>
      </c>
      <c r="N466">
        <v>0.35820000000000002</v>
      </c>
      <c r="O466">
        <v>7</v>
      </c>
      <c r="P466">
        <v>159</v>
      </c>
      <c r="Q466">
        <v>166</v>
      </c>
    </row>
    <row r="467" spans="1:17" x14ac:dyDescent="0.35">
      <c r="A467">
        <v>466</v>
      </c>
      <c r="B467" s="1">
        <v>40564</v>
      </c>
      <c r="C467">
        <v>1</v>
      </c>
      <c r="D467">
        <v>0</v>
      </c>
      <c r="E467">
        <v>1</v>
      </c>
      <c r="F467">
        <v>10</v>
      </c>
      <c r="G467">
        <v>0</v>
      </c>
      <c r="H467">
        <v>5</v>
      </c>
      <c r="I467">
        <v>1</v>
      </c>
      <c r="J467">
        <v>0.2</v>
      </c>
      <c r="K467">
        <v>466</v>
      </c>
      <c r="L467">
        <v>0.16669999999999999</v>
      </c>
      <c r="M467">
        <v>0.47</v>
      </c>
      <c r="N467">
        <v>0.4627</v>
      </c>
      <c r="O467">
        <v>6</v>
      </c>
      <c r="P467">
        <v>57</v>
      </c>
      <c r="Q467">
        <v>63</v>
      </c>
    </row>
    <row r="468" spans="1:17" x14ac:dyDescent="0.35">
      <c r="A468">
        <v>467</v>
      </c>
      <c r="B468" s="1">
        <v>40564</v>
      </c>
      <c r="C468">
        <v>1</v>
      </c>
      <c r="D468">
        <v>0</v>
      </c>
      <c r="E468">
        <v>1</v>
      </c>
      <c r="F468">
        <v>11</v>
      </c>
      <c r="G468">
        <v>0</v>
      </c>
      <c r="H468">
        <v>5</v>
      </c>
      <c r="I468">
        <v>1</v>
      </c>
      <c r="J468">
        <v>0.22</v>
      </c>
      <c r="K468">
        <v>467</v>
      </c>
      <c r="L468">
        <v>0.18179999999999999</v>
      </c>
      <c r="M468">
        <v>0.41</v>
      </c>
      <c r="N468">
        <v>0.4627</v>
      </c>
      <c r="O468">
        <v>6</v>
      </c>
      <c r="P468">
        <v>53</v>
      </c>
      <c r="Q468">
        <v>59</v>
      </c>
    </row>
    <row r="469" spans="1:17" x14ac:dyDescent="0.35">
      <c r="A469">
        <v>468</v>
      </c>
      <c r="B469" s="1">
        <v>40564</v>
      </c>
      <c r="C469">
        <v>1</v>
      </c>
      <c r="D469">
        <v>0</v>
      </c>
      <c r="E469">
        <v>1</v>
      </c>
      <c r="F469">
        <v>12</v>
      </c>
      <c r="G469">
        <v>0</v>
      </c>
      <c r="H469">
        <v>5</v>
      </c>
      <c r="I469">
        <v>1</v>
      </c>
      <c r="J469">
        <v>0.22</v>
      </c>
      <c r="K469">
        <v>468</v>
      </c>
      <c r="L469">
        <v>0.18179999999999999</v>
      </c>
      <c r="M469">
        <v>0.27</v>
      </c>
      <c r="N469">
        <v>0.58209999999999995</v>
      </c>
      <c r="O469">
        <v>11</v>
      </c>
      <c r="P469">
        <v>67</v>
      </c>
      <c r="Q469">
        <v>78</v>
      </c>
    </row>
    <row r="470" spans="1:17" x14ac:dyDescent="0.35">
      <c r="A470">
        <v>469</v>
      </c>
      <c r="B470" s="1">
        <v>40564</v>
      </c>
      <c r="C470">
        <v>1</v>
      </c>
      <c r="D470">
        <v>0</v>
      </c>
      <c r="E470">
        <v>1</v>
      </c>
      <c r="F470">
        <v>13</v>
      </c>
      <c r="G470">
        <v>0</v>
      </c>
      <c r="H470">
        <v>5</v>
      </c>
      <c r="I470">
        <v>1</v>
      </c>
      <c r="J470">
        <v>0.2</v>
      </c>
      <c r="K470">
        <v>469</v>
      </c>
      <c r="L470">
        <v>0.1515</v>
      </c>
      <c r="M470">
        <v>0.21</v>
      </c>
      <c r="N470">
        <v>0.58209999999999995</v>
      </c>
      <c r="O470">
        <v>8</v>
      </c>
      <c r="P470">
        <v>65</v>
      </c>
      <c r="Q470">
        <v>73</v>
      </c>
    </row>
    <row r="471" spans="1:17" x14ac:dyDescent="0.35">
      <c r="A471">
        <v>470</v>
      </c>
      <c r="B471" s="1">
        <v>40564</v>
      </c>
      <c r="C471">
        <v>1</v>
      </c>
      <c r="D471">
        <v>0</v>
      </c>
      <c r="E471">
        <v>1</v>
      </c>
      <c r="F471">
        <v>14</v>
      </c>
      <c r="G471">
        <v>0</v>
      </c>
      <c r="H471">
        <v>5</v>
      </c>
      <c r="I471">
        <v>1</v>
      </c>
      <c r="J471">
        <v>0.2</v>
      </c>
      <c r="K471">
        <v>470</v>
      </c>
      <c r="L471">
        <v>0.1515</v>
      </c>
      <c r="M471">
        <v>0.25</v>
      </c>
      <c r="N471">
        <v>0.52239999999999998</v>
      </c>
      <c r="O471">
        <v>6</v>
      </c>
      <c r="P471">
        <v>56</v>
      </c>
      <c r="Q471">
        <v>62</v>
      </c>
    </row>
    <row r="472" spans="1:17" x14ac:dyDescent="0.35">
      <c r="A472">
        <v>471</v>
      </c>
      <c r="B472" s="1">
        <v>40564</v>
      </c>
      <c r="C472">
        <v>1</v>
      </c>
      <c r="D472">
        <v>0</v>
      </c>
      <c r="E472">
        <v>1</v>
      </c>
      <c r="F472">
        <v>15</v>
      </c>
      <c r="G472">
        <v>0</v>
      </c>
      <c r="H472">
        <v>5</v>
      </c>
      <c r="I472">
        <v>1</v>
      </c>
      <c r="J472">
        <v>0.16</v>
      </c>
      <c r="K472">
        <v>471</v>
      </c>
      <c r="L472">
        <v>0.1212</v>
      </c>
      <c r="M472">
        <v>0.26</v>
      </c>
      <c r="N472">
        <v>0.44779999999999998</v>
      </c>
      <c r="O472">
        <v>4</v>
      </c>
      <c r="P472">
        <v>61</v>
      </c>
      <c r="Q472">
        <v>65</v>
      </c>
    </row>
    <row r="473" spans="1:17" x14ac:dyDescent="0.35">
      <c r="A473">
        <v>472</v>
      </c>
      <c r="B473" s="1">
        <v>40564</v>
      </c>
      <c r="C473">
        <v>1</v>
      </c>
      <c r="D473">
        <v>0</v>
      </c>
      <c r="E473">
        <v>1</v>
      </c>
      <c r="F473">
        <v>16</v>
      </c>
      <c r="G473">
        <v>0</v>
      </c>
      <c r="H473">
        <v>5</v>
      </c>
      <c r="I473">
        <v>1</v>
      </c>
      <c r="J473">
        <v>0.16</v>
      </c>
      <c r="K473">
        <v>472</v>
      </c>
      <c r="L473">
        <v>0.13639999999999999</v>
      </c>
      <c r="M473">
        <v>0.26</v>
      </c>
      <c r="N473">
        <v>0.35820000000000002</v>
      </c>
      <c r="O473">
        <v>0</v>
      </c>
      <c r="P473">
        <v>97</v>
      </c>
      <c r="Q473">
        <v>97</v>
      </c>
    </row>
    <row r="474" spans="1:17" x14ac:dyDescent="0.35">
      <c r="A474">
        <v>473</v>
      </c>
      <c r="B474" s="1">
        <v>40564</v>
      </c>
      <c r="C474">
        <v>1</v>
      </c>
      <c r="D474">
        <v>0</v>
      </c>
      <c r="E474">
        <v>1</v>
      </c>
      <c r="F474">
        <v>17</v>
      </c>
      <c r="G474">
        <v>0</v>
      </c>
      <c r="H474">
        <v>5</v>
      </c>
      <c r="I474">
        <v>1</v>
      </c>
      <c r="J474">
        <v>0.14000000000000001</v>
      </c>
      <c r="K474">
        <v>473</v>
      </c>
      <c r="L474">
        <v>0.1212</v>
      </c>
      <c r="M474">
        <v>0.28000000000000003</v>
      </c>
      <c r="N474">
        <v>0.35820000000000002</v>
      </c>
      <c r="O474">
        <v>10</v>
      </c>
      <c r="P474">
        <v>151</v>
      </c>
      <c r="Q474">
        <v>161</v>
      </c>
    </row>
    <row r="475" spans="1:17" x14ac:dyDescent="0.35">
      <c r="A475">
        <v>474</v>
      </c>
      <c r="B475" s="1">
        <v>40564</v>
      </c>
      <c r="C475">
        <v>1</v>
      </c>
      <c r="D475">
        <v>0</v>
      </c>
      <c r="E475">
        <v>1</v>
      </c>
      <c r="F475">
        <v>18</v>
      </c>
      <c r="G475">
        <v>0</v>
      </c>
      <c r="H475">
        <v>5</v>
      </c>
      <c r="I475">
        <v>1</v>
      </c>
      <c r="J475">
        <v>0.12</v>
      </c>
      <c r="K475">
        <v>474</v>
      </c>
      <c r="L475">
        <v>0.1212</v>
      </c>
      <c r="M475">
        <v>0.3</v>
      </c>
      <c r="N475">
        <v>0.25369999999999998</v>
      </c>
      <c r="O475">
        <v>1</v>
      </c>
      <c r="P475">
        <v>119</v>
      </c>
      <c r="Q475">
        <v>120</v>
      </c>
    </row>
    <row r="476" spans="1:17" x14ac:dyDescent="0.35">
      <c r="A476">
        <v>475</v>
      </c>
      <c r="B476" s="1">
        <v>40564</v>
      </c>
      <c r="C476">
        <v>1</v>
      </c>
      <c r="D476">
        <v>0</v>
      </c>
      <c r="E476">
        <v>1</v>
      </c>
      <c r="F476">
        <v>19</v>
      </c>
      <c r="G476">
        <v>0</v>
      </c>
      <c r="H476">
        <v>5</v>
      </c>
      <c r="I476">
        <v>1</v>
      </c>
      <c r="J476">
        <v>0.12</v>
      </c>
      <c r="K476">
        <v>475</v>
      </c>
      <c r="L476">
        <v>0.1061</v>
      </c>
      <c r="M476">
        <v>0.3</v>
      </c>
      <c r="N476">
        <v>0.32840000000000003</v>
      </c>
      <c r="O476">
        <v>3</v>
      </c>
      <c r="P476">
        <v>93</v>
      </c>
      <c r="Q476">
        <v>96</v>
      </c>
    </row>
    <row r="477" spans="1:17" x14ac:dyDescent="0.35">
      <c r="A477">
        <v>476</v>
      </c>
      <c r="B477" s="1">
        <v>40564</v>
      </c>
      <c r="C477">
        <v>1</v>
      </c>
      <c r="D477">
        <v>0</v>
      </c>
      <c r="E477">
        <v>1</v>
      </c>
      <c r="F477">
        <v>20</v>
      </c>
      <c r="G477">
        <v>0</v>
      </c>
      <c r="H477">
        <v>5</v>
      </c>
      <c r="I477">
        <v>1</v>
      </c>
      <c r="J477">
        <v>0.1</v>
      </c>
      <c r="K477">
        <v>476</v>
      </c>
      <c r="L477">
        <v>7.5800000000000006E-2</v>
      </c>
      <c r="M477">
        <v>0.33</v>
      </c>
      <c r="N477">
        <v>0.41789999999999999</v>
      </c>
      <c r="O477">
        <v>1</v>
      </c>
      <c r="P477">
        <v>52</v>
      </c>
      <c r="Q477">
        <v>53</v>
      </c>
    </row>
    <row r="478" spans="1:17" x14ac:dyDescent="0.35">
      <c r="A478">
        <v>477</v>
      </c>
      <c r="B478" s="1">
        <v>40564</v>
      </c>
      <c r="C478">
        <v>1</v>
      </c>
      <c r="D478">
        <v>0</v>
      </c>
      <c r="E478">
        <v>1</v>
      </c>
      <c r="F478">
        <v>21</v>
      </c>
      <c r="G478">
        <v>0</v>
      </c>
      <c r="H478">
        <v>5</v>
      </c>
      <c r="I478">
        <v>1</v>
      </c>
      <c r="J478">
        <v>0.08</v>
      </c>
      <c r="K478">
        <v>477</v>
      </c>
      <c r="L478">
        <v>7.5800000000000006E-2</v>
      </c>
      <c r="M478">
        <v>0.38</v>
      </c>
      <c r="N478">
        <v>0.28360000000000002</v>
      </c>
      <c r="O478">
        <v>0</v>
      </c>
      <c r="P478">
        <v>41</v>
      </c>
      <c r="Q478">
        <v>41</v>
      </c>
    </row>
    <row r="479" spans="1:17" x14ac:dyDescent="0.35">
      <c r="A479">
        <v>478</v>
      </c>
      <c r="B479" s="1">
        <v>40564</v>
      </c>
      <c r="C479">
        <v>1</v>
      </c>
      <c r="D479">
        <v>0</v>
      </c>
      <c r="E479">
        <v>1</v>
      </c>
      <c r="F479">
        <v>22</v>
      </c>
      <c r="G479">
        <v>0</v>
      </c>
      <c r="H479">
        <v>5</v>
      </c>
      <c r="I479">
        <v>1</v>
      </c>
      <c r="J479">
        <v>0.06</v>
      </c>
      <c r="K479">
        <v>478</v>
      </c>
      <c r="L479">
        <v>3.0300000000000001E-2</v>
      </c>
      <c r="M479">
        <v>0.41</v>
      </c>
      <c r="N479">
        <v>0.3881</v>
      </c>
      <c r="O479">
        <v>1</v>
      </c>
      <c r="P479">
        <v>33</v>
      </c>
      <c r="Q479">
        <v>34</v>
      </c>
    </row>
    <row r="480" spans="1:17" x14ac:dyDescent="0.35">
      <c r="A480">
        <v>479</v>
      </c>
      <c r="B480" s="1">
        <v>40564</v>
      </c>
      <c r="C480">
        <v>1</v>
      </c>
      <c r="D480">
        <v>0</v>
      </c>
      <c r="E480">
        <v>1</v>
      </c>
      <c r="F480">
        <v>23</v>
      </c>
      <c r="G480">
        <v>0</v>
      </c>
      <c r="H480">
        <v>5</v>
      </c>
      <c r="I480">
        <v>1</v>
      </c>
      <c r="J480">
        <v>0.06</v>
      </c>
      <c r="K480">
        <v>479</v>
      </c>
      <c r="L480">
        <v>4.5499999999999999E-2</v>
      </c>
      <c r="M480">
        <v>0.38</v>
      </c>
      <c r="N480">
        <v>0.32840000000000003</v>
      </c>
      <c r="O480">
        <v>0</v>
      </c>
      <c r="P480">
        <v>27</v>
      </c>
      <c r="Q480">
        <v>27</v>
      </c>
    </row>
    <row r="481" spans="1:17" x14ac:dyDescent="0.35">
      <c r="A481">
        <v>480</v>
      </c>
      <c r="B481" s="1">
        <v>40565</v>
      </c>
      <c r="C481">
        <v>1</v>
      </c>
      <c r="D481">
        <v>0</v>
      </c>
      <c r="E481">
        <v>1</v>
      </c>
      <c r="F481">
        <v>0</v>
      </c>
      <c r="G481">
        <v>0</v>
      </c>
      <c r="H481">
        <v>6</v>
      </c>
      <c r="I481">
        <v>1</v>
      </c>
      <c r="J481">
        <v>0.04</v>
      </c>
      <c r="K481">
        <v>480</v>
      </c>
      <c r="L481">
        <v>3.0300000000000001E-2</v>
      </c>
      <c r="M481">
        <v>0.45</v>
      </c>
      <c r="N481">
        <v>0.25369999999999998</v>
      </c>
      <c r="O481">
        <v>0</v>
      </c>
      <c r="P481">
        <v>13</v>
      </c>
      <c r="Q481">
        <v>13</v>
      </c>
    </row>
    <row r="482" spans="1:17" x14ac:dyDescent="0.35">
      <c r="A482">
        <v>481</v>
      </c>
      <c r="B482" s="1">
        <v>40565</v>
      </c>
      <c r="C482">
        <v>1</v>
      </c>
      <c r="D482">
        <v>0</v>
      </c>
      <c r="E482">
        <v>1</v>
      </c>
      <c r="F482">
        <v>1</v>
      </c>
      <c r="G482">
        <v>0</v>
      </c>
      <c r="H482">
        <v>6</v>
      </c>
      <c r="I482">
        <v>2</v>
      </c>
      <c r="J482">
        <v>0.04</v>
      </c>
      <c r="K482">
        <v>481</v>
      </c>
      <c r="L482">
        <v>0</v>
      </c>
      <c r="M482">
        <v>0.41</v>
      </c>
      <c r="N482">
        <v>0.3881</v>
      </c>
      <c r="O482">
        <v>3</v>
      </c>
      <c r="P482">
        <v>9</v>
      </c>
      <c r="Q482">
        <v>12</v>
      </c>
    </row>
    <row r="483" spans="1:17" x14ac:dyDescent="0.35">
      <c r="A483">
        <v>482</v>
      </c>
      <c r="B483" s="1">
        <v>40565</v>
      </c>
      <c r="C483">
        <v>1</v>
      </c>
      <c r="D483">
        <v>0</v>
      </c>
      <c r="E483">
        <v>1</v>
      </c>
      <c r="F483">
        <v>2</v>
      </c>
      <c r="G483">
        <v>0</v>
      </c>
      <c r="H483">
        <v>6</v>
      </c>
      <c r="I483">
        <v>2</v>
      </c>
      <c r="J483">
        <v>0.04</v>
      </c>
      <c r="K483">
        <v>482</v>
      </c>
      <c r="L483">
        <v>3.0300000000000001E-2</v>
      </c>
      <c r="M483">
        <v>0.41</v>
      </c>
      <c r="N483">
        <v>0.25369999999999998</v>
      </c>
      <c r="O483">
        <v>0</v>
      </c>
      <c r="P483">
        <v>11</v>
      </c>
      <c r="Q483">
        <v>11</v>
      </c>
    </row>
    <row r="484" spans="1:17" x14ac:dyDescent="0.35">
      <c r="A484">
        <v>483</v>
      </c>
      <c r="B484" s="1">
        <v>40565</v>
      </c>
      <c r="C484">
        <v>1</v>
      </c>
      <c r="D484">
        <v>0</v>
      </c>
      <c r="E484">
        <v>1</v>
      </c>
      <c r="F484">
        <v>3</v>
      </c>
      <c r="G484">
        <v>0</v>
      </c>
      <c r="H484">
        <v>6</v>
      </c>
      <c r="I484">
        <v>2</v>
      </c>
      <c r="J484">
        <v>0.04</v>
      </c>
      <c r="K484">
        <v>483</v>
      </c>
      <c r="L484">
        <v>3.0300000000000001E-2</v>
      </c>
      <c r="M484">
        <v>0.41</v>
      </c>
      <c r="N484">
        <v>0.28360000000000002</v>
      </c>
      <c r="O484">
        <v>1</v>
      </c>
      <c r="P484">
        <v>6</v>
      </c>
      <c r="Q484">
        <v>7</v>
      </c>
    </row>
    <row r="485" spans="1:17" x14ac:dyDescent="0.35">
      <c r="A485">
        <v>484</v>
      </c>
      <c r="B485" s="1">
        <v>40565</v>
      </c>
      <c r="C485">
        <v>1</v>
      </c>
      <c r="D485">
        <v>0</v>
      </c>
      <c r="E485">
        <v>1</v>
      </c>
      <c r="F485">
        <v>4</v>
      </c>
      <c r="G485">
        <v>0</v>
      </c>
      <c r="H485">
        <v>6</v>
      </c>
      <c r="I485">
        <v>2</v>
      </c>
      <c r="J485">
        <v>0.02</v>
      </c>
      <c r="K485">
        <v>484</v>
      </c>
      <c r="L485">
        <v>1.52E-2</v>
      </c>
      <c r="M485">
        <v>0.48</v>
      </c>
      <c r="N485">
        <v>0.29849999999999999</v>
      </c>
      <c r="O485">
        <v>0</v>
      </c>
      <c r="P485">
        <v>3</v>
      </c>
      <c r="Q485">
        <v>3</v>
      </c>
    </row>
    <row r="486" spans="1:17" x14ac:dyDescent="0.35">
      <c r="A486">
        <v>485</v>
      </c>
      <c r="B486" s="1">
        <v>40565</v>
      </c>
      <c r="C486">
        <v>1</v>
      </c>
      <c r="D486">
        <v>0</v>
      </c>
      <c r="E486">
        <v>1</v>
      </c>
      <c r="F486">
        <v>6</v>
      </c>
      <c r="G486">
        <v>0</v>
      </c>
      <c r="H486">
        <v>6</v>
      </c>
      <c r="I486">
        <v>2</v>
      </c>
      <c r="J486">
        <v>0.02</v>
      </c>
      <c r="K486">
        <v>485</v>
      </c>
      <c r="L486">
        <v>3.0300000000000001E-2</v>
      </c>
      <c r="M486">
        <v>0.44</v>
      </c>
      <c r="N486">
        <v>0.22389999999999999</v>
      </c>
      <c r="O486">
        <v>0</v>
      </c>
      <c r="P486">
        <v>2</v>
      </c>
      <c r="Q486">
        <v>2</v>
      </c>
    </row>
    <row r="487" spans="1:17" x14ac:dyDescent="0.35">
      <c r="A487">
        <v>486</v>
      </c>
      <c r="B487" s="1">
        <v>40565</v>
      </c>
      <c r="C487">
        <v>1</v>
      </c>
      <c r="D487">
        <v>0</v>
      </c>
      <c r="E487">
        <v>1</v>
      </c>
      <c r="F487">
        <v>7</v>
      </c>
      <c r="G487">
        <v>0</v>
      </c>
      <c r="H487">
        <v>6</v>
      </c>
      <c r="I487">
        <v>1</v>
      </c>
      <c r="J487">
        <v>0.02</v>
      </c>
      <c r="K487">
        <v>486</v>
      </c>
      <c r="L487">
        <v>1.52E-2</v>
      </c>
      <c r="M487">
        <v>0.44</v>
      </c>
      <c r="N487">
        <v>0.28360000000000002</v>
      </c>
      <c r="O487">
        <v>0</v>
      </c>
      <c r="P487">
        <v>8</v>
      </c>
      <c r="Q487">
        <v>8</v>
      </c>
    </row>
    <row r="488" spans="1:17" x14ac:dyDescent="0.35">
      <c r="A488">
        <v>487</v>
      </c>
      <c r="B488" s="1">
        <v>40565</v>
      </c>
      <c r="C488">
        <v>1</v>
      </c>
      <c r="D488">
        <v>0</v>
      </c>
      <c r="E488">
        <v>1</v>
      </c>
      <c r="F488">
        <v>8</v>
      </c>
      <c r="G488">
        <v>0</v>
      </c>
      <c r="H488">
        <v>6</v>
      </c>
      <c r="I488">
        <v>1</v>
      </c>
      <c r="J488">
        <v>0.02</v>
      </c>
      <c r="K488">
        <v>487</v>
      </c>
      <c r="L488">
        <v>0</v>
      </c>
      <c r="M488">
        <v>0.44</v>
      </c>
      <c r="N488">
        <v>0.32840000000000003</v>
      </c>
      <c r="O488">
        <v>1</v>
      </c>
      <c r="P488">
        <v>26</v>
      </c>
      <c r="Q488">
        <v>27</v>
      </c>
    </row>
    <row r="489" spans="1:17" x14ac:dyDescent="0.35">
      <c r="A489">
        <v>488</v>
      </c>
      <c r="B489" s="1">
        <v>40565</v>
      </c>
      <c r="C489">
        <v>1</v>
      </c>
      <c r="D489">
        <v>0</v>
      </c>
      <c r="E489">
        <v>1</v>
      </c>
      <c r="F489">
        <v>9</v>
      </c>
      <c r="G489">
        <v>0</v>
      </c>
      <c r="H489">
        <v>6</v>
      </c>
      <c r="I489">
        <v>1</v>
      </c>
      <c r="J489">
        <v>0.04</v>
      </c>
      <c r="K489">
        <v>488</v>
      </c>
      <c r="L489">
        <v>3.0300000000000001E-2</v>
      </c>
      <c r="M489">
        <v>0.41</v>
      </c>
      <c r="N489">
        <v>0.25369999999999998</v>
      </c>
      <c r="O489">
        <v>3</v>
      </c>
      <c r="P489">
        <v>37</v>
      </c>
      <c r="Q489">
        <v>40</v>
      </c>
    </row>
    <row r="490" spans="1:17" x14ac:dyDescent="0.35">
      <c r="A490">
        <v>489</v>
      </c>
      <c r="B490" s="1">
        <v>40565</v>
      </c>
      <c r="C490">
        <v>1</v>
      </c>
      <c r="D490">
        <v>0</v>
      </c>
      <c r="E490">
        <v>1</v>
      </c>
      <c r="F490">
        <v>10</v>
      </c>
      <c r="G490">
        <v>0</v>
      </c>
      <c r="H490">
        <v>6</v>
      </c>
      <c r="I490">
        <v>2</v>
      </c>
      <c r="J490">
        <v>0.04</v>
      </c>
      <c r="K490">
        <v>489</v>
      </c>
      <c r="L490">
        <v>6.0600000000000001E-2</v>
      </c>
      <c r="M490">
        <v>0.41</v>
      </c>
      <c r="N490">
        <v>0.16420000000000001</v>
      </c>
      <c r="O490">
        <v>3</v>
      </c>
      <c r="P490">
        <v>50</v>
      </c>
      <c r="Q490">
        <v>53</v>
      </c>
    </row>
    <row r="491" spans="1:17" x14ac:dyDescent="0.35">
      <c r="A491">
        <v>490</v>
      </c>
      <c r="B491" s="1">
        <v>40565</v>
      </c>
      <c r="C491">
        <v>1</v>
      </c>
      <c r="D491">
        <v>0</v>
      </c>
      <c r="E491">
        <v>1</v>
      </c>
      <c r="F491">
        <v>11</v>
      </c>
      <c r="G491">
        <v>0</v>
      </c>
      <c r="H491">
        <v>6</v>
      </c>
      <c r="I491">
        <v>2</v>
      </c>
      <c r="J491">
        <v>0.06</v>
      </c>
      <c r="K491">
        <v>490</v>
      </c>
      <c r="L491">
        <v>7.5800000000000006E-2</v>
      </c>
      <c r="M491">
        <v>0.38</v>
      </c>
      <c r="N491">
        <v>0.1343</v>
      </c>
      <c r="O491">
        <v>4</v>
      </c>
      <c r="P491">
        <v>59</v>
      </c>
      <c r="Q491">
        <v>63</v>
      </c>
    </row>
    <row r="492" spans="1:17" x14ac:dyDescent="0.35">
      <c r="A492">
        <v>491</v>
      </c>
      <c r="B492" s="1">
        <v>40565</v>
      </c>
      <c r="C492">
        <v>1</v>
      </c>
      <c r="D492">
        <v>0</v>
      </c>
      <c r="E492">
        <v>1</v>
      </c>
      <c r="F492">
        <v>12</v>
      </c>
      <c r="G492">
        <v>0</v>
      </c>
      <c r="H492">
        <v>6</v>
      </c>
      <c r="I492">
        <v>2</v>
      </c>
      <c r="J492">
        <v>0.06</v>
      </c>
      <c r="K492">
        <v>491</v>
      </c>
      <c r="L492">
        <v>0.1061</v>
      </c>
      <c r="M492">
        <v>0.38</v>
      </c>
      <c r="N492">
        <v>0.1045</v>
      </c>
      <c r="O492">
        <v>10</v>
      </c>
      <c r="P492">
        <v>60</v>
      </c>
      <c r="Q492">
        <v>70</v>
      </c>
    </row>
    <row r="493" spans="1:17" x14ac:dyDescent="0.35">
      <c r="A493">
        <v>492</v>
      </c>
      <c r="B493" s="1">
        <v>40565</v>
      </c>
      <c r="C493">
        <v>1</v>
      </c>
      <c r="D493">
        <v>0</v>
      </c>
      <c r="E493">
        <v>1</v>
      </c>
      <c r="F493">
        <v>13</v>
      </c>
      <c r="G493">
        <v>0</v>
      </c>
      <c r="H493">
        <v>6</v>
      </c>
      <c r="I493">
        <v>1</v>
      </c>
      <c r="J493">
        <v>0.08</v>
      </c>
      <c r="K493">
        <v>492</v>
      </c>
      <c r="L493">
        <v>0.16669999999999999</v>
      </c>
      <c r="M493">
        <v>0.35</v>
      </c>
      <c r="N493">
        <v>0</v>
      </c>
      <c r="O493">
        <v>12</v>
      </c>
      <c r="P493">
        <v>72</v>
      </c>
      <c r="Q493">
        <v>84</v>
      </c>
    </row>
    <row r="494" spans="1:17" x14ac:dyDescent="0.35">
      <c r="A494">
        <v>493</v>
      </c>
      <c r="B494" s="1">
        <v>40565</v>
      </c>
      <c r="C494">
        <v>1</v>
      </c>
      <c r="D494">
        <v>0</v>
      </c>
      <c r="E494">
        <v>1</v>
      </c>
      <c r="F494">
        <v>14</v>
      </c>
      <c r="G494">
        <v>0</v>
      </c>
      <c r="H494">
        <v>6</v>
      </c>
      <c r="I494">
        <v>1</v>
      </c>
      <c r="J494">
        <v>0.1</v>
      </c>
      <c r="K494">
        <v>493</v>
      </c>
      <c r="L494">
        <v>0.13639999999999999</v>
      </c>
      <c r="M494">
        <v>0.33</v>
      </c>
      <c r="N494">
        <v>0.1045</v>
      </c>
      <c r="O494">
        <v>11</v>
      </c>
      <c r="P494">
        <v>64</v>
      </c>
      <c r="Q494">
        <v>75</v>
      </c>
    </row>
    <row r="495" spans="1:17" x14ac:dyDescent="0.35">
      <c r="A495">
        <v>494</v>
      </c>
      <c r="B495" s="1">
        <v>40565</v>
      </c>
      <c r="C495">
        <v>1</v>
      </c>
      <c r="D495">
        <v>0</v>
      </c>
      <c r="E495">
        <v>1</v>
      </c>
      <c r="F495">
        <v>15</v>
      </c>
      <c r="G495">
        <v>0</v>
      </c>
      <c r="H495">
        <v>6</v>
      </c>
      <c r="I495">
        <v>1</v>
      </c>
      <c r="J495">
        <v>0.12</v>
      </c>
      <c r="K495">
        <v>494</v>
      </c>
      <c r="L495">
        <v>0.1515</v>
      </c>
      <c r="M495">
        <v>0.28000000000000003</v>
      </c>
      <c r="N495">
        <v>0</v>
      </c>
      <c r="O495">
        <v>10</v>
      </c>
      <c r="P495">
        <v>93</v>
      </c>
      <c r="Q495">
        <v>103</v>
      </c>
    </row>
    <row r="496" spans="1:17" x14ac:dyDescent="0.35">
      <c r="A496">
        <v>495</v>
      </c>
      <c r="B496" s="1">
        <v>40565</v>
      </c>
      <c r="C496">
        <v>1</v>
      </c>
      <c r="D496">
        <v>0</v>
      </c>
      <c r="E496">
        <v>1</v>
      </c>
      <c r="F496">
        <v>16</v>
      </c>
      <c r="G496">
        <v>0</v>
      </c>
      <c r="H496">
        <v>6</v>
      </c>
      <c r="I496">
        <v>1</v>
      </c>
      <c r="J496">
        <v>0.12</v>
      </c>
      <c r="K496">
        <v>495</v>
      </c>
      <c r="L496">
        <v>0.13639999999999999</v>
      </c>
      <c r="M496">
        <v>0.28000000000000003</v>
      </c>
      <c r="N496">
        <v>0.19400000000000001</v>
      </c>
      <c r="O496">
        <v>11</v>
      </c>
      <c r="P496">
        <v>72</v>
      </c>
      <c r="Q496">
        <v>83</v>
      </c>
    </row>
    <row r="497" spans="1:17" x14ac:dyDescent="0.35">
      <c r="A497">
        <v>496</v>
      </c>
      <c r="B497" s="1">
        <v>40565</v>
      </c>
      <c r="C497">
        <v>1</v>
      </c>
      <c r="D497">
        <v>0</v>
      </c>
      <c r="E497">
        <v>1</v>
      </c>
      <c r="F497">
        <v>17</v>
      </c>
      <c r="G497">
        <v>0</v>
      </c>
      <c r="H497">
        <v>6</v>
      </c>
      <c r="I497">
        <v>1</v>
      </c>
      <c r="J497">
        <v>0.12</v>
      </c>
      <c r="K497">
        <v>496</v>
      </c>
      <c r="L497">
        <v>0.19700000000000001</v>
      </c>
      <c r="M497">
        <v>0.28000000000000003</v>
      </c>
      <c r="N497">
        <v>0</v>
      </c>
      <c r="O497">
        <v>8</v>
      </c>
      <c r="P497">
        <v>59</v>
      </c>
      <c r="Q497">
        <v>67</v>
      </c>
    </row>
    <row r="498" spans="1:17" x14ac:dyDescent="0.35">
      <c r="A498">
        <v>497</v>
      </c>
      <c r="B498" s="1">
        <v>40565</v>
      </c>
      <c r="C498">
        <v>1</v>
      </c>
      <c r="D498">
        <v>0</v>
      </c>
      <c r="E498">
        <v>1</v>
      </c>
      <c r="F498">
        <v>18</v>
      </c>
      <c r="G498">
        <v>0</v>
      </c>
      <c r="H498">
        <v>6</v>
      </c>
      <c r="I498">
        <v>1</v>
      </c>
      <c r="J498">
        <v>0.08</v>
      </c>
      <c r="K498">
        <v>497</v>
      </c>
      <c r="L498">
        <v>9.0899999999999995E-2</v>
      </c>
      <c r="M498">
        <v>0.35</v>
      </c>
      <c r="N498">
        <v>0.19400000000000001</v>
      </c>
      <c r="O498">
        <v>0</v>
      </c>
      <c r="P498">
        <v>54</v>
      </c>
      <c r="Q498">
        <v>54</v>
      </c>
    </row>
    <row r="499" spans="1:17" x14ac:dyDescent="0.35">
      <c r="A499">
        <v>498</v>
      </c>
      <c r="B499" s="1">
        <v>40565</v>
      </c>
      <c r="C499">
        <v>1</v>
      </c>
      <c r="D499">
        <v>0</v>
      </c>
      <c r="E499">
        <v>1</v>
      </c>
      <c r="F499">
        <v>19</v>
      </c>
      <c r="G499">
        <v>0</v>
      </c>
      <c r="H499">
        <v>6</v>
      </c>
      <c r="I499">
        <v>1</v>
      </c>
      <c r="J499">
        <v>0.08</v>
      </c>
      <c r="K499">
        <v>498</v>
      </c>
      <c r="L499">
        <v>0.1061</v>
      </c>
      <c r="M499">
        <v>0.35</v>
      </c>
      <c r="N499">
        <v>0.1343</v>
      </c>
      <c r="O499">
        <v>6</v>
      </c>
      <c r="P499">
        <v>53</v>
      </c>
      <c r="Q499">
        <v>59</v>
      </c>
    </row>
    <row r="500" spans="1:17" x14ac:dyDescent="0.35">
      <c r="A500">
        <v>499</v>
      </c>
      <c r="B500" s="1">
        <v>40565</v>
      </c>
      <c r="C500">
        <v>1</v>
      </c>
      <c r="D500">
        <v>0</v>
      </c>
      <c r="E500">
        <v>1</v>
      </c>
      <c r="F500">
        <v>20</v>
      </c>
      <c r="G500">
        <v>0</v>
      </c>
      <c r="H500">
        <v>6</v>
      </c>
      <c r="I500">
        <v>1</v>
      </c>
      <c r="J500">
        <v>0.06</v>
      </c>
      <c r="K500">
        <v>499</v>
      </c>
      <c r="L500">
        <v>7.5800000000000006E-2</v>
      </c>
      <c r="M500">
        <v>0.45</v>
      </c>
      <c r="N500">
        <v>0.16420000000000001</v>
      </c>
      <c r="O500">
        <v>1</v>
      </c>
      <c r="P500">
        <v>44</v>
      </c>
      <c r="Q500">
        <v>45</v>
      </c>
    </row>
    <row r="501" spans="1:17" x14ac:dyDescent="0.35">
      <c r="A501">
        <v>500</v>
      </c>
      <c r="B501" s="1">
        <v>40565</v>
      </c>
      <c r="C501">
        <v>1</v>
      </c>
      <c r="D501">
        <v>0</v>
      </c>
      <c r="E501">
        <v>1</v>
      </c>
      <c r="F501">
        <v>21</v>
      </c>
      <c r="G501">
        <v>0</v>
      </c>
      <c r="H501">
        <v>6</v>
      </c>
      <c r="I501">
        <v>1</v>
      </c>
      <c r="J501">
        <v>0.06</v>
      </c>
      <c r="K501">
        <v>500</v>
      </c>
      <c r="L501">
        <v>0.1061</v>
      </c>
      <c r="M501">
        <v>0.41</v>
      </c>
      <c r="N501">
        <v>8.9599999999999999E-2</v>
      </c>
      <c r="O501">
        <v>0</v>
      </c>
      <c r="P501">
        <v>39</v>
      </c>
      <c r="Q501">
        <v>39</v>
      </c>
    </row>
    <row r="502" spans="1:17" x14ac:dyDescent="0.35">
      <c r="A502">
        <v>501</v>
      </c>
      <c r="B502" s="1">
        <v>40565</v>
      </c>
      <c r="C502">
        <v>1</v>
      </c>
      <c r="D502">
        <v>0</v>
      </c>
      <c r="E502">
        <v>1</v>
      </c>
      <c r="F502">
        <v>22</v>
      </c>
      <c r="G502">
        <v>0</v>
      </c>
      <c r="H502">
        <v>6</v>
      </c>
      <c r="I502">
        <v>1</v>
      </c>
      <c r="J502">
        <v>0.06</v>
      </c>
      <c r="K502">
        <v>501</v>
      </c>
      <c r="L502">
        <v>0.1515</v>
      </c>
      <c r="M502">
        <v>0.49</v>
      </c>
      <c r="N502">
        <v>0</v>
      </c>
      <c r="O502">
        <v>7</v>
      </c>
      <c r="P502">
        <v>23</v>
      </c>
      <c r="Q502">
        <v>30</v>
      </c>
    </row>
    <row r="503" spans="1:17" x14ac:dyDescent="0.35">
      <c r="A503">
        <v>502</v>
      </c>
      <c r="B503" s="1">
        <v>40565</v>
      </c>
      <c r="C503">
        <v>1</v>
      </c>
      <c r="D503">
        <v>0</v>
      </c>
      <c r="E503">
        <v>1</v>
      </c>
      <c r="F503">
        <v>23</v>
      </c>
      <c r="G503">
        <v>0</v>
      </c>
      <c r="H503">
        <v>6</v>
      </c>
      <c r="I503">
        <v>1</v>
      </c>
      <c r="J503">
        <v>0.04</v>
      </c>
      <c r="K503">
        <v>502</v>
      </c>
      <c r="L503">
        <v>7.5800000000000006E-2</v>
      </c>
      <c r="M503">
        <v>0.56999999999999995</v>
      </c>
      <c r="N503">
        <v>0.1045</v>
      </c>
      <c r="O503">
        <v>2</v>
      </c>
      <c r="P503">
        <v>31</v>
      </c>
      <c r="Q503">
        <v>33</v>
      </c>
    </row>
    <row r="504" spans="1:17" x14ac:dyDescent="0.35">
      <c r="A504">
        <v>503</v>
      </c>
      <c r="B504" s="1">
        <v>40566</v>
      </c>
      <c r="C504">
        <v>1</v>
      </c>
      <c r="D504">
        <v>0</v>
      </c>
      <c r="E504">
        <v>1</v>
      </c>
      <c r="F504">
        <v>0</v>
      </c>
      <c r="G504">
        <v>0</v>
      </c>
      <c r="H504">
        <v>0</v>
      </c>
      <c r="I504">
        <v>1</v>
      </c>
      <c r="J504">
        <v>0.04</v>
      </c>
      <c r="K504">
        <v>503</v>
      </c>
      <c r="L504">
        <v>7.5800000000000006E-2</v>
      </c>
      <c r="M504">
        <v>0.56999999999999995</v>
      </c>
      <c r="N504">
        <v>0.1045</v>
      </c>
      <c r="O504">
        <v>2</v>
      </c>
      <c r="P504">
        <v>20</v>
      </c>
      <c r="Q504">
        <v>22</v>
      </c>
    </row>
    <row r="505" spans="1:17" x14ac:dyDescent="0.35">
      <c r="A505">
        <v>504</v>
      </c>
      <c r="B505" s="1">
        <v>40566</v>
      </c>
      <c r="C505">
        <v>1</v>
      </c>
      <c r="D505">
        <v>0</v>
      </c>
      <c r="E505">
        <v>1</v>
      </c>
      <c r="F505">
        <v>1</v>
      </c>
      <c r="G505">
        <v>0</v>
      </c>
      <c r="H505">
        <v>0</v>
      </c>
      <c r="I505">
        <v>1</v>
      </c>
      <c r="J505">
        <v>0.04</v>
      </c>
      <c r="K505">
        <v>504</v>
      </c>
      <c r="L505">
        <v>7.5800000000000006E-2</v>
      </c>
      <c r="M505">
        <v>0.56999999999999995</v>
      </c>
      <c r="N505">
        <v>0.1045</v>
      </c>
      <c r="O505">
        <v>1</v>
      </c>
      <c r="P505">
        <v>12</v>
      </c>
      <c r="Q505">
        <v>13</v>
      </c>
    </row>
    <row r="506" spans="1:17" x14ac:dyDescent="0.35">
      <c r="A506">
        <v>505</v>
      </c>
      <c r="B506" s="1">
        <v>40566</v>
      </c>
      <c r="C506">
        <v>1</v>
      </c>
      <c r="D506">
        <v>0</v>
      </c>
      <c r="E506">
        <v>1</v>
      </c>
      <c r="F506">
        <v>2</v>
      </c>
      <c r="G506">
        <v>0</v>
      </c>
      <c r="H506">
        <v>0</v>
      </c>
      <c r="I506">
        <v>1</v>
      </c>
      <c r="J506">
        <v>0.02</v>
      </c>
      <c r="K506">
        <v>505</v>
      </c>
      <c r="L506">
        <v>6.0600000000000001E-2</v>
      </c>
      <c r="M506">
        <v>0.62</v>
      </c>
      <c r="N506">
        <v>0.1343</v>
      </c>
      <c r="O506">
        <v>3</v>
      </c>
      <c r="P506">
        <v>15</v>
      </c>
      <c r="Q506">
        <v>18</v>
      </c>
    </row>
    <row r="507" spans="1:17" x14ac:dyDescent="0.35">
      <c r="A507">
        <v>506</v>
      </c>
      <c r="B507" s="1">
        <v>40566</v>
      </c>
      <c r="C507">
        <v>1</v>
      </c>
      <c r="D507">
        <v>0</v>
      </c>
      <c r="E507">
        <v>1</v>
      </c>
      <c r="F507">
        <v>3</v>
      </c>
      <c r="G507">
        <v>0</v>
      </c>
      <c r="H507">
        <v>0</v>
      </c>
      <c r="I507">
        <v>1</v>
      </c>
      <c r="J507">
        <v>0.02</v>
      </c>
      <c r="K507">
        <v>506</v>
      </c>
      <c r="L507">
        <v>6.0600000000000001E-2</v>
      </c>
      <c r="M507">
        <v>0.62</v>
      </c>
      <c r="N507">
        <v>0.1343</v>
      </c>
      <c r="O507">
        <v>1</v>
      </c>
      <c r="P507">
        <v>4</v>
      </c>
      <c r="Q507">
        <v>5</v>
      </c>
    </row>
    <row r="508" spans="1:17" x14ac:dyDescent="0.35">
      <c r="A508">
        <v>507</v>
      </c>
      <c r="B508" s="1">
        <v>40566</v>
      </c>
      <c r="C508">
        <v>1</v>
      </c>
      <c r="D508">
        <v>0</v>
      </c>
      <c r="E508">
        <v>1</v>
      </c>
      <c r="F508">
        <v>5</v>
      </c>
      <c r="G508">
        <v>0</v>
      </c>
      <c r="H508">
        <v>0</v>
      </c>
      <c r="I508">
        <v>2</v>
      </c>
      <c r="J508">
        <v>0.04</v>
      </c>
      <c r="K508">
        <v>507</v>
      </c>
      <c r="L508">
        <v>7.5800000000000006E-2</v>
      </c>
      <c r="M508">
        <v>0.56999999999999995</v>
      </c>
      <c r="N508">
        <v>0.1045</v>
      </c>
      <c r="O508">
        <v>0</v>
      </c>
      <c r="P508">
        <v>3</v>
      </c>
      <c r="Q508">
        <v>3</v>
      </c>
    </row>
    <row r="509" spans="1:17" x14ac:dyDescent="0.35">
      <c r="A509">
        <v>508</v>
      </c>
      <c r="B509" s="1">
        <v>40566</v>
      </c>
      <c r="C509">
        <v>1</v>
      </c>
      <c r="D509">
        <v>0</v>
      </c>
      <c r="E509">
        <v>1</v>
      </c>
      <c r="F509">
        <v>6</v>
      </c>
      <c r="G509">
        <v>0</v>
      </c>
      <c r="H509">
        <v>0</v>
      </c>
      <c r="I509">
        <v>2</v>
      </c>
      <c r="J509">
        <v>0.04</v>
      </c>
      <c r="K509">
        <v>508</v>
      </c>
      <c r="L509">
        <v>7.5800000000000006E-2</v>
      </c>
      <c r="M509">
        <v>0.56999999999999995</v>
      </c>
      <c r="N509">
        <v>0.1045</v>
      </c>
      <c r="O509">
        <v>0</v>
      </c>
      <c r="P509">
        <v>1</v>
      </c>
      <c r="Q509">
        <v>1</v>
      </c>
    </row>
    <row r="510" spans="1:17" x14ac:dyDescent="0.35">
      <c r="A510">
        <v>509</v>
      </c>
      <c r="B510" s="1">
        <v>40566</v>
      </c>
      <c r="C510">
        <v>1</v>
      </c>
      <c r="D510">
        <v>0</v>
      </c>
      <c r="E510">
        <v>1</v>
      </c>
      <c r="F510">
        <v>7</v>
      </c>
      <c r="G510">
        <v>0</v>
      </c>
      <c r="H510">
        <v>0</v>
      </c>
      <c r="I510">
        <v>1</v>
      </c>
      <c r="J510">
        <v>0.08</v>
      </c>
      <c r="K510">
        <v>509</v>
      </c>
      <c r="L510">
        <v>0.1061</v>
      </c>
      <c r="M510">
        <v>0.57999999999999996</v>
      </c>
      <c r="N510">
        <v>0.16420000000000001</v>
      </c>
      <c r="O510">
        <v>1</v>
      </c>
      <c r="P510">
        <v>1</v>
      </c>
      <c r="Q510">
        <v>2</v>
      </c>
    </row>
    <row r="511" spans="1:17" x14ac:dyDescent="0.35">
      <c r="A511">
        <v>510</v>
      </c>
      <c r="B511" s="1">
        <v>40566</v>
      </c>
      <c r="C511">
        <v>1</v>
      </c>
      <c r="D511">
        <v>0</v>
      </c>
      <c r="E511">
        <v>1</v>
      </c>
      <c r="F511">
        <v>8</v>
      </c>
      <c r="G511">
        <v>0</v>
      </c>
      <c r="H511">
        <v>0</v>
      </c>
      <c r="I511">
        <v>1</v>
      </c>
      <c r="J511">
        <v>0.06</v>
      </c>
      <c r="K511">
        <v>510</v>
      </c>
      <c r="L511">
        <v>7.5800000000000006E-2</v>
      </c>
      <c r="M511">
        <v>0.62</v>
      </c>
      <c r="N511">
        <v>0.16420000000000001</v>
      </c>
      <c r="O511">
        <v>2</v>
      </c>
      <c r="P511">
        <v>17</v>
      </c>
      <c r="Q511">
        <v>19</v>
      </c>
    </row>
    <row r="512" spans="1:17" x14ac:dyDescent="0.35">
      <c r="A512">
        <v>511</v>
      </c>
      <c r="B512" s="1">
        <v>40566</v>
      </c>
      <c r="C512">
        <v>1</v>
      </c>
      <c r="D512">
        <v>0</v>
      </c>
      <c r="E512">
        <v>1</v>
      </c>
      <c r="F512">
        <v>9</v>
      </c>
      <c r="G512">
        <v>0</v>
      </c>
      <c r="H512">
        <v>0</v>
      </c>
      <c r="I512">
        <v>1</v>
      </c>
      <c r="J512">
        <v>0.1</v>
      </c>
      <c r="K512">
        <v>511</v>
      </c>
      <c r="L512">
        <v>7.5800000000000006E-2</v>
      </c>
      <c r="M512">
        <v>0.54</v>
      </c>
      <c r="N512">
        <v>0.35820000000000002</v>
      </c>
      <c r="O512">
        <v>3</v>
      </c>
      <c r="P512">
        <v>25</v>
      </c>
      <c r="Q512">
        <v>28</v>
      </c>
    </row>
    <row r="513" spans="1:17" x14ac:dyDescent="0.35">
      <c r="A513">
        <v>512</v>
      </c>
      <c r="B513" s="1">
        <v>40566</v>
      </c>
      <c r="C513">
        <v>1</v>
      </c>
      <c r="D513">
        <v>0</v>
      </c>
      <c r="E513">
        <v>1</v>
      </c>
      <c r="F513">
        <v>10</v>
      </c>
      <c r="G513">
        <v>0</v>
      </c>
      <c r="H513">
        <v>0</v>
      </c>
      <c r="I513">
        <v>1</v>
      </c>
      <c r="J513">
        <v>0.14000000000000001</v>
      </c>
      <c r="K513">
        <v>512</v>
      </c>
      <c r="L513">
        <v>0.1061</v>
      </c>
      <c r="M513">
        <v>0.46</v>
      </c>
      <c r="N513">
        <v>0.3881</v>
      </c>
      <c r="O513">
        <v>7</v>
      </c>
      <c r="P513">
        <v>51</v>
      </c>
      <c r="Q513">
        <v>58</v>
      </c>
    </row>
    <row r="514" spans="1:17" x14ac:dyDescent="0.35">
      <c r="A514">
        <v>513</v>
      </c>
      <c r="B514" s="1">
        <v>40566</v>
      </c>
      <c r="C514">
        <v>1</v>
      </c>
      <c r="D514">
        <v>0</v>
      </c>
      <c r="E514">
        <v>1</v>
      </c>
      <c r="F514">
        <v>11</v>
      </c>
      <c r="G514">
        <v>0</v>
      </c>
      <c r="H514">
        <v>0</v>
      </c>
      <c r="I514">
        <v>1</v>
      </c>
      <c r="J514">
        <v>0.14000000000000001</v>
      </c>
      <c r="K514">
        <v>513</v>
      </c>
      <c r="L514">
        <v>0.13639999999999999</v>
      </c>
      <c r="M514">
        <v>0.43</v>
      </c>
      <c r="N514">
        <v>0.22389999999999999</v>
      </c>
      <c r="O514">
        <v>22</v>
      </c>
      <c r="P514">
        <v>77</v>
      </c>
      <c r="Q514">
        <v>99</v>
      </c>
    </row>
    <row r="515" spans="1:17" x14ac:dyDescent="0.35">
      <c r="A515">
        <v>514</v>
      </c>
      <c r="B515" s="1">
        <v>40566</v>
      </c>
      <c r="C515">
        <v>1</v>
      </c>
      <c r="D515">
        <v>0</v>
      </c>
      <c r="E515">
        <v>1</v>
      </c>
      <c r="F515">
        <v>12</v>
      </c>
      <c r="G515">
        <v>0</v>
      </c>
      <c r="H515">
        <v>0</v>
      </c>
      <c r="I515">
        <v>1</v>
      </c>
      <c r="J515">
        <v>0.16</v>
      </c>
      <c r="K515">
        <v>514</v>
      </c>
      <c r="L515">
        <v>0.1212</v>
      </c>
      <c r="M515">
        <v>0.37</v>
      </c>
      <c r="N515">
        <v>0.4627</v>
      </c>
      <c r="O515">
        <v>24</v>
      </c>
      <c r="P515">
        <v>92</v>
      </c>
      <c r="Q515">
        <v>116</v>
      </c>
    </row>
    <row r="516" spans="1:17" x14ac:dyDescent="0.35">
      <c r="A516">
        <v>515</v>
      </c>
      <c r="B516" s="1">
        <v>40566</v>
      </c>
      <c r="C516">
        <v>1</v>
      </c>
      <c r="D516">
        <v>0</v>
      </c>
      <c r="E516">
        <v>1</v>
      </c>
      <c r="F516">
        <v>13</v>
      </c>
      <c r="G516">
        <v>0</v>
      </c>
      <c r="H516">
        <v>0</v>
      </c>
      <c r="I516">
        <v>1</v>
      </c>
      <c r="J516">
        <v>0.14000000000000001</v>
      </c>
      <c r="K516">
        <v>515</v>
      </c>
      <c r="L516">
        <v>0.1061</v>
      </c>
      <c r="M516">
        <v>0.33</v>
      </c>
      <c r="N516">
        <v>0.3881</v>
      </c>
      <c r="O516">
        <v>12</v>
      </c>
      <c r="P516">
        <v>75</v>
      </c>
      <c r="Q516">
        <v>87</v>
      </c>
    </row>
    <row r="517" spans="1:17" x14ac:dyDescent="0.35">
      <c r="A517">
        <v>516</v>
      </c>
      <c r="B517" s="1">
        <v>40566</v>
      </c>
      <c r="C517">
        <v>1</v>
      </c>
      <c r="D517">
        <v>0</v>
      </c>
      <c r="E517">
        <v>1</v>
      </c>
      <c r="F517">
        <v>14</v>
      </c>
      <c r="G517">
        <v>0</v>
      </c>
      <c r="H517">
        <v>0</v>
      </c>
      <c r="I517">
        <v>1</v>
      </c>
      <c r="J517">
        <v>0.16</v>
      </c>
      <c r="K517">
        <v>516</v>
      </c>
      <c r="L517">
        <v>0.13639999999999999</v>
      </c>
      <c r="M517">
        <v>0.28000000000000003</v>
      </c>
      <c r="N517">
        <v>0.35820000000000002</v>
      </c>
      <c r="O517">
        <v>17</v>
      </c>
      <c r="P517">
        <v>93</v>
      </c>
      <c r="Q517">
        <v>110</v>
      </c>
    </row>
    <row r="518" spans="1:17" x14ac:dyDescent="0.35">
      <c r="A518">
        <v>517</v>
      </c>
      <c r="B518" s="1">
        <v>40566</v>
      </c>
      <c r="C518">
        <v>1</v>
      </c>
      <c r="D518">
        <v>0</v>
      </c>
      <c r="E518">
        <v>1</v>
      </c>
      <c r="F518">
        <v>15</v>
      </c>
      <c r="G518">
        <v>0</v>
      </c>
      <c r="H518">
        <v>0</v>
      </c>
      <c r="I518">
        <v>1</v>
      </c>
      <c r="J518">
        <v>0.16</v>
      </c>
      <c r="K518">
        <v>517</v>
      </c>
      <c r="L518">
        <v>0.13639999999999999</v>
      </c>
      <c r="M518">
        <v>0.28000000000000003</v>
      </c>
      <c r="N518">
        <v>0.35820000000000002</v>
      </c>
      <c r="O518">
        <v>13</v>
      </c>
      <c r="P518">
        <v>64</v>
      </c>
      <c r="Q518">
        <v>77</v>
      </c>
    </row>
    <row r="519" spans="1:17" x14ac:dyDescent="0.35">
      <c r="A519">
        <v>518</v>
      </c>
      <c r="B519" s="1">
        <v>40566</v>
      </c>
      <c r="C519">
        <v>1</v>
      </c>
      <c r="D519">
        <v>0</v>
      </c>
      <c r="E519">
        <v>1</v>
      </c>
      <c r="F519">
        <v>16</v>
      </c>
      <c r="G519">
        <v>0</v>
      </c>
      <c r="H519">
        <v>0</v>
      </c>
      <c r="I519">
        <v>1</v>
      </c>
      <c r="J519">
        <v>0.16</v>
      </c>
      <c r="K519">
        <v>518</v>
      </c>
      <c r="L519">
        <v>0.13639999999999999</v>
      </c>
      <c r="M519">
        <v>0.26</v>
      </c>
      <c r="N519">
        <v>0.32840000000000003</v>
      </c>
      <c r="O519">
        <v>9</v>
      </c>
      <c r="P519">
        <v>56</v>
      </c>
      <c r="Q519">
        <v>65</v>
      </c>
    </row>
    <row r="520" spans="1:17" x14ac:dyDescent="0.35">
      <c r="A520">
        <v>519</v>
      </c>
      <c r="B520" s="1">
        <v>40566</v>
      </c>
      <c r="C520">
        <v>1</v>
      </c>
      <c r="D520">
        <v>0</v>
      </c>
      <c r="E520">
        <v>1</v>
      </c>
      <c r="F520">
        <v>17</v>
      </c>
      <c r="G520">
        <v>0</v>
      </c>
      <c r="H520">
        <v>0</v>
      </c>
      <c r="I520">
        <v>1</v>
      </c>
      <c r="J520">
        <v>0.14000000000000001</v>
      </c>
      <c r="K520">
        <v>519</v>
      </c>
      <c r="L520">
        <v>0.1061</v>
      </c>
      <c r="M520">
        <v>0.26</v>
      </c>
      <c r="N520">
        <v>0.3881</v>
      </c>
      <c r="O520">
        <v>5</v>
      </c>
      <c r="P520">
        <v>50</v>
      </c>
      <c r="Q520">
        <v>55</v>
      </c>
    </row>
    <row r="521" spans="1:17" x14ac:dyDescent="0.35">
      <c r="A521">
        <v>520</v>
      </c>
      <c r="B521" s="1">
        <v>40566</v>
      </c>
      <c r="C521">
        <v>1</v>
      </c>
      <c r="D521">
        <v>0</v>
      </c>
      <c r="E521">
        <v>1</v>
      </c>
      <c r="F521">
        <v>18</v>
      </c>
      <c r="G521">
        <v>0</v>
      </c>
      <c r="H521">
        <v>0</v>
      </c>
      <c r="I521">
        <v>1</v>
      </c>
      <c r="J521">
        <v>0.12</v>
      </c>
      <c r="K521">
        <v>520</v>
      </c>
      <c r="L521">
        <v>0.1212</v>
      </c>
      <c r="M521">
        <v>0.3</v>
      </c>
      <c r="N521">
        <v>0.25369999999999998</v>
      </c>
      <c r="O521">
        <v>5</v>
      </c>
      <c r="P521">
        <v>44</v>
      </c>
      <c r="Q521">
        <v>49</v>
      </c>
    </row>
    <row r="522" spans="1:17" x14ac:dyDescent="0.35">
      <c r="A522">
        <v>521</v>
      </c>
      <c r="B522" s="1">
        <v>40566</v>
      </c>
      <c r="C522">
        <v>1</v>
      </c>
      <c r="D522">
        <v>0</v>
      </c>
      <c r="E522">
        <v>1</v>
      </c>
      <c r="F522">
        <v>19</v>
      </c>
      <c r="G522">
        <v>0</v>
      </c>
      <c r="H522">
        <v>0</v>
      </c>
      <c r="I522">
        <v>1</v>
      </c>
      <c r="J522">
        <v>0.12</v>
      </c>
      <c r="K522">
        <v>521</v>
      </c>
      <c r="L522">
        <v>0.1212</v>
      </c>
      <c r="M522">
        <v>0.3</v>
      </c>
      <c r="N522">
        <v>0.28360000000000002</v>
      </c>
      <c r="O522">
        <v>5</v>
      </c>
      <c r="P522">
        <v>45</v>
      </c>
      <c r="Q522">
        <v>50</v>
      </c>
    </row>
    <row r="523" spans="1:17" x14ac:dyDescent="0.35">
      <c r="A523">
        <v>522</v>
      </c>
      <c r="B523" s="1">
        <v>40566</v>
      </c>
      <c r="C523">
        <v>1</v>
      </c>
      <c r="D523">
        <v>0</v>
      </c>
      <c r="E523">
        <v>1</v>
      </c>
      <c r="F523">
        <v>20</v>
      </c>
      <c r="G523">
        <v>0</v>
      </c>
      <c r="H523">
        <v>0</v>
      </c>
      <c r="I523">
        <v>1</v>
      </c>
      <c r="J523">
        <v>0.1</v>
      </c>
      <c r="K523">
        <v>522</v>
      </c>
      <c r="L523">
        <v>0.1061</v>
      </c>
      <c r="M523">
        <v>0.36</v>
      </c>
      <c r="N523">
        <v>0.25369999999999998</v>
      </c>
      <c r="O523">
        <v>4</v>
      </c>
      <c r="P523">
        <v>31</v>
      </c>
      <c r="Q523">
        <v>35</v>
      </c>
    </row>
    <row r="524" spans="1:17" x14ac:dyDescent="0.35">
      <c r="A524">
        <v>523</v>
      </c>
      <c r="B524" s="1">
        <v>40566</v>
      </c>
      <c r="C524">
        <v>1</v>
      </c>
      <c r="D524">
        <v>0</v>
      </c>
      <c r="E524">
        <v>1</v>
      </c>
      <c r="F524">
        <v>21</v>
      </c>
      <c r="G524">
        <v>0</v>
      </c>
      <c r="H524">
        <v>0</v>
      </c>
      <c r="I524">
        <v>1</v>
      </c>
      <c r="J524">
        <v>0.1</v>
      </c>
      <c r="K524">
        <v>523</v>
      </c>
      <c r="L524">
        <v>0.1061</v>
      </c>
      <c r="M524">
        <v>0.36</v>
      </c>
      <c r="N524">
        <v>0.19400000000000001</v>
      </c>
      <c r="O524">
        <v>5</v>
      </c>
      <c r="P524">
        <v>20</v>
      </c>
      <c r="Q524">
        <v>25</v>
      </c>
    </row>
    <row r="525" spans="1:17" x14ac:dyDescent="0.35">
      <c r="A525">
        <v>524</v>
      </c>
      <c r="B525" s="1">
        <v>40566</v>
      </c>
      <c r="C525">
        <v>1</v>
      </c>
      <c r="D525">
        <v>0</v>
      </c>
      <c r="E525">
        <v>1</v>
      </c>
      <c r="F525">
        <v>22</v>
      </c>
      <c r="G525">
        <v>0</v>
      </c>
      <c r="H525">
        <v>0</v>
      </c>
      <c r="I525">
        <v>1</v>
      </c>
      <c r="J525">
        <v>0.08</v>
      </c>
      <c r="K525">
        <v>524</v>
      </c>
      <c r="L525">
        <v>9.0899999999999995E-2</v>
      </c>
      <c r="M525">
        <v>0.38</v>
      </c>
      <c r="N525">
        <v>0.19400000000000001</v>
      </c>
      <c r="O525">
        <v>5</v>
      </c>
      <c r="P525">
        <v>23</v>
      </c>
      <c r="Q525">
        <v>28</v>
      </c>
    </row>
    <row r="526" spans="1:17" x14ac:dyDescent="0.35">
      <c r="A526">
        <v>525</v>
      </c>
      <c r="B526" s="1">
        <v>40566</v>
      </c>
      <c r="C526">
        <v>1</v>
      </c>
      <c r="D526">
        <v>0</v>
      </c>
      <c r="E526">
        <v>1</v>
      </c>
      <c r="F526">
        <v>23</v>
      </c>
      <c r="G526">
        <v>0</v>
      </c>
      <c r="H526">
        <v>0</v>
      </c>
      <c r="I526">
        <v>1</v>
      </c>
      <c r="J526">
        <v>0.06</v>
      </c>
      <c r="K526">
        <v>525</v>
      </c>
      <c r="L526">
        <v>6.0600000000000001E-2</v>
      </c>
      <c r="M526">
        <v>0.41</v>
      </c>
      <c r="N526">
        <v>0.22389999999999999</v>
      </c>
      <c r="O526">
        <v>4</v>
      </c>
      <c r="P526">
        <v>17</v>
      </c>
      <c r="Q526">
        <v>21</v>
      </c>
    </row>
    <row r="527" spans="1:17" x14ac:dyDescent="0.35">
      <c r="A527">
        <v>526</v>
      </c>
      <c r="B527" s="1">
        <v>40567</v>
      </c>
      <c r="C527">
        <v>1</v>
      </c>
      <c r="D527">
        <v>0</v>
      </c>
      <c r="E527">
        <v>1</v>
      </c>
      <c r="F527">
        <v>0</v>
      </c>
      <c r="G527">
        <v>0</v>
      </c>
      <c r="H527">
        <v>1</v>
      </c>
      <c r="I527">
        <v>1</v>
      </c>
      <c r="J527">
        <v>0.06</v>
      </c>
      <c r="K527">
        <v>526</v>
      </c>
      <c r="L527">
        <v>6.0600000000000001E-2</v>
      </c>
      <c r="M527">
        <v>0.41</v>
      </c>
      <c r="N527">
        <v>0.19400000000000001</v>
      </c>
      <c r="O527">
        <v>0</v>
      </c>
      <c r="P527">
        <v>7</v>
      </c>
      <c r="Q527">
        <v>7</v>
      </c>
    </row>
    <row r="528" spans="1:17" x14ac:dyDescent="0.35">
      <c r="A528">
        <v>527</v>
      </c>
      <c r="B528" s="1">
        <v>40567</v>
      </c>
      <c r="C528">
        <v>1</v>
      </c>
      <c r="D528">
        <v>0</v>
      </c>
      <c r="E528">
        <v>1</v>
      </c>
      <c r="F528">
        <v>1</v>
      </c>
      <c r="G528">
        <v>0</v>
      </c>
      <c r="H528">
        <v>1</v>
      </c>
      <c r="I528">
        <v>1</v>
      </c>
      <c r="J528">
        <v>0.04</v>
      </c>
      <c r="K528">
        <v>527</v>
      </c>
      <c r="L528">
        <v>4.5499999999999999E-2</v>
      </c>
      <c r="M528">
        <v>0.45</v>
      </c>
      <c r="N528">
        <v>0.19400000000000001</v>
      </c>
      <c r="O528">
        <v>0</v>
      </c>
      <c r="P528">
        <v>1</v>
      </c>
      <c r="Q528">
        <v>1</v>
      </c>
    </row>
    <row r="529" spans="1:17" x14ac:dyDescent="0.35">
      <c r="A529">
        <v>528</v>
      </c>
      <c r="B529" s="1">
        <v>40567</v>
      </c>
      <c r="C529">
        <v>1</v>
      </c>
      <c r="D529">
        <v>0</v>
      </c>
      <c r="E529">
        <v>1</v>
      </c>
      <c r="F529">
        <v>3</v>
      </c>
      <c r="G529">
        <v>0</v>
      </c>
      <c r="H529">
        <v>1</v>
      </c>
      <c r="I529">
        <v>1</v>
      </c>
      <c r="J529">
        <v>0.04</v>
      </c>
      <c r="K529">
        <v>528</v>
      </c>
      <c r="L529">
        <v>3.0300000000000001E-2</v>
      </c>
      <c r="M529">
        <v>0.45</v>
      </c>
      <c r="N529">
        <v>0.25369999999999998</v>
      </c>
      <c r="O529">
        <v>0</v>
      </c>
      <c r="P529">
        <v>1</v>
      </c>
      <c r="Q529">
        <v>1</v>
      </c>
    </row>
    <row r="530" spans="1:17" x14ac:dyDescent="0.35">
      <c r="A530">
        <v>529</v>
      </c>
      <c r="B530" s="1">
        <v>40567</v>
      </c>
      <c r="C530">
        <v>1</v>
      </c>
      <c r="D530">
        <v>0</v>
      </c>
      <c r="E530">
        <v>1</v>
      </c>
      <c r="F530">
        <v>4</v>
      </c>
      <c r="G530">
        <v>0</v>
      </c>
      <c r="H530">
        <v>1</v>
      </c>
      <c r="I530">
        <v>1</v>
      </c>
      <c r="J530">
        <v>0.02</v>
      </c>
      <c r="K530">
        <v>529</v>
      </c>
      <c r="L530">
        <v>6.0600000000000001E-2</v>
      </c>
      <c r="M530">
        <v>0.48</v>
      </c>
      <c r="N530">
        <v>0.1343</v>
      </c>
      <c r="O530">
        <v>0</v>
      </c>
      <c r="P530">
        <v>1</v>
      </c>
      <c r="Q530">
        <v>1</v>
      </c>
    </row>
    <row r="531" spans="1:17" x14ac:dyDescent="0.35">
      <c r="A531">
        <v>530</v>
      </c>
      <c r="B531" s="1">
        <v>40567</v>
      </c>
      <c r="C531">
        <v>1</v>
      </c>
      <c r="D531">
        <v>0</v>
      </c>
      <c r="E531">
        <v>1</v>
      </c>
      <c r="F531">
        <v>5</v>
      </c>
      <c r="G531">
        <v>0</v>
      </c>
      <c r="H531">
        <v>1</v>
      </c>
      <c r="I531">
        <v>1</v>
      </c>
      <c r="J531">
        <v>0.02</v>
      </c>
      <c r="K531">
        <v>530</v>
      </c>
      <c r="L531">
        <v>6.0600000000000001E-2</v>
      </c>
      <c r="M531">
        <v>0.48</v>
      </c>
      <c r="N531">
        <v>0.1343</v>
      </c>
      <c r="O531">
        <v>0</v>
      </c>
      <c r="P531">
        <v>5</v>
      </c>
      <c r="Q531">
        <v>5</v>
      </c>
    </row>
    <row r="532" spans="1:17" x14ac:dyDescent="0.35">
      <c r="A532">
        <v>531</v>
      </c>
      <c r="B532" s="1">
        <v>40567</v>
      </c>
      <c r="C532">
        <v>1</v>
      </c>
      <c r="D532">
        <v>0</v>
      </c>
      <c r="E532">
        <v>1</v>
      </c>
      <c r="F532">
        <v>6</v>
      </c>
      <c r="G532">
        <v>0</v>
      </c>
      <c r="H532">
        <v>1</v>
      </c>
      <c r="I532">
        <v>1</v>
      </c>
      <c r="J532">
        <v>0.02</v>
      </c>
      <c r="K532">
        <v>531</v>
      </c>
      <c r="L532">
        <v>7.5800000000000006E-2</v>
      </c>
      <c r="M532">
        <v>0.48</v>
      </c>
      <c r="N532">
        <v>8.9599999999999999E-2</v>
      </c>
      <c r="O532">
        <v>0</v>
      </c>
      <c r="P532">
        <v>15</v>
      </c>
      <c r="Q532">
        <v>15</v>
      </c>
    </row>
    <row r="533" spans="1:17" x14ac:dyDescent="0.35">
      <c r="A533">
        <v>532</v>
      </c>
      <c r="B533" s="1">
        <v>40567</v>
      </c>
      <c r="C533">
        <v>1</v>
      </c>
      <c r="D533">
        <v>0</v>
      </c>
      <c r="E533">
        <v>1</v>
      </c>
      <c r="F533">
        <v>7</v>
      </c>
      <c r="G533">
        <v>0</v>
      </c>
      <c r="H533">
        <v>1</v>
      </c>
      <c r="I533">
        <v>1</v>
      </c>
      <c r="J533">
        <v>0.02</v>
      </c>
      <c r="K533">
        <v>532</v>
      </c>
      <c r="L533">
        <v>0.1212</v>
      </c>
      <c r="M533">
        <v>0.48</v>
      </c>
      <c r="N533">
        <v>0</v>
      </c>
      <c r="O533">
        <v>5</v>
      </c>
      <c r="P533">
        <v>79</v>
      </c>
      <c r="Q533">
        <v>84</v>
      </c>
    </row>
    <row r="534" spans="1:17" x14ac:dyDescent="0.35">
      <c r="A534">
        <v>533</v>
      </c>
      <c r="B534" s="1">
        <v>40567</v>
      </c>
      <c r="C534">
        <v>1</v>
      </c>
      <c r="D534">
        <v>0</v>
      </c>
      <c r="E534">
        <v>1</v>
      </c>
      <c r="F534">
        <v>8</v>
      </c>
      <c r="G534">
        <v>0</v>
      </c>
      <c r="H534">
        <v>1</v>
      </c>
      <c r="I534">
        <v>1</v>
      </c>
      <c r="J534">
        <v>0.04</v>
      </c>
      <c r="K534">
        <v>533</v>
      </c>
      <c r="L534">
        <v>0.13639999999999999</v>
      </c>
      <c r="M534">
        <v>0.49</v>
      </c>
      <c r="N534">
        <v>0</v>
      </c>
      <c r="O534">
        <v>6</v>
      </c>
      <c r="P534">
        <v>171</v>
      </c>
      <c r="Q534">
        <v>177</v>
      </c>
    </row>
    <row r="535" spans="1:17" x14ac:dyDescent="0.35">
      <c r="A535">
        <v>534</v>
      </c>
      <c r="B535" s="1">
        <v>40567</v>
      </c>
      <c r="C535">
        <v>1</v>
      </c>
      <c r="D535">
        <v>0</v>
      </c>
      <c r="E535">
        <v>1</v>
      </c>
      <c r="F535">
        <v>9</v>
      </c>
      <c r="G535">
        <v>0</v>
      </c>
      <c r="H535">
        <v>1</v>
      </c>
      <c r="I535">
        <v>1</v>
      </c>
      <c r="J535">
        <v>0.06</v>
      </c>
      <c r="K535">
        <v>534</v>
      </c>
      <c r="L535">
        <v>0.1515</v>
      </c>
      <c r="M535">
        <v>0.41</v>
      </c>
      <c r="N535">
        <v>0</v>
      </c>
      <c r="O535">
        <v>4</v>
      </c>
      <c r="P535">
        <v>98</v>
      </c>
      <c r="Q535">
        <v>102</v>
      </c>
    </row>
    <row r="536" spans="1:17" x14ac:dyDescent="0.35">
      <c r="A536">
        <v>535</v>
      </c>
      <c r="B536" s="1">
        <v>40567</v>
      </c>
      <c r="C536">
        <v>1</v>
      </c>
      <c r="D536">
        <v>0</v>
      </c>
      <c r="E536">
        <v>1</v>
      </c>
      <c r="F536">
        <v>10</v>
      </c>
      <c r="G536">
        <v>0</v>
      </c>
      <c r="H536">
        <v>1</v>
      </c>
      <c r="I536">
        <v>1</v>
      </c>
      <c r="J536">
        <v>0.1</v>
      </c>
      <c r="K536">
        <v>535</v>
      </c>
      <c r="L536">
        <v>0.13639999999999999</v>
      </c>
      <c r="M536">
        <v>0.42</v>
      </c>
      <c r="N536">
        <v>0</v>
      </c>
      <c r="O536">
        <v>6</v>
      </c>
      <c r="P536">
        <v>34</v>
      </c>
      <c r="Q536">
        <v>40</v>
      </c>
    </row>
    <row r="537" spans="1:17" x14ac:dyDescent="0.35">
      <c r="A537">
        <v>536</v>
      </c>
      <c r="B537" s="1">
        <v>40567</v>
      </c>
      <c r="C537">
        <v>1</v>
      </c>
      <c r="D537">
        <v>0</v>
      </c>
      <c r="E537">
        <v>1</v>
      </c>
      <c r="F537">
        <v>11</v>
      </c>
      <c r="G537">
        <v>0</v>
      </c>
      <c r="H537">
        <v>1</v>
      </c>
      <c r="I537">
        <v>1</v>
      </c>
      <c r="J537">
        <v>0.1</v>
      </c>
      <c r="K537">
        <v>536</v>
      </c>
      <c r="L537">
        <v>0.1212</v>
      </c>
      <c r="M537">
        <v>0.46</v>
      </c>
      <c r="N537">
        <v>0.1343</v>
      </c>
      <c r="O537">
        <v>3</v>
      </c>
      <c r="P537">
        <v>43</v>
      </c>
      <c r="Q537">
        <v>46</v>
      </c>
    </row>
    <row r="538" spans="1:17" x14ac:dyDescent="0.35">
      <c r="A538">
        <v>537</v>
      </c>
      <c r="B538" s="1">
        <v>40567</v>
      </c>
      <c r="C538">
        <v>1</v>
      </c>
      <c r="D538">
        <v>0</v>
      </c>
      <c r="E538">
        <v>1</v>
      </c>
      <c r="F538">
        <v>12</v>
      </c>
      <c r="G538">
        <v>0</v>
      </c>
      <c r="H538">
        <v>1</v>
      </c>
      <c r="I538">
        <v>2</v>
      </c>
      <c r="J538">
        <v>0.12</v>
      </c>
      <c r="K538">
        <v>537</v>
      </c>
      <c r="L538">
        <v>0.13639999999999999</v>
      </c>
      <c r="M538">
        <v>0.42</v>
      </c>
      <c r="N538">
        <v>0.19400000000000001</v>
      </c>
      <c r="O538">
        <v>11</v>
      </c>
      <c r="P538">
        <v>52</v>
      </c>
      <c r="Q538">
        <v>63</v>
      </c>
    </row>
    <row r="539" spans="1:17" x14ac:dyDescent="0.35">
      <c r="A539">
        <v>538</v>
      </c>
      <c r="B539" s="1">
        <v>40567</v>
      </c>
      <c r="C539">
        <v>1</v>
      </c>
      <c r="D539">
        <v>0</v>
      </c>
      <c r="E539">
        <v>1</v>
      </c>
      <c r="F539">
        <v>13</v>
      </c>
      <c r="G539">
        <v>0</v>
      </c>
      <c r="H539">
        <v>1</v>
      </c>
      <c r="I539">
        <v>2</v>
      </c>
      <c r="J539">
        <v>0.14000000000000001</v>
      </c>
      <c r="K539">
        <v>538</v>
      </c>
      <c r="L539">
        <v>0.13639999999999999</v>
      </c>
      <c r="M539">
        <v>0.43</v>
      </c>
      <c r="N539">
        <v>0.22389999999999999</v>
      </c>
      <c r="O539">
        <v>6</v>
      </c>
      <c r="P539">
        <v>54</v>
      </c>
      <c r="Q539">
        <v>60</v>
      </c>
    </row>
    <row r="540" spans="1:17" x14ac:dyDescent="0.35">
      <c r="A540">
        <v>539</v>
      </c>
      <c r="B540" s="1">
        <v>40567</v>
      </c>
      <c r="C540">
        <v>1</v>
      </c>
      <c r="D540">
        <v>0</v>
      </c>
      <c r="E540">
        <v>1</v>
      </c>
      <c r="F540">
        <v>14</v>
      </c>
      <c r="G540">
        <v>0</v>
      </c>
      <c r="H540">
        <v>1</v>
      </c>
      <c r="I540">
        <v>2</v>
      </c>
      <c r="J540">
        <v>0.14000000000000001</v>
      </c>
      <c r="K540">
        <v>539</v>
      </c>
      <c r="L540">
        <v>0.13639999999999999</v>
      </c>
      <c r="M540">
        <v>0.46</v>
      </c>
      <c r="N540">
        <v>0.22389999999999999</v>
      </c>
      <c r="O540">
        <v>2</v>
      </c>
      <c r="P540">
        <v>43</v>
      </c>
      <c r="Q540">
        <v>45</v>
      </c>
    </row>
    <row r="541" spans="1:17" x14ac:dyDescent="0.35">
      <c r="A541">
        <v>540</v>
      </c>
      <c r="B541" s="1">
        <v>40567</v>
      </c>
      <c r="C541">
        <v>1</v>
      </c>
      <c r="D541">
        <v>0</v>
      </c>
      <c r="E541">
        <v>1</v>
      </c>
      <c r="F541">
        <v>15</v>
      </c>
      <c r="G541">
        <v>0</v>
      </c>
      <c r="H541">
        <v>1</v>
      </c>
      <c r="I541">
        <v>1</v>
      </c>
      <c r="J541">
        <v>0.16</v>
      </c>
      <c r="K541">
        <v>540</v>
      </c>
      <c r="L541">
        <v>0.16669999999999999</v>
      </c>
      <c r="M541">
        <v>0.4</v>
      </c>
      <c r="N541">
        <v>0.16420000000000001</v>
      </c>
      <c r="O541">
        <v>7</v>
      </c>
      <c r="P541">
        <v>50</v>
      </c>
      <c r="Q541">
        <v>57</v>
      </c>
    </row>
    <row r="542" spans="1:17" x14ac:dyDescent="0.35">
      <c r="A542">
        <v>541</v>
      </c>
      <c r="B542" s="1">
        <v>40567</v>
      </c>
      <c r="C542">
        <v>1</v>
      </c>
      <c r="D542">
        <v>0</v>
      </c>
      <c r="E542">
        <v>1</v>
      </c>
      <c r="F542">
        <v>16</v>
      </c>
      <c r="G542">
        <v>0</v>
      </c>
      <c r="H542">
        <v>1</v>
      </c>
      <c r="I542">
        <v>1</v>
      </c>
      <c r="J542">
        <v>0.16</v>
      </c>
      <c r="K542">
        <v>541</v>
      </c>
      <c r="L542">
        <v>0.1515</v>
      </c>
      <c r="M542">
        <v>0.47</v>
      </c>
      <c r="N542">
        <v>0.25369999999999998</v>
      </c>
      <c r="O542">
        <v>4</v>
      </c>
      <c r="P542">
        <v>66</v>
      </c>
      <c r="Q542">
        <v>70</v>
      </c>
    </row>
    <row r="543" spans="1:17" x14ac:dyDescent="0.35">
      <c r="A543">
        <v>542</v>
      </c>
      <c r="B543" s="1">
        <v>40567</v>
      </c>
      <c r="C543">
        <v>1</v>
      </c>
      <c r="D543">
        <v>0</v>
      </c>
      <c r="E543">
        <v>1</v>
      </c>
      <c r="F543">
        <v>17</v>
      </c>
      <c r="G543">
        <v>0</v>
      </c>
      <c r="H543">
        <v>1</v>
      </c>
      <c r="I543">
        <v>1</v>
      </c>
      <c r="J543">
        <v>0.14000000000000001</v>
      </c>
      <c r="K543">
        <v>542</v>
      </c>
      <c r="L543">
        <v>0.1212</v>
      </c>
      <c r="M543">
        <v>0.5</v>
      </c>
      <c r="N543">
        <v>0.25369999999999998</v>
      </c>
      <c r="O543">
        <v>6</v>
      </c>
      <c r="P543">
        <v>178</v>
      </c>
      <c r="Q543">
        <v>184</v>
      </c>
    </row>
    <row r="544" spans="1:17" x14ac:dyDescent="0.35">
      <c r="A544">
        <v>543</v>
      </c>
      <c r="B544" s="1">
        <v>40567</v>
      </c>
      <c r="C544">
        <v>1</v>
      </c>
      <c r="D544">
        <v>0</v>
      </c>
      <c r="E544">
        <v>1</v>
      </c>
      <c r="F544">
        <v>18</v>
      </c>
      <c r="G544">
        <v>0</v>
      </c>
      <c r="H544">
        <v>1</v>
      </c>
      <c r="I544">
        <v>1</v>
      </c>
      <c r="J544">
        <v>0.14000000000000001</v>
      </c>
      <c r="K544">
        <v>543</v>
      </c>
      <c r="L544">
        <v>0.13639999999999999</v>
      </c>
      <c r="M544">
        <v>0.59</v>
      </c>
      <c r="N544">
        <v>0.19400000000000001</v>
      </c>
      <c r="O544">
        <v>8</v>
      </c>
      <c r="P544">
        <v>145</v>
      </c>
      <c r="Q544">
        <v>153</v>
      </c>
    </row>
    <row r="545" spans="1:17" x14ac:dyDescent="0.35">
      <c r="A545">
        <v>544</v>
      </c>
      <c r="B545" s="1">
        <v>40567</v>
      </c>
      <c r="C545">
        <v>1</v>
      </c>
      <c r="D545">
        <v>0</v>
      </c>
      <c r="E545">
        <v>1</v>
      </c>
      <c r="F545">
        <v>19</v>
      </c>
      <c r="G545">
        <v>0</v>
      </c>
      <c r="H545">
        <v>1</v>
      </c>
      <c r="I545">
        <v>1</v>
      </c>
      <c r="J545">
        <v>0.14000000000000001</v>
      </c>
      <c r="K545">
        <v>544</v>
      </c>
      <c r="L545">
        <v>0.1515</v>
      </c>
      <c r="M545">
        <v>0.54</v>
      </c>
      <c r="N545">
        <v>0.16420000000000001</v>
      </c>
      <c r="O545">
        <v>5</v>
      </c>
      <c r="P545">
        <v>101</v>
      </c>
      <c r="Q545">
        <v>106</v>
      </c>
    </row>
    <row r="546" spans="1:17" x14ac:dyDescent="0.35">
      <c r="A546">
        <v>545</v>
      </c>
      <c r="B546" s="1">
        <v>40567</v>
      </c>
      <c r="C546">
        <v>1</v>
      </c>
      <c r="D546">
        <v>0</v>
      </c>
      <c r="E546">
        <v>1</v>
      </c>
      <c r="F546">
        <v>20</v>
      </c>
      <c r="G546">
        <v>0</v>
      </c>
      <c r="H546">
        <v>1</v>
      </c>
      <c r="I546">
        <v>1</v>
      </c>
      <c r="J546">
        <v>0.14000000000000001</v>
      </c>
      <c r="K546">
        <v>545</v>
      </c>
      <c r="L546">
        <v>0.13639999999999999</v>
      </c>
      <c r="M546">
        <v>0.59</v>
      </c>
      <c r="N546">
        <v>0.19400000000000001</v>
      </c>
      <c r="O546">
        <v>1</v>
      </c>
      <c r="P546">
        <v>80</v>
      </c>
      <c r="Q546">
        <v>81</v>
      </c>
    </row>
    <row r="547" spans="1:17" x14ac:dyDescent="0.35">
      <c r="A547">
        <v>546</v>
      </c>
      <c r="B547" s="1">
        <v>40567</v>
      </c>
      <c r="C547">
        <v>1</v>
      </c>
      <c r="D547">
        <v>0</v>
      </c>
      <c r="E547">
        <v>1</v>
      </c>
      <c r="F547">
        <v>21</v>
      </c>
      <c r="G547">
        <v>0</v>
      </c>
      <c r="H547">
        <v>1</v>
      </c>
      <c r="I547">
        <v>1</v>
      </c>
      <c r="J547">
        <v>0.14000000000000001</v>
      </c>
      <c r="K547">
        <v>546</v>
      </c>
      <c r="L547">
        <v>0.1515</v>
      </c>
      <c r="M547">
        <v>0.63</v>
      </c>
      <c r="N547">
        <v>0.16420000000000001</v>
      </c>
      <c r="O547">
        <v>6</v>
      </c>
      <c r="P547">
        <v>53</v>
      </c>
      <c r="Q547">
        <v>59</v>
      </c>
    </row>
    <row r="548" spans="1:17" x14ac:dyDescent="0.35">
      <c r="A548">
        <v>547</v>
      </c>
      <c r="B548" s="1">
        <v>40567</v>
      </c>
      <c r="C548">
        <v>1</v>
      </c>
      <c r="D548">
        <v>0</v>
      </c>
      <c r="E548">
        <v>1</v>
      </c>
      <c r="F548">
        <v>22</v>
      </c>
      <c r="G548">
        <v>0</v>
      </c>
      <c r="H548">
        <v>1</v>
      </c>
      <c r="I548">
        <v>2</v>
      </c>
      <c r="J548">
        <v>0.14000000000000001</v>
      </c>
      <c r="K548">
        <v>547</v>
      </c>
      <c r="L548">
        <v>0.13639999999999999</v>
      </c>
      <c r="M548">
        <v>0.63</v>
      </c>
      <c r="N548">
        <v>0.22389999999999999</v>
      </c>
      <c r="O548">
        <v>3</v>
      </c>
      <c r="P548">
        <v>32</v>
      </c>
      <c r="Q548">
        <v>35</v>
      </c>
    </row>
    <row r="549" spans="1:17" x14ac:dyDescent="0.35">
      <c r="A549">
        <v>548</v>
      </c>
      <c r="B549" s="1">
        <v>40567</v>
      </c>
      <c r="C549">
        <v>1</v>
      </c>
      <c r="D549">
        <v>0</v>
      </c>
      <c r="E549">
        <v>1</v>
      </c>
      <c r="F549">
        <v>23</v>
      </c>
      <c r="G549">
        <v>0</v>
      </c>
      <c r="H549">
        <v>1</v>
      </c>
      <c r="I549">
        <v>2</v>
      </c>
      <c r="J549">
        <v>0.16</v>
      </c>
      <c r="K549">
        <v>548</v>
      </c>
      <c r="L549">
        <v>0.1515</v>
      </c>
      <c r="M549">
        <v>0.64</v>
      </c>
      <c r="N549">
        <v>0.25369999999999998</v>
      </c>
      <c r="O549">
        <v>3</v>
      </c>
      <c r="P549">
        <v>21</v>
      </c>
      <c r="Q549">
        <v>24</v>
      </c>
    </row>
    <row r="550" spans="1:17" x14ac:dyDescent="0.35">
      <c r="A550">
        <v>549</v>
      </c>
      <c r="B550" s="1">
        <v>40568</v>
      </c>
      <c r="C550">
        <v>1</v>
      </c>
      <c r="D550">
        <v>0</v>
      </c>
      <c r="E550">
        <v>1</v>
      </c>
      <c r="F550">
        <v>0</v>
      </c>
      <c r="G550">
        <v>0</v>
      </c>
      <c r="H550">
        <v>2</v>
      </c>
      <c r="I550">
        <v>2</v>
      </c>
      <c r="J550">
        <v>0.16</v>
      </c>
      <c r="K550">
        <v>549</v>
      </c>
      <c r="L550">
        <v>0.13639999999999999</v>
      </c>
      <c r="M550">
        <v>0.69</v>
      </c>
      <c r="N550">
        <v>0.28360000000000002</v>
      </c>
      <c r="O550">
        <v>3</v>
      </c>
      <c r="P550">
        <v>6</v>
      </c>
      <c r="Q550">
        <v>9</v>
      </c>
    </row>
    <row r="551" spans="1:17" x14ac:dyDescent="0.35">
      <c r="A551">
        <v>550</v>
      </c>
      <c r="B551" s="1">
        <v>40568</v>
      </c>
      <c r="C551">
        <v>1</v>
      </c>
      <c r="D551">
        <v>0</v>
      </c>
      <c r="E551">
        <v>1</v>
      </c>
      <c r="F551">
        <v>1</v>
      </c>
      <c r="G551">
        <v>0</v>
      </c>
      <c r="H551">
        <v>2</v>
      </c>
      <c r="I551">
        <v>2</v>
      </c>
      <c r="J551">
        <v>0.16</v>
      </c>
      <c r="K551">
        <v>550</v>
      </c>
      <c r="L551">
        <v>0.16669999999999999</v>
      </c>
      <c r="M551">
        <v>0.69</v>
      </c>
      <c r="N551">
        <v>0.16420000000000001</v>
      </c>
      <c r="O551">
        <v>0</v>
      </c>
      <c r="P551">
        <v>5</v>
      </c>
      <c r="Q551">
        <v>5</v>
      </c>
    </row>
    <row r="552" spans="1:17" x14ac:dyDescent="0.35">
      <c r="A552">
        <v>551</v>
      </c>
      <c r="B552" s="1">
        <v>40568</v>
      </c>
      <c r="C552">
        <v>1</v>
      </c>
      <c r="D552">
        <v>0</v>
      </c>
      <c r="E552">
        <v>1</v>
      </c>
      <c r="F552">
        <v>2</v>
      </c>
      <c r="G552">
        <v>0</v>
      </c>
      <c r="H552">
        <v>2</v>
      </c>
      <c r="I552">
        <v>1</v>
      </c>
      <c r="J552">
        <v>0.16</v>
      </c>
      <c r="K552">
        <v>551</v>
      </c>
      <c r="L552">
        <v>0.1515</v>
      </c>
      <c r="M552">
        <v>0.69</v>
      </c>
      <c r="N552">
        <v>0.22389999999999999</v>
      </c>
      <c r="O552">
        <v>0</v>
      </c>
      <c r="P552">
        <v>2</v>
      </c>
      <c r="Q552">
        <v>2</v>
      </c>
    </row>
    <row r="553" spans="1:17" x14ac:dyDescent="0.35">
      <c r="A553">
        <v>552</v>
      </c>
      <c r="B553" s="1">
        <v>40568</v>
      </c>
      <c r="C553">
        <v>1</v>
      </c>
      <c r="D553">
        <v>0</v>
      </c>
      <c r="E553">
        <v>1</v>
      </c>
      <c r="F553">
        <v>4</v>
      </c>
      <c r="G553">
        <v>0</v>
      </c>
      <c r="H553">
        <v>2</v>
      </c>
      <c r="I553">
        <v>1</v>
      </c>
      <c r="J553">
        <v>0.14000000000000001</v>
      </c>
      <c r="K553">
        <v>552</v>
      </c>
      <c r="L553">
        <v>0.16669999999999999</v>
      </c>
      <c r="M553">
        <v>0.74</v>
      </c>
      <c r="N553">
        <v>0.1045</v>
      </c>
      <c r="O553">
        <v>0</v>
      </c>
      <c r="P553">
        <v>1</v>
      </c>
      <c r="Q553">
        <v>1</v>
      </c>
    </row>
    <row r="554" spans="1:17" x14ac:dyDescent="0.35">
      <c r="A554">
        <v>553</v>
      </c>
      <c r="B554" s="1">
        <v>40568</v>
      </c>
      <c r="C554">
        <v>1</v>
      </c>
      <c r="D554">
        <v>0</v>
      </c>
      <c r="E554">
        <v>1</v>
      </c>
      <c r="F554">
        <v>5</v>
      </c>
      <c r="G554">
        <v>0</v>
      </c>
      <c r="H554">
        <v>2</v>
      </c>
      <c r="I554">
        <v>1</v>
      </c>
      <c r="J554">
        <v>0.14000000000000001</v>
      </c>
      <c r="K554">
        <v>553</v>
      </c>
      <c r="L554">
        <v>0.13639999999999999</v>
      </c>
      <c r="M554">
        <v>0.74</v>
      </c>
      <c r="N554">
        <v>0.22389999999999999</v>
      </c>
      <c r="O554">
        <v>0</v>
      </c>
      <c r="P554">
        <v>9</v>
      </c>
      <c r="Q554">
        <v>9</v>
      </c>
    </row>
    <row r="555" spans="1:17" x14ac:dyDescent="0.35">
      <c r="A555">
        <v>554</v>
      </c>
      <c r="B555" s="1">
        <v>40568</v>
      </c>
      <c r="C555">
        <v>1</v>
      </c>
      <c r="D555">
        <v>0</v>
      </c>
      <c r="E555">
        <v>1</v>
      </c>
      <c r="F555">
        <v>6</v>
      </c>
      <c r="G555">
        <v>0</v>
      </c>
      <c r="H555">
        <v>2</v>
      </c>
      <c r="I555">
        <v>1</v>
      </c>
      <c r="J555">
        <v>0.16</v>
      </c>
      <c r="K555">
        <v>554</v>
      </c>
      <c r="L555">
        <v>0.18179999999999999</v>
      </c>
      <c r="M555">
        <v>0.74</v>
      </c>
      <c r="N555">
        <v>0.1045</v>
      </c>
      <c r="O555">
        <v>1</v>
      </c>
      <c r="P555">
        <v>35</v>
      </c>
      <c r="Q555">
        <v>36</v>
      </c>
    </row>
    <row r="556" spans="1:17" x14ac:dyDescent="0.35">
      <c r="A556">
        <v>555</v>
      </c>
      <c r="B556" s="1">
        <v>40568</v>
      </c>
      <c r="C556">
        <v>1</v>
      </c>
      <c r="D556">
        <v>0</v>
      </c>
      <c r="E556">
        <v>1</v>
      </c>
      <c r="F556">
        <v>7</v>
      </c>
      <c r="G556">
        <v>0</v>
      </c>
      <c r="H556">
        <v>2</v>
      </c>
      <c r="I556">
        <v>1</v>
      </c>
      <c r="J556">
        <v>0.16</v>
      </c>
      <c r="K556">
        <v>555</v>
      </c>
      <c r="L556">
        <v>0.1515</v>
      </c>
      <c r="M556">
        <v>0.74</v>
      </c>
      <c r="N556">
        <v>0.22389999999999999</v>
      </c>
      <c r="O556">
        <v>5</v>
      </c>
      <c r="P556">
        <v>103</v>
      </c>
      <c r="Q556">
        <v>108</v>
      </c>
    </row>
    <row r="557" spans="1:17" x14ac:dyDescent="0.35">
      <c r="A557">
        <v>556</v>
      </c>
      <c r="B557" s="1">
        <v>40568</v>
      </c>
      <c r="C557">
        <v>1</v>
      </c>
      <c r="D557">
        <v>0</v>
      </c>
      <c r="E557">
        <v>1</v>
      </c>
      <c r="F557">
        <v>8</v>
      </c>
      <c r="G557">
        <v>0</v>
      </c>
      <c r="H557">
        <v>2</v>
      </c>
      <c r="I557">
        <v>2</v>
      </c>
      <c r="J557">
        <v>0.16</v>
      </c>
      <c r="K557">
        <v>556</v>
      </c>
      <c r="L557">
        <v>0.18179999999999999</v>
      </c>
      <c r="M557">
        <v>0.74</v>
      </c>
      <c r="N557">
        <v>0.1343</v>
      </c>
      <c r="O557">
        <v>5</v>
      </c>
      <c r="P557">
        <v>233</v>
      </c>
      <c r="Q557">
        <v>238</v>
      </c>
    </row>
    <row r="558" spans="1:17" x14ac:dyDescent="0.35">
      <c r="A558">
        <v>557</v>
      </c>
      <c r="B558" s="1">
        <v>40568</v>
      </c>
      <c r="C558">
        <v>1</v>
      </c>
      <c r="D558">
        <v>0</v>
      </c>
      <c r="E558">
        <v>1</v>
      </c>
      <c r="F558">
        <v>9</v>
      </c>
      <c r="G558">
        <v>0</v>
      </c>
      <c r="H558">
        <v>2</v>
      </c>
      <c r="I558">
        <v>2</v>
      </c>
      <c r="J558">
        <v>0.2</v>
      </c>
      <c r="K558">
        <v>557</v>
      </c>
      <c r="L558">
        <v>0.2273</v>
      </c>
      <c r="M558">
        <v>0.64</v>
      </c>
      <c r="N558">
        <v>8.9599999999999999E-2</v>
      </c>
      <c r="O558">
        <v>10</v>
      </c>
      <c r="P558">
        <v>134</v>
      </c>
      <c r="Q558">
        <v>144</v>
      </c>
    </row>
    <row r="559" spans="1:17" x14ac:dyDescent="0.35">
      <c r="A559">
        <v>558</v>
      </c>
      <c r="B559" s="1">
        <v>40568</v>
      </c>
      <c r="C559">
        <v>1</v>
      </c>
      <c r="D559">
        <v>0</v>
      </c>
      <c r="E559">
        <v>1</v>
      </c>
      <c r="F559">
        <v>10</v>
      </c>
      <c r="G559">
        <v>0</v>
      </c>
      <c r="H559">
        <v>2</v>
      </c>
      <c r="I559">
        <v>2</v>
      </c>
      <c r="J559">
        <v>0.22</v>
      </c>
      <c r="K559">
        <v>558</v>
      </c>
      <c r="L559">
        <v>0.2424</v>
      </c>
      <c r="M559">
        <v>0.6</v>
      </c>
      <c r="N559">
        <v>0.1045</v>
      </c>
      <c r="O559">
        <v>6</v>
      </c>
      <c r="P559">
        <v>49</v>
      </c>
      <c r="Q559">
        <v>55</v>
      </c>
    </row>
    <row r="560" spans="1:17" x14ac:dyDescent="0.35">
      <c r="A560">
        <v>559</v>
      </c>
      <c r="B560" s="1">
        <v>40568</v>
      </c>
      <c r="C560">
        <v>1</v>
      </c>
      <c r="D560">
        <v>0</v>
      </c>
      <c r="E560">
        <v>1</v>
      </c>
      <c r="F560">
        <v>11</v>
      </c>
      <c r="G560">
        <v>0</v>
      </c>
      <c r="H560">
        <v>2</v>
      </c>
      <c r="I560">
        <v>2</v>
      </c>
      <c r="J560">
        <v>0.24</v>
      </c>
      <c r="K560">
        <v>559</v>
      </c>
      <c r="L560">
        <v>0.2424</v>
      </c>
      <c r="M560">
        <v>0.6</v>
      </c>
      <c r="N560">
        <v>0.1343</v>
      </c>
      <c r="O560">
        <v>6</v>
      </c>
      <c r="P560">
        <v>55</v>
      </c>
      <c r="Q560">
        <v>61</v>
      </c>
    </row>
    <row r="561" spans="1:17" x14ac:dyDescent="0.35">
      <c r="A561">
        <v>560</v>
      </c>
      <c r="B561" s="1">
        <v>40568</v>
      </c>
      <c r="C561">
        <v>1</v>
      </c>
      <c r="D561">
        <v>0</v>
      </c>
      <c r="E561">
        <v>1</v>
      </c>
      <c r="F561">
        <v>12</v>
      </c>
      <c r="G561">
        <v>0</v>
      </c>
      <c r="H561">
        <v>2</v>
      </c>
      <c r="I561">
        <v>2</v>
      </c>
      <c r="J561">
        <v>0.26</v>
      </c>
      <c r="K561">
        <v>560</v>
      </c>
      <c r="L561">
        <v>0.28789999999999999</v>
      </c>
      <c r="M561">
        <v>0.56000000000000005</v>
      </c>
      <c r="N561">
        <v>8.9599999999999999E-2</v>
      </c>
      <c r="O561">
        <v>21</v>
      </c>
      <c r="P561">
        <v>85</v>
      </c>
      <c r="Q561">
        <v>106</v>
      </c>
    </row>
    <row r="562" spans="1:17" x14ac:dyDescent="0.35">
      <c r="A562">
        <v>561</v>
      </c>
      <c r="B562" s="1">
        <v>40568</v>
      </c>
      <c r="C562">
        <v>1</v>
      </c>
      <c r="D562">
        <v>0</v>
      </c>
      <c r="E562">
        <v>1</v>
      </c>
      <c r="F562">
        <v>13</v>
      </c>
      <c r="G562">
        <v>0</v>
      </c>
      <c r="H562">
        <v>2</v>
      </c>
      <c r="I562">
        <v>2</v>
      </c>
      <c r="J562">
        <v>0.26</v>
      </c>
      <c r="K562">
        <v>561</v>
      </c>
      <c r="L562">
        <v>0.2727</v>
      </c>
      <c r="M562">
        <v>0.56000000000000005</v>
      </c>
      <c r="N562">
        <v>0.1343</v>
      </c>
      <c r="O562">
        <v>21</v>
      </c>
      <c r="P562">
        <v>72</v>
      </c>
      <c r="Q562">
        <v>93</v>
      </c>
    </row>
    <row r="563" spans="1:17" x14ac:dyDescent="0.35">
      <c r="A563">
        <v>562</v>
      </c>
      <c r="B563" s="1">
        <v>40568</v>
      </c>
      <c r="C563">
        <v>1</v>
      </c>
      <c r="D563">
        <v>0</v>
      </c>
      <c r="E563">
        <v>1</v>
      </c>
      <c r="F563">
        <v>14</v>
      </c>
      <c r="G563">
        <v>0</v>
      </c>
      <c r="H563">
        <v>2</v>
      </c>
      <c r="I563">
        <v>2</v>
      </c>
      <c r="J563">
        <v>0.3</v>
      </c>
      <c r="K563">
        <v>562</v>
      </c>
      <c r="L563">
        <v>0.33329999999999999</v>
      </c>
      <c r="M563">
        <v>0.45</v>
      </c>
      <c r="N563">
        <v>0</v>
      </c>
      <c r="O563">
        <v>11</v>
      </c>
      <c r="P563">
        <v>57</v>
      </c>
      <c r="Q563">
        <v>68</v>
      </c>
    </row>
    <row r="564" spans="1:17" x14ac:dyDescent="0.35">
      <c r="A564">
        <v>563</v>
      </c>
      <c r="B564" s="1">
        <v>40568</v>
      </c>
      <c r="C564">
        <v>1</v>
      </c>
      <c r="D564">
        <v>0</v>
      </c>
      <c r="E564">
        <v>1</v>
      </c>
      <c r="F564">
        <v>15</v>
      </c>
      <c r="G564">
        <v>0</v>
      </c>
      <c r="H564">
        <v>2</v>
      </c>
      <c r="I564">
        <v>2</v>
      </c>
      <c r="J564">
        <v>0.32</v>
      </c>
      <c r="K564">
        <v>563</v>
      </c>
      <c r="L564">
        <v>0.34849999999999998</v>
      </c>
      <c r="M564">
        <v>0.42</v>
      </c>
      <c r="N564">
        <v>0</v>
      </c>
      <c r="O564">
        <v>21</v>
      </c>
      <c r="P564">
        <v>63</v>
      </c>
      <c r="Q564">
        <v>84</v>
      </c>
    </row>
    <row r="565" spans="1:17" x14ac:dyDescent="0.35">
      <c r="A565">
        <v>564</v>
      </c>
      <c r="B565" s="1">
        <v>40568</v>
      </c>
      <c r="C565">
        <v>1</v>
      </c>
      <c r="D565">
        <v>0</v>
      </c>
      <c r="E565">
        <v>1</v>
      </c>
      <c r="F565">
        <v>16</v>
      </c>
      <c r="G565">
        <v>0</v>
      </c>
      <c r="H565">
        <v>2</v>
      </c>
      <c r="I565">
        <v>2</v>
      </c>
      <c r="J565">
        <v>0.32</v>
      </c>
      <c r="K565">
        <v>564</v>
      </c>
      <c r="L565">
        <v>0.34849999999999998</v>
      </c>
      <c r="M565">
        <v>0.42</v>
      </c>
      <c r="N565">
        <v>0</v>
      </c>
      <c r="O565">
        <v>14</v>
      </c>
      <c r="P565">
        <v>102</v>
      </c>
      <c r="Q565">
        <v>116</v>
      </c>
    </row>
    <row r="566" spans="1:17" x14ac:dyDescent="0.35">
      <c r="A566">
        <v>565</v>
      </c>
      <c r="B566" s="1">
        <v>40568</v>
      </c>
      <c r="C566">
        <v>1</v>
      </c>
      <c r="D566">
        <v>0</v>
      </c>
      <c r="E566">
        <v>1</v>
      </c>
      <c r="F566">
        <v>17</v>
      </c>
      <c r="G566">
        <v>0</v>
      </c>
      <c r="H566">
        <v>2</v>
      </c>
      <c r="I566">
        <v>1</v>
      </c>
      <c r="J566">
        <v>0.3</v>
      </c>
      <c r="K566">
        <v>565</v>
      </c>
      <c r="L566">
        <v>0.33329999999999999</v>
      </c>
      <c r="M566">
        <v>0.45</v>
      </c>
      <c r="N566">
        <v>0</v>
      </c>
      <c r="O566">
        <v>14</v>
      </c>
      <c r="P566">
        <v>208</v>
      </c>
      <c r="Q566">
        <v>222</v>
      </c>
    </row>
    <row r="567" spans="1:17" x14ac:dyDescent="0.35">
      <c r="A567">
        <v>566</v>
      </c>
      <c r="B567" s="1">
        <v>40568</v>
      </c>
      <c r="C567">
        <v>1</v>
      </c>
      <c r="D567">
        <v>0</v>
      </c>
      <c r="E567">
        <v>1</v>
      </c>
      <c r="F567">
        <v>18</v>
      </c>
      <c r="G567">
        <v>0</v>
      </c>
      <c r="H567">
        <v>2</v>
      </c>
      <c r="I567">
        <v>2</v>
      </c>
      <c r="J567">
        <v>0.3</v>
      </c>
      <c r="K567">
        <v>566</v>
      </c>
      <c r="L567">
        <v>0.31819999999999998</v>
      </c>
      <c r="M567">
        <v>0.49</v>
      </c>
      <c r="N567">
        <v>8.9599999999999999E-2</v>
      </c>
      <c r="O567">
        <v>7</v>
      </c>
      <c r="P567">
        <v>218</v>
      </c>
      <c r="Q567">
        <v>225</v>
      </c>
    </row>
    <row r="568" spans="1:17" x14ac:dyDescent="0.35">
      <c r="A568">
        <v>567</v>
      </c>
      <c r="B568" s="1">
        <v>40568</v>
      </c>
      <c r="C568">
        <v>1</v>
      </c>
      <c r="D568">
        <v>0</v>
      </c>
      <c r="E568">
        <v>1</v>
      </c>
      <c r="F568">
        <v>19</v>
      </c>
      <c r="G568">
        <v>0</v>
      </c>
      <c r="H568">
        <v>2</v>
      </c>
      <c r="I568">
        <v>2</v>
      </c>
      <c r="J568">
        <v>0.26</v>
      </c>
      <c r="K568">
        <v>567</v>
      </c>
      <c r="L568">
        <v>0.2576</v>
      </c>
      <c r="M568">
        <v>0.65</v>
      </c>
      <c r="N568">
        <v>0.16420000000000001</v>
      </c>
      <c r="O568">
        <v>13</v>
      </c>
      <c r="P568">
        <v>133</v>
      </c>
      <c r="Q568">
        <v>146</v>
      </c>
    </row>
    <row r="569" spans="1:17" x14ac:dyDescent="0.35">
      <c r="A569">
        <v>568</v>
      </c>
      <c r="B569" s="1">
        <v>40568</v>
      </c>
      <c r="C569">
        <v>1</v>
      </c>
      <c r="D569">
        <v>0</v>
      </c>
      <c r="E569">
        <v>1</v>
      </c>
      <c r="F569">
        <v>20</v>
      </c>
      <c r="G569">
        <v>0</v>
      </c>
      <c r="H569">
        <v>2</v>
      </c>
      <c r="I569">
        <v>1</v>
      </c>
      <c r="J569">
        <v>0.24</v>
      </c>
      <c r="K569">
        <v>568</v>
      </c>
      <c r="L569">
        <v>0.2273</v>
      </c>
      <c r="M569">
        <v>0.65</v>
      </c>
      <c r="N569">
        <v>0.19400000000000001</v>
      </c>
      <c r="O569">
        <v>16</v>
      </c>
      <c r="P569">
        <v>103</v>
      </c>
      <c r="Q569">
        <v>119</v>
      </c>
    </row>
    <row r="570" spans="1:17" x14ac:dyDescent="0.35">
      <c r="A570">
        <v>569</v>
      </c>
      <c r="B570" s="1">
        <v>40568</v>
      </c>
      <c r="C570">
        <v>1</v>
      </c>
      <c r="D570">
        <v>0</v>
      </c>
      <c r="E570">
        <v>1</v>
      </c>
      <c r="F570">
        <v>21</v>
      </c>
      <c r="G570">
        <v>0</v>
      </c>
      <c r="H570">
        <v>2</v>
      </c>
      <c r="I570">
        <v>1</v>
      </c>
      <c r="J570">
        <v>0.24</v>
      </c>
      <c r="K570">
        <v>569</v>
      </c>
      <c r="L570">
        <v>0.2273</v>
      </c>
      <c r="M570">
        <v>0.65</v>
      </c>
      <c r="N570">
        <v>0.19400000000000001</v>
      </c>
      <c r="O570">
        <v>5</v>
      </c>
      <c r="P570">
        <v>40</v>
      </c>
      <c r="Q570">
        <v>45</v>
      </c>
    </row>
    <row r="571" spans="1:17" x14ac:dyDescent="0.35">
      <c r="A571">
        <v>570</v>
      </c>
      <c r="B571" s="1">
        <v>40568</v>
      </c>
      <c r="C571">
        <v>1</v>
      </c>
      <c r="D571">
        <v>0</v>
      </c>
      <c r="E571">
        <v>1</v>
      </c>
      <c r="F571">
        <v>22</v>
      </c>
      <c r="G571">
        <v>0</v>
      </c>
      <c r="H571">
        <v>2</v>
      </c>
      <c r="I571">
        <v>1</v>
      </c>
      <c r="J571">
        <v>0.22</v>
      </c>
      <c r="K571">
        <v>570</v>
      </c>
      <c r="L571">
        <v>0.2273</v>
      </c>
      <c r="M571">
        <v>0.64</v>
      </c>
      <c r="N571">
        <v>0.16420000000000001</v>
      </c>
      <c r="O571">
        <v>4</v>
      </c>
      <c r="P571">
        <v>49</v>
      </c>
      <c r="Q571">
        <v>53</v>
      </c>
    </row>
    <row r="572" spans="1:17" x14ac:dyDescent="0.35">
      <c r="A572">
        <v>571</v>
      </c>
      <c r="B572" s="1">
        <v>40568</v>
      </c>
      <c r="C572">
        <v>1</v>
      </c>
      <c r="D572">
        <v>0</v>
      </c>
      <c r="E572">
        <v>1</v>
      </c>
      <c r="F572">
        <v>23</v>
      </c>
      <c r="G572">
        <v>0</v>
      </c>
      <c r="H572">
        <v>2</v>
      </c>
      <c r="I572">
        <v>2</v>
      </c>
      <c r="J572">
        <v>0.22</v>
      </c>
      <c r="K572">
        <v>571</v>
      </c>
      <c r="L572">
        <v>0.2273</v>
      </c>
      <c r="M572">
        <v>0.64</v>
      </c>
      <c r="N572">
        <v>0.16420000000000001</v>
      </c>
      <c r="O572">
        <v>3</v>
      </c>
      <c r="P572">
        <v>37</v>
      </c>
      <c r="Q572">
        <v>40</v>
      </c>
    </row>
    <row r="573" spans="1:17" x14ac:dyDescent="0.35">
      <c r="A573">
        <v>572</v>
      </c>
      <c r="B573" s="1">
        <v>40569</v>
      </c>
      <c r="C573">
        <v>1</v>
      </c>
      <c r="D573">
        <v>0</v>
      </c>
      <c r="E573">
        <v>1</v>
      </c>
      <c r="F573">
        <v>0</v>
      </c>
      <c r="G573">
        <v>0</v>
      </c>
      <c r="H573">
        <v>3</v>
      </c>
      <c r="I573">
        <v>2</v>
      </c>
      <c r="J573">
        <v>0.22</v>
      </c>
      <c r="K573">
        <v>572</v>
      </c>
      <c r="L573">
        <v>0.2273</v>
      </c>
      <c r="M573">
        <v>0.69</v>
      </c>
      <c r="N573">
        <v>0.1343</v>
      </c>
      <c r="O573">
        <v>3</v>
      </c>
      <c r="P573">
        <v>14</v>
      </c>
      <c r="Q573">
        <v>17</v>
      </c>
    </row>
    <row r="574" spans="1:17" x14ac:dyDescent="0.35">
      <c r="A574">
        <v>573</v>
      </c>
      <c r="B574" s="1">
        <v>40569</v>
      </c>
      <c r="C574">
        <v>1</v>
      </c>
      <c r="D574">
        <v>0</v>
      </c>
      <c r="E574">
        <v>1</v>
      </c>
      <c r="F574">
        <v>1</v>
      </c>
      <c r="G574">
        <v>0</v>
      </c>
      <c r="H574">
        <v>3</v>
      </c>
      <c r="I574">
        <v>2</v>
      </c>
      <c r="J574">
        <v>0.24</v>
      </c>
      <c r="K574">
        <v>573</v>
      </c>
      <c r="L574">
        <v>0.2424</v>
      </c>
      <c r="M574">
        <v>0.65</v>
      </c>
      <c r="N574">
        <v>0.1343</v>
      </c>
      <c r="O574">
        <v>0</v>
      </c>
      <c r="P574">
        <v>5</v>
      </c>
      <c r="Q574">
        <v>5</v>
      </c>
    </row>
    <row r="575" spans="1:17" x14ac:dyDescent="0.35">
      <c r="A575">
        <v>574</v>
      </c>
      <c r="B575" s="1">
        <v>40569</v>
      </c>
      <c r="C575">
        <v>1</v>
      </c>
      <c r="D575">
        <v>0</v>
      </c>
      <c r="E575">
        <v>1</v>
      </c>
      <c r="F575">
        <v>2</v>
      </c>
      <c r="G575">
        <v>0</v>
      </c>
      <c r="H575">
        <v>3</v>
      </c>
      <c r="I575">
        <v>3</v>
      </c>
      <c r="J575">
        <v>0.22</v>
      </c>
      <c r="K575">
        <v>574</v>
      </c>
      <c r="L575">
        <v>0.2273</v>
      </c>
      <c r="M575">
        <v>0.69</v>
      </c>
      <c r="N575">
        <v>0.19400000000000001</v>
      </c>
      <c r="O575">
        <v>3</v>
      </c>
      <c r="P575">
        <v>7</v>
      </c>
      <c r="Q575">
        <v>10</v>
      </c>
    </row>
    <row r="576" spans="1:17" x14ac:dyDescent="0.35">
      <c r="A576">
        <v>575</v>
      </c>
      <c r="B576" s="1">
        <v>40569</v>
      </c>
      <c r="C576">
        <v>1</v>
      </c>
      <c r="D576">
        <v>0</v>
      </c>
      <c r="E576">
        <v>1</v>
      </c>
      <c r="F576">
        <v>5</v>
      </c>
      <c r="G576">
        <v>0</v>
      </c>
      <c r="H576">
        <v>3</v>
      </c>
      <c r="I576">
        <v>3</v>
      </c>
      <c r="J576">
        <v>0.2</v>
      </c>
      <c r="K576">
        <v>575</v>
      </c>
      <c r="L576">
        <v>0.18179999999999999</v>
      </c>
      <c r="M576">
        <v>0.86</v>
      </c>
      <c r="N576">
        <v>0.28360000000000002</v>
      </c>
      <c r="O576">
        <v>0</v>
      </c>
      <c r="P576">
        <v>1</v>
      </c>
      <c r="Q576">
        <v>1</v>
      </c>
    </row>
    <row r="577" spans="1:17" x14ac:dyDescent="0.35">
      <c r="A577">
        <v>576</v>
      </c>
      <c r="B577" s="1">
        <v>40569</v>
      </c>
      <c r="C577">
        <v>1</v>
      </c>
      <c r="D577">
        <v>0</v>
      </c>
      <c r="E577">
        <v>1</v>
      </c>
      <c r="F577">
        <v>6</v>
      </c>
      <c r="G577">
        <v>0</v>
      </c>
      <c r="H577">
        <v>3</v>
      </c>
      <c r="I577">
        <v>3</v>
      </c>
      <c r="J577">
        <v>0.2</v>
      </c>
      <c r="K577">
        <v>576</v>
      </c>
      <c r="L577">
        <v>0.18179999999999999</v>
      </c>
      <c r="M577">
        <v>0.86</v>
      </c>
      <c r="N577">
        <v>0.28360000000000002</v>
      </c>
      <c r="O577">
        <v>0</v>
      </c>
      <c r="P577">
        <v>8</v>
      </c>
      <c r="Q577">
        <v>8</v>
      </c>
    </row>
    <row r="578" spans="1:17" x14ac:dyDescent="0.35">
      <c r="A578">
        <v>577</v>
      </c>
      <c r="B578" s="1">
        <v>40569</v>
      </c>
      <c r="C578">
        <v>1</v>
      </c>
      <c r="D578">
        <v>0</v>
      </c>
      <c r="E578">
        <v>1</v>
      </c>
      <c r="F578">
        <v>7</v>
      </c>
      <c r="G578">
        <v>0</v>
      </c>
      <c r="H578">
        <v>3</v>
      </c>
      <c r="I578">
        <v>3</v>
      </c>
      <c r="J578">
        <v>0.22</v>
      </c>
      <c r="K578">
        <v>577</v>
      </c>
      <c r="L578">
        <v>0.21210000000000001</v>
      </c>
      <c r="M578">
        <v>0.87</v>
      </c>
      <c r="N578">
        <v>0.29849999999999999</v>
      </c>
      <c r="O578">
        <v>1</v>
      </c>
      <c r="P578">
        <v>29</v>
      </c>
      <c r="Q578">
        <v>30</v>
      </c>
    </row>
    <row r="579" spans="1:17" x14ac:dyDescent="0.35">
      <c r="A579">
        <v>578</v>
      </c>
      <c r="B579" s="1">
        <v>40569</v>
      </c>
      <c r="C579">
        <v>1</v>
      </c>
      <c r="D579">
        <v>0</v>
      </c>
      <c r="E579">
        <v>1</v>
      </c>
      <c r="F579">
        <v>8</v>
      </c>
      <c r="G579">
        <v>0</v>
      </c>
      <c r="H579">
        <v>3</v>
      </c>
      <c r="I579">
        <v>3</v>
      </c>
      <c r="J579">
        <v>0.22</v>
      </c>
      <c r="K579">
        <v>578</v>
      </c>
      <c r="L579">
        <v>0.21210000000000001</v>
      </c>
      <c r="M579">
        <v>0.87</v>
      </c>
      <c r="N579">
        <v>0.29849999999999999</v>
      </c>
      <c r="O579">
        <v>3</v>
      </c>
      <c r="P579">
        <v>69</v>
      </c>
      <c r="Q579">
        <v>72</v>
      </c>
    </row>
    <row r="580" spans="1:17" x14ac:dyDescent="0.35">
      <c r="A580">
        <v>579</v>
      </c>
      <c r="B580" s="1">
        <v>40569</v>
      </c>
      <c r="C580">
        <v>1</v>
      </c>
      <c r="D580">
        <v>0</v>
      </c>
      <c r="E580">
        <v>1</v>
      </c>
      <c r="F580">
        <v>9</v>
      </c>
      <c r="G580">
        <v>0</v>
      </c>
      <c r="H580">
        <v>3</v>
      </c>
      <c r="I580">
        <v>3</v>
      </c>
      <c r="J580">
        <v>0.22</v>
      </c>
      <c r="K580">
        <v>579</v>
      </c>
      <c r="L580">
        <v>0.21210000000000001</v>
      </c>
      <c r="M580">
        <v>0.87</v>
      </c>
      <c r="N580">
        <v>0.29849999999999999</v>
      </c>
      <c r="O580">
        <v>3</v>
      </c>
      <c r="P580">
        <v>55</v>
      </c>
      <c r="Q580">
        <v>58</v>
      </c>
    </row>
    <row r="581" spans="1:17" x14ac:dyDescent="0.35">
      <c r="A581">
        <v>580</v>
      </c>
      <c r="B581" s="1">
        <v>40569</v>
      </c>
      <c r="C581">
        <v>1</v>
      </c>
      <c r="D581">
        <v>0</v>
      </c>
      <c r="E581">
        <v>1</v>
      </c>
      <c r="F581">
        <v>10</v>
      </c>
      <c r="G581">
        <v>0</v>
      </c>
      <c r="H581">
        <v>3</v>
      </c>
      <c r="I581">
        <v>3</v>
      </c>
      <c r="J581">
        <v>0.22</v>
      </c>
      <c r="K581">
        <v>580</v>
      </c>
      <c r="L581">
        <v>0.21210000000000001</v>
      </c>
      <c r="M581">
        <v>0.93</v>
      </c>
      <c r="N581">
        <v>0.28360000000000002</v>
      </c>
      <c r="O581">
        <v>2</v>
      </c>
      <c r="P581">
        <v>26</v>
      </c>
      <c r="Q581">
        <v>28</v>
      </c>
    </row>
    <row r="582" spans="1:17" x14ac:dyDescent="0.35">
      <c r="A582">
        <v>581</v>
      </c>
      <c r="B582" s="1">
        <v>40569</v>
      </c>
      <c r="C582">
        <v>1</v>
      </c>
      <c r="D582">
        <v>0</v>
      </c>
      <c r="E582">
        <v>1</v>
      </c>
      <c r="F582">
        <v>11</v>
      </c>
      <c r="G582">
        <v>0</v>
      </c>
      <c r="H582">
        <v>3</v>
      </c>
      <c r="I582">
        <v>3</v>
      </c>
      <c r="J582">
        <v>0.22</v>
      </c>
      <c r="K582">
        <v>581</v>
      </c>
      <c r="L582">
        <v>0.19700000000000001</v>
      </c>
      <c r="M582">
        <v>0.93</v>
      </c>
      <c r="N582">
        <v>0.32840000000000003</v>
      </c>
      <c r="O582">
        <v>6</v>
      </c>
      <c r="P582">
        <v>35</v>
      </c>
      <c r="Q582">
        <v>41</v>
      </c>
    </row>
    <row r="583" spans="1:17" x14ac:dyDescent="0.35">
      <c r="A583">
        <v>582</v>
      </c>
      <c r="B583" s="1">
        <v>40569</v>
      </c>
      <c r="C583">
        <v>1</v>
      </c>
      <c r="D583">
        <v>0</v>
      </c>
      <c r="E583">
        <v>1</v>
      </c>
      <c r="F583">
        <v>12</v>
      </c>
      <c r="G583">
        <v>0</v>
      </c>
      <c r="H583">
        <v>3</v>
      </c>
      <c r="I583">
        <v>3</v>
      </c>
      <c r="J583">
        <v>0.22</v>
      </c>
      <c r="K583">
        <v>582</v>
      </c>
      <c r="L583">
        <v>0.19700000000000001</v>
      </c>
      <c r="M583">
        <v>0.93</v>
      </c>
      <c r="N583">
        <v>0.32840000000000003</v>
      </c>
      <c r="O583">
        <v>7</v>
      </c>
      <c r="P583">
        <v>41</v>
      </c>
      <c r="Q583">
        <v>48</v>
      </c>
    </row>
    <row r="584" spans="1:17" x14ac:dyDescent="0.35">
      <c r="A584">
        <v>583</v>
      </c>
      <c r="B584" s="1">
        <v>40569</v>
      </c>
      <c r="C584">
        <v>1</v>
      </c>
      <c r="D584">
        <v>0</v>
      </c>
      <c r="E584">
        <v>1</v>
      </c>
      <c r="F584">
        <v>13</v>
      </c>
      <c r="G584">
        <v>0</v>
      </c>
      <c r="H584">
        <v>3</v>
      </c>
      <c r="I584">
        <v>3</v>
      </c>
      <c r="J584">
        <v>0.22</v>
      </c>
      <c r="K584">
        <v>583</v>
      </c>
      <c r="L584">
        <v>0.19700000000000001</v>
      </c>
      <c r="M584">
        <v>0.93</v>
      </c>
      <c r="N584">
        <v>0.32840000000000003</v>
      </c>
      <c r="O584">
        <v>4</v>
      </c>
      <c r="P584">
        <v>43</v>
      </c>
      <c r="Q584">
        <v>47</v>
      </c>
    </row>
    <row r="585" spans="1:17" x14ac:dyDescent="0.35">
      <c r="A585">
        <v>584</v>
      </c>
      <c r="B585" s="1">
        <v>40569</v>
      </c>
      <c r="C585">
        <v>1</v>
      </c>
      <c r="D585">
        <v>0</v>
      </c>
      <c r="E585">
        <v>1</v>
      </c>
      <c r="F585">
        <v>14</v>
      </c>
      <c r="G585">
        <v>0</v>
      </c>
      <c r="H585">
        <v>3</v>
      </c>
      <c r="I585">
        <v>3</v>
      </c>
      <c r="J585">
        <v>0.22</v>
      </c>
      <c r="K585">
        <v>584</v>
      </c>
      <c r="L585">
        <v>0.19700000000000001</v>
      </c>
      <c r="M585">
        <v>0.93</v>
      </c>
      <c r="N585">
        <v>0.35820000000000002</v>
      </c>
      <c r="O585">
        <v>0</v>
      </c>
      <c r="P585">
        <v>36</v>
      </c>
      <c r="Q585">
        <v>36</v>
      </c>
    </row>
    <row r="586" spans="1:17" x14ac:dyDescent="0.35">
      <c r="A586">
        <v>585</v>
      </c>
      <c r="B586" s="1">
        <v>40569</v>
      </c>
      <c r="C586">
        <v>1</v>
      </c>
      <c r="D586">
        <v>0</v>
      </c>
      <c r="E586">
        <v>1</v>
      </c>
      <c r="F586">
        <v>15</v>
      </c>
      <c r="G586">
        <v>0</v>
      </c>
      <c r="H586">
        <v>3</v>
      </c>
      <c r="I586">
        <v>3</v>
      </c>
      <c r="J586">
        <v>0.22</v>
      </c>
      <c r="K586">
        <v>585</v>
      </c>
      <c r="L586">
        <v>0.18179999999999999</v>
      </c>
      <c r="M586">
        <v>0.93</v>
      </c>
      <c r="N586">
        <v>0.4627</v>
      </c>
      <c r="O586">
        <v>1</v>
      </c>
      <c r="P586">
        <v>42</v>
      </c>
      <c r="Q586">
        <v>43</v>
      </c>
    </row>
    <row r="587" spans="1:17" x14ac:dyDescent="0.35">
      <c r="A587">
        <v>586</v>
      </c>
      <c r="B587" s="1">
        <v>40569</v>
      </c>
      <c r="C587">
        <v>1</v>
      </c>
      <c r="D587">
        <v>0</v>
      </c>
      <c r="E587">
        <v>1</v>
      </c>
      <c r="F587">
        <v>16</v>
      </c>
      <c r="G587">
        <v>0</v>
      </c>
      <c r="H587">
        <v>3</v>
      </c>
      <c r="I587">
        <v>4</v>
      </c>
      <c r="J587">
        <v>0.22</v>
      </c>
      <c r="K587">
        <v>586</v>
      </c>
      <c r="L587">
        <v>0.19700000000000001</v>
      </c>
      <c r="M587">
        <v>0.93</v>
      </c>
      <c r="N587">
        <v>0.32840000000000003</v>
      </c>
      <c r="O587">
        <v>1</v>
      </c>
      <c r="P587">
        <v>35</v>
      </c>
      <c r="Q587">
        <v>36</v>
      </c>
    </row>
    <row r="588" spans="1:17" x14ac:dyDescent="0.35">
      <c r="A588">
        <v>587</v>
      </c>
      <c r="B588" s="1">
        <v>40569</v>
      </c>
      <c r="C588">
        <v>1</v>
      </c>
      <c r="D588">
        <v>0</v>
      </c>
      <c r="E588">
        <v>1</v>
      </c>
      <c r="F588">
        <v>17</v>
      </c>
      <c r="G588">
        <v>0</v>
      </c>
      <c r="H588">
        <v>3</v>
      </c>
      <c r="I588">
        <v>3</v>
      </c>
      <c r="J588">
        <v>0.2</v>
      </c>
      <c r="K588">
        <v>587</v>
      </c>
      <c r="L588">
        <v>0.18179999999999999</v>
      </c>
      <c r="M588">
        <v>0.93</v>
      </c>
      <c r="N588">
        <v>0.35820000000000002</v>
      </c>
      <c r="O588">
        <v>0</v>
      </c>
      <c r="P588">
        <v>26</v>
      </c>
      <c r="Q588">
        <v>26</v>
      </c>
    </row>
    <row r="589" spans="1:17" x14ac:dyDescent="0.35">
      <c r="A589">
        <v>588</v>
      </c>
      <c r="B589" s="1">
        <v>40570</v>
      </c>
      <c r="C589">
        <v>1</v>
      </c>
      <c r="D589">
        <v>0</v>
      </c>
      <c r="E589">
        <v>1</v>
      </c>
      <c r="F589">
        <v>16</v>
      </c>
      <c r="G589">
        <v>0</v>
      </c>
      <c r="H589">
        <v>4</v>
      </c>
      <c r="I589">
        <v>1</v>
      </c>
      <c r="J589">
        <v>0.22</v>
      </c>
      <c r="K589">
        <v>588</v>
      </c>
      <c r="L589">
        <v>0.2273</v>
      </c>
      <c r="M589">
        <v>0.55000000000000004</v>
      </c>
      <c r="N589">
        <v>0.19400000000000001</v>
      </c>
      <c r="O589">
        <v>1</v>
      </c>
      <c r="P589">
        <v>23</v>
      </c>
      <c r="Q589">
        <v>24</v>
      </c>
    </row>
    <row r="590" spans="1:17" x14ac:dyDescent="0.35">
      <c r="A590">
        <v>589</v>
      </c>
      <c r="B590" s="1">
        <v>40570</v>
      </c>
      <c r="C590">
        <v>1</v>
      </c>
      <c r="D590">
        <v>0</v>
      </c>
      <c r="E590">
        <v>1</v>
      </c>
      <c r="F590">
        <v>17</v>
      </c>
      <c r="G590">
        <v>0</v>
      </c>
      <c r="H590">
        <v>4</v>
      </c>
      <c r="I590">
        <v>1</v>
      </c>
      <c r="J590">
        <v>0.22</v>
      </c>
      <c r="K590">
        <v>589</v>
      </c>
      <c r="L590">
        <v>0.2424</v>
      </c>
      <c r="M590">
        <v>0.55000000000000004</v>
      </c>
      <c r="N590">
        <v>0.1045</v>
      </c>
      <c r="O590">
        <v>2</v>
      </c>
      <c r="P590">
        <v>82</v>
      </c>
      <c r="Q590">
        <v>84</v>
      </c>
    </row>
    <row r="591" spans="1:17" x14ac:dyDescent="0.35">
      <c r="A591">
        <v>590</v>
      </c>
      <c r="B591" s="1">
        <v>40570</v>
      </c>
      <c r="C591">
        <v>1</v>
      </c>
      <c r="D591">
        <v>0</v>
      </c>
      <c r="E591">
        <v>1</v>
      </c>
      <c r="F591">
        <v>18</v>
      </c>
      <c r="G591">
        <v>0</v>
      </c>
      <c r="H591">
        <v>4</v>
      </c>
      <c r="I591">
        <v>1</v>
      </c>
      <c r="J591">
        <v>0.2</v>
      </c>
      <c r="K591">
        <v>590</v>
      </c>
      <c r="L591">
        <v>0.2273</v>
      </c>
      <c r="M591">
        <v>0.69</v>
      </c>
      <c r="N591">
        <v>8.9599999999999999E-2</v>
      </c>
      <c r="O591">
        <v>3</v>
      </c>
      <c r="P591">
        <v>101</v>
      </c>
      <c r="Q591">
        <v>104</v>
      </c>
    </row>
    <row r="592" spans="1:17" x14ac:dyDescent="0.35">
      <c r="A592">
        <v>591</v>
      </c>
      <c r="B592" s="1">
        <v>40570</v>
      </c>
      <c r="C592">
        <v>1</v>
      </c>
      <c r="D592">
        <v>0</v>
      </c>
      <c r="E592">
        <v>1</v>
      </c>
      <c r="F592">
        <v>19</v>
      </c>
      <c r="G592">
        <v>0</v>
      </c>
      <c r="H592">
        <v>4</v>
      </c>
      <c r="I592">
        <v>1</v>
      </c>
      <c r="J592">
        <v>0.2</v>
      </c>
      <c r="K592">
        <v>591</v>
      </c>
      <c r="L592">
        <v>0.2273</v>
      </c>
      <c r="M592">
        <v>0.69</v>
      </c>
      <c r="N592">
        <v>8.9599999999999999E-2</v>
      </c>
      <c r="O592">
        <v>3</v>
      </c>
      <c r="P592">
        <v>76</v>
      </c>
      <c r="Q592">
        <v>79</v>
      </c>
    </row>
    <row r="593" spans="1:17" x14ac:dyDescent="0.35">
      <c r="A593">
        <v>592</v>
      </c>
      <c r="B593" s="1">
        <v>40570</v>
      </c>
      <c r="C593">
        <v>1</v>
      </c>
      <c r="D593">
        <v>0</v>
      </c>
      <c r="E593">
        <v>1</v>
      </c>
      <c r="F593">
        <v>20</v>
      </c>
      <c r="G593">
        <v>0</v>
      </c>
      <c r="H593">
        <v>4</v>
      </c>
      <c r="I593">
        <v>1</v>
      </c>
      <c r="J593">
        <v>0.18</v>
      </c>
      <c r="K593">
        <v>592</v>
      </c>
      <c r="L593">
        <v>0.21210000000000001</v>
      </c>
      <c r="M593">
        <v>0.74</v>
      </c>
      <c r="N593">
        <v>8.9599999999999999E-2</v>
      </c>
      <c r="O593">
        <v>4</v>
      </c>
      <c r="P593">
        <v>55</v>
      </c>
      <c r="Q593">
        <v>59</v>
      </c>
    </row>
    <row r="594" spans="1:17" x14ac:dyDescent="0.35">
      <c r="A594">
        <v>593</v>
      </c>
      <c r="B594" s="1">
        <v>40570</v>
      </c>
      <c r="C594">
        <v>1</v>
      </c>
      <c r="D594">
        <v>0</v>
      </c>
      <c r="E594">
        <v>1</v>
      </c>
      <c r="F594">
        <v>21</v>
      </c>
      <c r="G594">
        <v>0</v>
      </c>
      <c r="H594">
        <v>4</v>
      </c>
      <c r="I594">
        <v>1</v>
      </c>
      <c r="J594">
        <v>0.18</v>
      </c>
      <c r="K594">
        <v>593</v>
      </c>
      <c r="L594">
        <v>0.21210000000000001</v>
      </c>
      <c r="M594">
        <v>0.74</v>
      </c>
      <c r="N594">
        <v>8.9599999999999999E-2</v>
      </c>
      <c r="O594">
        <v>2</v>
      </c>
      <c r="P594">
        <v>36</v>
      </c>
      <c r="Q594">
        <v>38</v>
      </c>
    </row>
    <row r="595" spans="1:17" x14ac:dyDescent="0.35">
      <c r="A595">
        <v>594</v>
      </c>
      <c r="B595" s="1">
        <v>40570</v>
      </c>
      <c r="C595">
        <v>1</v>
      </c>
      <c r="D595">
        <v>0</v>
      </c>
      <c r="E595">
        <v>1</v>
      </c>
      <c r="F595">
        <v>22</v>
      </c>
      <c r="G595">
        <v>0</v>
      </c>
      <c r="H595">
        <v>4</v>
      </c>
      <c r="I595">
        <v>1</v>
      </c>
      <c r="J595">
        <v>0.18</v>
      </c>
      <c r="K595">
        <v>594</v>
      </c>
      <c r="L595">
        <v>0.21210000000000001</v>
      </c>
      <c r="M595">
        <v>0.74</v>
      </c>
      <c r="N595">
        <v>8.9599999999999999E-2</v>
      </c>
      <c r="O595">
        <v>0</v>
      </c>
      <c r="P595">
        <v>27</v>
      </c>
      <c r="Q595">
        <v>27</v>
      </c>
    </row>
    <row r="596" spans="1:17" x14ac:dyDescent="0.35">
      <c r="A596">
        <v>595</v>
      </c>
      <c r="B596" s="1">
        <v>40570</v>
      </c>
      <c r="C596">
        <v>1</v>
      </c>
      <c r="D596">
        <v>0</v>
      </c>
      <c r="E596">
        <v>1</v>
      </c>
      <c r="F596">
        <v>23</v>
      </c>
      <c r="G596">
        <v>0</v>
      </c>
      <c r="H596">
        <v>4</v>
      </c>
      <c r="I596">
        <v>1</v>
      </c>
      <c r="J596">
        <v>0.18</v>
      </c>
      <c r="K596">
        <v>595</v>
      </c>
      <c r="L596">
        <v>0.19700000000000001</v>
      </c>
      <c r="M596">
        <v>0.8</v>
      </c>
      <c r="N596">
        <v>0.16420000000000001</v>
      </c>
      <c r="O596">
        <v>0</v>
      </c>
      <c r="P596">
        <v>16</v>
      </c>
      <c r="Q596">
        <v>16</v>
      </c>
    </row>
    <row r="597" spans="1:17" x14ac:dyDescent="0.35">
      <c r="A597">
        <v>596</v>
      </c>
      <c r="B597" s="1">
        <v>40571</v>
      </c>
      <c r="C597">
        <v>1</v>
      </c>
      <c r="D597">
        <v>0</v>
      </c>
      <c r="E597">
        <v>1</v>
      </c>
      <c r="F597">
        <v>0</v>
      </c>
      <c r="G597">
        <v>0</v>
      </c>
      <c r="H597">
        <v>5</v>
      </c>
      <c r="I597">
        <v>2</v>
      </c>
      <c r="J597">
        <v>0.2</v>
      </c>
      <c r="K597">
        <v>596</v>
      </c>
      <c r="L597">
        <v>0.21210000000000001</v>
      </c>
      <c r="M597">
        <v>0.75</v>
      </c>
      <c r="N597">
        <v>0.1343</v>
      </c>
      <c r="O597">
        <v>0</v>
      </c>
      <c r="P597">
        <v>9</v>
      </c>
      <c r="Q597">
        <v>9</v>
      </c>
    </row>
    <row r="598" spans="1:17" x14ac:dyDescent="0.35">
      <c r="A598">
        <v>597</v>
      </c>
      <c r="B598" s="1">
        <v>40571</v>
      </c>
      <c r="C598">
        <v>1</v>
      </c>
      <c r="D598">
        <v>0</v>
      </c>
      <c r="E598">
        <v>1</v>
      </c>
      <c r="F598">
        <v>1</v>
      </c>
      <c r="G598">
        <v>0</v>
      </c>
      <c r="H598">
        <v>5</v>
      </c>
      <c r="I598">
        <v>2</v>
      </c>
      <c r="J598">
        <v>0.2</v>
      </c>
      <c r="K598">
        <v>597</v>
      </c>
      <c r="L598">
        <v>0.21210000000000001</v>
      </c>
      <c r="M598">
        <v>0.75</v>
      </c>
      <c r="N598">
        <v>0.1343</v>
      </c>
      <c r="O598">
        <v>1</v>
      </c>
      <c r="P598">
        <v>2</v>
      </c>
      <c r="Q598">
        <v>3</v>
      </c>
    </row>
    <row r="599" spans="1:17" x14ac:dyDescent="0.35">
      <c r="A599">
        <v>598</v>
      </c>
      <c r="B599" s="1">
        <v>40571</v>
      </c>
      <c r="C599">
        <v>1</v>
      </c>
      <c r="D599">
        <v>0</v>
      </c>
      <c r="E599">
        <v>1</v>
      </c>
      <c r="F599">
        <v>2</v>
      </c>
      <c r="G599">
        <v>0</v>
      </c>
      <c r="H599">
        <v>5</v>
      </c>
      <c r="I599">
        <v>2</v>
      </c>
      <c r="J599">
        <v>0.2</v>
      </c>
      <c r="K599">
        <v>598</v>
      </c>
      <c r="L599">
        <v>0.21210000000000001</v>
      </c>
      <c r="M599">
        <v>0.75</v>
      </c>
      <c r="N599">
        <v>0.16420000000000001</v>
      </c>
      <c r="O599">
        <v>0</v>
      </c>
      <c r="P599">
        <v>2</v>
      </c>
      <c r="Q599">
        <v>2</v>
      </c>
    </row>
    <row r="600" spans="1:17" x14ac:dyDescent="0.35">
      <c r="A600">
        <v>599</v>
      </c>
      <c r="B600" s="1">
        <v>40571</v>
      </c>
      <c r="C600">
        <v>1</v>
      </c>
      <c r="D600">
        <v>0</v>
      </c>
      <c r="E600">
        <v>1</v>
      </c>
      <c r="F600">
        <v>3</v>
      </c>
      <c r="G600">
        <v>0</v>
      </c>
      <c r="H600">
        <v>5</v>
      </c>
      <c r="I600">
        <v>2</v>
      </c>
      <c r="J600">
        <v>0.2</v>
      </c>
      <c r="K600">
        <v>599</v>
      </c>
      <c r="L600">
        <v>0.2273</v>
      </c>
      <c r="M600">
        <v>0.75</v>
      </c>
      <c r="N600">
        <v>0.1045</v>
      </c>
      <c r="O600">
        <v>1</v>
      </c>
      <c r="P600">
        <v>0</v>
      </c>
      <c r="Q600">
        <v>1</v>
      </c>
    </row>
    <row r="601" spans="1:17" x14ac:dyDescent="0.35">
      <c r="A601">
        <v>600</v>
      </c>
      <c r="B601" s="1">
        <v>40571</v>
      </c>
      <c r="C601">
        <v>1</v>
      </c>
      <c r="D601">
        <v>0</v>
      </c>
      <c r="E601">
        <v>1</v>
      </c>
      <c r="F601">
        <v>5</v>
      </c>
      <c r="G601">
        <v>0</v>
      </c>
      <c r="H601">
        <v>5</v>
      </c>
      <c r="I601">
        <v>2</v>
      </c>
      <c r="J601">
        <v>0.18</v>
      </c>
      <c r="K601">
        <v>600</v>
      </c>
      <c r="L601">
        <v>0.21210000000000001</v>
      </c>
      <c r="M601">
        <v>0.8</v>
      </c>
      <c r="N601">
        <v>0.1045</v>
      </c>
      <c r="O601">
        <v>0</v>
      </c>
      <c r="P601">
        <v>4</v>
      </c>
      <c r="Q601">
        <v>4</v>
      </c>
    </row>
    <row r="602" spans="1:17" x14ac:dyDescent="0.35">
      <c r="A602">
        <v>601</v>
      </c>
      <c r="B602" s="1">
        <v>40571</v>
      </c>
      <c r="C602">
        <v>1</v>
      </c>
      <c r="D602">
        <v>0</v>
      </c>
      <c r="E602">
        <v>1</v>
      </c>
      <c r="F602">
        <v>6</v>
      </c>
      <c r="G602">
        <v>0</v>
      </c>
      <c r="H602">
        <v>5</v>
      </c>
      <c r="I602">
        <v>2</v>
      </c>
      <c r="J602">
        <v>0.18</v>
      </c>
      <c r="K602">
        <v>601</v>
      </c>
      <c r="L602">
        <v>0.19700000000000001</v>
      </c>
      <c r="M602">
        <v>0.8</v>
      </c>
      <c r="N602">
        <v>0.1343</v>
      </c>
      <c r="O602">
        <v>0</v>
      </c>
      <c r="P602">
        <v>16</v>
      </c>
      <c r="Q602">
        <v>16</v>
      </c>
    </row>
    <row r="603" spans="1:17" x14ac:dyDescent="0.35">
      <c r="A603">
        <v>602</v>
      </c>
      <c r="B603" s="1">
        <v>40571</v>
      </c>
      <c r="C603">
        <v>1</v>
      </c>
      <c r="D603">
        <v>0</v>
      </c>
      <c r="E603">
        <v>1</v>
      </c>
      <c r="F603">
        <v>7</v>
      </c>
      <c r="G603">
        <v>0</v>
      </c>
      <c r="H603">
        <v>5</v>
      </c>
      <c r="I603">
        <v>2</v>
      </c>
      <c r="J603">
        <v>0.16</v>
      </c>
      <c r="K603">
        <v>602</v>
      </c>
      <c r="L603">
        <v>0.19700000000000001</v>
      </c>
      <c r="M603">
        <v>0.86</v>
      </c>
      <c r="N603">
        <v>8.9599999999999999E-2</v>
      </c>
      <c r="O603">
        <v>2</v>
      </c>
      <c r="P603">
        <v>58</v>
      </c>
      <c r="Q603">
        <v>60</v>
      </c>
    </row>
    <row r="604" spans="1:17" x14ac:dyDescent="0.35">
      <c r="A604">
        <v>603</v>
      </c>
      <c r="B604" s="1">
        <v>40571</v>
      </c>
      <c r="C604">
        <v>1</v>
      </c>
      <c r="D604">
        <v>0</v>
      </c>
      <c r="E604">
        <v>1</v>
      </c>
      <c r="F604">
        <v>8</v>
      </c>
      <c r="G604">
        <v>0</v>
      </c>
      <c r="H604">
        <v>5</v>
      </c>
      <c r="I604">
        <v>2</v>
      </c>
      <c r="J604">
        <v>0.16</v>
      </c>
      <c r="K604">
        <v>603</v>
      </c>
      <c r="L604">
        <v>0.19700000000000001</v>
      </c>
      <c r="M604">
        <v>0.86</v>
      </c>
      <c r="N604">
        <v>8.9599999999999999E-2</v>
      </c>
      <c r="O604">
        <v>2</v>
      </c>
      <c r="P604">
        <v>155</v>
      </c>
      <c r="Q604">
        <v>157</v>
      </c>
    </row>
    <row r="605" spans="1:17" x14ac:dyDescent="0.35">
      <c r="A605">
        <v>604</v>
      </c>
      <c r="B605" s="1">
        <v>40571</v>
      </c>
      <c r="C605">
        <v>1</v>
      </c>
      <c r="D605">
        <v>0</v>
      </c>
      <c r="E605">
        <v>1</v>
      </c>
      <c r="F605">
        <v>9</v>
      </c>
      <c r="G605">
        <v>0</v>
      </c>
      <c r="H605">
        <v>5</v>
      </c>
      <c r="I605">
        <v>3</v>
      </c>
      <c r="J605">
        <v>0.18</v>
      </c>
      <c r="K605">
        <v>604</v>
      </c>
      <c r="L605">
        <v>0.21210000000000001</v>
      </c>
      <c r="M605">
        <v>0.86</v>
      </c>
      <c r="N605">
        <v>8.9599999999999999E-2</v>
      </c>
      <c r="O605">
        <v>6</v>
      </c>
      <c r="P605">
        <v>95</v>
      </c>
      <c r="Q605">
        <v>101</v>
      </c>
    </row>
    <row r="606" spans="1:17" x14ac:dyDescent="0.35">
      <c r="A606">
        <v>605</v>
      </c>
      <c r="B606" s="1">
        <v>40571</v>
      </c>
      <c r="C606">
        <v>1</v>
      </c>
      <c r="D606">
        <v>0</v>
      </c>
      <c r="E606">
        <v>1</v>
      </c>
      <c r="F606">
        <v>10</v>
      </c>
      <c r="G606">
        <v>0</v>
      </c>
      <c r="H606">
        <v>5</v>
      </c>
      <c r="I606">
        <v>3</v>
      </c>
      <c r="J606">
        <v>0.18</v>
      </c>
      <c r="K606">
        <v>605</v>
      </c>
      <c r="L606">
        <v>0.21210000000000001</v>
      </c>
      <c r="M606">
        <v>0.86</v>
      </c>
      <c r="N606">
        <v>0.1045</v>
      </c>
      <c r="O606">
        <v>0</v>
      </c>
      <c r="P606">
        <v>49</v>
      </c>
      <c r="Q606">
        <v>49</v>
      </c>
    </row>
    <row r="607" spans="1:17" x14ac:dyDescent="0.35">
      <c r="A607">
        <v>606</v>
      </c>
      <c r="B607" s="1">
        <v>40571</v>
      </c>
      <c r="C607">
        <v>1</v>
      </c>
      <c r="D607">
        <v>0</v>
      </c>
      <c r="E607">
        <v>1</v>
      </c>
      <c r="F607">
        <v>11</v>
      </c>
      <c r="G607">
        <v>0</v>
      </c>
      <c r="H607">
        <v>5</v>
      </c>
      <c r="I607">
        <v>3</v>
      </c>
      <c r="J607">
        <v>0.18</v>
      </c>
      <c r="K607">
        <v>606</v>
      </c>
      <c r="L607">
        <v>0.21210000000000001</v>
      </c>
      <c r="M607">
        <v>0.93</v>
      </c>
      <c r="N607">
        <v>0.1045</v>
      </c>
      <c r="O607">
        <v>0</v>
      </c>
      <c r="P607">
        <v>30</v>
      </c>
      <c r="Q607">
        <v>30</v>
      </c>
    </row>
    <row r="608" spans="1:17" x14ac:dyDescent="0.35">
      <c r="A608">
        <v>607</v>
      </c>
      <c r="B608" s="1">
        <v>40571</v>
      </c>
      <c r="C608">
        <v>1</v>
      </c>
      <c r="D608">
        <v>0</v>
      </c>
      <c r="E608">
        <v>1</v>
      </c>
      <c r="F608">
        <v>12</v>
      </c>
      <c r="G608">
        <v>0</v>
      </c>
      <c r="H608">
        <v>5</v>
      </c>
      <c r="I608">
        <v>3</v>
      </c>
      <c r="J608">
        <v>0.18</v>
      </c>
      <c r="K608">
        <v>607</v>
      </c>
      <c r="L608">
        <v>0.21210000000000001</v>
      </c>
      <c r="M608">
        <v>0.93</v>
      </c>
      <c r="N608">
        <v>0.1045</v>
      </c>
      <c r="O608">
        <v>1</v>
      </c>
      <c r="P608">
        <v>28</v>
      </c>
      <c r="Q608">
        <v>29</v>
      </c>
    </row>
    <row r="609" spans="1:17" x14ac:dyDescent="0.35">
      <c r="A609">
        <v>608</v>
      </c>
      <c r="B609" s="1">
        <v>40571</v>
      </c>
      <c r="C609">
        <v>1</v>
      </c>
      <c r="D609">
        <v>0</v>
      </c>
      <c r="E609">
        <v>1</v>
      </c>
      <c r="F609">
        <v>13</v>
      </c>
      <c r="G609">
        <v>0</v>
      </c>
      <c r="H609">
        <v>5</v>
      </c>
      <c r="I609">
        <v>3</v>
      </c>
      <c r="J609">
        <v>0.18</v>
      </c>
      <c r="K609">
        <v>608</v>
      </c>
      <c r="L609">
        <v>0.21210000000000001</v>
      </c>
      <c r="M609">
        <v>0.93</v>
      </c>
      <c r="N609">
        <v>0.1045</v>
      </c>
      <c r="O609">
        <v>0</v>
      </c>
      <c r="P609">
        <v>31</v>
      </c>
      <c r="Q609">
        <v>31</v>
      </c>
    </row>
    <row r="610" spans="1:17" x14ac:dyDescent="0.35">
      <c r="A610">
        <v>609</v>
      </c>
      <c r="B610" s="1">
        <v>40571</v>
      </c>
      <c r="C610">
        <v>1</v>
      </c>
      <c r="D610">
        <v>0</v>
      </c>
      <c r="E610">
        <v>1</v>
      </c>
      <c r="F610">
        <v>14</v>
      </c>
      <c r="G610">
        <v>0</v>
      </c>
      <c r="H610">
        <v>5</v>
      </c>
      <c r="I610">
        <v>3</v>
      </c>
      <c r="J610">
        <v>0.22</v>
      </c>
      <c r="K610">
        <v>609</v>
      </c>
      <c r="L610">
        <v>0.2727</v>
      </c>
      <c r="M610">
        <v>0.8</v>
      </c>
      <c r="N610">
        <v>0</v>
      </c>
      <c r="O610">
        <v>2</v>
      </c>
      <c r="P610">
        <v>36</v>
      </c>
      <c r="Q610">
        <v>38</v>
      </c>
    </row>
    <row r="611" spans="1:17" x14ac:dyDescent="0.35">
      <c r="A611">
        <v>610</v>
      </c>
      <c r="B611" s="1">
        <v>40571</v>
      </c>
      <c r="C611">
        <v>1</v>
      </c>
      <c r="D611">
        <v>0</v>
      </c>
      <c r="E611">
        <v>1</v>
      </c>
      <c r="F611">
        <v>15</v>
      </c>
      <c r="G611">
        <v>0</v>
      </c>
      <c r="H611">
        <v>5</v>
      </c>
      <c r="I611">
        <v>2</v>
      </c>
      <c r="J611">
        <v>0.2</v>
      </c>
      <c r="K611">
        <v>610</v>
      </c>
      <c r="L611">
        <v>0.2576</v>
      </c>
      <c r="M611">
        <v>0.86</v>
      </c>
      <c r="N611">
        <v>0</v>
      </c>
      <c r="O611">
        <v>1</v>
      </c>
      <c r="P611">
        <v>40</v>
      </c>
      <c r="Q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F826-6D6D-4036-969C-04BE0B0A70FA}">
  <dimension ref="A1:P391"/>
  <sheetViews>
    <sheetView workbookViewId="0">
      <selection activeCell="K25" activeCellId="1" sqref="L1:L10 K25"/>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8.54296875" bestFit="1" customWidth="1"/>
    <col min="12" max="12" width="6.90625" bestFit="1" customWidth="1"/>
    <col min="13" max="13" width="12.1796875" bestFit="1" customWidth="1"/>
    <col min="14" max="14" width="8.26953125" bestFit="1" customWidth="1"/>
    <col min="15" max="15" width="11.54296875" bestFit="1" customWidth="1"/>
    <col min="16" max="16" width="5.7265625" bestFit="1" customWidth="1"/>
  </cols>
  <sheetData>
    <row r="1" spans="1:16" x14ac:dyDescent="0.35">
      <c r="A1" t="s">
        <v>2</v>
      </c>
      <c r="B1" t="s">
        <v>3</v>
      </c>
      <c r="C1" t="s">
        <v>4</v>
      </c>
      <c r="D1" t="s">
        <v>5</v>
      </c>
      <c r="E1" t="s">
        <v>6</v>
      </c>
      <c r="F1" t="s">
        <v>7</v>
      </c>
      <c r="G1" t="s">
        <v>8</v>
      </c>
      <c r="H1" t="s">
        <v>9</v>
      </c>
      <c r="I1" t="s">
        <v>10</v>
      </c>
      <c r="J1" t="s">
        <v>11</v>
      </c>
      <c r="K1" t="s">
        <v>12</v>
      </c>
      <c r="L1" t="s">
        <v>13</v>
      </c>
      <c r="M1" t="s">
        <v>14</v>
      </c>
      <c r="N1" t="s">
        <v>15</v>
      </c>
      <c r="O1" t="s">
        <v>16</v>
      </c>
      <c r="P1" t="s">
        <v>17</v>
      </c>
    </row>
    <row r="2" spans="1:16" x14ac:dyDescent="0.35">
      <c r="A2">
        <v>611</v>
      </c>
      <c r="B2" s="1">
        <v>40571</v>
      </c>
      <c r="C2">
        <v>1</v>
      </c>
      <c r="D2">
        <v>0</v>
      </c>
      <c r="E2">
        <v>1</v>
      </c>
      <c r="F2">
        <v>16</v>
      </c>
      <c r="G2">
        <v>0</v>
      </c>
      <c r="H2">
        <v>5</v>
      </c>
      <c r="I2">
        <v>1</v>
      </c>
      <c r="J2">
        <v>0.22</v>
      </c>
      <c r="K2">
        <v>0.2727</v>
      </c>
      <c r="L2">
        <v>0.8</v>
      </c>
      <c r="M2">
        <v>0</v>
      </c>
      <c r="N2">
        <v>10</v>
      </c>
      <c r="O2">
        <v>70</v>
      </c>
      <c r="P2">
        <v>80</v>
      </c>
    </row>
    <row r="3" spans="1:16" x14ac:dyDescent="0.35">
      <c r="A3">
        <v>612</v>
      </c>
      <c r="B3" s="1">
        <v>40571</v>
      </c>
      <c r="C3">
        <v>1</v>
      </c>
      <c r="D3">
        <v>0</v>
      </c>
      <c r="E3">
        <v>1</v>
      </c>
      <c r="F3">
        <v>17</v>
      </c>
      <c r="G3">
        <v>0</v>
      </c>
      <c r="H3">
        <v>5</v>
      </c>
      <c r="I3">
        <v>1</v>
      </c>
      <c r="J3">
        <v>0.24</v>
      </c>
      <c r="K3">
        <v>0.2424</v>
      </c>
      <c r="L3">
        <v>0.75</v>
      </c>
      <c r="M3">
        <v>0.1343</v>
      </c>
      <c r="N3">
        <v>2</v>
      </c>
      <c r="O3">
        <v>147</v>
      </c>
      <c r="P3">
        <v>149</v>
      </c>
    </row>
    <row r="4" spans="1:16" x14ac:dyDescent="0.35">
      <c r="A4">
        <v>613</v>
      </c>
      <c r="B4" s="1">
        <v>40571</v>
      </c>
      <c r="C4">
        <v>1</v>
      </c>
      <c r="D4">
        <v>0</v>
      </c>
      <c r="E4">
        <v>1</v>
      </c>
      <c r="F4">
        <v>18</v>
      </c>
      <c r="G4">
        <v>0</v>
      </c>
      <c r="H4">
        <v>5</v>
      </c>
      <c r="I4">
        <v>1</v>
      </c>
      <c r="J4">
        <v>0.24</v>
      </c>
      <c r="K4">
        <v>0.2273</v>
      </c>
      <c r="L4">
        <v>0.75</v>
      </c>
      <c r="M4">
        <v>0.19400000000000001</v>
      </c>
      <c r="N4">
        <v>2</v>
      </c>
      <c r="O4">
        <v>107</v>
      </c>
      <c r="P4">
        <v>109</v>
      </c>
    </row>
    <row r="5" spans="1:16" x14ac:dyDescent="0.35">
      <c r="A5">
        <v>614</v>
      </c>
      <c r="B5" s="1">
        <v>40571</v>
      </c>
      <c r="C5">
        <v>1</v>
      </c>
      <c r="D5">
        <v>0</v>
      </c>
      <c r="E5">
        <v>1</v>
      </c>
      <c r="F5">
        <v>19</v>
      </c>
      <c r="G5">
        <v>0</v>
      </c>
      <c r="H5">
        <v>5</v>
      </c>
      <c r="I5">
        <v>2</v>
      </c>
      <c r="J5">
        <v>0.24</v>
      </c>
      <c r="K5">
        <v>0.2424</v>
      </c>
      <c r="L5">
        <v>0.75</v>
      </c>
      <c r="M5">
        <v>0.1343</v>
      </c>
      <c r="N5">
        <v>5</v>
      </c>
      <c r="O5">
        <v>84</v>
      </c>
      <c r="P5">
        <v>89</v>
      </c>
    </row>
    <row r="6" spans="1:16" x14ac:dyDescent="0.35">
      <c r="A6">
        <v>615</v>
      </c>
      <c r="B6" s="1">
        <v>40571</v>
      </c>
      <c r="C6">
        <v>1</v>
      </c>
      <c r="D6">
        <v>0</v>
      </c>
      <c r="E6">
        <v>1</v>
      </c>
      <c r="F6">
        <v>20</v>
      </c>
      <c r="G6">
        <v>0</v>
      </c>
      <c r="H6">
        <v>5</v>
      </c>
      <c r="I6">
        <v>2</v>
      </c>
      <c r="J6">
        <v>0.24</v>
      </c>
      <c r="K6">
        <v>0.2273</v>
      </c>
      <c r="L6">
        <v>0.7</v>
      </c>
      <c r="M6">
        <v>0.19400000000000001</v>
      </c>
      <c r="N6">
        <v>1</v>
      </c>
      <c r="O6">
        <v>61</v>
      </c>
      <c r="P6">
        <v>62</v>
      </c>
    </row>
    <row r="7" spans="1:16" x14ac:dyDescent="0.35">
      <c r="A7">
        <v>616</v>
      </c>
      <c r="B7" s="1">
        <v>40571</v>
      </c>
      <c r="C7">
        <v>1</v>
      </c>
      <c r="D7">
        <v>0</v>
      </c>
      <c r="E7">
        <v>1</v>
      </c>
      <c r="F7">
        <v>21</v>
      </c>
      <c r="G7">
        <v>0</v>
      </c>
      <c r="H7">
        <v>5</v>
      </c>
      <c r="I7">
        <v>2</v>
      </c>
      <c r="J7">
        <v>0.22</v>
      </c>
      <c r="K7">
        <v>0.2273</v>
      </c>
      <c r="L7">
        <v>0.75</v>
      </c>
      <c r="M7">
        <v>0.1343</v>
      </c>
      <c r="N7">
        <v>1</v>
      </c>
      <c r="O7">
        <v>57</v>
      </c>
      <c r="P7">
        <v>58</v>
      </c>
    </row>
    <row r="8" spans="1:16" x14ac:dyDescent="0.35">
      <c r="A8">
        <v>617</v>
      </c>
      <c r="B8" s="1">
        <v>40571</v>
      </c>
      <c r="C8">
        <v>1</v>
      </c>
      <c r="D8">
        <v>0</v>
      </c>
      <c r="E8">
        <v>1</v>
      </c>
      <c r="F8">
        <v>22</v>
      </c>
      <c r="G8">
        <v>0</v>
      </c>
      <c r="H8">
        <v>5</v>
      </c>
      <c r="I8">
        <v>1</v>
      </c>
      <c r="J8">
        <v>0.24</v>
      </c>
      <c r="K8">
        <v>0.21210000000000001</v>
      </c>
      <c r="L8">
        <v>0.65</v>
      </c>
      <c r="M8">
        <v>0.35820000000000002</v>
      </c>
      <c r="N8">
        <v>0</v>
      </c>
      <c r="O8">
        <v>26</v>
      </c>
      <c r="P8">
        <v>26</v>
      </c>
    </row>
    <row r="9" spans="1:16" x14ac:dyDescent="0.35">
      <c r="A9">
        <v>618</v>
      </c>
      <c r="B9" s="1">
        <v>40571</v>
      </c>
      <c r="C9">
        <v>1</v>
      </c>
      <c r="D9">
        <v>0</v>
      </c>
      <c r="E9">
        <v>1</v>
      </c>
      <c r="F9">
        <v>23</v>
      </c>
      <c r="G9">
        <v>0</v>
      </c>
      <c r="H9">
        <v>5</v>
      </c>
      <c r="I9">
        <v>1</v>
      </c>
      <c r="J9">
        <v>0.24</v>
      </c>
      <c r="K9">
        <v>0.2273</v>
      </c>
      <c r="L9">
        <v>0.6</v>
      </c>
      <c r="M9">
        <v>0.22389999999999999</v>
      </c>
      <c r="N9">
        <v>1</v>
      </c>
      <c r="O9">
        <v>22</v>
      </c>
      <c r="P9">
        <v>23</v>
      </c>
    </row>
    <row r="10" spans="1:16" x14ac:dyDescent="0.35">
      <c r="A10">
        <v>619</v>
      </c>
      <c r="B10" s="1">
        <v>40572</v>
      </c>
      <c r="C10">
        <v>1</v>
      </c>
      <c r="D10">
        <v>0</v>
      </c>
      <c r="E10">
        <v>1</v>
      </c>
      <c r="F10">
        <v>0</v>
      </c>
      <c r="G10">
        <v>0</v>
      </c>
      <c r="H10">
        <v>6</v>
      </c>
      <c r="I10">
        <v>1</v>
      </c>
      <c r="J10">
        <v>0.22</v>
      </c>
      <c r="K10">
        <v>0.19700000000000001</v>
      </c>
      <c r="L10">
        <v>0.64</v>
      </c>
      <c r="M10">
        <v>0.35820000000000002</v>
      </c>
      <c r="N10">
        <v>2</v>
      </c>
      <c r="O10">
        <v>26</v>
      </c>
      <c r="P10">
        <v>28</v>
      </c>
    </row>
    <row r="11" spans="1:16" x14ac:dyDescent="0.35">
      <c r="A11">
        <v>620</v>
      </c>
      <c r="B11" s="1">
        <v>40572</v>
      </c>
      <c r="C11">
        <v>1</v>
      </c>
      <c r="D11">
        <v>0</v>
      </c>
      <c r="E11">
        <v>1</v>
      </c>
      <c r="F11">
        <v>1</v>
      </c>
      <c r="G11">
        <v>0</v>
      </c>
      <c r="H11">
        <v>6</v>
      </c>
      <c r="I11">
        <v>1</v>
      </c>
      <c r="J11">
        <v>0.22</v>
      </c>
      <c r="K11">
        <v>0.2273</v>
      </c>
      <c r="L11">
        <v>0.64</v>
      </c>
      <c r="M11">
        <v>0.19400000000000001</v>
      </c>
      <c r="N11">
        <v>0</v>
      </c>
      <c r="O11">
        <v>20</v>
      </c>
      <c r="P11">
        <v>20</v>
      </c>
    </row>
    <row r="12" spans="1:16" x14ac:dyDescent="0.35">
      <c r="A12">
        <v>621</v>
      </c>
      <c r="B12" s="1">
        <v>40572</v>
      </c>
      <c r="C12">
        <v>1</v>
      </c>
      <c r="D12">
        <v>0</v>
      </c>
      <c r="E12">
        <v>1</v>
      </c>
      <c r="F12">
        <v>2</v>
      </c>
      <c r="G12">
        <v>0</v>
      </c>
      <c r="H12">
        <v>6</v>
      </c>
      <c r="I12">
        <v>1</v>
      </c>
      <c r="J12">
        <v>0.22</v>
      </c>
      <c r="K12">
        <v>0.2273</v>
      </c>
      <c r="L12">
        <v>0.64</v>
      </c>
      <c r="M12">
        <v>0.16420000000000001</v>
      </c>
      <c r="N12">
        <v>0</v>
      </c>
      <c r="O12">
        <v>15</v>
      </c>
      <c r="P12">
        <v>15</v>
      </c>
    </row>
    <row r="13" spans="1:16" x14ac:dyDescent="0.35">
      <c r="A13">
        <v>622</v>
      </c>
      <c r="B13" s="1">
        <v>40572</v>
      </c>
      <c r="C13">
        <v>1</v>
      </c>
      <c r="D13">
        <v>0</v>
      </c>
      <c r="E13">
        <v>1</v>
      </c>
      <c r="F13">
        <v>3</v>
      </c>
      <c r="G13">
        <v>0</v>
      </c>
      <c r="H13">
        <v>6</v>
      </c>
      <c r="I13">
        <v>1</v>
      </c>
      <c r="J13">
        <v>0.2</v>
      </c>
      <c r="K13">
        <v>0.21210000000000001</v>
      </c>
      <c r="L13">
        <v>0.64</v>
      </c>
      <c r="M13">
        <v>0.1343</v>
      </c>
      <c r="N13">
        <v>3</v>
      </c>
      <c r="O13">
        <v>5</v>
      </c>
      <c r="P13">
        <v>8</v>
      </c>
    </row>
    <row r="14" spans="1:16" x14ac:dyDescent="0.35">
      <c r="A14">
        <v>623</v>
      </c>
      <c r="B14" s="1">
        <v>40572</v>
      </c>
      <c r="C14">
        <v>1</v>
      </c>
      <c r="D14">
        <v>0</v>
      </c>
      <c r="E14">
        <v>1</v>
      </c>
      <c r="F14">
        <v>4</v>
      </c>
      <c r="G14">
        <v>0</v>
      </c>
      <c r="H14">
        <v>6</v>
      </c>
      <c r="I14">
        <v>1</v>
      </c>
      <c r="J14">
        <v>0.16</v>
      </c>
      <c r="K14">
        <v>0.18179999999999999</v>
      </c>
      <c r="L14">
        <v>0.69</v>
      </c>
      <c r="M14">
        <v>0.1045</v>
      </c>
      <c r="N14">
        <v>1</v>
      </c>
      <c r="O14">
        <v>2</v>
      </c>
      <c r="P14">
        <v>3</v>
      </c>
    </row>
    <row r="15" spans="1:16" x14ac:dyDescent="0.35">
      <c r="A15">
        <v>624</v>
      </c>
      <c r="B15" s="1">
        <v>40572</v>
      </c>
      <c r="C15">
        <v>1</v>
      </c>
      <c r="D15">
        <v>0</v>
      </c>
      <c r="E15">
        <v>1</v>
      </c>
      <c r="F15">
        <v>6</v>
      </c>
      <c r="G15">
        <v>0</v>
      </c>
      <c r="H15">
        <v>6</v>
      </c>
      <c r="I15">
        <v>1</v>
      </c>
      <c r="J15">
        <v>0.16</v>
      </c>
      <c r="K15">
        <v>0.18179999999999999</v>
      </c>
      <c r="L15">
        <v>0.64</v>
      </c>
      <c r="M15">
        <v>0.1343</v>
      </c>
      <c r="N15">
        <v>0</v>
      </c>
      <c r="O15">
        <v>2</v>
      </c>
      <c r="P15">
        <v>2</v>
      </c>
    </row>
    <row r="16" spans="1:16" x14ac:dyDescent="0.35">
      <c r="A16">
        <v>625</v>
      </c>
      <c r="B16" s="1">
        <v>40572</v>
      </c>
      <c r="C16">
        <v>1</v>
      </c>
      <c r="D16">
        <v>0</v>
      </c>
      <c r="E16">
        <v>1</v>
      </c>
      <c r="F16">
        <v>7</v>
      </c>
      <c r="G16">
        <v>0</v>
      </c>
      <c r="H16">
        <v>6</v>
      </c>
      <c r="I16">
        <v>1</v>
      </c>
      <c r="J16">
        <v>0.16</v>
      </c>
      <c r="K16">
        <v>0.18179999999999999</v>
      </c>
      <c r="L16">
        <v>0.59</v>
      </c>
      <c r="M16">
        <v>0.1045</v>
      </c>
      <c r="N16">
        <v>1</v>
      </c>
      <c r="O16">
        <v>4</v>
      </c>
      <c r="P16">
        <v>5</v>
      </c>
    </row>
    <row r="17" spans="1:16" x14ac:dyDescent="0.35">
      <c r="A17">
        <v>626</v>
      </c>
      <c r="B17" s="1">
        <v>40572</v>
      </c>
      <c r="C17">
        <v>1</v>
      </c>
      <c r="D17">
        <v>0</v>
      </c>
      <c r="E17">
        <v>1</v>
      </c>
      <c r="F17">
        <v>8</v>
      </c>
      <c r="G17">
        <v>0</v>
      </c>
      <c r="H17">
        <v>6</v>
      </c>
      <c r="I17">
        <v>1</v>
      </c>
      <c r="J17">
        <v>0.18</v>
      </c>
      <c r="K17">
        <v>0.19700000000000001</v>
      </c>
      <c r="L17">
        <v>0.55000000000000004</v>
      </c>
      <c r="M17">
        <v>0.16420000000000001</v>
      </c>
      <c r="N17">
        <v>3</v>
      </c>
      <c r="O17">
        <v>31</v>
      </c>
      <c r="P17">
        <v>34</v>
      </c>
    </row>
    <row r="18" spans="1:16" x14ac:dyDescent="0.35">
      <c r="A18">
        <v>627</v>
      </c>
      <c r="B18" s="1">
        <v>40572</v>
      </c>
      <c r="C18">
        <v>1</v>
      </c>
      <c r="D18">
        <v>0</v>
      </c>
      <c r="E18">
        <v>1</v>
      </c>
      <c r="F18">
        <v>9</v>
      </c>
      <c r="G18">
        <v>0</v>
      </c>
      <c r="H18">
        <v>6</v>
      </c>
      <c r="I18">
        <v>1</v>
      </c>
      <c r="J18">
        <v>0.18</v>
      </c>
      <c r="K18">
        <v>0.21210000000000001</v>
      </c>
      <c r="L18">
        <v>0.59</v>
      </c>
      <c r="M18">
        <v>8.9599999999999999E-2</v>
      </c>
      <c r="N18">
        <v>0</v>
      </c>
      <c r="O18">
        <v>34</v>
      </c>
      <c r="P18">
        <v>34</v>
      </c>
    </row>
    <row r="19" spans="1:16" x14ac:dyDescent="0.35">
      <c r="A19">
        <v>628</v>
      </c>
      <c r="B19" s="1">
        <v>40572</v>
      </c>
      <c r="C19">
        <v>1</v>
      </c>
      <c r="D19">
        <v>0</v>
      </c>
      <c r="E19">
        <v>1</v>
      </c>
      <c r="F19">
        <v>10</v>
      </c>
      <c r="G19">
        <v>0</v>
      </c>
      <c r="H19">
        <v>6</v>
      </c>
      <c r="I19">
        <v>2</v>
      </c>
      <c r="J19">
        <v>0.18</v>
      </c>
      <c r="K19">
        <v>0.21210000000000001</v>
      </c>
      <c r="L19">
        <v>0.64</v>
      </c>
      <c r="M19">
        <v>0.1045</v>
      </c>
      <c r="N19">
        <v>4</v>
      </c>
      <c r="O19">
        <v>51</v>
      </c>
      <c r="P19">
        <v>55</v>
      </c>
    </row>
    <row r="20" spans="1:16" x14ac:dyDescent="0.35">
      <c r="A20">
        <v>629</v>
      </c>
      <c r="B20" s="1">
        <v>40572</v>
      </c>
      <c r="C20">
        <v>1</v>
      </c>
      <c r="D20">
        <v>0</v>
      </c>
      <c r="E20">
        <v>1</v>
      </c>
      <c r="F20">
        <v>11</v>
      </c>
      <c r="G20">
        <v>0</v>
      </c>
      <c r="H20">
        <v>6</v>
      </c>
      <c r="I20">
        <v>2</v>
      </c>
      <c r="J20">
        <v>0.18</v>
      </c>
      <c r="K20">
        <v>0.19700000000000001</v>
      </c>
      <c r="L20">
        <v>0.64</v>
      </c>
      <c r="M20">
        <v>0.1343</v>
      </c>
      <c r="N20">
        <v>4</v>
      </c>
      <c r="O20">
        <v>60</v>
      </c>
      <c r="P20">
        <v>64</v>
      </c>
    </row>
    <row r="21" spans="1:16" x14ac:dyDescent="0.35">
      <c r="A21">
        <v>630</v>
      </c>
      <c r="B21" s="1">
        <v>40572</v>
      </c>
      <c r="C21">
        <v>1</v>
      </c>
      <c r="D21">
        <v>0</v>
      </c>
      <c r="E21">
        <v>1</v>
      </c>
      <c r="F21">
        <v>12</v>
      </c>
      <c r="G21">
        <v>0</v>
      </c>
      <c r="H21">
        <v>6</v>
      </c>
      <c r="I21">
        <v>2</v>
      </c>
      <c r="J21">
        <v>0.2</v>
      </c>
      <c r="K21">
        <v>0.19700000000000001</v>
      </c>
      <c r="L21">
        <v>0.59</v>
      </c>
      <c r="M21">
        <v>0.19400000000000001</v>
      </c>
      <c r="N21">
        <v>12</v>
      </c>
      <c r="O21">
        <v>66</v>
      </c>
      <c r="P21">
        <v>78</v>
      </c>
    </row>
    <row r="22" spans="1:16" x14ac:dyDescent="0.35">
      <c r="A22">
        <v>631</v>
      </c>
      <c r="B22" s="1">
        <v>40572</v>
      </c>
      <c r="C22">
        <v>1</v>
      </c>
      <c r="D22">
        <v>0</v>
      </c>
      <c r="E22">
        <v>1</v>
      </c>
      <c r="F22">
        <v>13</v>
      </c>
      <c r="G22">
        <v>0</v>
      </c>
      <c r="H22">
        <v>6</v>
      </c>
      <c r="I22">
        <v>2</v>
      </c>
      <c r="J22">
        <v>0.22</v>
      </c>
      <c r="K22">
        <v>0.2273</v>
      </c>
      <c r="L22">
        <v>0.55000000000000004</v>
      </c>
      <c r="M22">
        <v>0.16420000000000001</v>
      </c>
      <c r="N22">
        <v>9</v>
      </c>
      <c r="O22">
        <v>56</v>
      </c>
      <c r="P22">
        <v>65</v>
      </c>
    </row>
    <row r="23" spans="1:16" x14ac:dyDescent="0.35">
      <c r="A23">
        <v>632</v>
      </c>
      <c r="B23" s="1">
        <v>40572</v>
      </c>
      <c r="C23">
        <v>1</v>
      </c>
      <c r="D23">
        <v>0</v>
      </c>
      <c r="E23">
        <v>1</v>
      </c>
      <c r="F23">
        <v>14</v>
      </c>
      <c r="G23">
        <v>0</v>
      </c>
      <c r="H23">
        <v>6</v>
      </c>
      <c r="I23">
        <v>2</v>
      </c>
      <c r="J23">
        <v>0.22</v>
      </c>
      <c r="K23">
        <v>0.2273</v>
      </c>
      <c r="L23">
        <v>0.6</v>
      </c>
      <c r="M23">
        <v>0.1343</v>
      </c>
      <c r="N23">
        <v>10</v>
      </c>
      <c r="O23">
        <v>89</v>
      </c>
      <c r="P23">
        <v>99</v>
      </c>
    </row>
    <row r="24" spans="1:16" x14ac:dyDescent="0.35">
      <c r="A24">
        <v>633</v>
      </c>
      <c r="B24" s="1">
        <v>40572</v>
      </c>
      <c r="C24">
        <v>1</v>
      </c>
      <c r="D24">
        <v>0</v>
      </c>
      <c r="E24">
        <v>1</v>
      </c>
      <c r="F24">
        <v>15</v>
      </c>
      <c r="G24">
        <v>0</v>
      </c>
      <c r="H24">
        <v>6</v>
      </c>
      <c r="I24">
        <v>1</v>
      </c>
      <c r="J24">
        <v>0.22</v>
      </c>
      <c r="K24">
        <v>0.21210000000000001</v>
      </c>
      <c r="L24">
        <v>0.69</v>
      </c>
      <c r="M24">
        <v>0.25369999999999998</v>
      </c>
      <c r="N24">
        <v>22</v>
      </c>
      <c r="O24">
        <v>98</v>
      </c>
      <c r="P24">
        <v>120</v>
      </c>
    </row>
    <row r="25" spans="1:16" x14ac:dyDescent="0.35">
      <c r="A25">
        <v>634</v>
      </c>
      <c r="B25" s="1">
        <v>40572</v>
      </c>
      <c r="C25">
        <v>1</v>
      </c>
      <c r="D25">
        <v>0</v>
      </c>
      <c r="E25">
        <v>1</v>
      </c>
      <c r="F25">
        <v>16</v>
      </c>
      <c r="G25">
        <v>0</v>
      </c>
      <c r="H25">
        <v>6</v>
      </c>
      <c r="I25">
        <v>1</v>
      </c>
      <c r="J25">
        <v>0.24</v>
      </c>
      <c r="K25">
        <v>0.2424</v>
      </c>
      <c r="L25">
        <v>0.6</v>
      </c>
      <c r="M25">
        <v>0.16420000000000001</v>
      </c>
      <c r="N25">
        <v>19</v>
      </c>
      <c r="O25">
        <v>88</v>
      </c>
      <c r="P25">
        <v>107</v>
      </c>
    </row>
    <row r="26" spans="1:16" x14ac:dyDescent="0.35">
      <c r="A26">
        <v>635</v>
      </c>
      <c r="B26" s="1">
        <v>40572</v>
      </c>
      <c r="C26">
        <v>1</v>
      </c>
      <c r="D26">
        <v>0</v>
      </c>
      <c r="E26">
        <v>1</v>
      </c>
      <c r="F26">
        <v>17</v>
      </c>
      <c r="G26">
        <v>0</v>
      </c>
      <c r="H26">
        <v>6</v>
      </c>
      <c r="I26">
        <v>1</v>
      </c>
      <c r="J26">
        <v>0.24</v>
      </c>
      <c r="K26">
        <v>0.28789999999999999</v>
      </c>
      <c r="L26">
        <v>0.6</v>
      </c>
      <c r="M26">
        <v>0</v>
      </c>
      <c r="N26">
        <v>9</v>
      </c>
      <c r="O26">
        <v>82</v>
      </c>
      <c r="P26">
        <v>91</v>
      </c>
    </row>
    <row r="27" spans="1:16" x14ac:dyDescent="0.35">
      <c r="A27">
        <v>636</v>
      </c>
      <c r="B27" s="1">
        <v>40572</v>
      </c>
      <c r="C27">
        <v>1</v>
      </c>
      <c r="D27">
        <v>0</v>
      </c>
      <c r="E27">
        <v>1</v>
      </c>
      <c r="F27">
        <v>18</v>
      </c>
      <c r="G27">
        <v>0</v>
      </c>
      <c r="H27">
        <v>6</v>
      </c>
      <c r="I27">
        <v>1</v>
      </c>
      <c r="J27">
        <v>0.22</v>
      </c>
      <c r="K27">
        <v>0.2273</v>
      </c>
      <c r="L27">
        <v>0.69</v>
      </c>
      <c r="M27">
        <v>0.1343</v>
      </c>
      <c r="N27">
        <v>9</v>
      </c>
      <c r="O27">
        <v>59</v>
      </c>
      <c r="P27">
        <v>68</v>
      </c>
    </row>
    <row r="28" spans="1:16" x14ac:dyDescent="0.35">
      <c r="A28">
        <v>637</v>
      </c>
      <c r="B28" s="1">
        <v>40572</v>
      </c>
      <c r="C28">
        <v>1</v>
      </c>
      <c r="D28">
        <v>0</v>
      </c>
      <c r="E28">
        <v>1</v>
      </c>
      <c r="F28">
        <v>19</v>
      </c>
      <c r="G28">
        <v>0</v>
      </c>
      <c r="H28">
        <v>6</v>
      </c>
      <c r="I28">
        <v>2</v>
      </c>
      <c r="J28">
        <v>0.22</v>
      </c>
      <c r="K28">
        <v>0.21210000000000001</v>
      </c>
      <c r="L28">
        <v>0.69</v>
      </c>
      <c r="M28">
        <v>0.25369999999999998</v>
      </c>
      <c r="N28">
        <v>6</v>
      </c>
      <c r="O28">
        <v>52</v>
      </c>
      <c r="P28">
        <v>58</v>
      </c>
    </row>
    <row r="29" spans="1:16" x14ac:dyDescent="0.35">
      <c r="A29">
        <v>638</v>
      </c>
      <c r="B29" s="1">
        <v>40572</v>
      </c>
      <c r="C29">
        <v>1</v>
      </c>
      <c r="D29">
        <v>0</v>
      </c>
      <c r="E29">
        <v>1</v>
      </c>
      <c r="F29">
        <v>20</v>
      </c>
      <c r="G29">
        <v>0</v>
      </c>
      <c r="H29">
        <v>6</v>
      </c>
      <c r="I29">
        <v>1</v>
      </c>
      <c r="J29">
        <v>0.18</v>
      </c>
      <c r="K29">
        <v>0.21210000000000001</v>
      </c>
      <c r="L29">
        <v>0.74</v>
      </c>
      <c r="M29">
        <v>8.9599999999999999E-2</v>
      </c>
      <c r="N29">
        <v>1</v>
      </c>
      <c r="O29">
        <v>42</v>
      </c>
      <c r="P29">
        <v>43</v>
      </c>
    </row>
    <row r="30" spans="1:16" x14ac:dyDescent="0.35">
      <c r="A30">
        <v>639</v>
      </c>
      <c r="B30" s="1">
        <v>40572</v>
      </c>
      <c r="C30">
        <v>1</v>
      </c>
      <c r="D30">
        <v>0</v>
      </c>
      <c r="E30">
        <v>1</v>
      </c>
      <c r="F30">
        <v>21</v>
      </c>
      <c r="G30">
        <v>0</v>
      </c>
      <c r="H30">
        <v>6</v>
      </c>
      <c r="I30">
        <v>1</v>
      </c>
      <c r="J30">
        <v>0.18</v>
      </c>
      <c r="K30">
        <v>0.21210000000000001</v>
      </c>
      <c r="L30">
        <v>0.74</v>
      </c>
      <c r="M30">
        <v>8.9599999999999999E-2</v>
      </c>
      <c r="N30">
        <v>1</v>
      </c>
      <c r="O30">
        <v>35</v>
      </c>
      <c r="P30">
        <v>36</v>
      </c>
    </row>
    <row r="31" spans="1:16" x14ac:dyDescent="0.35">
      <c r="A31">
        <v>640</v>
      </c>
      <c r="B31" s="1">
        <v>40572</v>
      </c>
      <c r="C31">
        <v>1</v>
      </c>
      <c r="D31">
        <v>0</v>
      </c>
      <c r="E31">
        <v>1</v>
      </c>
      <c r="F31">
        <v>22</v>
      </c>
      <c r="G31">
        <v>0</v>
      </c>
      <c r="H31">
        <v>6</v>
      </c>
      <c r="I31">
        <v>1</v>
      </c>
      <c r="J31">
        <v>0.16</v>
      </c>
      <c r="K31">
        <v>0.19700000000000001</v>
      </c>
      <c r="L31">
        <v>0.8</v>
      </c>
      <c r="M31">
        <v>8.9599999999999999E-2</v>
      </c>
      <c r="N31">
        <v>4</v>
      </c>
      <c r="O31">
        <v>28</v>
      </c>
      <c r="P31">
        <v>32</v>
      </c>
    </row>
    <row r="32" spans="1:16" x14ac:dyDescent="0.35">
      <c r="A32">
        <v>641</v>
      </c>
      <c r="B32" s="1">
        <v>40572</v>
      </c>
      <c r="C32">
        <v>1</v>
      </c>
      <c r="D32">
        <v>0</v>
      </c>
      <c r="E32">
        <v>1</v>
      </c>
      <c r="F32">
        <v>23</v>
      </c>
      <c r="G32">
        <v>0</v>
      </c>
      <c r="H32">
        <v>6</v>
      </c>
      <c r="I32">
        <v>1</v>
      </c>
      <c r="J32">
        <v>0.16</v>
      </c>
      <c r="K32">
        <v>0.19700000000000001</v>
      </c>
      <c r="L32">
        <v>0.8</v>
      </c>
      <c r="M32">
        <v>8.9599999999999999E-2</v>
      </c>
      <c r="N32">
        <v>3</v>
      </c>
      <c r="O32">
        <v>30</v>
      </c>
      <c r="P32">
        <v>33</v>
      </c>
    </row>
    <row r="33" spans="1:16" x14ac:dyDescent="0.35">
      <c r="A33">
        <v>642</v>
      </c>
      <c r="B33" s="1">
        <v>40573</v>
      </c>
      <c r="C33">
        <v>1</v>
      </c>
      <c r="D33">
        <v>0</v>
      </c>
      <c r="E33">
        <v>1</v>
      </c>
      <c r="F33">
        <v>0</v>
      </c>
      <c r="G33">
        <v>0</v>
      </c>
      <c r="H33">
        <v>0</v>
      </c>
      <c r="I33">
        <v>1</v>
      </c>
      <c r="J33">
        <v>0.16</v>
      </c>
      <c r="K33">
        <v>0.18179999999999999</v>
      </c>
      <c r="L33">
        <v>0.8</v>
      </c>
      <c r="M33">
        <v>0.1045</v>
      </c>
      <c r="N33">
        <v>0</v>
      </c>
      <c r="O33">
        <v>33</v>
      </c>
      <c r="P33">
        <v>33</v>
      </c>
    </row>
    <row r="34" spans="1:16" x14ac:dyDescent="0.35">
      <c r="A34">
        <v>643</v>
      </c>
      <c r="B34" s="1">
        <v>40573</v>
      </c>
      <c r="C34">
        <v>1</v>
      </c>
      <c r="D34">
        <v>0</v>
      </c>
      <c r="E34">
        <v>1</v>
      </c>
      <c r="F34">
        <v>1</v>
      </c>
      <c r="G34">
        <v>0</v>
      </c>
      <c r="H34">
        <v>0</v>
      </c>
      <c r="I34">
        <v>1</v>
      </c>
      <c r="J34">
        <v>0.14000000000000001</v>
      </c>
      <c r="K34">
        <v>0.21210000000000001</v>
      </c>
      <c r="L34">
        <v>0.8</v>
      </c>
      <c r="M34">
        <v>0</v>
      </c>
      <c r="N34">
        <v>7</v>
      </c>
      <c r="O34">
        <v>22</v>
      </c>
      <c r="P34">
        <v>29</v>
      </c>
    </row>
    <row r="35" spans="1:16" x14ac:dyDescent="0.35">
      <c r="A35">
        <v>644</v>
      </c>
      <c r="B35" s="1">
        <v>40573</v>
      </c>
      <c r="C35">
        <v>1</v>
      </c>
      <c r="D35">
        <v>0</v>
      </c>
      <c r="E35">
        <v>1</v>
      </c>
      <c r="F35">
        <v>2</v>
      </c>
      <c r="G35">
        <v>0</v>
      </c>
      <c r="H35">
        <v>0</v>
      </c>
      <c r="I35">
        <v>1</v>
      </c>
      <c r="J35">
        <v>0.16</v>
      </c>
      <c r="K35">
        <v>0.2273</v>
      </c>
      <c r="L35">
        <v>0.8</v>
      </c>
      <c r="M35">
        <v>0</v>
      </c>
      <c r="N35">
        <v>1</v>
      </c>
      <c r="O35">
        <v>10</v>
      </c>
      <c r="P35">
        <v>11</v>
      </c>
    </row>
    <row r="36" spans="1:16" x14ac:dyDescent="0.35">
      <c r="A36">
        <v>645</v>
      </c>
      <c r="B36" s="1">
        <v>40573</v>
      </c>
      <c r="C36">
        <v>1</v>
      </c>
      <c r="D36">
        <v>0</v>
      </c>
      <c r="E36">
        <v>1</v>
      </c>
      <c r="F36">
        <v>3</v>
      </c>
      <c r="G36">
        <v>0</v>
      </c>
      <c r="H36">
        <v>0</v>
      </c>
      <c r="I36">
        <v>1</v>
      </c>
      <c r="J36">
        <v>0.14000000000000001</v>
      </c>
      <c r="K36">
        <v>0.21210000000000001</v>
      </c>
      <c r="L36">
        <v>0.93</v>
      </c>
      <c r="M36">
        <v>0</v>
      </c>
      <c r="N36">
        <v>1</v>
      </c>
      <c r="O36">
        <v>7</v>
      </c>
      <c r="P36">
        <v>8</v>
      </c>
    </row>
    <row r="37" spans="1:16" x14ac:dyDescent="0.35">
      <c r="A37">
        <v>646</v>
      </c>
      <c r="B37" s="1">
        <v>40573</v>
      </c>
      <c r="C37">
        <v>1</v>
      </c>
      <c r="D37">
        <v>0</v>
      </c>
      <c r="E37">
        <v>1</v>
      </c>
      <c r="F37">
        <v>4</v>
      </c>
      <c r="G37">
        <v>0</v>
      </c>
      <c r="H37">
        <v>0</v>
      </c>
      <c r="I37">
        <v>1</v>
      </c>
      <c r="J37">
        <v>0.14000000000000001</v>
      </c>
      <c r="K37">
        <v>0.21210000000000001</v>
      </c>
      <c r="L37">
        <v>0.93</v>
      </c>
      <c r="M37">
        <v>0</v>
      </c>
      <c r="N37">
        <v>0</v>
      </c>
      <c r="O37">
        <v>1</v>
      </c>
      <c r="P37">
        <v>1</v>
      </c>
    </row>
    <row r="38" spans="1:16" x14ac:dyDescent="0.35">
      <c r="A38">
        <v>647</v>
      </c>
      <c r="B38" s="1">
        <v>40573</v>
      </c>
      <c r="C38">
        <v>1</v>
      </c>
      <c r="D38">
        <v>0</v>
      </c>
      <c r="E38">
        <v>1</v>
      </c>
      <c r="F38">
        <v>5</v>
      </c>
      <c r="G38">
        <v>0</v>
      </c>
      <c r="H38">
        <v>0</v>
      </c>
      <c r="I38">
        <v>1</v>
      </c>
      <c r="J38">
        <v>0.14000000000000001</v>
      </c>
      <c r="K38">
        <v>0.21210000000000001</v>
      </c>
      <c r="L38">
        <v>0.86</v>
      </c>
      <c r="M38">
        <v>0</v>
      </c>
      <c r="N38">
        <v>0</v>
      </c>
      <c r="O38">
        <v>3</v>
      </c>
      <c r="P38">
        <v>3</v>
      </c>
    </row>
    <row r="39" spans="1:16" x14ac:dyDescent="0.35">
      <c r="A39">
        <v>648</v>
      </c>
      <c r="B39" s="1">
        <v>40573</v>
      </c>
      <c r="C39">
        <v>1</v>
      </c>
      <c r="D39">
        <v>0</v>
      </c>
      <c r="E39">
        <v>1</v>
      </c>
      <c r="F39">
        <v>7</v>
      </c>
      <c r="G39">
        <v>0</v>
      </c>
      <c r="H39">
        <v>0</v>
      </c>
      <c r="I39">
        <v>1</v>
      </c>
      <c r="J39">
        <v>0.14000000000000001</v>
      </c>
      <c r="K39">
        <v>0.21210000000000001</v>
      </c>
      <c r="L39">
        <v>0.86</v>
      </c>
      <c r="M39">
        <v>0</v>
      </c>
      <c r="N39">
        <v>0</v>
      </c>
      <c r="O39">
        <v>3</v>
      </c>
      <c r="P39">
        <v>3</v>
      </c>
    </row>
    <row r="40" spans="1:16" x14ac:dyDescent="0.35">
      <c r="A40">
        <v>649</v>
      </c>
      <c r="B40" s="1">
        <v>40573</v>
      </c>
      <c r="C40">
        <v>1</v>
      </c>
      <c r="D40">
        <v>0</v>
      </c>
      <c r="E40">
        <v>1</v>
      </c>
      <c r="F40">
        <v>8</v>
      </c>
      <c r="G40">
        <v>0</v>
      </c>
      <c r="H40">
        <v>0</v>
      </c>
      <c r="I40">
        <v>2</v>
      </c>
      <c r="J40">
        <v>0.14000000000000001</v>
      </c>
      <c r="K40">
        <v>0.21210000000000001</v>
      </c>
      <c r="L40">
        <v>0.86</v>
      </c>
      <c r="M40">
        <v>0</v>
      </c>
      <c r="N40">
        <v>1</v>
      </c>
      <c r="O40">
        <v>11</v>
      </c>
      <c r="P40">
        <v>12</v>
      </c>
    </row>
    <row r="41" spans="1:16" x14ac:dyDescent="0.35">
      <c r="A41">
        <v>650</v>
      </c>
      <c r="B41" s="1">
        <v>40573</v>
      </c>
      <c r="C41">
        <v>1</v>
      </c>
      <c r="D41">
        <v>0</v>
      </c>
      <c r="E41">
        <v>1</v>
      </c>
      <c r="F41">
        <v>9</v>
      </c>
      <c r="G41">
        <v>0</v>
      </c>
      <c r="H41">
        <v>0</v>
      </c>
      <c r="I41">
        <v>2</v>
      </c>
      <c r="J41">
        <v>0.16</v>
      </c>
      <c r="K41">
        <v>0.2273</v>
      </c>
      <c r="L41">
        <v>0.8</v>
      </c>
      <c r="M41">
        <v>0</v>
      </c>
      <c r="N41">
        <v>4</v>
      </c>
      <c r="O41">
        <v>34</v>
      </c>
      <c r="P41">
        <v>38</v>
      </c>
    </row>
    <row r="42" spans="1:16" x14ac:dyDescent="0.35">
      <c r="A42">
        <v>651</v>
      </c>
      <c r="B42" s="1">
        <v>40573</v>
      </c>
      <c r="C42">
        <v>1</v>
      </c>
      <c r="D42">
        <v>0</v>
      </c>
      <c r="E42">
        <v>1</v>
      </c>
      <c r="F42">
        <v>10</v>
      </c>
      <c r="G42">
        <v>0</v>
      </c>
      <c r="H42">
        <v>0</v>
      </c>
      <c r="I42">
        <v>2</v>
      </c>
      <c r="J42">
        <v>0.18</v>
      </c>
      <c r="K42">
        <v>0.2424</v>
      </c>
      <c r="L42">
        <v>0.8</v>
      </c>
      <c r="M42">
        <v>0</v>
      </c>
      <c r="N42">
        <v>7</v>
      </c>
      <c r="O42">
        <v>57</v>
      </c>
      <c r="P42">
        <v>64</v>
      </c>
    </row>
    <row r="43" spans="1:16" x14ac:dyDescent="0.35">
      <c r="A43">
        <v>652</v>
      </c>
      <c r="B43" s="1">
        <v>40573</v>
      </c>
      <c r="C43">
        <v>1</v>
      </c>
      <c r="D43">
        <v>0</v>
      </c>
      <c r="E43">
        <v>1</v>
      </c>
      <c r="F43">
        <v>11</v>
      </c>
      <c r="G43">
        <v>0</v>
      </c>
      <c r="H43">
        <v>0</v>
      </c>
      <c r="I43">
        <v>1</v>
      </c>
      <c r="J43">
        <v>0.22</v>
      </c>
      <c r="K43">
        <v>0.2727</v>
      </c>
      <c r="L43">
        <v>0.75</v>
      </c>
      <c r="M43">
        <v>0</v>
      </c>
      <c r="N43">
        <v>9</v>
      </c>
      <c r="O43">
        <v>50</v>
      </c>
      <c r="P43">
        <v>59</v>
      </c>
    </row>
    <row r="44" spans="1:16" x14ac:dyDescent="0.35">
      <c r="A44">
        <v>653</v>
      </c>
      <c r="B44" s="1">
        <v>40573</v>
      </c>
      <c r="C44">
        <v>1</v>
      </c>
      <c r="D44">
        <v>0</v>
      </c>
      <c r="E44">
        <v>1</v>
      </c>
      <c r="F44">
        <v>12</v>
      </c>
      <c r="G44">
        <v>0</v>
      </c>
      <c r="H44">
        <v>0</v>
      </c>
      <c r="I44">
        <v>1</v>
      </c>
      <c r="J44">
        <v>0.3</v>
      </c>
      <c r="K44">
        <v>0.31819999999999998</v>
      </c>
      <c r="L44">
        <v>0.52</v>
      </c>
      <c r="M44">
        <v>0.1045</v>
      </c>
      <c r="N44">
        <v>10</v>
      </c>
      <c r="O44">
        <v>87</v>
      </c>
      <c r="P44">
        <v>97</v>
      </c>
    </row>
    <row r="45" spans="1:16" x14ac:dyDescent="0.35">
      <c r="A45">
        <v>654</v>
      </c>
      <c r="B45" s="1">
        <v>40573</v>
      </c>
      <c r="C45">
        <v>1</v>
      </c>
      <c r="D45">
        <v>0</v>
      </c>
      <c r="E45">
        <v>1</v>
      </c>
      <c r="F45">
        <v>13</v>
      </c>
      <c r="G45">
        <v>0</v>
      </c>
      <c r="H45">
        <v>0</v>
      </c>
      <c r="I45">
        <v>1</v>
      </c>
      <c r="J45">
        <v>0.28000000000000003</v>
      </c>
      <c r="K45">
        <v>0.28789999999999999</v>
      </c>
      <c r="L45">
        <v>0.61</v>
      </c>
      <c r="M45">
        <v>0.1045</v>
      </c>
      <c r="N45">
        <v>13</v>
      </c>
      <c r="O45">
        <v>71</v>
      </c>
      <c r="P45">
        <v>84</v>
      </c>
    </row>
    <row r="46" spans="1:16" x14ac:dyDescent="0.35">
      <c r="A46">
        <v>655</v>
      </c>
      <c r="B46" s="1">
        <v>40573</v>
      </c>
      <c r="C46">
        <v>1</v>
      </c>
      <c r="D46">
        <v>0</v>
      </c>
      <c r="E46">
        <v>1</v>
      </c>
      <c r="F46">
        <v>14</v>
      </c>
      <c r="G46">
        <v>0</v>
      </c>
      <c r="H46">
        <v>0</v>
      </c>
      <c r="I46">
        <v>1</v>
      </c>
      <c r="J46">
        <v>0.28000000000000003</v>
      </c>
      <c r="K46">
        <v>0.30299999999999999</v>
      </c>
      <c r="L46">
        <v>0.61</v>
      </c>
      <c r="M46">
        <v>8.9599999999999999E-2</v>
      </c>
      <c r="N46">
        <v>18</v>
      </c>
      <c r="O46">
        <v>104</v>
      </c>
      <c r="P46">
        <v>122</v>
      </c>
    </row>
    <row r="47" spans="1:16" x14ac:dyDescent="0.35">
      <c r="A47">
        <v>656</v>
      </c>
      <c r="B47" s="1">
        <v>40573</v>
      </c>
      <c r="C47">
        <v>1</v>
      </c>
      <c r="D47">
        <v>0</v>
      </c>
      <c r="E47">
        <v>1</v>
      </c>
      <c r="F47">
        <v>15</v>
      </c>
      <c r="G47">
        <v>0</v>
      </c>
      <c r="H47">
        <v>0</v>
      </c>
      <c r="I47">
        <v>1</v>
      </c>
      <c r="J47">
        <v>0.3</v>
      </c>
      <c r="K47">
        <v>0.33329999999999999</v>
      </c>
      <c r="L47">
        <v>0.56000000000000005</v>
      </c>
      <c r="M47">
        <v>0</v>
      </c>
      <c r="N47">
        <v>14</v>
      </c>
      <c r="O47">
        <v>95</v>
      </c>
      <c r="P47">
        <v>109</v>
      </c>
    </row>
    <row r="48" spans="1:16" x14ac:dyDescent="0.35">
      <c r="A48">
        <v>657</v>
      </c>
      <c r="B48" s="1">
        <v>40573</v>
      </c>
      <c r="C48">
        <v>1</v>
      </c>
      <c r="D48">
        <v>0</v>
      </c>
      <c r="E48">
        <v>1</v>
      </c>
      <c r="F48">
        <v>16</v>
      </c>
      <c r="G48">
        <v>0</v>
      </c>
      <c r="H48">
        <v>0</v>
      </c>
      <c r="I48">
        <v>1</v>
      </c>
      <c r="J48">
        <v>0.3</v>
      </c>
      <c r="K48">
        <v>0.33329999999999999</v>
      </c>
      <c r="L48">
        <v>0.56000000000000005</v>
      </c>
      <c r="M48">
        <v>0</v>
      </c>
      <c r="N48">
        <v>19</v>
      </c>
      <c r="O48">
        <v>104</v>
      </c>
      <c r="P48">
        <v>123</v>
      </c>
    </row>
    <row r="49" spans="1:16" x14ac:dyDescent="0.35">
      <c r="A49">
        <v>658</v>
      </c>
      <c r="B49" s="1">
        <v>40573</v>
      </c>
      <c r="C49">
        <v>1</v>
      </c>
      <c r="D49">
        <v>0</v>
      </c>
      <c r="E49">
        <v>1</v>
      </c>
      <c r="F49">
        <v>17</v>
      </c>
      <c r="G49">
        <v>0</v>
      </c>
      <c r="H49">
        <v>0</v>
      </c>
      <c r="I49">
        <v>1</v>
      </c>
      <c r="J49">
        <v>0.3</v>
      </c>
      <c r="K49">
        <v>0.28789999999999999</v>
      </c>
      <c r="L49">
        <v>0.56000000000000005</v>
      </c>
      <c r="M49">
        <v>0.19400000000000001</v>
      </c>
      <c r="N49">
        <v>6</v>
      </c>
      <c r="O49">
        <v>71</v>
      </c>
      <c r="P49">
        <v>77</v>
      </c>
    </row>
    <row r="50" spans="1:16" x14ac:dyDescent="0.35">
      <c r="A50">
        <v>659</v>
      </c>
      <c r="B50" s="1">
        <v>40573</v>
      </c>
      <c r="C50">
        <v>1</v>
      </c>
      <c r="D50">
        <v>0</v>
      </c>
      <c r="E50">
        <v>1</v>
      </c>
      <c r="F50">
        <v>18</v>
      </c>
      <c r="G50">
        <v>0</v>
      </c>
      <c r="H50">
        <v>0</v>
      </c>
      <c r="I50">
        <v>1</v>
      </c>
      <c r="J50">
        <v>0.26</v>
      </c>
      <c r="K50">
        <v>0.2576</v>
      </c>
      <c r="L50">
        <v>0.65</v>
      </c>
      <c r="M50">
        <v>0.16420000000000001</v>
      </c>
      <c r="N50">
        <v>8</v>
      </c>
      <c r="O50">
        <v>57</v>
      </c>
      <c r="P50">
        <v>65</v>
      </c>
    </row>
    <row r="51" spans="1:16" x14ac:dyDescent="0.35">
      <c r="A51">
        <v>660</v>
      </c>
      <c r="B51" s="1">
        <v>40573</v>
      </c>
      <c r="C51">
        <v>1</v>
      </c>
      <c r="D51">
        <v>0</v>
      </c>
      <c r="E51">
        <v>1</v>
      </c>
      <c r="F51">
        <v>19</v>
      </c>
      <c r="G51">
        <v>0</v>
      </c>
      <c r="H51">
        <v>0</v>
      </c>
      <c r="I51">
        <v>1</v>
      </c>
      <c r="J51">
        <v>0.26</v>
      </c>
      <c r="K51">
        <v>0.2576</v>
      </c>
      <c r="L51">
        <v>0.65</v>
      </c>
      <c r="M51">
        <v>0.19400000000000001</v>
      </c>
      <c r="N51">
        <v>9</v>
      </c>
      <c r="O51">
        <v>46</v>
      </c>
      <c r="P51">
        <v>55</v>
      </c>
    </row>
    <row r="52" spans="1:16" x14ac:dyDescent="0.35">
      <c r="A52">
        <v>661</v>
      </c>
      <c r="B52" s="1">
        <v>40573</v>
      </c>
      <c r="C52">
        <v>1</v>
      </c>
      <c r="D52">
        <v>0</v>
      </c>
      <c r="E52">
        <v>1</v>
      </c>
      <c r="F52">
        <v>20</v>
      </c>
      <c r="G52">
        <v>0</v>
      </c>
      <c r="H52">
        <v>0</v>
      </c>
      <c r="I52">
        <v>2</v>
      </c>
      <c r="J52">
        <v>0.26</v>
      </c>
      <c r="K52">
        <v>0.2727</v>
      </c>
      <c r="L52">
        <v>0.65</v>
      </c>
      <c r="M52">
        <v>0.1045</v>
      </c>
      <c r="N52">
        <v>3</v>
      </c>
      <c r="O52">
        <v>30</v>
      </c>
      <c r="P52">
        <v>33</v>
      </c>
    </row>
    <row r="53" spans="1:16" x14ac:dyDescent="0.35">
      <c r="A53">
        <v>662</v>
      </c>
      <c r="B53" s="1">
        <v>40573</v>
      </c>
      <c r="C53">
        <v>1</v>
      </c>
      <c r="D53">
        <v>0</v>
      </c>
      <c r="E53">
        <v>1</v>
      </c>
      <c r="F53">
        <v>21</v>
      </c>
      <c r="G53">
        <v>0</v>
      </c>
      <c r="H53">
        <v>0</v>
      </c>
      <c r="I53">
        <v>2</v>
      </c>
      <c r="J53">
        <v>0.24</v>
      </c>
      <c r="K53">
        <v>0.2424</v>
      </c>
      <c r="L53">
        <v>0.7</v>
      </c>
      <c r="M53">
        <v>0.16420000000000001</v>
      </c>
      <c r="N53">
        <v>3</v>
      </c>
      <c r="O53">
        <v>25</v>
      </c>
      <c r="P53">
        <v>28</v>
      </c>
    </row>
    <row r="54" spans="1:16" x14ac:dyDescent="0.35">
      <c r="A54">
        <v>663</v>
      </c>
      <c r="B54" s="1">
        <v>40573</v>
      </c>
      <c r="C54">
        <v>1</v>
      </c>
      <c r="D54">
        <v>0</v>
      </c>
      <c r="E54">
        <v>1</v>
      </c>
      <c r="F54">
        <v>22</v>
      </c>
      <c r="G54">
        <v>0</v>
      </c>
      <c r="H54">
        <v>0</v>
      </c>
      <c r="I54">
        <v>2</v>
      </c>
      <c r="J54">
        <v>0.24</v>
      </c>
      <c r="K54">
        <v>0.2273</v>
      </c>
      <c r="L54">
        <v>0.7</v>
      </c>
      <c r="M54">
        <v>0.19400000000000001</v>
      </c>
      <c r="N54">
        <v>2</v>
      </c>
      <c r="O54">
        <v>19</v>
      </c>
      <c r="P54">
        <v>21</v>
      </c>
    </row>
    <row r="55" spans="1:16" x14ac:dyDescent="0.35">
      <c r="A55">
        <v>664</v>
      </c>
      <c r="B55" s="1">
        <v>40573</v>
      </c>
      <c r="C55">
        <v>1</v>
      </c>
      <c r="D55">
        <v>0</v>
      </c>
      <c r="E55">
        <v>1</v>
      </c>
      <c r="F55">
        <v>23</v>
      </c>
      <c r="G55">
        <v>0</v>
      </c>
      <c r="H55">
        <v>0</v>
      </c>
      <c r="I55">
        <v>2</v>
      </c>
      <c r="J55">
        <v>0.24</v>
      </c>
      <c r="K55">
        <v>0.21210000000000001</v>
      </c>
      <c r="L55">
        <v>0.65</v>
      </c>
      <c r="M55">
        <v>0.28360000000000002</v>
      </c>
      <c r="N55">
        <v>5</v>
      </c>
      <c r="O55">
        <v>16</v>
      </c>
      <c r="P55">
        <v>21</v>
      </c>
    </row>
    <row r="56" spans="1:16" x14ac:dyDescent="0.35">
      <c r="A56">
        <v>665</v>
      </c>
      <c r="B56" s="1">
        <v>40574</v>
      </c>
      <c r="C56">
        <v>1</v>
      </c>
      <c r="D56">
        <v>0</v>
      </c>
      <c r="E56">
        <v>1</v>
      </c>
      <c r="F56">
        <v>0</v>
      </c>
      <c r="G56">
        <v>0</v>
      </c>
      <c r="H56">
        <v>1</v>
      </c>
      <c r="I56">
        <v>2</v>
      </c>
      <c r="J56">
        <v>0.24</v>
      </c>
      <c r="K56">
        <v>0.2273</v>
      </c>
      <c r="L56">
        <v>0.65</v>
      </c>
      <c r="M56">
        <v>0.22389999999999999</v>
      </c>
      <c r="N56">
        <v>1</v>
      </c>
      <c r="O56">
        <v>6</v>
      </c>
      <c r="P56">
        <v>7</v>
      </c>
    </row>
    <row r="57" spans="1:16" x14ac:dyDescent="0.35">
      <c r="A57">
        <v>666</v>
      </c>
      <c r="B57" s="1">
        <v>40574</v>
      </c>
      <c r="C57">
        <v>1</v>
      </c>
      <c r="D57">
        <v>0</v>
      </c>
      <c r="E57">
        <v>1</v>
      </c>
      <c r="F57">
        <v>1</v>
      </c>
      <c r="G57">
        <v>0</v>
      </c>
      <c r="H57">
        <v>1</v>
      </c>
      <c r="I57">
        <v>1</v>
      </c>
      <c r="J57">
        <v>0.22</v>
      </c>
      <c r="K57">
        <v>0.21210000000000001</v>
      </c>
      <c r="L57">
        <v>0.64</v>
      </c>
      <c r="M57">
        <v>0.25369999999999998</v>
      </c>
      <c r="N57">
        <v>2</v>
      </c>
      <c r="O57">
        <v>5</v>
      </c>
      <c r="P57">
        <v>7</v>
      </c>
    </row>
    <row r="58" spans="1:16" x14ac:dyDescent="0.35">
      <c r="A58">
        <v>667</v>
      </c>
      <c r="B58" s="1">
        <v>40574</v>
      </c>
      <c r="C58">
        <v>1</v>
      </c>
      <c r="D58">
        <v>0</v>
      </c>
      <c r="E58">
        <v>1</v>
      </c>
      <c r="F58">
        <v>2</v>
      </c>
      <c r="G58">
        <v>0</v>
      </c>
      <c r="H58">
        <v>1</v>
      </c>
      <c r="I58">
        <v>1</v>
      </c>
      <c r="J58">
        <v>0.22</v>
      </c>
      <c r="K58">
        <v>0.2273</v>
      </c>
      <c r="L58">
        <v>0.64</v>
      </c>
      <c r="M58">
        <v>0.19400000000000001</v>
      </c>
      <c r="N58">
        <v>0</v>
      </c>
      <c r="O58">
        <v>1</v>
      </c>
      <c r="P58">
        <v>1</v>
      </c>
    </row>
    <row r="59" spans="1:16" x14ac:dyDescent="0.35">
      <c r="A59">
        <v>668</v>
      </c>
      <c r="B59" s="1">
        <v>40574</v>
      </c>
      <c r="C59">
        <v>1</v>
      </c>
      <c r="D59">
        <v>0</v>
      </c>
      <c r="E59">
        <v>1</v>
      </c>
      <c r="F59">
        <v>3</v>
      </c>
      <c r="G59">
        <v>0</v>
      </c>
      <c r="H59">
        <v>1</v>
      </c>
      <c r="I59">
        <v>1</v>
      </c>
      <c r="J59">
        <v>0.22</v>
      </c>
      <c r="K59">
        <v>0.2273</v>
      </c>
      <c r="L59">
        <v>0.64</v>
      </c>
      <c r="M59">
        <v>0.19400000000000001</v>
      </c>
      <c r="N59">
        <v>0</v>
      </c>
      <c r="O59">
        <v>2</v>
      </c>
      <c r="P59">
        <v>2</v>
      </c>
    </row>
    <row r="60" spans="1:16" x14ac:dyDescent="0.35">
      <c r="A60">
        <v>669</v>
      </c>
      <c r="B60" s="1">
        <v>40574</v>
      </c>
      <c r="C60">
        <v>1</v>
      </c>
      <c r="D60">
        <v>0</v>
      </c>
      <c r="E60">
        <v>1</v>
      </c>
      <c r="F60">
        <v>4</v>
      </c>
      <c r="G60">
        <v>0</v>
      </c>
      <c r="H60">
        <v>1</v>
      </c>
      <c r="I60">
        <v>1</v>
      </c>
      <c r="J60">
        <v>0.2</v>
      </c>
      <c r="K60">
        <v>0.19700000000000001</v>
      </c>
      <c r="L60">
        <v>0.59</v>
      </c>
      <c r="M60">
        <v>0.22389999999999999</v>
      </c>
      <c r="N60">
        <v>0</v>
      </c>
      <c r="O60">
        <v>2</v>
      </c>
      <c r="P60">
        <v>2</v>
      </c>
    </row>
    <row r="61" spans="1:16" x14ac:dyDescent="0.35">
      <c r="A61">
        <v>670</v>
      </c>
      <c r="B61" s="1">
        <v>40574</v>
      </c>
      <c r="C61">
        <v>1</v>
      </c>
      <c r="D61">
        <v>0</v>
      </c>
      <c r="E61">
        <v>1</v>
      </c>
      <c r="F61">
        <v>5</v>
      </c>
      <c r="G61">
        <v>0</v>
      </c>
      <c r="H61">
        <v>1</v>
      </c>
      <c r="I61">
        <v>1</v>
      </c>
      <c r="J61">
        <v>0.18</v>
      </c>
      <c r="K61">
        <v>0.16669999999999999</v>
      </c>
      <c r="L61">
        <v>0.64</v>
      </c>
      <c r="M61">
        <v>0.28360000000000002</v>
      </c>
      <c r="N61">
        <v>0</v>
      </c>
      <c r="O61">
        <v>8</v>
      </c>
      <c r="P61">
        <v>8</v>
      </c>
    </row>
    <row r="62" spans="1:16" x14ac:dyDescent="0.35">
      <c r="A62">
        <v>671</v>
      </c>
      <c r="B62" s="1">
        <v>40574</v>
      </c>
      <c r="C62">
        <v>1</v>
      </c>
      <c r="D62">
        <v>0</v>
      </c>
      <c r="E62">
        <v>1</v>
      </c>
      <c r="F62">
        <v>6</v>
      </c>
      <c r="G62">
        <v>0</v>
      </c>
      <c r="H62">
        <v>1</v>
      </c>
      <c r="I62">
        <v>1</v>
      </c>
      <c r="J62">
        <v>0.16</v>
      </c>
      <c r="K62">
        <v>0.13639999999999999</v>
      </c>
      <c r="L62">
        <v>0.69</v>
      </c>
      <c r="M62">
        <v>0.32840000000000003</v>
      </c>
      <c r="N62">
        <v>0</v>
      </c>
      <c r="O62">
        <v>37</v>
      </c>
      <c r="P62">
        <v>37</v>
      </c>
    </row>
    <row r="63" spans="1:16" x14ac:dyDescent="0.35">
      <c r="A63">
        <v>672</v>
      </c>
      <c r="B63" s="1">
        <v>40574</v>
      </c>
      <c r="C63">
        <v>1</v>
      </c>
      <c r="D63">
        <v>0</v>
      </c>
      <c r="E63">
        <v>1</v>
      </c>
      <c r="F63">
        <v>7</v>
      </c>
      <c r="G63">
        <v>0</v>
      </c>
      <c r="H63">
        <v>1</v>
      </c>
      <c r="I63">
        <v>2</v>
      </c>
      <c r="J63">
        <v>0.16</v>
      </c>
      <c r="K63">
        <v>0.13639999999999999</v>
      </c>
      <c r="L63">
        <v>0.64</v>
      </c>
      <c r="M63">
        <v>0.28360000000000002</v>
      </c>
      <c r="N63">
        <v>1</v>
      </c>
      <c r="O63">
        <v>71</v>
      </c>
      <c r="P63">
        <v>72</v>
      </c>
    </row>
    <row r="64" spans="1:16" x14ac:dyDescent="0.35">
      <c r="A64">
        <v>673</v>
      </c>
      <c r="B64" s="1">
        <v>40574</v>
      </c>
      <c r="C64">
        <v>1</v>
      </c>
      <c r="D64">
        <v>0</v>
      </c>
      <c r="E64">
        <v>1</v>
      </c>
      <c r="F64">
        <v>8</v>
      </c>
      <c r="G64">
        <v>0</v>
      </c>
      <c r="H64">
        <v>1</v>
      </c>
      <c r="I64">
        <v>2</v>
      </c>
      <c r="J64">
        <v>0.16</v>
      </c>
      <c r="K64">
        <v>0.13639999999999999</v>
      </c>
      <c r="L64">
        <v>0.59</v>
      </c>
      <c r="M64">
        <v>0.28360000000000002</v>
      </c>
      <c r="N64">
        <v>3</v>
      </c>
      <c r="O64">
        <v>182</v>
      </c>
      <c r="P64">
        <v>185</v>
      </c>
    </row>
    <row r="65" spans="1:16" x14ac:dyDescent="0.35">
      <c r="A65">
        <v>674</v>
      </c>
      <c r="B65" s="1">
        <v>40574</v>
      </c>
      <c r="C65">
        <v>1</v>
      </c>
      <c r="D65">
        <v>0</v>
      </c>
      <c r="E65">
        <v>1</v>
      </c>
      <c r="F65">
        <v>9</v>
      </c>
      <c r="G65">
        <v>0</v>
      </c>
      <c r="H65">
        <v>1</v>
      </c>
      <c r="I65">
        <v>2</v>
      </c>
      <c r="J65">
        <v>0.16</v>
      </c>
      <c r="K65">
        <v>0.13639999999999999</v>
      </c>
      <c r="L65">
        <v>0.59</v>
      </c>
      <c r="M65">
        <v>0.29849999999999999</v>
      </c>
      <c r="N65">
        <v>0</v>
      </c>
      <c r="O65">
        <v>112</v>
      </c>
      <c r="P65">
        <v>112</v>
      </c>
    </row>
    <row r="66" spans="1:16" x14ac:dyDescent="0.35">
      <c r="A66">
        <v>675</v>
      </c>
      <c r="B66" s="1">
        <v>40574</v>
      </c>
      <c r="C66">
        <v>1</v>
      </c>
      <c r="D66">
        <v>0</v>
      </c>
      <c r="E66">
        <v>1</v>
      </c>
      <c r="F66">
        <v>10</v>
      </c>
      <c r="G66">
        <v>0</v>
      </c>
      <c r="H66">
        <v>1</v>
      </c>
      <c r="I66">
        <v>2</v>
      </c>
      <c r="J66">
        <v>0.16</v>
      </c>
      <c r="K66">
        <v>0.1515</v>
      </c>
      <c r="L66">
        <v>0.59</v>
      </c>
      <c r="M66">
        <v>0.19400000000000001</v>
      </c>
      <c r="N66">
        <v>1</v>
      </c>
      <c r="O66">
        <v>68</v>
      </c>
      <c r="P66">
        <v>69</v>
      </c>
    </row>
    <row r="67" spans="1:16" x14ac:dyDescent="0.35">
      <c r="A67">
        <v>676</v>
      </c>
      <c r="B67" s="1">
        <v>40574</v>
      </c>
      <c r="C67">
        <v>1</v>
      </c>
      <c r="D67">
        <v>0</v>
      </c>
      <c r="E67">
        <v>1</v>
      </c>
      <c r="F67">
        <v>11</v>
      </c>
      <c r="G67">
        <v>0</v>
      </c>
      <c r="H67">
        <v>1</v>
      </c>
      <c r="I67">
        <v>2</v>
      </c>
      <c r="J67">
        <v>0.16</v>
      </c>
      <c r="K67">
        <v>0.1515</v>
      </c>
      <c r="L67">
        <v>0.59</v>
      </c>
      <c r="M67">
        <v>0.19400000000000001</v>
      </c>
      <c r="N67">
        <v>2</v>
      </c>
      <c r="O67">
        <v>46</v>
      </c>
      <c r="P67">
        <v>48</v>
      </c>
    </row>
    <row r="68" spans="1:16" x14ac:dyDescent="0.35">
      <c r="A68">
        <v>677</v>
      </c>
      <c r="B68" s="1">
        <v>40574</v>
      </c>
      <c r="C68">
        <v>1</v>
      </c>
      <c r="D68">
        <v>0</v>
      </c>
      <c r="E68">
        <v>1</v>
      </c>
      <c r="F68">
        <v>12</v>
      </c>
      <c r="G68">
        <v>0</v>
      </c>
      <c r="H68">
        <v>1</v>
      </c>
      <c r="I68">
        <v>2</v>
      </c>
      <c r="J68">
        <v>0.18</v>
      </c>
      <c r="K68">
        <v>0.21210000000000001</v>
      </c>
      <c r="L68">
        <v>0.55000000000000004</v>
      </c>
      <c r="M68">
        <v>0.1045</v>
      </c>
      <c r="N68">
        <v>6</v>
      </c>
      <c r="O68">
        <v>62</v>
      </c>
      <c r="P68">
        <v>68</v>
      </c>
    </row>
    <row r="69" spans="1:16" x14ac:dyDescent="0.35">
      <c r="A69">
        <v>678</v>
      </c>
      <c r="B69" s="1">
        <v>40574</v>
      </c>
      <c r="C69">
        <v>1</v>
      </c>
      <c r="D69">
        <v>0</v>
      </c>
      <c r="E69">
        <v>1</v>
      </c>
      <c r="F69">
        <v>13</v>
      </c>
      <c r="G69">
        <v>0</v>
      </c>
      <c r="H69">
        <v>1</v>
      </c>
      <c r="I69">
        <v>2</v>
      </c>
      <c r="J69">
        <v>0.16</v>
      </c>
      <c r="K69">
        <v>0.2273</v>
      </c>
      <c r="L69">
        <v>0.59</v>
      </c>
      <c r="M69">
        <v>0</v>
      </c>
      <c r="N69">
        <v>2</v>
      </c>
      <c r="O69">
        <v>52</v>
      </c>
      <c r="P69">
        <v>54</v>
      </c>
    </row>
    <row r="70" spans="1:16" x14ac:dyDescent="0.35">
      <c r="A70">
        <v>679</v>
      </c>
      <c r="B70" s="1">
        <v>40574</v>
      </c>
      <c r="C70">
        <v>1</v>
      </c>
      <c r="D70">
        <v>0</v>
      </c>
      <c r="E70">
        <v>1</v>
      </c>
      <c r="F70">
        <v>14</v>
      </c>
      <c r="G70">
        <v>0</v>
      </c>
      <c r="H70">
        <v>1</v>
      </c>
      <c r="I70">
        <v>2</v>
      </c>
      <c r="J70">
        <v>0.18</v>
      </c>
      <c r="K70">
        <v>0.19700000000000001</v>
      </c>
      <c r="L70">
        <v>0.55000000000000004</v>
      </c>
      <c r="M70">
        <v>0.1343</v>
      </c>
      <c r="N70">
        <v>1</v>
      </c>
      <c r="O70">
        <v>85</v>
      </c>
      <c r="P70">
        <v>86</v>
      </c>
    </row>
    <row r="71" spans="1:16" x14ac:dyDescent="0.35">
      <c r="A71">
        <v>680</v>
      </c>
      <c r="B71" s="1">
        <v>40574</v>
      </c>
      <c r="C71">
        <v>1</v>
      </c>
      <c r="D71">
        <v>0</v>
      </c>
      <c r="E71">
        <v>1</v>
      </c>
      <c r="F71">
        <v>15</v>
      </c>
      <c r="G71">
        <v>0</v>
      </c>
      <c r="H71">
        <v>1</v>
      </c>
      <c r="I71">
        <v>2</v>
      </c>
      <c r="J71">
        <v>0.16</v>
      </c>
      <c r="K71">
        <v>0.18179999999999999</v>
      </c>
      <c r="L71">
        <v>0.59</v>
      </c>
      <c r="M71">
        <v>0.1343</v>
      </c>
      <c r="N71">
        <v>3</v>
      </c>
      <c r="O71">
        <v>41</v>
      </c>
      <c r="P71">
        <v>44</v>
      </c>
    </row>
    <row r="72" spans="1:16" x14ac:dyDescent="0.35">
      <c r="A72">
        <v>681</v>
      </c>
      <c r="B72" s="1">
        <v>40574</v>
      </c>
      <c r="C72">
        <v>1</v>
      </c>
      <c r="D72">
        <v>0</v>
      </c>
      <c r="E72">
        <v>1</v>
      </c>
      <c r="F72">
        <v>16</v>
      </c>
      <c r="G72">
        <v>0</v>
      </c>
      <c r="H72">
        <v>1</v>
      </c>
      <c r="I72">
        <v>2</v>
      </c>
      <c r="J72">
        <v>0.16</v>
      </c>
      <c r="K72">
        <v>0.18179999999999999</v>
      </c>
      <c r="L72">
        <v>0.56000000000000005</v>
      </c>
      <c r="M72">
        <v>0.19400000000000001</v>
      </c>
      <c r="N72">
        <v>3</v>
      </c>
      <c r="O72">
        <v>83</v>
      </c>
      <c r="P72">
        <v>86</v>
      </c>
    </row>
    <row r="73" spans="1:16" x14ac:dyDescent="0.35">
      <c r="A73">
        <v>682</v>
      </c>
      <c r="B73" s="1">
        <v>40574</v>
      </c>
      <c r="C73">
        <v>1</v>
      </c>
      <c r="D73">
        <v>0</v>
      </c>
      <c r="E73">
        <v>1</v>
      </c>
      <c r="F73">
        <v>17</v>
      </c>
      <c r="G73">
        <v>0</v>
      </c>
      <c r="H73">
        <v>1</v>
      </c>
      <c r="I73">
        <v>2</v>
      </c>
      <c r="J73">
        <v>0.16</v>
      </c>
      <c r="K73">
        <v>0.1515</v>
      </c>
      <c r="L73">
        <v>0.59</v>
      </c>
      <c r="M73">
        <v>0.19400000000000001</v>
      </c>
      <c r="N73">
        <v>6</v>
      </c>
      <c r="O73">
        <v>155</v>
      </c>
      <c r="P73">
        <v>161</v>
      </c>
    </row>
    <row r="74" spans="1:16" x14ac:dyDescent="0.35">
      <c r="A74">
        <v>683</v>
      </c>
      <c r="B74" s="1">
        <v>40574</v>
      </c>
      <c r="C74">
        <v>1</v>
      </c>
      <c r="D74">
        <v>0</v>
      </c>
      <c r="E74">
        <v>1</v>
      </c>
      <c r="F74">
        <v>18</v>
      </c>
      <c r="G74">
        <v>0</v>
      </c>
      <c r="H74">
        <v>1</v>
      </c>
      <c r="I74">
        <v>2</v>
      </c>
      <c r="J74">
        <v>0.16</v>
      </c>
      <c r="K74">
        <v>0.1515</v>
      </c>
      <c r="L74">
        <v>0.55000000000000004</v>
      </c>
      <c r="M74">
        <v>0.22389999999999999</v>
      </c>
      <c r="N74">
        <v>3</v>
      </c>
      <c r="O74">
        <v>153</v>
      </c>
      <c r="P74">
        <v>156</v>
      </c>
    </row>
    <row r="75" spans="1:16" x14ac:dyDescent="0.35">
      <c r="A75">
        <v>684</v>
      </c>
      <c r="B75" s="1">
        <v>40574</v>
      </c>
      <c r="C75">
        <v>1</v>
      </c>
      <c r="D75">
        <v>0</v>
      </c>
      <c r="E75">
        <v>1</v>
      </c>
      <c r="F75">
        <v>19</v>
      </c>
      <c r="G75">
        <v>0</v>
      </c>
      <c r="H75">
        <v>1</v>
      </c>
      <c r="I75">
        <v>1</v>
      </c>
      <c r="J75">
        <v>0.3</v>
      </c>
      <c r="K75">
        <v>0.31819999999999998</v>
      </c>
      <c r="L75">
        <v>0.61</v>
      </c>
      <c r="M75">
        <v>0.1045</v>
      </c>
      <c r="N75">
        <v>3</v>
      </c>
      <c r="O75">
        <v>108</v>
      </c>
      <c r="P75">
        <v>111</v>
      </c>
    </row>
    <row r="76" spans="1:16" x14ac:dyDescent="0.35">
      <c r="A76">
        <v>685</v>
      </c>
      <c r="B76" s="1">
        <v>40574</v>
      </c>
      <c r="C76">
        <v>1</v>
      </c>
      <c r="D76">
        <v>0</v>
      </c>
      <c r="E76">
        <v>1</v>
      </c>
      <c r="F76">
        <v>20</v>
      </c>
      <c r="G76">
        <v>0</v>
      </c>
      <c r="H76">
        <v>1</v>
      </c>
      <c r="I76">
        <v>3</v>
      </c>
      <c r="J76">
        <v>0.16</v>
      </c>
      <c r="K76">
        <v>0.16669999999999999</v>
      </c>
      <c r="L76">
        <v>0.59</v>
      </c>
      <c r="M76">
        <v>0.16420000000000001</v>
      </c>
      <c r="N76">
        <v>0</v>
      </c>
      <c r="O76">
        <v>78</v>
      </c>
      <c r="P76">
        <v>78</v>
      </c>
    </row>
    <row r="77" spans="1:16" x14ac:dyDescent="0.35">
      <c r="A77">
        <v>686</v>
      </c>
      <c r="B77" s="1">
        <v>40574</v>
      </c>
      <c r="C77">
        <v>1</v>
      </c>
      <c r="D77">
        <v>0</v>
      </c>
      <c r="E77">
        <v>1</v>
      </c>
      <c r="F77">
        <v>21</v>
      </c>
      <c r="G77">
        <v>0</v>
      </c>
      <c r="H77">
        <v>1</v>
      </c>
      <c r="I77">
        <v>3</v>
      </c>
      <c r="J77">
        <v>0.16</v>
      </c>
      <c r="K77">
        <v>0.19700000000000001</v>
      </c>
      <c r="L77">
        <v>0.59</v>
      </c>
      <c r="M77">
        <v>8.9599999999999999E-2</v>
      </c>
      <c r="N77">
        <v>3</v>
      </c>
      <c r="O77">
        <v>53</v>
      </c>
      <c r="P77">
        <v>56</v>
      </c>
    </row>
    <row r="78" spans="1:16" x14ac:dyDescent="0.35">
      <c r="A78">
        <v>687</v>
      </c>
      <c r="B78" s="1">
        <v>40574</v>
      </c>
      <c r="C78">
        <v>1</v>
      </c>
      <c r="D78">
        <v>0</v>
      </c>
      <c r="E78">
        <v>1</v>
      </c>
      <c r="F78">
        <v>22</v>
      </c>
      <c r="G78">
        <v>0</v>
      </c>
      <c r="H78">
        <v>1</v>
      </c>
      <c r="I78">
        <v>2</v>
      </c>
      <c r="J78">
        <v>0.16</v>
      </c>
      <c r="K78">
        <v>0.18179999999999999</v>
      </c>
      <c r="L78">
        <v>0.59</v>
      </c>
      <c r="M78">
        <v>0.1045</v>
      </c>
      <c r="N78">
        <v>0</v>
      </c>
      <c r="O78">
        <v>34</v>
      </c>
      <c r="P78">
        <v>34</v>
      </c>
    </row>
    <row r="79" spans="1:16" x14ac:dyDescent="0.35">
      <c r="A79">
        <v>688</v>
      </c>
      <c r="B79" s="1">
        <v>40574</v>
      </c>
      <c r="C79">
        <v>1</v>
      </c>
      <c r="D79">
        <v>0</v>
      </c>
      <c r="E79">
        <v>1</v>
      </c>
      <c r="F79">
        <v>23</v>
      </c>
      <c r="G79">
        <v>0</v>
      </c>
      <c r="H79">
        <v>1</v>
      </c>
      <c r="I79">
        <v>2</v>
      </c>
      <c r="J79">
        <v>0.16</v>
      </c>
      <c r="K79">
        <v>0.19700000000000001</v>
      </c>
      <c r="L79">
        <v>0.64</v>
      </c>
      <c r="M79">
        <v>8.9599999999999999E-2</v>
      </c>
      <c r="N79">
        <v>2</v>
      </c>
      <c r="O79">
        <v>15</v>
      </c>
      <c r="P79">
        <v>17</v>
      </c>
    </row>
    <row r="80" spans="1:16" x14ac:dyDescent="0.35">
      <c r="A80">
        <v>689</v>
      </c>
      <c r="B80" s="1">
        <v>40575</v>
      </c>
      <c r="C80">
        <v>1</v>
      </c>
      <c r="D80">
        <v>0</v>
      </c>
      <c r="E80">
        <v>2</v>
      </c>
      <c r="F80">
        <v>0</v>
      </c>
      <c r="G80">
        <v>0</v>
      </c>
      <c r="H80">
        <v>2</v>
      </c>
      <c r="I80">
        <v>2</v>
      </c>
      <c r="J80">
        <v>0.16</v>
      </c>
      <c r="K80">
        <v>0.18179999999999999</v>
      </c>
      <c r="L80">
        <v>0.64</v>
      </c>
      <c r="M80">
        <v>0.1045</v>
      </c>
      <c r="N80">
        <v>2</v>
      </c>
      <c r="O80">
        <v>6</v>
      </c>
      <c r="P80">
        <v>8</v>
      </c>
    </row>
    <row r="81" spans="1:16" x14ac:dyDescent="0.35">
      <c r="A81">
        <v>690</v>
      </c>
      <c r="B81" s="1">
        <v>40575</v>
      </c>
      <c r="C81">
        <v>1</v>
      </c>
      <c r="D81">
        <v>0</v>
      </c>
      <c r="E81">
        <v>2</v>
      </c>
      <c r="F81">
        <v>1</v>
      </c>
      <c r="G81">
        <v>0</v>
      </c>
      <c r="H81">
        <v>2</v>
      </c>
      <c r="I81">
        <v>2</v>
      </c>
      <c r="J81">
        <v>0.16</v>
      </c>
      <c r="K81">
        <v>0.18179999999999999</v>
      </c>
      <c r="L81">
        <v>0.69</v>
      </c>
      <c r="M81">
        <v>0.1045</v>
      </c>
      <c r="N81">
        <v>0</v>
      </c>
      <c r="O81">
        <v>3</v>
      </c>
      <c r="P81">
        <v>3</v>
      </c>
    </row>
    <row r="82" spans="1:16" x14ac:dyDescent="0.35">
      <c r="A82">
        <v>691</v>
      </c>
      <c r="B82" s="1">
        <v>40575</v>
      </c>
      <c r="C82">
        <v>1</v>
      </c>
      <c r="D82">
        <v>0</v>
      </c>
      <c r="E82">
        <v>2</v>
      </c>
      <c r="F82">
        <v>2</v>
      </c>
      <c r="G82">
        <v>0</v>
      </c>
      <c r="H82">
        <v>2</v>
      </c>
      <c r="I82">
        <v>2</v>
      </c>
      <c r="J82">
        <v>0.16</v>
      </c>
      <c r="K82">
        <v>0.2273</v>
      </c>
      <c r="L82">
        <v>0.69</v>
      </c>
      <c r="M82">
        <v>0</v>
      </c>
      <c r="N82">
        <v>0</v>
      </c>
      <c r="O82">
        <v>2</v>
      </c>
      <c r="P82">
        <v>2</v>
      </c>
    </row>
    <row r="83" spans="1:16" x14ac:dyDescent="0.35">
      <c r="A83">
        <v>692</v>
      </c>
      <c r="B83" s="1">
        <v>40575</v>
      </c>
      <c r="C83">
        <v>1</v>
      </c>
      <c r="D83">
        <v>0</v>
      </c>
      <c r="E83">
        <v>2</v>
      </c>
      <c r="F83">
        <v>3</v>
      </c>
      <c r="G83">
        <v>0</v>
      </c>
      <c r="H83">
        <v>2</v>
      </c>
      <c r="I83">
        <v>2</v>
      </c>
      <c r="J83">
        <v>0.16</v>
      </c>
      <c r="K83">
        <v>0.2273</v>
      </c>
      <c r="L83">
        <v>0.69</v>
      </c>
      <c r="M83">
        <v>0</v>
      </c>
      <c r="N83">
        <v>0</v>
      </c>
      <c r="O83">
        <v>2</v>
      </c>
      <c r="P83">
        <v>2</v>
      </c>
    </row>
    <row r="84" spans="1:16" x14ac:dyDescent="0.35">
      <c r="A84">
        <v>693</v>
      </c>
      <c r="B84" s="1">
        <v>40575</v>
      </c>
      <c r="C84">
        <v>1</v>
      </c>
      <c r="D84">
        <v>0</v>
      </c>
      <c r="E84">
        <v>2</v>
      </c>
      <c r="F84">
        <v>5</v>
      </c>
      <c r="G84">
        <v>0</v>
      </c>
      <c r="H84">
        <v>2</v>
      </c>
      <c r="I84">
        <v>3</v>
      </c>
      <c r="J84">
        <v>0.14000000000000001</v>
      </c>
      <c r="K84">
        <v>0.21210000000000001</v>
      </c>
      <c r="L84">
        <v>0.93</v>
      </c>
      <c r="M84">
        <v>0</v>
      </c>
      <c r="N84">
        <v>0</v>
      </c>
      <c r="O84">
        <v>3</v>
      </c>
      <c r="P84">
        <v>3</v>
      </c>
    </row>
    <row r="85" spans="1:16" x14ac:dyDescent="0.35">
      <c r="A85">
        <v>694</v>
      </c>
      <c r="B85" s="1">
        <v>40575</v>
      </c>
      <c r="C85">
        <v>1</v>
      </c>
      <c r="D85">
        <v>0</v>
      </c>
      <c r="E85">
        <v>2</v>
      </c>
      <c r="F85">
        <v>6</v>
      </c>
      <c r="G85">
        <v>0</v>
      </c>
      <c r="H85">
        <v>2</v>
      </c>
      <c r="I85">
        <v>3</v>
      </c>
      <c r="J85">
        <v>0.14000000000000001</v>
      </c>
      <c r="K85">
        <v>0.21210000000000001</v>
      </c>
      <c r="L85">
        <v>0.93</v>
      </c>
      <c r="M85">
        <v>0</v>
      </c>
      <c r="N85">
        <v>0</v>
      </c>
      <c r="O85">
        <v>22</v>
      </c>
      <c r="P85">
        <v>22</v>
      </c>
    </row>
    <row r="86" spans="1:16" x14ac:dyDescent="0.35">
      <c r="A86">
        <v>695</v>
      </c>
      <c r="B86" s="1">
        <v>40575</v>
      </c>
      <c r="C86">
        <v>1</v>
      </c>
      <c r="D86">
        <v>0</v>
      </c>
      <c r="E86">
        <v>2</v>
      </c>
      <c r="F86">
        <v>7</v>
      </c>
      <c r="G86">
        <v>0</v>
      </c>
      <c r="H86">
        <v>2</v>
      </c>
      <c r="I86">
        <v>3</v>
      </c>
      <c r="J86">
        <v>0.16</v>
      </c>
      <c r="K86">
        <v>0.2273</v>
      </c>
      <c r="L86">
        <v>0.93</v>
      </c>
      <c r="M86">
        <v>0</v>
      </c>
      <c r="N86">
        <v>0</v>
      </c>
      <c r="O86">
        <v>52</v>
      </c>
      <c r="P86">
        <v>52</v>
      </c>
    </row>
    <row r="87" spans="1:16" x14ac:dyDescent="0.35">
      <c r="A87">
        <v>696</v>
      </c>
      <c r="B87" s="1">
        <v>40575</v>
      </c>
      <c r="C87">
        <v>1</v>
      </c>
      <c r="D87">
        <v>0</v>
      </c>
      <c r="E87">
        <v>2</v>
      </c>
      <c r="F87">
        <v>8</v>
      </c>
      <c r="G87">
        <v>0</v>
      </c>
      <c r="H87">
        <v>2</v>
      </c>
      <c r="I87">
        <v>3</v>
      </c>
      <c r="J87">
        <v>0.16</v>
      </c>
      <c r="K87">
        <v>0.2273</v>
      </c>
      <c r="L87">
        <v>0.93</v>
      </c>
      <c r="M87">
        <v>0</v>
      </c>
      <c r="N87">
        <v>3</v>
      </c>
      <c r="O87">
        <v>132</v>
      </c>
      <c r="P87">
        <v>135</v>
      </c>
    </row>
    <row r="88" spans="1:16" x14ac:dyDescent="0.35">
      <c r="A88">
        <v>697</v>
      </c>
      <c r="B88" s="1">
        <v>40575</v>
      </c>
      <c r="C88">
        <v>1</v>
      </c>
      <c r="D88">
        <v>0</v>
      </c>
      <c r="E88">
        <v>2</v>
      </c>
      <c r="F88">
        <v>9</v>
      </c>
      <c r="G88">
        <v>0</v>
      </c>
      <c r="H88">
        <v>2</v>
      </c>
      <c r="I88">
        <v>2</v>
      </c>
      <c r="J88">
        <v>0.16</v>
      </c>
      <c r="K88">
        <v>0.2273</v>
      </c>
      <c r="L88">
        <v>0.93</v>
      </c>
      <c r="M88">
        <v>0</v>
      </c>
      <c r="N88">
        <v>2</v>
      </c>
      <c r="O88">
        <v>114</v>
      </c>
      <c r="P88">
        <v>116</v>
      </c>
    </row>
    <row r="89" spans="1:16" x14ac:dyDescent="0.35">
      <c r="A89">
        <v>698</v>
      </c>
      <c r="B89" s="1">
        <v>40575</v>
      </c>
      <c r="C89">
        <v>1</v>
      </c>
      <c r="D89">
        <v>0</v>
      </c>
      <c r="E89">
        <v>2</v>
      </c>
      <c r="F89">
        <v>10</v>
      </c>
      <c r="G89">
        <v>0</v>
      </c>
      <c r="H89">
        <v>2</v>
      </c>
      <c r="I89">
        <v>2</v>
      </c>
      <c r="J89">
        <v>0.16</v>
      </c>
      <c r="K89">
        <v>0.2273</v>
      </c>
      <c r="L89">
        <v>0.93</v>
      </c>
      <c r="M89">
        <v>0</v>
      </c>
      <c r="N89">
        <v>0</v>
      </c>
      <c r="O89">
        <v>47</v>
      </c>
      <c r="P89">
        <v>47</v>
      </c>
    </row>
    <row r="90" spans="1:16" x14ac:dyDescent="0.35">
      <c r="A90">
        <v>699</v>
      </c>
      <c r="B90" s="1">
        <v>40575</v>
      </c>
      <c r="C90">
        <v>1</v>
      </c>
      <c r="D90">
        <v>0</v>
      </c>
      <c r="E90">
        <v>2</v>
      </c>
      <c r="F90">
        <v>11</v>
      </c>
      <c r="G90">
        <v>0</v>
      </c>
      <c r="H90">
        <v>2</v>
      </c>
      <c r="I90">
        <v>2</v>
      </c>
      <c r="J90">
        <v>0.18</v>
      </c>
      <c r="K90">
        <v>0.2424</v>
      </c>
      <c r="L90">
        <v>0.86</v>
      </c>
      <c r="M90">
        <v>0</v>
      </c>
      <c r="N90">
        <v>2</v>
      </c>
      <c r="O90">
        <v>49</v>
      </c>
      <c r="P90">
        <v>51</v>
      </c>
    </row>
    <row r="91" spans="1:16" x14ac:dyDescent="0.35">
      <c r="A91">
        <v>700</v>
      </c>
      <c r="B91" s="1">
        <v>40575</v>
      </c>
      <c r="C91">
        <v>1</v>
      </c>
      <c r="D91">
        <v>0</v>
      </c>
      <c r="E91">
        <v>2</v>
      </c>
      <c r="F91">
        <v>12</v>
      </c>
      <c r="G91">
        <v>0</v>
      </c>
      <c r="H91">
        <v>2</v>
      </c>
      <c r="I91">
        <v>2</v>
      </c>
      <c r="J91">
        <v>0.2</v>
      </c>
      <c r="K91">
        <v>0.2576</v>
      </c>
      <c r="L91">
        <v>0.86</v>
      </c>
      <c r="M91">
        <v>0</v>
      </c>
      <c r="N91">
        <v>2</v>
      </c>
      <c r="O91">
        <v>53</v>
      </c>
      <c r="P91">
        <v>55</v>
      </c>
    </row>
    <row r="92" spans="1:16" x14ac:dyDescent="0.35">
      <c r="A92">
        <v>701</v>
      </c>
      <c r="B92" s="1">
        <v>40575</v>
      </c>
      <c r="C92">
        <v>1</v>
      </c>
      <c r="D92">
        <v>0</v>
      </c>
      <c r="E92">
        <v>2</v>
      </c>
      <c r="F92">
        <v>13</v>
      </c>
      <c r="G92">
        <v>0</v>
      </c>
      <c r="H92">
        <v>2</v>
      </c>
      <c r="I92">
        <v>2</v>
      </c>
      <c r="J92">
        <v>0.2</v>
      </c>
      <c r="K92">
        <v>0.2576</v>
      </c>
      <c r="L92">
        <v>0.86</v>
      </c>
      <c r="M92">
        <v>0</v>
      </c>
      <c r="N92">
        <v>3</v>
      </c>
      <c r="O92">
        <v>49</v>
      </c>
      <c r="P92">
        <v>52</v>
      </c>
    </row>
    <row r="93" spans="1:16" x14ac:dyDescent="0.35">
      <c r="A93">
        <v>702</v>
      </c>
      <c r="B93" s="1">
        <v>40575</v>
      </c>
      <c r="C93">
        <v>1</v>
      </c>
      <c r="D93">
        <v>0</v>
      </c>
      <c r="E93">
        <v>2</v>
      </c>
      <c r="F93">
        <v>14</v>
      </c>
      <c r="G93">
        <v>0</v>
      </c>
      <c r="H93">
        <v>2</v>
      </c>
      <c r="I93">
        <v>2</v>
      </c>
      <c r="J93">
        <v>0.22</v>
      </c>
      <c r="K93">
        <v>0.2576</v>
      </c>
      <c r="L93">
        <v>0.8</v>
      </c>
      <c r="M93">
        <v>8.9599999999999999E-2</v>
      </c>
      <c r="N93">
        <v>5</v>
      </c>
      <c r="O93">
        <v>49</v>
      </c>
      <c r="P93">
        <v>54</v>
      </c>
    </row>
    <row r="94" spans="1:16" x14ac:dyDescent="0.35">
      <c r="A94">
        <v>703</v>
      </c>
      <c r="B94" s="1">
        <v>40575</v>
      </c>
      <c r="C94">
        <v>1</v>
      </c>
      <c r="D94">
        <v>0</v>
      </c>
      <c r="E94">
        <v>2</v>
      </c>
      <c r="F94">
        <v>15</v>
      </c>
      <c r="G94">
        <v>0</v>
      </c>
      <c r="H94">
        <v>2</v>
      </c>
      <c r="I94">
        <v>2</v>
      </c>
      <c r="J94">
        <v>0.24</v>
      </c>
      <c r="K94">
        <v>0.28789999999999999</v>
      </c>
      <c r="L94">
        <v>0.75</v>
      </c>
      <c r="M94">
        <v>0</v>
      </c>
      <c r="N94">
        <v>7</v>
      </c>
      <c r="O94">
        <v>45</v>
      </c>
      <c r="P94">
        <v>52</v>
      </c>
    </row>
    <row r="95" spans="1:16" x14ac:dyDescent="0.35">
      <c r="A95">
        <v>704</v>
      </c>
      <c r="B95" s="1">
        <v>40575</v>
      </c>
      <c r="C95">
        <v>1</v>
      </c>
      <c r="D95">
        <v>0</v>
      </c>
      <c r="E95">
        <v>2</v>
      </c>
      <c r="F95">
        <v>16</v>
      </c>
      <c r="G95">
        <v>0</v>
      </c>
      <c r="H95">
        <v>2</v>
      </c>
      <c r="I95">
        <v>2</v>
      </c>
      <c r="J95">
        <v>0.24</v>
      </c>
      <c r="K95">
        <v>0.2424</v>
      </c>
      <c r="L95">
        <v>0.75</v>
      </c>
      <c r="M95">
        <v>0.1343</v>
      </c>
      <c r="N95">
        <v>3</v>
      </c>
      <c r="O95">
        <v>61</v>
      </c>
      <c r="P95">
        <v>64</v>
      </c>
    </row>
    <row r="96" spans="1:16" x14ac:dyDescent="0.35">
      <c r="A96">
        <v>705</v>
      </c>
      <c r="B96" s="1">
        <v>40575</v>
      </c>
      <c r="C96">
        <v>1</v>
      </c>
      <c r="D96">
        <v>0</v>
      </c>
      <c r="E96">
        <v>2</v>
      </c>
      <c r="F96">
        <v>17</v>
      </c>
      <c r="G96">
        <v>0</v>
      </c>
      <c r="H96">
        <v>2</v>
      </c>
      <c r="I96">
        <v>2</v>
      </c>
      <c r="J96">
        <v>0.24</v>
      </c>
      <c r="K96">
        <v>0.28789999999999999</v>
      </c>
      <c r="L96">
        <v>0.75</v>
      </c>
      <c r="M96">
        <v>0</v>
      </c>
      <c r="N96">
        <v>4</v>
      </c>
      <c r="O96">
        <v>172</v>
      </c>
      <c r="P96">
        <v>176</v>
      </c>
    </row>
    <row r="97" spans="1:16" x14ac:dyDescent="0.35">
      <c r="A97">
        <v>706</v>
      </c>
      <c r="B97" s="1">
        <v>40575</v>
      </c>
      <c r="C97">
        <v>1</v>
      </c>
      <c r="D97">
        <v>0</v>
      </c>
      <c r="E97">
        <v>2</v>
      </c>
      <c r="F97">
        <v>18</v>
      </c>
      <c r="G97">
        <v>0</v>
      </c>
      <c r="H97">
        <v>2</v>
      </c>
      <c r="I97">
        <v>2</v>
      </c>
      <c r="J97">
        <v>0.24</v>
      </c>
      <c r="K97">
        <v>0.2576</v>
      </c>
      <c r="L97">
        <v>0.81</v>
      </c>
      <c r="M97">
        <v>0.1045</v>
      </c>
      <c r="N97">
        <v>3</v>
      </c>
      <c r="O97">
        <v>165</v>
      </c>
      <c r="P97">
        <v>168</v>
      </c>
    </row>
    <row r="98" spans="1:16" x14ac:dyDescent="0.35">
      <c r="A98">
        <v>707</v>
      </c>
      <c r="B98" s="1">
        <v>40575</v>
      </c>
      <c r="C98">
        <v>1</v>
      </c>
      <c r="D98">
        <v>0</v>
      </c>
      <c r="E98">
        <v>2</v>
      </c>
      <c r="F98">
        <v>19</v>
      </c>
      <c r="G98">
        <v>0</v>
      </c>
      <c r="H98">
        <v>2</v>
      </c>
      <c r="I98">
        <v>2</v>
      </c>
      <c r="J98">
        <v>0.24</v>
      </c>
      <c r="K98">
        <v>0.2424</v>
      </c>
      <c r="L98">
        <v>0.81</v>
      </c>
      <c r="M98">
        <v>0.1343</v>
      </c>
      <c r="N98">
        <v>3</v>
      </c>
      <c r="O98">
        <v>105</v>
      </c>
      <c r="P98">
        <v>108</v>
      </c>
    </row>
    <row r="99" spans="1:16" x14ac:dyDescent="0.35">
      <c r="A99">
        <v>708</v>
      </c>
      <c r="B99" s="1">
        <v>40575</v>
      </c>
      <c r="C99">
        <v>1</v>
      </c>
      <c r="D99">
        <v>0</v>
      </c>
      <c r="E99">
        <v>2</v>
      </c>
      <c r="F99">
        <v>20</v>
      </c>
      <c r="G99">
        <v>0</v>
      </c>
      <c r="H99">
        <v>2</v>
      </c>
      <c r="I99">
        <v>2</v>
      </c>
      <c r="J99">
        <v>0.22</v>
      </c>
      <c r="K99">
        <v>0.2273</v>
      </c>
      <c r="L99">
        <v>0.87</v>
      </c>
      <c r="M99">
        <v>0.1343</v>
      </c>
      <c r="N99">
        <v>5</v>
      </c>
      <c r="O99">
        <v>69</v>
      </c>
      <c r="P99">
        <v>74</v>
      </c>
    </row>
    <row r="100" spans="1:16" x14ac:dyDescent="0.35">
      <c r="A100">
        <v>709</v>
      </c>
      <c r="B100" s="1">
        <v>40575</v>
      </c>
      <c r="C100">
        <v>1</v>
      </c>
      <c r="D100">
        <v>0</v>
      </c>
      <c r="E100">
        <v>2</v>
      </c>
      <c r="F100">
        <v>21</v>
      </c>
      <c r="G100">
        <v>0</v>
      </c>
      <c r="H100">
        <v>2</v>
      </c>
      <c r="I100">
        <v>2</v>
      </c>
      <c r="J100">
        <v>0.22</v>
      </c>
      <c r="K100">
        <v>0.2273</v>
      </c>
      <c r="L100">
        <v>0.87</v>
      </c>
      <c r="M100">
        <v>0.1343</v>
      </c>
      <c r="N100">
        <v>0</v>
      </c>
      <c r="O100">
        <v>64</v>
      </c>
      <c r="P100">
        <v>64</v>
      </c>
    </row>
    <row r="101" spans="1:16" x14ac:dyDescent="0.35">
      <c r="A101">
        <v>710</v>
      </c>
      <c r="B101" s="1">
        <v>40575</v>
      </c>
      <c r="C101">
        <v>1</v>
      </c>
      <c r="D101">
        <v>0</v>
      </c>
      <c r="E101">
        <v>2</v>
      </c>
      <c r="F101">
        <v>22</v>
      </c>
      <c r="G101">
        <v>0</v>
      </c>
      <c r="H101">
        <v>2</v>
      </c>
      <c r="I101">
        <v>2</v>
      </c>
      <c r="J101">
        <v>0.22</v>
      </c>
      <c r="K101">
        <v>0.2576</v>
      </c>
      <c r="L101">
        <v>0.87</v>
      </c>
      <c r="M101">
        <v>8.9599999999999999E-2</v>
      </c>
      <c r="N101">
        <v>2</v>
      </c>
      <c r="O101">
        <v>34</v>
      </c>
      <c r="P101">
        <v>36</v>
      </c>
    </row>
    <row r="102" spans="1:16" x14ac:dyDescent="0.35">
      <c r="A102">
        <v>711</v>
      </c>
      <c r="B102" s="1">
        <v>40575</v>
      </c>
      <c r="C102">
        <v>1</v>
      </c>
      <c r="D102">
        <v>0</v>
      </c>
      <c r="E102">
        <v>2</v>
      </c>
      <c r="F102">
        <v>23</v>
      </c>
      <c r="G102">
        <v>0</v>
      </c>
      <c r="H102">
        <v>2</v>
      </c>
      <c r="I102">
        <v>3</v>
      </c>
      <c r="J102">
        <v>0.2</v>
      </c>
      <c r="K102">
        <v>0.19700000000000001</v>
      </c>
      <c r="L102">
        <v>0.93</v>
      </c>
      <c r="M102">
        <v>0.19400000000000001</v>
      </c>
      <c r="N102">
        <v>1</v>
      </c>
      <c r="O102">
        <v>15</v>
      </c>
      <c r="P102">
        <v>16</v>
      </c>
    </row>
    <row r="103" spans="1:16" x14ac:dyDescent="0.35">
      <c r="A103">
        <v>712</v>
      </c>
      <c r="B103" s="1">
        <v>40576</v>
      </c>
      <c r="C103">
        <v>1</v>
      </c>
      <c r="D103">
        <v>0</v>
      </c>
      <c r="E103">
        <v>2</v>
      </c>
      <c r="F103">
        <v>0</v>
      </c>
      <c r="G103">
        <v>0</v>
      </c>
      <c r="H103">
        <v>3</v>
      </c>
      <c r="I103">
        <v>3</v>
      </c>
      <c r="J103">
        <v>0.22</v>
      </c>
      <c r="K103">
        <v>0.2424</v>
      </c>
      <c r="L103">
        <v>0.93</v>
      </c>
      <c r="M103">
        <v>0.1045</v>
      </c>
      <c r="N103">
        <v>0</v>
      </c>
      <c r="O103">
        <v>2</v>
      </c>
      <c r="P103">
        <v>2</v>
      </c>
    </row>
    <row r="104" spans="1:16" x14ac:dyDescent="0.35">
      <c r="A104">
        <v>713</v>
      </c>
      <c r="B104" s="1">
        <v>40576</v>
      </c>
      <c r="C104">
        <v>1</v>
      </c>
      <c r="D104">
        <v>0</v>
      </c>
      <c r="E104">
        <v>2</v>
      </c>
      <c r="F104">
        <v>1</v>
      </c>
      <c r="G104">
        <v>0</v>
      </c>
      <c r="H104">
        <v>3</v>
      </c>
      <c r="I104">
        <v>3</v>
      </c>
      <c r="J104">
        <v>0.22</v>
      </c>
      <c r="K104">
        <v>0.2273</v>
      </c>
      <c r="L104">
        <v>0.93</v>
      </c>
      <c r="M104">
        <v>0.19400000000000001</v>
      </c>
      <c r="N104">
        <v>0</v>
      </c>
      <c r="O104">
        <v>3</v>
      </c>
      <c r="P104">
        <v>3</v>
      </c>
    </row>
    <row r="105" spans="1:16" x14ac:dyDescent="0.35">
      <c r="A105">
        <v>714</v>
      </c>
      <c r="B105" s="1">
        <v>40576</v>
      </c>
      <c r="C105">
        <v>1</v>
      </c>
      <c r="D105">
        <v>0</v>
      </c>
      <c r="E105">
        <v>2</v>
      </c>
      <c r="F105">
        <v>2</v>
      </c>
      <c r="G105">
        <v>0</v>
      </c>
      <c r="H105">
        <v>3</v>
      </c>
      <c r="I105">
        <v>3</v>
      </c>
      <c r="J105">
        <v>0.22</v>
      </c>
      <c r="K105">
        <v>0.2273</v>
      </c>
      <c r="L105">
        <v>0.93</v>
      </c>
      <c r="M105">
        <v>0.1343</v>
      </c>
      <c r="N105">
        <v>4</v>
      </c>
      <c r="O105">
        <v>0</v>
      </c>
      <c r="P105">
        <v>4</v>
      </c>
    </row>
    <row r="106" spans="1:16" x14ac:dyDescent="0.35">
      <c r="A106">
        <v>715</v>
      </c>
      <c r="B106" s="1">
        <v>40576</v>
      </c>
      <c r="C106">
        <v>1</v>
      </c>
      <c r="D106">
        <v>0</v>
      </c>
      <c r="E106">
        <v>2</v>
      </c>
      <c r="F106">
        <v>3</v>
      </c>
      <c r="G106">
        <v>0</v>
      </c>
      <c r="H106">
        <v>3</v>
      </c>
      <c r="I106">
        <v>3</v>
      </c>
      <c r="J106">
        <v>0.22</v>
      </c>
      <c r="K106">
        <v>0.2273</v>
      </c>
      <c r="L106">
        <v>0.93</v>
      </c>
      <c r="M106">
        <v>0.1343</v>
      </c>
      <c r="N106">
        <v>0</v>
      </c>
      <c r="O106">
        <v>1</v>
      </c>
      <c r="P106">
        <v>1</v>
      </c>
    </row>
    <row r="107" spans="1:16" x14ac:dyDescent="0.35">
      <c r="A107">
        <v>716</v>
      </c>
      <c r="B107" s="1">
        <v>40576</v>
      </c>
      <c r="C107">
        <v>1</v>
      </c>
      <c r="D107">
        <v>0</v>
      </c>
      <c r="E107">
        <v>2</v>
      </c>
      <c r="F107">
        <v>4</v>
      </c>
      <c r="G107">
        <v>0</v>
      </c>
      <c r="H107">
        <v>3</v>
      </c>
      <c r="I107">
        <v>3</v>
      </c>
      <c r="J107">
        <v>0.22</v>
      </c>
      <c r="K107">
        <v>0.21210000000000001</v>
      </c>
      <c r="L107">
        <v>0.93</v>
      </c>
      <c r="M107">
        <v>0.28360000000000002</v>
      </c>
      <c r="N107">
        <v>0</v>
      </c>
      <c r="O107">
        <v>1</v>
      </c>
      <c r="P107">
        <v>1</v>
      </c>
    </row>
    <row r="108" spans="1:16" x14ac:dyDescent="0.35">
      <c r="A108">
        <v>717</v>
      </c>
      <c r="B108" s="1">
        <v>40576</v>
      </c>
      <c r="C108">
        <v>1</v>
      </c>
      <c r="D108">
        <v>0</v>
      </c>
      <c r="E108">
        <v>2</v>
      </c>
      <c r="F108">
        <v>5</v>
      </c>
      <c r="G108">
        <v>0</v>
      </c>
      <c r="H108">
        <v>3</v>
      </c>
      <c r="I108">
        <v>3</v>
      </c>
      <c r="J108">
        <v>0.22</v>
      </c>
      <c r="K108">
        <v>0.2424</v>
      </c>
      <c r="L108">
        <v>0.93</v>
      </c>
      <c r="M108">
        <v>0.1045</v>
      </c>
      <c r="N108">
        <v>0</v>
      </c>
      <c r="O108">
        <v>3</v>
      </c>
      <c r="P108">
        <v>3</v>
      </c>
    </row>
    <row r="109" spans="1:16" x14ac:dyDescent="0.35">
      <c r="A109">
        <v>718</v>
      </c>
      <c r="B109" s="1">
        <v>40576</v>
      </c>
      <c r="C109">
        <v>1</v>
      </c>
      <c r="D109">
        <v>0</v>
      </c>
      <c r="E109">
        <v>2</v>
      </c>
      <c r="F109">
        <v>6</v>
      </c>
      <c r="G109">
        <v>0</v>
      </c>
      <c r="H109">
        <v>3</v>
      </c>
      <c r="I109">
        <v>3</v>
      </c>
      <c r="J109">
        <v>0.22</v>
      </c>
      <c r="K109">
        <v>0.2424</v>
      </c>
      <c r="L109">
        <v>0.93</v>
      </c>
      <c r="M109">
        <v>0.1045</v>
      </c>
      <c r="N109">
        <v>1</v>
      </c>
      <c r="O109">
        <v>17</v>
      </c>
      <c r="P109">
        <v>18</v>
      </c>
    </row>
    <row r="110" spans="1:16" x14ac:dyDescent="0.35">
      <c r="A110">
        <v>719</v>
      </c>
      <c r="B110" s="1">
        <v>40576</v>
      </c>
      <c r="C110">
        <v>1</v>
      </c>
      <c r="D110">
        <v>0</v>
      </c>
      <c r="E110">
        <v>2</v>
      </c>
      <c r="F110">
        <v>7</v>
      </c>
      <c r="G110">
        <v>0</v>
      </c>
      <c r="H110">
        <v>3</v>
      </c>
      <c r="I110">
        <v>3</v>
      </c>
      <c r="J110">
        <v>0.22</v>
      </c>
      <c r="K110">
        <v>0.21210000000000001</v>
      </c>
      <c r="L110">
        <v>0.93</v>
      </c>
      <c r="M110">
        <v>0.22389999999999999</v>
      </c>
      <c r="N110">
        <v>1</v>
      </c>
      <c r="O110">
        <v>48</v>
      </c>
      <c r="P110">
        <v>49</v>
      </c>
    </row>
    <row r="111" spans="1:16" x14ac:dyDescent="0.35">
      <c r="A111">
        <v>720</v>
      </c>
      <c r="B111" s="1">
        <v>40576</v>
      </c>
      <c r="C111">
        <v>1</v>
      </c>
      <c r="D111">
        <v>0</v>
      </c>
      <c r="E111">
        <v>2</v>
      </c>
      <c r="F111">
        <v>8</v>
      </c>
      <c r="G111">
        <v>0</v>
      </c>
      <c r="H111">
        <v>3</v>
      </c>
      <c r="I111">
        <v>3</v>
      </c>
      <c r="J111">
        <v>0.22</v>
      </c>
      <c r="K111">
        <v>0.21210000000000001</v>
      </c>
      <c r="L111">
        <v>0.93</v>
      </c>
      <c r="M111">
        <v>0.22389999999999999</v>
      </c>
      <c r="N111">
        <v>1</v>
      </c>
      <c r="O111">
        <v>154</v>
      </c>
      <c r="P111">
        <v>155</v>
      </c>
    </row>
    <row r="112" spans="1:16" x14ac:dyDescent="0.35">
      <c r="A112">
        <v>721</v>
      </c>
      <c r="B112" s="1">
        <v>40576</v>
      </c>
      <c r="C112">
        <v>1</v>
      </c>
      <c r="D112">
        <v>0</v>
      </c>
      <c r="E112">
        <v>2</v>
      </c>
      <c r="F112">
        <v>9</v>
      </c>
      <c r="G112">
        <v>0</v>
      </c>
      <c r="H112">
        <v>3</v>
      </c>
      <c r="I112">
        <v>2</v>
      </c>
      <c r="J112">
        <v>0.24</v>
      </c>
      <c r="K112">
        <v>0.2576</v>
      </c>
      <c r="L112">
        <v>0.93</v>
      </c>
      <c r="M112">
        <v>8.9599999999999999E-2</v>
      </c>
      <c r="N112">
        <v>4</v>
      </c>
      <c r="O112">
        <v>119</v>
      </c>
      <c r="P112">
        <v>123</v>
      </c>
    </row>
    <row r="113" spans="1:16" x14ac:dyDescent="0.35">
      <c r="A113">
        <v>722</v>
      </c>
      <c r="B113" s="1">
        <v>40576</v>
      </c>
      <c r="C113">
        <v>1</v>
      </c>
      <c r="D113">
        <v>0</v>
      </c>
      <c r="E113">
        <v>2</v>
      </c>
      <c r="F113">
        <v>10</v>
      </c>
      <c r="G113">
        <v>0</v>
      </c>
      <c r="H113">
        <v>3</v>
      </c>
      <c r="I113">
        <v>2</v>
      </c>
      <c r="J113">
        <v>0.22</v>
      </c>
      <c r="K113">
        <v>0.2727</v>
      </c>
      <c r="L113">
        <v>1</v>
      </c>
      <c r="M113">
        <v>0</v>
      </c>
      <c r="N113">
        <v>2</v>
      </c>
      <c r="O113">
        <v>59</v>
      </c>
      <c r="P113">
        <v>61</v>
      </c>
    </row>
    <row r="114" spans="1:16" x14ac:dyDescent="0.35">
      <c r="A114">
        <v>723</v>
      </c>
      <c r="B114" s="1">
        <v>40576</v>
      </c>
      <c r="C114">
        <v>1</v>
      </c>
      <c r="D114">
        <v>0</v>
      </c>
      <c r="E114">
        <v>2</v>
      </c>
      <c r="F114">
        <v>11</v>
      </c>
      <c r="G114">
        <v>0</v>
      </c>
      <c r="H114">
        <v>3</v>
      </c>
      <c r="I114">
        <v>2</v>
      </c>
      <c r="J114">
        <v>0.24</v>
      </c>
      <c r="K114">
        <v>0.2273</v>
      </c>
      <c r="L114">
        <v>0.93</v>
      </c>
      <c r="M114">
        <v>0.19400000000000001</v>
      </c>
      <c r="N114">
        <v>5</v>
      </c>
      <c r="O114">
        <v>47</v>
      </c>
      <c r="P114">
        <v>52</v>
      </c>
    </row>
    <row r="115" spans="1:16" x14ac:dyDescent="0.35">
      <c r="A115">
        <v>724</v>
      </c>
      <c r="B115" s="1">
        <v>40576</v>
      </c>
      <c r="C115">
        <v>1</v>
      </c>
      <c r="D115">
        <v>0</v>
      </c>
      <c r="E115">
        <v>2</v>
      </c>
      <c r="F115">
        <v>12</v>
      </c>
      <c r="G115">
        <v>0</v>
      </c>
      <c r="H115">
        <v>3</v>
      </c>
      <c r="I115">
        <v>2</v>
      </c>
      <c r="J115">
        <v>0.24</v>
      </c>
      <c r="K115">
        <v>0.2273</v>
      </c>
      <c r="L115">
        <v>0.93</v>
      </c>
      <c r="M115">
        <v>0.22389999999999999</v>
      </c>
      <c r="N115">
        <v>3</v>
      </c>
      <c r="O115">
        <v>61</v>
      </c>
      <c r="P115">
        <v>64</v>
      </c>
    </row>
    <row r="116" spans="1:16" x14ac:dyDescent="0.35">
      <c r="A116">
        <v>725</v>
      </c>
      <c r="B116" s="1">
        <v>40576</v>
      </c>
      <c r="C116">
        <v>1</v>
      </c>
      <c r="D116">
        <v>0</v>
      </c>
      <c r="E116">
        <v>2</v>
      </c>
      <c r="F116">
        <v>13</v>
      </c>
      <c r="G116">
        <v>0</v>
      </c>
      <c r="H116">
        <v>3</v>
      </c>
      <c r="I116">
        <v>1</v>
      </c>
      <c r="J116">
        <v>0.34</v>
      </c>
      <c r="K116">
        <v>0.33329999999999999</v>
      </c>
      <c r="L116">
        <v>0.93</v>
      </c>
      <c r="M116">
        <v>0.16420000000000001</v>
      </c>
      <c r="N116">
        <v>1</v>
      </c>
      <c r="O116">
        <v>74</v>
      </c>
      <c r="P116">
        <v>75</v>
      </c>
    </row>
    <row r="117" spans="1:16" x14ac:dyDescent="0.35">
      <c r="A117">
        <v>726</v>
      </c>
      <c r="B117" s="1">
        <v>40576</v>
      </c>
      <c r="C117">
        <v>1</v>
      </c>
      <c r="D117">
        <v>0</v>
      </c>
      <c r="E117">
        <v>2</v>
      </c>
      <c r="F117">
        <v>14</v>
      </c>
      <c r="G117">
        <v>0</v>
      </c>
      <c r="H117">
        <v>3</v>
      </c>
      <c r="I117">
        <v>1</v>
      </c>
      <c r="J117">
        <v>0.38</v>
      </c>
      <c r="K117">
        <v>0.39389999999999997</v>
      </c>
      <c r="L117">
        <v>0.82</v>
      </c>
      <c r="M117">
        <v>0.3881</v>
      </c>
      <c r="N117">
        <v>2</v>
      </c>
      <c r="O117">
        <v>61</v>
      </c>
      <c r="P117">
        <v>63</v>
      </c>
    </row>
    <row r="118" spans="1:16" x14ac:dyDescent="0.35">
      <c r="A118">
        <v>727</v>
      </c>
      <c r="B118" s="1">
        <v>40576</v>
      </c>
      <c r="C118">
        <v>1</v>
      </c>
      <c r="D118">
        <v>0</v>
      </c>
      <c r="E118">
        <v>2</v>
      </c>
      <c r="F118">
        <v>15</v>
      </c>
      <c r="G118">
        <v>0</v>
      </c>
      <c r="H118">
        <v>3</v>
      </c>
      <c r="I118">
        <v>1</v>
      </c>
      <c r="J118">
        <v>0.38</v>
      </c>
      <c r="K118">
        <v>0.39389999999999997</v>
      </c>
      <c r="L118">
        <v>0.76</v>
      </c>
      <c r="M118">
        <v>0.32840000000000003</v>
      </c>
      <c r="N118">
        <v>10</v>
      </c>
      <c r="O118">
        <v>66</v>
      </c>
      <c r="P118">
        <v>76</v>
      </c>
    </row>
    <row r="119" spans="1:16" x14ac:dyDescent="0.35">
      <c r="A119">
        <v>728</v>
      </c>
      <c r="B119" s="1">
        <v>40576</v>
      </c>
      <c r="C119">
        <v>1</v>
      </c>
      <c r="D119">
        <v>0</v>
      </c>
      <c r="E119">
        <v>2</v>
      </c>
      <c r="F119">
        <v>16</v>
      </c>
      <c r="G119">
        <v>0</v>
      </c>
      <c r="H119">
        <v>3</v>
      </c>
      <c r="I119">
        <v>1</v>
      </c>
      <c r="J119">
        <v>0.36</v>
      </c>
      <c r="K119">
        <v>0.33329999999999999</v>
      </c>
      <c r="L119">
        <v>0.71</v>
      </c>
      <c r="M119">
        <v>0.29849999999999999</v>
      </c>
      <c r="N119">
        <v>8</v>
      </c>
      <c r="O119">
        <v>95</v>
      </c>
      <c r="P119">
        <v>103</v>
      </c>
    </row>
    <row r="120" spans="1:16" x14ac:dyDescent="0.35">
      <c r="A120">
        <v>729</v>
      </c>
      <c r="B120" s="1">
        <v>40576</v>
      </c>
      <c r="C120">
        <v>1</v>
      </c>
      <c r="D120">
        <v>0</v>
      </c>
      <c r="E120">
        <v>2</v>
      </c>
      <c r="F120">
        <v>17</v>
      </c>
      <c r="G120">
        <v>0</v>
      </c>
      <c r="H120">
        <v>3</v>
      </c>
      <c r="I120">
        <v>1</v>
      </c>
      <c r="J120">
        <v>0.36</v>
      </c>
      <c r="K120">
        <v>0.31819999999999998</v>
      </c>
      <c r="L120">
        <v>0.53</v>
      </c>
      <c r="M120">
        <v>0.52239999999999998</v>
      </c>
      <c r="N120">
        <v>7</v>
      </c>
      <c r="O120">
        <v>183</v>
      </c>
      <c r="P120">
        <v>190</v>
      </c>
    </row>
    <row r="121" spans="1:16" x14ac:dyDescent="0.35">
      <c r="A121">
        <v>730</v>
      </c>
      <c r="B121" s="1">
        <v>40576</v>
      </c>
      <c r="C121">
        <v>1</v>
      </c>
      <c r="D121">
        <v>0</v>
      </c>
      <c r="E121">
        <v>2</v>
      </c>
      <c r="F121">
        <v>18</v>
      </c>
      <c r="G121">
        <v>0</v>
      </c>
      <c r="H121">
        <v>3</v>
      </c>
      <c r="I121">
        <v>1</v>
      </c>
      <c r="J121">
        <v>0.34</v>
      </c>
      <c r="K121">
        <v>0.28789999999999999</v>
      </c>
      <c r="L121">
        <v>0.42</v>
      </c>
      <c r="M121">
        <v>0.55220000000000002</v>
      </c>
      <c r="N121">
        <v>7</v>
      </c>
      <c r="O121">
        <v>175</v>
      </c>
      <c r="P121">
        <v>182</v>
      </c>
    </row>
    <row r="122" spans="1:16" x14ac:dyDescent="0.35">
      <c r="A122">
        <v>731</v>
      </c>
      <c r="B122" s="1">
        <v>40576</v>
      </c>
      <c r="C122">
        <v>1</v>
      </c>
      <c r="D122">
        <v>0</v>
      </c>
      <c r="E122">
        <v>2</v>
      </c>
      <c r="F122">
        <v>19</v>
      </c>
      <c r="G122">
        <v>0</v>
      </c>
      <c r="H122">
        <v>3</v>
      </c>
      <c r="I122">
        <v>1</v>
      </c>
      <c r="J122">
        <v>0.28000000000000003</v>
      </c>
      <c r="K122">
        <v>0.2424</v>
      </c>
      <c r="L122">
        <v>0.45</v>
      </c>
      <c r="M122">
        <v>0.49249999999999999</v>
      </c>
      <c r="N122">
        <v>3</v>
      </c>
      <c r="O122">
        <v>88</v>
      </c>
      <c r="P122">
        <v>91</v>
      </c>
    </row>
    <row r="123" spans="1:16" x14ac:dyDescent="0.35">
      <c r="A123">
        <v>732</v>
      </c>
      <c r="B123" s="1">
        <v>40576</v>
      </c>
      <c r="C123">
        <v>1</v>
      </c>
      <c r="D123">
        <v>0</v>
      </c>
      <c r="E123">
        <v>2</v>
      </c>
      <c r="F123">
        <v>20</v>
      </c>
      <c r="G123">
        <v>0</v>
      </c>
      <c r="H123">
        <v>3</v>
      </c>
      <c r="I123">
        <v>1</v>
      </c>
      <c r="J123">
        <v>0.24</v>
      </c>
      <c r="K123">
        <v>0.19700000000000001</v>
      </c>
      <c r="L123">
        <v>0.48</v>
      </c>
      <c r="M123">
        <v>0.55220000000000002</v>
      </c>
      <c r="N123">
        <v>4</v>
      </c>
      <c r="O123">
        <v>71</v>
      </c>
      <c r="P123">
        <v>75</v>
      </c>
    </row>
    <row r="124" spans="1:16" x14ac:dyDescent="0.35">
      <c r="A124">
        <v>733</v>
      </c>
      <c r="B124" s="1">
        <v>40576</v>
      </c>
      <c r="C124">
        <v>1</v>
      </c>
      <c r="D124">
        <v>0</v>
      </c>
      <c r="E124">
        <v>2</v>
      </c>
      <c r="F124">
        <v>21</v>
      </c>
      <c r="G124">
        <v>0</v>
      </c>
      <c r="H124">
        <v>3</v>
      </c>
      <c r="I124">
        <v>1</v>
      </c>
      <c r="J124">
        <v>0.22</v>
      </c>
      <c r="K124">
        <v>0.19700000000000001</v>
      </c>
      <c r="L124">
        <v>0.47</v>
      </c>
      <c r="M124">
        <v>0.32840000000000003</v>
      </c>
      <c r="N124">
        <v>1</v>
      </c>
      <c r="O124">
        <v>62</v>
      </c>
      <c r="P124">
        <v>63</v>
      </c>
    </row>
    <row r="125" spans="1:16" x14ac:dyDescent="0.35">
      <c r="A125">
        <v>734</v>
      </c>
      <c r="B125" s="1">
        <v>40576</v>
      </c>
      <c r="C125">
        <v>1</v>
      </c>
      <c r="D125">
        <v>0</v>
      </c>
      <c r="E125">
        <v>2</v>
      </c>
      <c r="F125">
        <v>22</v>
      </c>
      <c r="G125">
        <v>0</v>
      </c>
      <c r="H125">
        <v>3</v>
      </c>
      <c r="I125">
        <v>1</v>
      </c>
      <c r="J125">
        <v>0.22</v>
      </c>
      <c r="K125">
        <v>0.21210000000000001</v>
      </c>
      <c r="L125">
        <v>0.44</v>
      </c>
      <c r="M125">
        <v>0.25369999999999998</v>
      </c>
      <c r="N125">
        <v>5</v>
      </c>
      <c r="O125">
        <v>35</v>
      </c>
      <c r="P125">
        <v>40</v>
      </c>
    </row>
    <row r="126" spans="1:16" x14ac:dyDescent="0.35">
      <c r="A126">
        <v>735</v>
      </c>
      <c r="B126" s="1">
        <v>40576</v>
      </c>
      <c r="C126">
        <v>1</v>
      </c>
      <c r="D126">
        <v>0</v>
      </c>
      <c r="E126">
        <v>2</v>
      </c>
      <c r="F126">
        <v>23</v>
      </c>
      <c r="G126">
        <v>0</v>
      </c>
      <c r="H126">
        <v>3</v>
      </c>
      <c r="I126">
        <v>1</v>
      </c>
      <c r="J126">
        <v>0.2</v>
      </c>
      <c r="K126">
        <v>0.16669999999999999</v>
      </c>
      <c r="L126">
        <v>0.44</v>
      </c>
      <c r="M126">
        <v>0.44779999999999998</v>
      </c>
      <c r="N126">
        <v>3</v>
      </c>
      <c r="O126">
        <v>29</v>
      </c>
      <c r="P126">
        <v>32</v>
      </c>
    </row>
    <row r="127" spans="1:16" x14ac:dyDescent="0.35">
      <c r="A127">
        <v>736</v>
      </c>
      <c r="B127" s="1">
        <v>40577</v>
      </c>
      <c r="C127">
        <v>1</v>
      </c>
      <c r="D127">
        <v>0</v>
      </c>
      <c r="E127">
        <v>2</v>
      </c>
      <c r="F127">
        <v>0</v>
      </c>
      <c r="G127">
        <v>0</v>
      </c>
      <c r="H127">
        <v>4</v>
      </c>
      <c r="I127">
        <v>1</v>
      </c>
      <c r="J127">
        <v>0.2</v>
      </c>
      <c r="K127">
        <v>0.16669999999999999</v>
      </c>
      <c r="L127">
        <v>0.4</v>
      </c>
      <c r="M127">
        <v>0.44779999999999998</v>
      </c>
      <c r="N127">
        <v>1</v>
      </c>
      <c r="O127">
        <v>11</v>
      </c>
      <c r="P127">
        <v>12</v>
      </c>
    </row>
    <row r="128" spans="1:16" x14ac:dyDescent="0.35">
      <c r="A128">
        <v>737</v>
      </c>
      <c r="B128" s="1">
        <v>40577</v>
      </c>
      <c r="C128">
        <v>1</v>
      </c>
      <c r="D128">
        <v>0</v>
      </c>
      <c r="E128">
        <v>2</v>
      </c>
      <c r="F128">
        <v>1</v>
      </c>
      <c r="G128">
        <v>0</v>
      </c>
      <c r="H128">
        <v>4</v>
      </c>
      <c r="I128">
        <v>1</v>
      </c>
      <c r="J128">
        <v>0.2</v>
      </c>
      <c r="K128">
        <v>0.1515</v>
      </c>
      <c r="L128">
        <v>0.44</v>
      </c>
      <c r="M128">
        <v>0.52239999999999998</v>
      </c>
      <c r="N128">
        <v>0</v>
      </c>
      <c r="O128">
        <v>5</v>
      </c>
      <c r="P128">
        <v>5</v>
      </c>
    </row>
    <row r="129" spans="1:16" x14ac:dyDescent="0.35">
      <c r="A129">
        <v>738</v>
      </c>
      <c r="B129" s="1">
        <v>40577</v>
      </c>
      <c r="C129">
        <v>1</v>
      </c>
      <c r="D129">
        <v>0</v>
      </c>
      <c r="E129">
        <v>2</v>
      </c>
      <c r="F129">
        <v>2</v>
      </c>
      <c r="G129">
        <v>0</v>
      </c>
      <c r="H129">
        <v>4</v>
      </c>
      <c r="I129">
        <v>1</v>
      </c>
      <c r="J129">
        <v>0.18</v>
      </c>
      <c r="K129">
        <v>0.16669999999999999</v>
      </c>
      <c r="L129">
        <v>0.43</v>
      </c>
      <c r="M129">
        <v>0.25369999999999998</v>
      </c>
      <c r="N129">
        <v>0</v>
      </c>
      <c r="O129">
        <v>2</v>
      </c>
      <c r="P129">
        <v>2</v>
      </c>
    </row>
    <row r="130" spans="1:16" x14ac:dyDescent="0.35">
      <c r="A130">
        <v>739</v>
      </c>
      <c r="B130" s="1">
        <v>40577</v>
      </c>
      <c r="C130">
        <v>1</v>
      </c>
      <c r="D130">
        <v>0</v>
      </c>
      <c r="E130">
        <v>2</v>
      </c>
      <c r="F130">
        <v>3</v>
      </c>
      <c r="G130">
        <v>0</v>
      </c>
      <c r="H130">
        <v>4</v>
      </c>
      <c r="I130">
        <v>1</v>
      </c>
      <c r="J130">
        <v>0.18</v>
      </c>
      <c r="K130">
        <v>0.16669999999999999</v>
      </c>
      <c r="L130">
        <v>0.43</v>
      </c>
      <c r="M130">
        <v>0.25369999999999998</v>
      </c>
      <c r="N130">
        <v>0</v>
      </c>
      <c r="O130">
        <v>1</v>
      </c>
      <c r="P130">
        <v>1</v>
      </c>
    </row>
    <row r="131" spans="1:16" x14ac:dyDescent="0.35">
      <c r="A131">
        <v>740</v>
      </c>
      <c r="B131" s="1">
        <v>40577</v>
      </c>
      <c r="C131">
        <v>1</v>
      </c>
      <c r="D131">
        <v>0</v>
      </c>
      <c r="E131">
        <v>2</v>
      </c>
      <c r="F131">
        <v>5</v>
      </c>
      <c r="G131">
        <v>0</v>
      </c>
      <c r="H131">
        <v>4</v>
      </c>
      <c r="I131">
        <v>1</v>
      </c>
      <c r="J131">
        <v>0.16</v>
      </c>
      <c r="K131">
        <v>0.13639999999999999</v>
      </c>
      <c r="L131">
        <v>0.5</v>
      </c>
      <c r="M131">
        <v>0.29849999999999999</v>
      </c>
      <c r="N131">
        <v>0</v>
      </c>
      <c r="O131">
        <v>2</v>
      </c>
      <c r="P131">
        <v>2</v>
      </c>
    </row>
    <row r="132" spans="1:16" x14ac:dyDescent="0.35">
      <c r="A132">
        <v>741</v>
      </c>
      <c r="B132" s="1">
        <v>40577</v>
      </c>
      <c r="C132">
        <v>1</v>
      </c>
      <c r="D132">
        <v>0</v>
      </c>
      <c r="E132">
        <v>2</v>
      </c>
      <c r="F132">
        <v>6</v>
      </c>
      <c r="G132">
        <v>0</v>
      </c>
      <c r="H132">
        <v>4</v>
      </c>
      <c r="I132">
        <v>1</v>
      </c>
      <c r="J132">
        <v>0.16</v>
      </c>
      <c r="K132">
        <v>0.13639999999999999</v>
      </c>
      <c r="L132">
        <v>0.43</v>
      </c>
      <c r="M132">
        <v>0.35820000000000002</v>
      </c>
      <c r="N132">
        <v>0</v>
      </c>
      <c r="O132">
        <v>39</v>
      </c>
      <c r="P132">
        <v>39</v>
      </c>
    </row>
    <row r="133" spans="1:16" x14ac:dyDescent="0.35">
      <c r="A133">
        <v>742</v>
      </c>
      <c r="B133" s="1">
        <v>40577</v>
      </c>
      <c r="C133">
        <v>1</v>
      </c>
      <c r="D133">
        <v>0</v>
      </c>
      <c r="E133">
        <v>2</v>
      </c>
      <c r="F133">
        <v>7</v>
      </c>
      <c r="G133">
        <v>0</v>
      </c>
      <c r="H133">
        <v>4</v>
      </c>
      <c r="I133">
        <v>1</v>
      </c>
      <c r="J133">
        <v>0.14000000000000001</v>
      </c>
      <c r="K133">
        <v>0.1212</v>
      </c>
      <c r="L133">
        <v>0.5</v>
      </c>
      <c r="M133">
        <v>0.32840000000000003</v>
      </c>
      <c r="N133">
        <v>1</v>
      </c>
      <c r="O133">
        <v>86</v>
      </c>
      <c r="P133">
        <v>87</v>
      </c>
    </row>
    <row r="134" spans="1:16" x14ac:dyDescent="0.35">
      <c r="A134">
        <v>743</v>
      </c>
      <c r="B134" s="1">
        <v>40577</v>
      </c>
      <c r="C134">
        <v>1</v>
      </c>
      <c r="D134">
        <v>0</v>
      </c>
      <c r="E134">
        <v>2</v>
      </c>
      <c r="F134">
        <v>8</v>
      </c>
      <c r="G134">
        <v>0</v>
      </c>
      <c r="H134">
        <v>4</v>
      </c>
      <c r="I134">
        <v>1</v>
      </c>
      <c r="J134">
        <v>0.14000000000000001</v>
      </c>
      <c r="K134">
        <v>0.1212</v>
      </c>
      <c r="L134">
        <v>0.5</v>
      </c>
      <c r="M134">
        <v>0.35820000000000002</v>
      </c>
      <c r="N134">
        <v>4</v>
      </c>
      <c r="O134">
        <v>184</v>
      </c>
      <c r="P134">
        <v>188</v>
      </c>
    </row>
    <row r="135" spans="1:16" x14ac:dyDescent="0.35">
      <c r="A135">
        <v>744</v>
      </c>
      <c r="B135" s="1">
        <v>40577</v>
      </c>
      <c r="C135">
        <v>1</v>
      </c>
      <c r="D135">
        <v>0</v>
      </c>
      <c r="E135">
        <v>2</v>
      </c>
      <c r="F135">
        <v>9</v>
      </c>
      <c r="G135">
        <v>0</v>
      </c>
      <c r="H135">
        <v>4</v>
      </c>
      <c r="I135">
        <v>1</v>
      </c>
      <c r="J135">
        <v>0.16</v>
      </c>
      <c r="K135">
        <v>0.13639999999999999</v>
      </c>
      <c r="L135">
        <v>0.47</v>
      </c>
      <c r="M135">
        <v>0.29849999999999999</v>
      </c>
      <c r="N135">
        <v>6</v>
      </c>
      <c r="O135">
        <v>127</v>
      </c>
      <c r="P135">
        <v>133</v>
      </c>
    </row>
    <row r="136" spans="1:16" x14ac:dyDescent="0.35">
      <c r="A136">
        <v>745</v>
      </c>
      <c r="B136" s="1">
        <v>40577</v>
      </c>
      <c r="C136">
        <v>1</v>
      </c>
      <c r="D136">
        <v>0</v>
      </c>
      <c r="E136">
        <v>2</v>
      </c>
      <c r="F136">
        <v>10</v>
      </c>
      <c r="G136">
        <v>0</v>
      </c>
      <c r="H136">
        <v>4</v>
      </c>
      <c r="I136">
        <v>1</v>
      </c>
      <c r="J136">
        <v>0.18</v>
      </c>
      <c r="K136">
        <v>0.1515</v>
      </c>
      <c r="L136">
        <v>0.43</v>
      </c>
      <c r="M136">
        <v>0.32840000000000003</v>
      </c>
      <c r="N136">
        <v>2</v>
      </c>
      <c r="O136">
        <v>50</v>
      </c>
      <c r="P136">
        <v>52</v>
      </c>
    </row>
    <row r="137" spans="1:16" x14ac:dyDescent="0.35">
      <c r="A137">
        <v>746</v>
      </c>
      <c r="B137" s="1">
        <v>40577</v>
      </c>
      <c r="C137">
        <v>1</v>
      </c>
      <c r="D137">
        <v>0</v>
      </c>
      <c r="E137">
        <v>2</v>
      </c>
      <c r="F137">
        <v>11</v>
      </c>
      <c r="G137">
        <v>0</v>
      </c>
      <c r="H137">
        <v>4</v>
      </c>
      <c r="I137">
        <v>1</v>
      </c>
      <c r="J137">
        <v>0.18</v>
      </c>
      <c r="K137">
        <v>0.13639999999999999</v>
      </c>
      <c r="L137">
        <v>0.43</v>
      </c>
      <c r="M137">
        <v>0.44779999999999998</v>
      </c>
      <c r="N137">
        <v>9</v>
      </c>
      <c r="O137">
        <v>55</v>
      </c>
      <c r="P137">
        <v>64</v>
      </c>
    </row>
    <row r="138" spans="1:16" x14ac:dyDescent="0.35">
      <c r="A138">
        <v>747</v>
      </c>
      <c r="B138" s="1">
        <v>40577</v>
      </c>
      <c r="C138">
        <v>1</v>
      </c>
      <c r="D138">
        <v>0</v>
      </c>
      <c r="E138">
        <v>2</v>
      </c>
      <c r="F138">
        <v>12</v>
      </c>
      <c r="G138">
        <v>0</v>
      </c>
      <c r="H138">
        <v>4</v>
      </c>
      <c r="I138">
        <v>1</v>
      </c>
      <c r="J138">
        <v>0.2</v>
      </c>
      <c r="K138">
        <v>0.18179999999999999</v>
      </c>
      <c r="L138">
        <v>0.4</v>
      </c>
      <c r="M138">
        <v>0.35820000000000002</v>
      </c>
      <c r="N138">
        <v>2</v>
      </c>
      <c r="O138">
        <v>67</v>
      </c>
      <c r="P138">
        <v>69</v>
      </c>
    </row>
    <row r="139" spans="1:16" x14ac:dyDescent="0.35">
      <c r="A139">
        <v>748</v>
      </c>
      <c r="B139" s="1">
        <v>40577</v>
      </c>
      <c r="C139">
        <v>1</v>
      </c>
      <c r="D139">
        <v>0</v>
      </c>
      <c r="E139">
        <v>2</v>
      </c>
      <c r="F139">
        <v>13</v>
      </c>
      <c r="G139">
        <v>0</v>
      </c>
      <c r="H139">
        <v>4</v>
      </c>
      <c r="I139">
        <v>1</v>
      </c>
      <c r="J139">
        <v>0.2</v>
      </c>
      <c r="K139">
        <v>0.16669999999999999</v>
      </c>
      <c r="L139">
        <v>0.4</v>
      </c>
      <c r="M139">
        <v>0.41789999999999999</v>
      </c>
      <c r="N139">
        <v>4</v>
      </c>
      <c r="O139">
        <v>47</v>
      </c>
      <c r="P139">
        <v>51</v>
      </c>
    </row>
    <row r="140" spans="1:16" x14ac:dyDescent="0.35">
      <c r="A140">
        <v>749</v>
      </c>
      <c r="B140" s="1">
        <v>40577</v>
      </c>
      <c r="C140">
        <v>1</v>
      </c>
      <c r="D140">
        <v>0</v>
      </c>
      <c r="E140">
        <v>2</v>
      </c>
      <c r="F140">
        <v>14</v>
      </c>
      <c r="G140">
        <v>0</v>
      </c>
      <c r="H140">
        <v>4</v>
      </c>
      <c r="I140">
        <v>1</v>
      </c>
      <c r="J140">
        <v>0.22</v>
      </c>
      <c r="K140">
        <v>0.19700000000000001</v>
      </c>
      <c r="L140">
        <v>0.37</v>
      </c>
      <c r="M140">
        <v>0.3881</v>
      </c>
      <c r="N140">
        <v>4</v>
      </c>
      <c r="O140">
        <v>43</v>
      </c>
      <c r="P140">
        <v>47</v>
      </c>
    </row>
    <row r="141" spans="1:16" x14ac:dyDescent="0.35">
      <c r="A141">
        <v>750</v>
      </c>
      <c r="B141" s="1">
        <v>40577</v>
      </c>
      <c r="C141">
        <v>1</v>
      </c>
      <c r="D141">
        <v>0</v>
      </c>
      <c r="E141">
        <v>2</v>
      </c>
      <c r="F141">
        <v>15</v>
      </c>
      <c r="G141">
        <v>0</v>
      </c>
      <c r="H141">
        <v>4</v>
      </c>
      <c r="I141">
        <v>1</v>
      </c>
      <c r="J141">
        <v>0.22</v>
      </c>
      <c r="K141">
        <v>0.19700000000000001</v>
      </c>
      <c r="L141">
        <v>0.37</v>
      </c>
      <c r="M141">
        <v>0.32840000000000003</v>
      </c>
      <c r="N141">
        <v>4</v>
      </c>
      <c r="O141">
        <v>56</v>
      </c>
      <c r="P141">
        <v>60</v>
      </c>
    </row>
    <row r="142" spans="1:16" x14ac:dyDescent="0.35">
      <c r="A142">
        <v>751</v>
      </c>
      <c r="B142" s="1">
        <v>40577</v>
      </c>
      <c r="C142">
        <v>1</v>
      </c>
      <c r="D142">
        <v>0</v>
      </c>
      <c r="E142">
        <v>2</v>
      </c>
      <c r="F142">
        <v>16</v>
      </c>
      <c r="G142">
        <v>0</v>
      </c>
      <c r="H142">
        <v>4</v>
      </c>
      <c r="I142">
        <v>1</v>
      </c>
      <c r="J142">
        <v>0.22</v>
      </c>
      <c r="K142">
        <v>0.21210000000000001</v>
      </c>
      <c r="L142">
        <v>0.37</v>
      </c>
      <c r="M142">
        <v>0.25369999999999998</v>
      </c>
      <c r="N142">
        <v>5</v>
      </c>
      <c r="O142">
        <v>73</v>
      </c>
      <c r="P142">
        <v>78</v>
      </c>
    </row>
    <row r="143" spans="1:16" x14ac:dyDescent="0.35">
      <c r="A143">
        <v>752</v>
      </c>
      <c r="B143" s="1">
        <v>40577</v>
      </c>
      <c r="C143">
        <v>1</v>
      </c>
      <c r="D143">
        <v>0</v>
      </c>
      <c r="E143">
        <v>2</v>
      </c>
      <c r="F143">
        <v>17</v>
      </c>
      <c r="G143">
        <v>0</v>
      </c>
      <c r="H143">
        <v>4</v>
      </c>
      <c r="I143">
        <v>1</v>
      </c>
      <c r="J143">
        <v>0.2</v>
      </c>
      <c r="K143">
        <v>0.19700000000000001</v>
      </c>
      <c r="L143">
        <v>0.4</v>
      </c>
      <c r="M143">
        <v>0.19400000000000001</v>
      </c>
      <c r="N143">
        <v>5</v>
      </c>
      <c r="O143">
        <v>170</v>
      </c>
      <c r="P143">
        <v>175</v>
      </c>
    </row>
    <row r="144" spans="1:16" x14ac:dyDescent="0.35">
      <c r="A144">
        <v>753</v>
      </c>
      <c r="B144" s="1">
        <v>40577</v>
      </c>
      <c r="C144">
        <v>1</v>
      </c>
      <c r="D144">
        <v>0</v>
      </c>
      <c r="E144">
        <v>2</v>
      </c>
      <c r="F144">
        <v>18</v>
      </c>
      <c r="G144">
        <v>0</v>
      </c>
      <c r="H144">
        <v>4</v>
      </c>
      <c r="I144">
        <v>1</v>
      </c>
      <c r="J144">
        <v>0.2</v>
      </c>
      <c r="K144">
        <v>0.21210000000000001</v>
      </c>
      <c r="L144">
        <v>0.4</v>
      </c>
      <c r="M144">
        <v>0.16420000000000001</v>
      </c>
      <c r="N144">
        <v>2</v>
      </c>
      <c r="O144">
        <v>145</v>
      </c>
      <c r="P144">
        <v>147</v>
      </c>
    </row>
    <row r="145" spans="1:16" x14ac:dyDescent="0.35">
      <c r="A145">
        <v>754</v>
      </c>
      <c r="B145" s="1">
        <v>40577</v>
      </c>
      <c r="C145">
        <v>1</v>
      </c>
      <c r="D145">
        <v>0</v>
      </c>
      <c r="E145">
        <v>2</v>
      </c>
      <c r="F145">
        <v>19</v>
      </c>
      <c r="G145">
        <v>0</v>
      </c>
      <c r="H145">
        <v>4</v>
      </c>
      <c r="I145">
        <v>1</v>
      </c>
      <c r="J145">
        <v>0.2</v>
      </c>
      <c r="K145">
        <v>0.2576</v>
      </c>
      <c r="L145">
        <v>0.4</v>
      </c>
      <c r="M145">
        <v>0</v>
      </c>
      <c r="N145">
        <v>4</v>
      </c>
      <c r="O145">
        <v>92</v>
      </c>
      <c r="P145">
        <v>96</v>
      </c>
    </row>
    <row r="146" spans="1:16" x14ac:dyDescent="0.35">
      <c r="A146">
        <v>755</v>
      </c>
      <c r="B146" s="1">
        <v>40577</v>
      </c>
      <c r="C146">
        <v>1</v>
      </c>
      <c r="D146">
        <v>0</v>
      </c>
      <c r="E146">
        <v>2</v>
      </c>
      <c r="F146">
        <v>20</v>
      </c>
      <c r="G146">
        <v>0</v>
      </c>
      <c r="H146">
        <v>4</v>
      </c>
      <c r="I146">
        <v>1</v>
      </c>
      <c r="J146">
        <v>0.2</v>
      </c>
      <c r="K146">
        <v>0.2273</v>
      </c>
      <c r="L146">
        <v>0.47</v>
      </c>
      <c r="M146">
        <v>8.9599999999999999E-2</v>
      </c>
      <c r="N146">
        <v>1</v>
      </c>
      <c r="O146">
        <v>108</v>
      </c>
      <c r="P146">
        <v>109</v>
      </c>
    </row>
    <row r="147" spans="1:16" x14ac:dyDescent="0.35">
      <c r="A147">
        <v>756</v>
      </c>
      <c r="B147" s="1">
        <v>40577</v>
      </c>
      <c r="C147">
        <v>1</v>
      </c>
      <c r="D147">
        <v>0</v>
      </c>
      <c r="E147">
        <v>2</v>
      </c>
      <c r="F147">
        <v>21</v>
      </c>
      <c r="G147">
        <v>0</v>
      </c>
      <c r="H147">
        <v>4</v>
      </c>
      <c r="I147">
        <v>1</v>
      </c>
      <c r="J147">
        <v>0.18</v>
      </c>
      <c r="K147">
        <v>0.21210000000000001</v>
      </c>
      <c r="L147">
        <v>0.55000000000000004</v>
      </c>
      <c r="M147">
        <v>0.1045</v>
      </c>
      <c r="N147">
        <v>1</v>
      </c>
      <c r="O147">
        <v>53</v>
      </c>
      <c r="P147">
        <v>54</v>
      </c>
    </row>
    <row r="148" spans="1:16" x14ac:dyDescent="0.35">
      <c r="A148">
        <v>757</v>
      </c>
      <c r="B148" s="1">
        <v>40577</v>
      </c>
      <c r="C148">
        <v>1</v>
      </c>
      <c r="D148">
        <v>0</v>
      </c>
      <c r="E148">
        <v>2</v>
      </c>
      <c r="F148">
        <v>22</v>
      </c>
      <c r="G148">
        <v>0</v>
      </c>
      <c r="H148">
        <v>4</v>
      </c>
      <c r="I148">
        <v>1</v>
      </c>
      <c r="J148">
        <v>0.18</v>
      </c>
      <c r="K148">
        <v>0.21210000000000001</v>
      </c>
      <c r="L148">
        <v>0.51</v>
      </c>
      <c r="M148">
        <v>8.9599999999999999E-2</v>
      </c>
      <c r="N148">
        <v>2</v>
      </c>
      <c r="O148">
        <v>39</v>
      </c>
      <c r="P148">
        <v>41</v>
      </c>
    </row>
    <row r="149" spans="1:16" x14ac:dyDescent="0.35">
      <c r="A149">
        <v>758</v>
      </c>
      <c r="B149" s="1">
        <v>40577</v>
      </c>
      <c r="C149">
        <v>1</v>
      </c>
      <c r="D149">
        <v>0</v>
      </c>
      <c r="E149">
        <v>2</v>
      </c>
      <c r="F149">
        <v>23</v>
      </c>
      <c r="G149">
        <v>0</v>
      </c>
      <c r="H149">
        <v>4</v>
      </c>
      <c r="I149">
        <v>1</v>
      </c>
      <c r="J149">
        <v>0.2</v>
      </c>
      <c r="K149">
        <v>0.2273</v>
      </c>
      <c r="L149">
        <v>0.47</v>
      </c>
      <c r="M149">
        <v>0.1045</v>
      </c>
      <c r="N149">
        <v>4</v>
      </c>
      <c r="O149">
        <v>34</v>
      </c>
      <c r="P149">
        <v>38</v>
      </c>
    </row>
    <row r="150" spans="1:16" x14ac:dyDescent="0.35">
      <c r="A150">
        <v>759</v>
      </c>
      <c r="B150" s="1">
        <v>40578</v>
      </c>
      <c r="C150">
        <v>1</v>
      </c>
      <c r="D150">
        <v>0</v>
      </c>
      <c r="E150">
        <v>2</v>
      </c>
      <c r="F150">
        <v>0</v>
      </c>
      <c r="G150">
        <v>0</v>
      </c>
      <c r="H150">
        <v>5</v>
      </c>
      <c r="I150">
        <v>2</v>
      </c>
      <c r="J150">
        <v>0.2</v>
      </c>
      <c r="K150">
        <v>0.2576</v>
      </c>
      <c r="L150">
        <v>0.44</v>
      </c>
      <c r="M150">
        <v>0</v>
      </c>
      <c r="N150">
        <v>3</v>
      </c>
      <c r="O150">
        <v>10</v>
      </c>
      <c r="P150">
        <v>13</v>
      </c>
    </row>
    <row r="151" spans="1:16" x14ac:dyDescent="0.35">
      <c r="A151">
        <v>760</v>
      </c>
      <c r="B151" s="1">
        <v>40578</v>
      </c>
      <c r="C151">
        <v>1</v>
      </c>
      <c r="D151">
        <v>0</v>
      </c>
      <c r="E151">
        <v>2</v>
      </c>
      <c r="F151">
        <v>1</v>
      </c>
      <c r="G151">
        <v>0</v>
      </c>
      <c r="H151">
        <v>5</v>
      </c>
      <c r="I151">
        <v>2</v>
      </c>
      <c r="J151">
        <v>0.16</v>
      </c>
      <c r="K151">
        <v>0.2273</v>
      </c>
      <c r="L151">
        <v>0.59</v>
      </c>
      <c r="M151">
        <v>0</v>
      </c>
      <c r="N151">
        <v>0</v>
      </c>
      <c r="O151">
        <v>7</v>
      </c>
      <c r="P151">
        <v>7</v>
      </c>
    </row>
    <row r="152" spans="1:16" x14ac:dyDescent="0.35">
      <c r="A152">
        <v>761</v>
      </c>
      <c r="B152" s="1">
        <v>40578</v>
      </c>
      <c r="C152">
        <v>1</v>
      </c>
      <c r="D152">
        <v>0</v>
      </c>
      <c r="E152">
        <v>2</v>
      </c>
      <c r="F152">
        <v>2</v>
      </c>
      <c r="G152">
        <v>0</v>
      </c>
      <c r="H152">
        <v>5</v>
      </c>
      <c r="I152">
        <v>2</v>
      </c>
      <c r="J152">
        <v>0.14000000000000001</v>
      </c>
      <c r="K152">
        <v>0.16669999999999999</v>
      </c>
      <c r="L152">
        <v>0.63</v>
      </c>
      <c r="M152">
        <v>0.1045</v>
      </c>
      <c r="N152">
        <v>0</v>
      </c>
      <c r="O152">
        <v>1</v>
      </c>
      <c r="P152">
        <v>1</v>
      </c>
    </row>
    <row r="153" spans="1:16" x14ac:dyDescent="0.35">
      <c r="A153">
        <v>762</v>
      </c>
      <c r="B153" s="1">
        <v>40578</v>
      </c>
      <c r="C153">
        <v>1</v>
      </c>
      <c r="D153">
        <v>0</v>
      </c>
      <c r="E153">
        <v>2</v>
      </c>
      <c r="F153">
        <v>3</v>
      </c>
      <c r="G153">
        <v>0</v>
      </c>
      <c r="H153">
        <v>5</v>
      </c>
      <c r="I153">
        <v>2</v>
      </c>
      <c r="J153">
        <v>0.14000000000000001</v>
      </c>
      <c r="K153">
        <v>0.16669999999999999</v>
      </c>
      <c r="L153">
        <v>0.63</v>
      </c>
      <c r="M153">
        <v>0.1045</v>
      </c>
      <c r="N153">
        <v>0</v>
      </c>
      <c r="O153">
        <v>1</v>
      </c>
      <c r="P153">
        <v>1</v>
      </c>
    </row>
    <row r="154" spans="1:16" x14ac:dyDescent="0.35">
      <c r="A154">
        <v>763</v>
      </c>
      <c r="B154" s="1">
        <v>40578</v>
      </c>
      <c r="C154">
        <v>1</v>
      </c>
      <c r="D154">
        <v>0</v>
      </c>
      <c r="E154">
        <v>2</v>
      </c>
      <c r="F154">
        <v>5</v>
      </c>
      <c r="G154">
        <v>0</v>
      </c>
      <c r="H154">
        <v>5</v>
      </c>
      <c r="I154">
        <v>2</v>
      </c>
      <c r="J154">
        <v>0.14000000000000001</v>
      </c>
      <c r="K154">
        <v>0.1515</v>
      </c>
      <c r="L154">
        <v>0.63</v>
      </c>
      <c r="M154">
        <v>0.1343</v>
      </c>
      <c r="N154">
        <v>0</v>
      </c>
      <c r="O154">
        <v>7</v>
      </c>
      <c r="P154">
        <v>7</v>
      </c>
    </row>
    <row r="155" spans="1:16" x14ac:dyDescent="0.35">
      <c r="A155">
        <v>764</v>
      </c>
      <c r="B155" s="1">
        <v>40578</v>
      </c>
      <c r="C155">
        <v>1</v>
      </c>
      <c r="D155">
        <v>0</v>
      </c>
      <c r="E155">
        <v>2</v>
      </c>
      <c r="F155">
        <v>6</v>
      </c>
      <c r="G155">
        <v>0</v>
      </c>
      <c r="H155">
        <v>5</v>
      </c>
      <c r="I155">
        <v>2</v>
      </c>
      <c r="J155">
        <v>0.16</v>
      </c>
      <c r="K155">
        <v>0.2273</v>
      </c>
      <c r="L155">
        <v>0.55000000000000004</v>
      </c>
      <c r="M155">
        <v>0</v>
      </c>
      <c r="N155">
        <v>2</v>
      </c>
      <c r="O155">
        <v>26</v>
      </c>
      <c r="P155">
        <v>28</v>
      </c>
    </row>
    <row r="156" spans="1:16" x14ac:dyDescent="0.35">
      <c r="A156">
        <v>765</v>
      </c>
      <c r="B156" s="1">
        <v>40578</v>
      </c>
      <c r="C156">
        <v>1</v>
      </c>
      <c r="D156">
        <v>0</v>
      </c>
      <c r="E156">
        <v>2</v>
      </c>
      <c r="F156">
        <v>7</v>
      </c>
      <c r="G156">
        <v>0</v>
      </c>
      <c r="H156">
        <v>5</v>
      </c>
      <c r="I156">
        <v>1</v>
      </c>
      <c r="J156">
        <v>0.14000000000000001</v>
      </c>
      <c r="K156">
        <v>0.21210000000000001</v>
      </c>
      <c r="L156">
        <v>0.59</v>
      </c>
      <c r="M156">
        <v>0</v>
      </c>
      <c r="N156">
        <v>0</v>
      </c>
      <c r="O156">
        <v>87</v>
      </c>
      <c r="P156">
        <v>87</v>
      </c>
    </row>
    <row r="157" spans="1:16" x14ac:dyDescent="0.35">
      <c r="A157">
        <v>766</v>
      </c>
      <c r="B157" s="1">
        <v>40578</v>
      </c>
      <c r="C157">
        <v>1</v>
      </c>
      <c r="D157">
        <v>0</v>
      </c>
      <c r="E157">
        <v>2</v>
      </c>
      <c r="F157">
        <v>8</v>
      </c>
      <c r="G157">
        <v>0</v>
      </c>
      <c r="H157">
        <v>5</v>
      </c>
      <c r="I157">
        <v>1</v>
      </c>
      <c r="J157">
        <v>0.14000000000000001</v>
      </c>
      <c r="K157">
        <v>0.1515</v>
      </c>
      <c r="L157">
        <v>0.74</v>
      </c>
      <c r="M157">
        <v>0.1343</v>
      </c>
      <c r="N157">
        <v>3</v>
      </c>
      <c r="O157">
        <v>217</v>
      </c>
      <c r="P157">
        <v>220</v>
      </c>
    </row>
    <row r="158" spans="1:16" x14ac:dyDescent="0.35">
      <c r="A158">
        <v>767</v>
      </c>
      <c r="B158" s="1">
        <v>40578</v>
      </c>
      <c r="C158">
        <v>1</v>
      </c>
      <c r="D158">
        <v>0</v>
      </c>
      <c r="E158">
        <v>2</v>
      </c>
      <c r="F158">
        <v>9</v>
      </c>
      <c r="G158">
        <v>0</v>
      </c>
      <c r="H158">
        <v>5</v>
      </c>
      <c r="I158">
        <v>2</v>
      </c>
      <c r="J158">
        <v>0.16</v>
      </c>
      <c r="K158">
        <v>0.18179999999999999</v>
      </c>
      <c r="L158">
        <v>0.8</v>
      </c>
      <c r="M158">
        <v>0.1343</v>
      </c>
      <c r="N158">
        <v>3</v>
      </c>
      <c r="O158">
        <v>124</v>
      </c>
      <c r="P158">
        <v>127</v>
      </c>
    </row>
    <row r="159" spans="1:16" x14ac:dyDescent="0.35">
      <c r="A159">
        <v>768</v>
      </c>
      <c r="B159" s="1">
        <v>40578</v>
      </c>
      <c r="C159">
        <v>1</v>
      </c>
      <c r="D159">
        <v>0</v>
      </c>
      <c r="E159">
        <v>2</v>
      </c>
      <c r="F159">
        <v>10</v>
      </c>
      <c r="G159">
        <v>0</v>
      </c>
      <c r="H159">
        <v>5</v>
      </c>
      <c r="I159">
        <v>2</v>
      </c>
      <c r="J159">
        <v>0.2</v>
      </c>
      <c r="K159">
        <v>0.21210000000000001</v>
      </c>
      <c r="L159">
        <v>0.51</v>
      </c>
      <c r="M159">
        <v>0.1343</v>
      </c>
      <c r="N159">
        <v>5</v>
      </c>
      <c r="O159">
        <v>46</v>
      </c>
      <c r="P159">
        <v>51</v>
      </c>
    </row>
    <row r="160" spans="1:16" x14ac:dyDescent="0.35">
      <c r="A160">
        <v>769</v>
      </c>
      <c r="B160" s="1">
        <v>40578</v>
      </c>
      <c r="C160">
        <v>1</v>
      </c>
      <c r="D160">
        <v>0</v>
      </c>
      <c r="E160">
        <v>2</v>
      </c>
      <c r="F160">
        <v>11</v>
      </c>
      <c r="G160">
        <v>0</v>
      </c>
      <c r="H160">
        <v>5</v>
      </c>
      <c r="I160">
        <v>1</v>
      </c>
      <c r="J160">
        <v>0.22</v>
      </c>
      <c r="K160">
        <v>0.2273</v>
      </c>
      <c r="L160">
        <v>0.51</v>
      </c>
      <c r="M160">
        <v>0.16420000000000001</v>
      </c>
      <c r="N160">
        <v>3</v>
      </c>
      <c r="O160">
        <v>61</v>
      </c>
      <c r="P160">
        <v>64</v>
      </c>
    </row>
    <row r="161" spans="1:16" x14ac:dyDescent="0.35">
      <c r="A161">
        <v>770</v>
      </c>
      <c r="B161" s="1">
        <v>40578</v>
      </c>
      <c r="C161">
        <v>1</v>
      </c>
      <c r="D161">
        <v>0</v>
      </c>
      <c r="E161">
        <v>2</v>
      </c>
      <c r="F161">
        <v>12</v>
      </c>
      <c r="G161">
        <v>0</v>
      </c>
      <c r="H161">
        <v>5</v>
      </c>
      <c r="I161">
        <v>2</v>
      </c>
      <c r="J161">
        <v>0.24</v>
      </c>
      <c r="K161">
        <v>0.2424</v>
      </c>
      <c r="L161">
        <v>0.48</v>
      </c>
      <c r="M161">
        <v>0.16420000000000001</v>
      </c>
      <c r="N161">
        <v>8</v>
      </c>
      <c r="O161">
        <v>78</v>
      </c>
      <c r="P161">
        <v>86</v>
      </c>
    </row>
    <row r="162" spans="1:16" x14ac:dyDescent="0.35">
      <c r="A162">
        <v>771</v>
      </c>
      <c r="B162" s="1">
        <v>40578</v>
      </c>
      <c r="C162">
        <v>1</v>
      </c>
      <c r="D162">
        <v>0</v>
      </c>
      <c r="E162">
        <v>2</v>
      </c>
      <c r="F162">
        <v>13</v>
      </c>
      <c r="G162">
        <v>0</v>
      </c>
      <c r="H162">
        <v>5</v>
      </c>
      <c r="I162">
        <v>2</v>
      </c>
      <c r="J162">
        <v>0.26</v>
      </c>
      <c r="K162">
        <v>0.2576</v>
      </c>
      <c r="L162">
        <v>0.5</v>
      </c>
      <c r="M162">
        <v>0.22389999999999999</v>
      </c>
      <c r="N162">
        <v>9</v>
      </c>
      <c r="O162">
        <v>73</v>
      </c>
      <c r="P162">
        <v>82</v>
      </c>
    </row>
    <row r="163" spans="1:16" x14ac:dyDescent="0.35">
      <c r="A163">
        <v>772</v>
      </c>
      <c r="B163" s="1">
        <v>40578</v>
      </c>
      <c r="C163">
        <v>1</v>
      </c>
      <c r="D163">
        <v>0</v>
      </c>
      <c r="E163">
        <v>2</v>
      </c>
      <c r="F163">
        <v>14</v>
      </c>
      <c r="G163">
        <v>0</v>
      </c>
      <c r="H163">
        <v>5</v>
      </c>
      <c r="I163">
        <v>2</v>
      </c>
      <c r="J163">
        <v>0.28000000000000003</v>
      </c>
      <c r="K163">
        <v>0.2727</v>
      </c>
      <c r="L163">
        <v>0.45</v>
      </c>
      <c r="M163">
        <v>0.16420000000000001</v>
      </c>
      <c r="N163">
        <v>15</v>
      </c>
      <c r="O163">
        <v>76</v>
      </c>
      <c r="P163">
        <v>91</v>
      </c>
    </row>
    <row r="164" spans="1:16" x14ac:dyDescent="0.35">
      <c r="A164">
        <v>773</v>
      </c>
      <c r="B164" s="1">
        <v>40578</v>
      </c>
      <c r="C164">
        <v>1</v>
      </c>
      <c r="D164">
        <v>0</v>
      </c>
      <c r="E164">
        <v>2</v>
      </c>
      <c r="F164">
        <v>15</v>
      </c>
      <c r="G164">
        <v>0</v>
      </c>
      <c r="H164">
        <v>5</v>
      </c>
      <c r="I164">
        <v>2</v>
      </c>
      <c r="J164">
        <v>0.28000000000000003</v>
      </c>
      <c r="K164">
        <v>0.2727</v>
      </c>
      <c r="L164">
        <v>0.48</v>
      </c>
      <c r="M164">
        <v>0.25369999999999998</v>
      </c>
      <c r="N164">
        <v>9</v>
      </c>
      <c r="O164">
        <v>81</v>
      </c>
      <c r="P164">
        <v>90</v>
      </c>
    </row>
    <row r="165" spans="1:16" x14ac:dyDescent="0.35">
      <c r="A165">
        <v>774</v>
      </c>
      <c r="B165" s="1">
        <v>40578</v>
      </c>
      <c r="C165">
        <v>1</v>
      </c>
      <c r="D165">
        <v>0</v>
      </c>
      <c r="E165">
        <v>2</v>
      </c>
      <c r="F165">
        <v>16</v>
      </c>
      <c r="G165">
        <v>0</v>
      </c>
      <c r="H165">
        <v>5</v>
      </c>
      <c r="I165">
        <v>2</v>
      </c>
      <c r="J165">
        <v>0.3</v>
      </c>
      <c r="K165">
        <v>0.28789999999999999</v>
      </c>
      <c r="L165">
        <v>0.42</v>
      </c>
      <c r="M165">
        <v>0.22389999999999999</v>
      </c>
      <c r="N165">
        <v>8</v>
      </c>
      <c r="O165">
        <v>91</v>
      </c>
      <c r="P165">
        <v>99</v>
      </c>
    </row>
    <row r="166" spans="1:16" x14ac:dyDescent="0.35">
      <c r="A166">
        <v>775</v>
      </c>
      <c r="B166" s="1">
        <v>40578</v>
      </c>
      <c r="C166">
        <v>1</v>
      </c>
      <c r="D166">
        <v>0</v>
      </c>
      <c r="E166">
        <v>2</v>
      </c>
      <c r="F166">
        <v>17</v>
      </c>
      <c r="G166">
        <v>0</v>
      </c>
      <c r="H166">
        <v>5</v>
      </c>
      <c r="I166">
        <v>2</v>
      </c>
      <c r="J166">
        <v>0.26</v>
      </c>
      <c r="K166">
        <v>0.2727</v>
      </c>
      <c r="L166">
        <v>0.56000000000000005</v>
      </c>
      <c r="M166">
        <v>0.1343</v>
      </c>
      <c r="N166">
        <v>10</v>
      </c>
      <c r="O166">
        <v>195</v>
      </c>
      <c r="P166">
        <v>205</v>
      </c>
    </row>
    <row r="167" spans="1:16" x14ac:dyDescent="0.35">
      <c r="A167">
        <v>776</v>
      </c>
      <c r="B167" s="1">
        <v>40578</v>
      </c>
      <c r="C167">
        <v>1</v>
      </c>
      <c r="D167">
        <v>0</v>
      </c>
      <c r="E167">
        <v>2</v>
      </c>
      <c r="F167">
        <v>18</v>
      </c>
      <c r="G167">
        <v>0</v>
      </c>
      <c r="H167">
        <v>5</v>
      </c>
      <c r="I167">
        <v>2</v>
      </c>
      <c r="J167">
        <v>0.24</v>
      </c>
      <c r="K167">
        <v>0.2576</v>
      </c>
      <c r="L167">
        <v>0.6</v>
      </c>
      <c r="M167">
        <v>0.1045</v>
      </c>
      <c r="N167">
        <v>3</v>
      </c>
      <c r="O167">
        <v>152</v>
      </c>
      <c r="P167">
        <v>155</v>
      </c>
    </row>
    <row r="168" spans="1:16" x14ac:dyDescent="0.35">
      <c r="A168">
        <v>777</v>
      </c>
      <c r="B168" s="1">
        <v>40578</v>
      </c>
      <c r="C168">
        <v>1</v>
      </c>
      <c r="D168">
        <v>0</v>
      </c>
      <c r="E168">
        <v>2</v>
      </c>
      <c r="F168">
        <v>19</v>
      </c>
      <c r="G168">
        <v>0</v>
      </c>
      <c r="H168">
        <v>5</v>
      </c>
      <c r="I168">
        <v>2</v>
      </c>
      <c r="J168">
        <v>0.24</v>
      </c>
      <c r="K168">
        <v>0.2424</v>
      </c>
      <c r="L168">
        <v>0.65</v>
      </c>
      <c r="M168">
        <v>0.1343</v>
      </c>
      <c r="N168">
        <v>1</v>
      </c>
      <c r="O168">
        <v>102</v>
      </c>
      <c r="P168">
        <v>103</v>
      </c>
    </row>
    <row r="169" spans="1:16" x14ac:dyDescent="0.35">
      <c r="A169">
        <v>778</v>
      </c>
      <c r="B169" s="1">
        <v>40578</v>
      </c>
      <c r="C169">
        <v>1</v>
      </c>
      <c r="D169">
        <v>0</v>
      </c>
      <c r="E169">
        <v>2</v>
      </c>
      <c r="F169">
        <v>20</v>
      </c>
      <c r="G169">
        <v>0</v>
      </c>
      <c r="H169">
        <v>5</v>
      </c>
      <c r="I169">
        <v>2</v>
      </c>
      <c r="J169">
        <v>0.24</v>
      </c>
      <c r="K169">
        <v>0.2424</v>
      </c>
      <c r="L169">
        <v>0.65</v>
      </c>
      <c r="M169">
        <v>0.16420000000000001</v>
      </c>
      <c r="N169">
        <v>2</v>
      </c>
      <c r="O169">
        <v>69</v>
      </c>
      <c r="P169">
        <v>71</v>
      </c>
    </row>
    <row r="170" spans="1:16" x14ac:dyDescent="0.35">
      <c r="A170">
        <v>779</v>
      </c>
      <c r="B170" s="1">
        <v>40578</v>
      </c>
      <c r="C170">
        <v>1</v>
      </c>
      <c r="D170">
        <v>0</v>
      </c>
      <c r="E170">
        <v>2</v>
      </c>
      <c r="F170">
        <v>21</v>
      </c>
      <c r="G170">
        <v>0</v>
      </c>
      <c r="H170">
        <v>5</v>
      </c>
      <c r="I170">
        <v>2</v>
      </c>
      <c r="J170">
        <v>0.24</v>
      </c>
      <c r="K170">
        <v>0.2424</v>
      </c>
      <c r="L170">
        <v>0.7</v>
      </c>
      <c r="M170">
        <v>0.16420000000000001</v>
      </c>
      <c r="N170">
        <v>2</v>
      </c>
      <c r="O170">
        <v>41</v>
      </c>
      <c r="P170">
        <v>43</v>
      </c>
    </row>
    <row r="171" spans="1:16" x14ac:dyDescent="0.35">
      <c r="A171">
        <v>780</v>
      </c>
      <c r="B171" s="1">
        <v>40578</v>
      </c>
      <c r="C171">
        <v>1</v>
      </c>
      <c r="D171">
        <v>0</v>
      </c>
      <c r="E171">
        <v>2</v>
      </c>
      <c r="F171">
        <v>22</v>
      </c>
      <c r="G171">
        <v>0</v>
      </c>
      <c r="H171">
        <v>5</v>
      </c>
      <c r="I171">
        <v>2</v>
      </c>
      <c r="J171">
        <v>0.24</v>
      </c>
      <c r="K171">
        <v>0.2424</v>
      </c>
      <c r="L171">
        <v>0.65</v>
      </c>
      <c r="M171">
        <v>0.16420000000000001</v>
      </c>
      <c r="N171">
        <v>1</v>
      </c>
      <c r="O171">
        <v>45</v>
      </c>
      <c r="P171">
        <v>46</v>
      </c>
    </row>
    <row r="172" spans="1:16" x14ac:dyDescent="0.35">
      <c r="A172">
        <v>781</v>
      </c>
      <c r="B172" s="1">
        <v>40578</v>
      </c>
      <c r="C172">
        <v>1</v>
      </c>
      <c r="D172">
        <v>0</v>
      </c>
      <c r="E172">
        <v>2</v>
      </c>
      <c r="F172">
        <v>23</v>
      </c>
      <c r="G172">
        <v>0</v>
      </c>
      <c r="H172">
        <v>5</v>
      </c>
      <c r="I172">
        <v>2</v>
      </c>
      <c r="J172">
        <v>0.24</v>
      </c>
      <c r="K172">
        <v>0.2424</v>
      </c>
      <c r="L172">
        <v>0.7</v>
      </c>
      <c r="M172">
        <v>0.1343</v>
      </c>
      <c r="N172">
        <v>1</v>
      </c>
      <c r="O172">
        <v>30</v>
      </c>
      <c r="P172">
        <v>31</v>
      </c>
    </row>
    <row r="173" spans="1:16" x14ac:dyDescent="0.35">
      <c r="A173">
        <v>782</v>
      </c>
      <c r="B173" s="1">
        <v>40579</v>
      </c>
      <c r="C173">
        <v>1</v>
      </c>
      <c r="D173">
        <v>0</v>
      </c>
      <c r="E173">
        <v>2</v>
      </c>
      <c r="F173">
        <v>0</v>
      </c>
      <c r="G173">
        <v>0</v>
      </c>
      <c r="H173">
        <v>6</v>
      </c>
      <c r="I173">
        <v>2</v>
      </c>
      <c r="J173">
        <v>0.24</v>
      </c>
      <c r="K173">
        <v>0.2424</v>
      </c>
      <c r="L173">
        <v>0.7</v>
      </c>
      <c r="M173">
        <v>0.16420000000000001</v>
      </c>
      <c r="N173">
        <v>3</v>
      </c>
      <c r="O173">
        <v>36</v>
      </c>
      <c r="P173">
        <v>39</v>
      </c>
    </row>
    <row r="174" spans="1:16" x14ac:dyDescent="0.35">
      <c r="A174">
        <v>783</v>
      </c>
      <c r="B174" s="1">
        <v>40579</v>
      </c>
      <c r="C174">
        <v>1</v>
      </c>
      <c r="D174">
        <v>0</v>
      </c>
      <c r="E174">
        <v>2</v>
      </c>
      <c r="F174">
        <v>1</v>
      </c>
      <c r="G174">
        <v>0</v>
      </c>
      <c r="H174">
        <v>6</v>
      </c>
      <c r="I174">
        <v>2</v>
      </c>
      <c r="J174">
        <v>0.24</v>
      </c>
      <c r="K174">
        <v>0.2424</v>
      </c>
      <c r="L174">
        <v>0.65</v>
      </c>
      <c r="M174">
        <v>0.16420000000000001</v>
      </c>
      <c r="N174">
        <v>1</v>
      </c>
      <c r="O174">
        <v>17</v>
      </c>
      <c r="P174">
        <v>18</v>
      </c>
    </row>
    <row r="175" spans="1:16" x14ac:dyDescent="0.35">
      <c r="A175">
        <v>784</v>
      </c>
      <c r="B175" s="1">
        <v>40579</v>
      </c>
      <c r="C175">
        <v>1</v>
      </c>
      <c r="D175">
        <v>0</v>
      </c>
      <c r="E175">
        <v>2</v>
      </c>
      <c r="F175">
        <v>2</v>
      </c>
      <c r="G175">
        <v>0</v>
      </c>
      <c r="H175">
        <v>6</v>
      </c>
      <c r="I175">
        <v>2</v>
      </c>
      <c r="J175">
        <v>0.24</v>
      </c>
      <c r="K175">
        <v>0.2424</v>
      </c>
      <c r="L175">
        <v>0.75</v>
      </c>
      <c r="M175">
        <v>0.16420000000000001</v>
      </c>
      <c r="N175">
        <v>5</v>
      </c>
      <c r="O175">
        <v>12</v>
      </c>
      <c r="P175">
        <v>17</v>
      </c>
    </row>
    <row r="176" spans="1:16" x14ac:dyDescent="0.35">
      <c r="A176">
        <v>785</v>
      </c>
      <c r="B176" s="1">
        <v>40579</v>
      </c>
      <c r="C176">
        <v>1</v>
      </c>
      <c r="D176">
        <v>0</v>
      </c>
      <c r="E176">
        <v>2</v>
      </c>
      <c r="F176">
        <v>3</v>
      </c>
      <c r="G176">
        <v>0</v>
      </c>
      <c r="H176">
        <v>6</v>
      </c>
      <c r="I176">
        <v>2</v>
      </c>
      <c r="J176">
        <v>0.24</v>
      </c>
      <c r="K176">
        <v>0.2424</v>
      </c>
      <c r="L176">
        <v>0.75</v>
      </c>
      <c r="M176">
        <v>0.16420000000000001</v>
      </c>
      <c r="N176">
        <v>1</v>
      </c>
      <c r="O176">
        <v>10</v>
      </c>
      <c r="P176">
        <v>11</v>
      </c>
    </row>
    <row r="177" spans="1:16" x14ac:dyDescent="0.35">
      <c r="A177">
        <v>786</v>
      </c>
      <c r="B177" s="1">
        <v>40579</v>
      </c>
      <c r="C177">
        <v>1</v>
      </c>
      <c r="D177">
        <v>0</v>
      </c>
      <c r="E177">
        <v>2</v>
      </c>
      <c r="F177">
        <v>4</v>
      </c>
      <c r="G177">
        <v>0</v>
      </c>
      <c r="H177">
        <v>6</v>
      </c>
      <c r="I177">
        <v>3</v>
      </c>
      <c r="J177">
        <v>0.22</v>
      </c>
      <c r="K177">
        <v>0.2273</v>
      </c>
      <c r="L177">
        <v>0.93</v>
      </c>
      <c r="M177">
        <v>0.1343</v>
      </c>
      <c r="N177">
        <v>0</v>
      </c>
      <c r="O177">
        <v>8</v>
      </c>
      <c r="P177">
        <v>8</v>
      </c>
    </row>
    <row r="178" spans="1:16" x14ac:dyDescent="0.35">
      <c r="A178">
        <v>787</v>
      </c>
      <c r="B178" s="1">
        <v>40579</v>
      </c>
      <c r="C178">
        <v>1</v>
      </c>
      <c r="D178">
        <v>0</v>
      </c>
      <c r="E178">
        <v>2</v>
      </c>
      <c r="F178">
        <v>5</v>
      </c>
      <c r="G178">
        <v>0</v>
      </c>
      <c r="H178">
        <v>6</v>
      </c>
      <c r="I178">
        <v>3</v>
      </c>
      <c r="J178">
        <v>0.2</v>
      </c>
      <c r="K178">
        <v>0.2273</v>
      </c>
      <c r="L178">
        <v>1</v>
      </c>
      <c r="M178">
        <v>8.9599999999999999E-2</v>
      </c>
      <c r="N178">
        <v>0</v>
      </c>
      <c r="O178">
        <v>9</v>
      </c>
      <c r="P178">
        <v>9</v>
      </c>
    </row>
    <row r="179" spans="1:16" x14ac:dyDescent="0.35">
      <c r="A179">
        <v>788</v>
      </c>
      <c r="B179" s="1">
        <v>40579</v>
      </c>
      <c r="C179">
        <v>1</v>
      </c>
      <c r="D179">
        <v>0</v>
      </c>
      <c r="E179">
        <v>2</v>
      </c>
      <c r="F179">
        <v>6</v>
      </c>
      <c r="G179">
        <v>0</v>
      </c>
      <c r="H179">
        <v>6</v>
      </c>
      <c r="I179">
        <v>3</v>
      </c>
      <c r="J179">
        <v>0.2</v>
      </c>
      <c r="K179">
        <v>0.2576</v>
      </c>
      <c r="L179">
        <v>1</v>
      </c>
      <c r="M179">
        <v>0</v>
      </c>
      <c r="N179">
        <v>0</v>
      </c>
      <c r="O179">
        <v>4</v>
      </c>
      <c r="P179">
        <v>4</v>
      </c>
    </row>
    <row r="180" spans="1:16" x14ac:dyDescent="0.35">
      <c r="A180">
        <v>789</v>
      </c>
      <c r="B180" s="1">
        <v>40579</v>
      </c>
      <c r="C180">
        <v>1</v>
      </c>
      <c r="D180">
        <v>0</v>
      </c>
      <c r="E180">
        <v>2</v>
      </c>
      <c r="F180">
        <v>7</v>
      </c>
      <c r="G180">
        <v>0</v>
      </c>
      <c r="H180">
        <v>6</v>
      </c>
      <c r="I180">
        <v>3</v>
      </c>
      <c r="J180">
        <v>0.22</v>
      </c>
      <c r="K180">
        <v>0.2576</v>
      </c>
      <c r="L180">
        <v>0.93</v>
      </c>
      <c r="M180">
        <v>8.9599999999999999E-2</v>
      </c>
      <c r="N180">
        <v>0</v>
      </c>
      <c r="O180">
        <v>4</v>
      </c>
      <c r="P180">
        <v>4</v>
      </c>
    </row>
    <row r="181" spans="1:16" x14ac:dyDescent="0.35">
      <c r="A181">
        <v>790</v>
      </c>
      <c r="B181" s="1">
        <v>40579</v>
      </c>
      <c r="C181">
        <v>1</v>
      </c>
      <c r="D181">
        <v>0</v>
      </c>
      <c r="E181">
        <v>2</v>
      </c>
      <c r="F181">
        <v>8</v>
      </c>
      <c r="G181">
        <v>0</v>
      </c>
      <c r="H181">
        <v>6</v>
      </c>
      <c r="I181">
        <v>3</v>
      </c>
      <c r="J181">
        <v>0.2</v>
      </c>
      <c r="K181">
        <v>0.2273</v>
      </c>
      <c r="L181">
        <v>1</v>
      </c>
      <c r="M181">
        <v>8.9599999999999999E-2</v>
      </c>
      <c r="N181">
        <v>0</v>
      </c>
      <c r="O181">
        <v>10</v>
      </c>
      <c r="P181">
        <v>10</v>
      </c>
    </row>
    <row r="182" spans="1:16" x14ac:dyDescent="0.35">
      <c r="A182">
        <v>791</v>
      </c>
      <c r="B182" s="1">
        <v>40579</v>
      </c>
      <c r="C182">
        <v>1</v>
      </c>
      <c r="D182">
        <v>0</v>
      </c>
      <c r="E182">
        <v>2</v>
      </c>
      <c r="F182">
        <v>9</v>
      </c>
      <c r="G182">
        <v>0</v>
      </c>
      <c r="H182">
        <v>6</v>
      </c>
      <c r="I182">
        <v>3</v>
      </c>
      <c r="J182">
        <v>0.2</v>
      </c>
      <c r="K182">
        <v>0.2273</v>
      </c>
      <c r="L182">
        <v>1</v>
      </c>
      <c r="M182">
        <v>8.9599999999999999E-2</v>
      </c>
      <c r="N182">
        <v>3</v>
      </c>
      <c r="O182">
        <v>17</v>
      </c>
      <c r="P182">
        <v>20</v>
      </c>
    </row>
    <row r="183" spans="1:16" x14ac:dyDescent="0.35">
      <c r="A183">
        <v>792</v>
      </c>
      <c r="B183" s="1">
        <v>40579</v>
      </c>
      <c r="C183">
        <v>1</v>
      </c>
      <c r="D183">
        <v>0</v>
      </c>
      <c r="E183">
        <v>2</v>
      </c>
      <c r="F183">
        <v>10</v>
      </c>
      <c r="G183">
        <v>0</v>
      </c>
      <c r="H183">
        <v>6</v>
      </c>
      <c r="I183">
        <v>3</v>
      </c>
      <c r="J183">
        <v>0.2</v>
      </c>
      <c r="K183">
        <v>0.21210000000000001</v>
      </c>
      <c r="L183">
        <v>1</v>
      </c>
      <c r="M183">
        <v>0.1343</v>
      </c>
      <c r="N183">
        <v>3</v>
      </c>
      <c r="O183">
        <v>31</v>
      </c>
      <c r="P183">
        <v>34</v>
      </c>
    </row>
    <row r="184" spans="1:16" x14ac:dyDescent="0.35">
      <c r="A184">
        <v>793</v>
      </c>
      <c r="B184" s="1">
        <v>40579</v>
      </c>
      <c r="C184">
        <v>1</v>
      </c>
      <c r="D184">
        <v>0</v>
      </c>
      <c r="E184">
        <v>2</v>
      </c>
      <c r="F184">
        <v>11</v>
      </c>
      <c r="G184">
        <v>0</v>
      </c>
      <c r="H184">
        <v>6</v>
      </c>
      <c r="I184">
        <v>3</v>
      </c>
      <c r="J184">
        <v>0.22</v>
      </c>
      <c r="K184">
        <v>0.2273</v>
      </c>
      <c r="L184">
        <v>1</v>
      </c>
      <c r="M184">
        <v>0.1343</v>
      </c>
      <c r="N184">
        <v>1</v>
      </c>
      <c r="O184">
        <v>46</v>
      </c>
      <c r="P184">
        <v>47</v>
      </c>
    </row>
    <row r="185" spans="1:16" x14ac:dyDescent="0.35">
      <c r="A185">
        <v>794</v>
      </c>
      <c r="B185" s="1">
        <v>40579</v>
      </c>
      <c r="C185">
        <v>1</v>
      </c>
      <c r="D185">
        <v>0</v>
      </c>
      <c r="E185">
        <v>2</v>
      </c>
      <c r="F185">
        <v>12</v>
      </c>
      <c r="G185">
        <v>0</v>
      </c>
      <c r="H185">
        <v>6</v>
      </c>
      <c r="I185">
        <v>3</v>
      </c>
      <c r="J185">
        <v>0.22</v>
      </c>
      <c r="K185">
        <v>0.2273</v>
      </c>
      <c r="L185">
        <v>1</v>
      </c>
      <c r="M185">
        <v>0.16420000000000001</v>
      </c>
      <c r="N185">
        <v>10</v>
      </c>
      <c r="O185">
        <v>42</v>
      </c>
      <c r="P185">
        <v>52</v>
      </c>
    </row>
    <row r="186" spans="1:16" x14ac:dyDescent="0.35">
      <c r="A186">
        <v>795</v>
      </c>
      <c r="B186" s="1">
        <v>40579</v>
      </c>
      <c r="C186">
        <v>1</v>
      </c>
      <c r="D186">
        <v>0</v>
      </c>
      <c r="E186">
        <v>2</v>
      </c>
      <c r="F186">
        <v>13</v>
      </c>
      <c r="G186">
        <v>0</v>
      </c>
      <c r="H186">
        <v>6</v>
      </c>
      <c r="I186">
        <v>3</v>
      </c>
      <c r="J186">
        <v>0.22</v>
      </c>
      <c r="K186">
        <v>0.2273</v>
      </c>
      <c r="L186">
        <v>1</v>
      </c>
      <c r="M186">
        <v>0.16420000000000001</v>
      </c>
      <c r="N186">
        <v>10</v>
      </c>
      <c r="O186">
        <v>62</v>
      </c>
      <c r="P186">
        <v>72</v>
      </c>
    </row>
    <row r="187" spans="1:16" x14ac:dyDescent="0.35">
      <c r="A187">
        <v>796</v>
      </c>
      <c r="B187" s="1">
        <v>40579</v>
      </c>
      <c r="C187">
        <v>1</v>
      </c>
      <c r="D187">
        <v>0</v>
      </c>
      <c r="E187">
        <v>2</v>
      </c>
      <c r="F187">
        <v>14</v>
      </c>
      <c r="G187">
        <v>0</v>
      </c>
      <c r="H187">
        <v>6</v>
      </c>
      <c r="I187">
        <v>3</v>
      </c>
      <c r="J187">
        <v>0.22</v>
      </c>
      <c r="K187">
        <v>0.2727</v>
      </c>
      <c r="L187">
        <v>1</v>
      </c>
      <c r="M187">
        <v>0</v>
      </c>
      <c r="N187">
        <v>5</v>
      </c>
      <c r="O187">
        <v>50</v>
      </c>
      <c r="P187">
        <v>55</v>
      </c>
    </row>
    <row r="188" spans="1:16" x14ac:dyDescent="0.35">
      <c r="A188">
        <v>797</v>
      </c>
      <c r="B188" s="1">
        <v>40579</v>
      </c>
      <c r="C188">
        <v>1</v>
      </c>
      <c r="D188">
        <v>0</v>
      </c>
      <c r="E188">
        <v>2</v>
      </c>
      <c r="F188">
        <v>15</v>
      </c>
      <c r="G188">
        <v>0</v>
      </c>
      <c r="H188">
        <v>6</v>
      </c>
      <c r="I188">
        <v>3</v>
      </c>
      <c r="J188">
        <v>0.22</v>
      </c>
      <c r="K188">
        <v>0.2727</v>
      </c>
      <c r="L188">
        <v>1</v>
      </c>
      <c r="M188">
        <v>0</v>
      </c>
      <c r="N188">
        <v>11</v>
      </c>
      <c r="O188">
        <v>49</v>
      </c>
      <c r="P188">
        <v>60</v>
      </c>
    </row>
    <row r="189" spans="1:16" x14ac:dyDescent="0.35">
      <c r="A189">
        <v>798</v>
      </c>
      <c r="B189" s="1">
        <v>40579</v>
      </c>
      <c r="C189">
        <v>1</v>
      </c>
      <c r="D189">
        <v>0</v>
      </c>
      <c r="E189">
        <v>2</v>
      </c>
      <c r="F189">
        <v>16</v>
      </c>
      <c r="G189">
        <v>0</v>
      </c>
      <c r="H189">
        <v>6</v>
      </c>
      <c r="I189">
        <v>3</v>
      </c>
      <c r="J189">
        <v>0.22</v>
      </c>
      <c r="K189">
        <v>0.2273</v>
      </c>
      <c r="L189">
        <v>1</v>
      </c>
      <c r="M189">
        <v>0.1343</v>
      </c>
      <c r="N189">
        <v>8</v>
      </c>
      <c r="O189">
        <v>63</v>
      </c>
      <c r="P189">
        <v>71</v>
      </c>
    </row>
    <row r="190" spans="1:16" x14ac:dyDescent="0.35">
      <c r="A190">
        <v>799</v>
      </c>
      <c r="B190" s="1">
        <v>40579</v>
      </c>
      <c r="C190">
        <v>1</v>
      </c>
      <c r="D190">
        <v>0</v>
      </c>
      <c r="E190">
        <v>2</v>
      </c>
      <c r="F190">
        <v>17</v>
      </c>
      <c r="G190">
        <v>0</v>
      </c>
      <c r="H190">
        <v>6</v>
      </c>
      <c r="I190">
        <v>2</v>
      </c>
      <c r="J190">
        <v>0.24</v>
      </c>
      <c r="K190">
        <v>0.21210000000000001</v>
      </c>
      <c r="L190">
        <v>1</v>
      </c>
      <c r="M190">
        <v>0.28360000000000002</v>
      </c>
      <c r="N190">
        <v>14</v>
      </c>
      <c r="O190">
        <v>64</v>
      </c>
      <c r="P190">
        <v>78</v>
      </c>
    </row>
    <row r="191" spans="1:16" x14ac:dyDescent="0.35">
      <c r="A191">
        <v>800</v>
      </c>
      <c r="B191" s="1">
        <v>40579</v>
      </c>
      <c r="C191">
        <v>1</v>
      </c>
      <c r="D191">
        <v>0</v>
      </c>
      <c r="E191">
        <v>2</v>
      </c>
      <c r="F191">
        <v>18</v>
      </c>
      <c r="G191">
        <v>0</v>
      </c>
      <c r="H191">
        <v>6</v>
      </c>
      <c r="I191">
        <v>2</v>
      </c>
      <c r="J191">
        <v>0.28000000000000003</v>
      </c>
      <c r="K191">
        <v>0.2424</v>
      </c>
      <c r="L191">
        <v>0.93</v>
      </c>
      <c r="M191">
        <v>0.44779999999999998</v>
      </c>
      <c r="N191">
        <v>2</v>
      </c>
      <c r="O191">
        <v>81</v>
      </c>
      <c r="P191">
        <v>83</v>
      </c>
    </row>
    <row r="192" spans="1:16" x14ac:dyDescent="0.35">
      <c r="A192">
        <v>801</v>
      </c>
      <c r="B192" s="1">
        <v>40579</v>
      </c>
      <c r="C192">
        <v>1</v>
      </c>
      <c r="D192">
        <v>0</v>
      </c>
      <c r="E192">
        <v>2</v>
      </c>
      <c r="F192">
        <v>19</v>
      </c>
      <c r="G192">
        <v>0</v>
      </c>
      <c r="H192">
        <v>6</v>
      </c>
      <c r="I192">
        <v>2</v>
      </c>
      <c r="J192">
        <v>0.28000000000000003</v>
      </c>
      <c r="K192">
        <v>0.2424</v>
      </c>
      <c r="L192">
        <v>0.93</v>
      </c>
      <c r="M192">
        <v>0.44779999999999998</v>
      </c>
      <c r="N192">
        <v>6</v>
      </c>
      <c r="O192">
        <v>78</v>
      </c>
      <c r="P192">
        <v>84</v>
      </c>
    </row>
    <row r="193" spans="1:16" x14ac:dyDescent="0.35">
      <c r="A193">
        <v>802</v>
      </c>
      <c r="B193" s="1">
        <v>40579</v>
      </c>
      <c r="C193">
        <v>1</v>
      </c>
      <c r="D193">
        <v>0</v>
      </c>
      <c r="E193">
        <v>2</v>
      </c>
      <c r="F193">
        <v>20</v>
      </c>
      <c r="G193">
        <v>0</v>
      </c>
      <c r="H193">
        <v>6</v>
      </c>
      <c r="I193">
        <v>1</v>
      </c>
      <c r="J193">
        <v>0.3</v>
      </c>
      <c r="K193">
        <v>0.28789999999999999</v>
      </c>
      <c r="L193">
        <v>0.87</v>
      </c>
      <c r="M193">
        <v>0.25369999999999998</v>
      </c>
      <c r="N193">
        <v>5</v>
      </c>
      <c r="O193">
        <v>64</v>
      </c>
      <c r="P193">
        <v>69</v>
      </c>
    </row>
    <row r="194" spans="1:16" x14ac:dyDescent="0.35">
      <c r="A194">
        <v>803</v>
      </c>
      <c r="B194" s="1">
        <v>40579</v>
      </c>
      <c r="C194">
        <v>1</v>
      </c>
      <c r="D194">
        <v>0</v>
      </c>
      <c r="E194">
        <v>2</v>
      </c>
      <c r="F194">
        <v>21</v>
      </c>
      <c r="G194">
        <v>0</v>
      </c>
      <c r="H194">
        <v>6</v>
      </c>
      <c r="I194">
        <v>1</v>
      </c>
      <c r="J194">
        <v>0.26</v>
      </c>
      <c r="K194">
        <v>0.2576</v>
      </c>
      <c r="L194">
        <v>1</v>
      </c>
      <c r="M194">
        <v>0.19400000000000001</v>
      </c>
      <c r="N194">
        <v>3</v>
      </c>
      <c r="O194">
        <v>53</v>
      </c>
      <c r="P194">
        <v>56</v>
      </c>
    </row>
    <row r="195" spans="1:16" x14ac:dyDescent="0.35">
      <c r="A195">
        <v>804</v>
      </c>
      <c r="B195" s="1">
        <v>40579</v>
      </c>
      <c r="C195">
        <v>1</v>
      </c>
      <c r="D195">
        <v>0</v>
      </c>
      <c r="E195">
        <v>2</v>
      </c>
      <c r="F195">
        <v>22</v>
      </c>
      <c r="G195">
        <v>0</v>
      </c>
      <c r="H195">
        <v>6</v>
      </c>
      <c r="I195">
        <v>1</v>
      </c>
      <c r="J195">
        <v>0.26</v>
      </c>
      <c r="K195">
        <v>0.2727</v>
      </c>
      <c r="L195">
        <v>0.93</v>
      </c>
      <c r="M195">
        <v>0.1343</v>
      </c>
      <c r="N195">
        <v>2</v>
      </c>
      <c r="O195">
        <v>43</v>
      </c>
      <c r="P195">
        <v>45</v>
      </c>
    </row>
    <row r="196" spans="1:16" x14ac:dyDescent="0.35">
      <c r="A196">
        <v>805</v>
      </c>
      <c r="B196" s="1">
        <v>40579</v>
      </c>
      <c r="C196">
        <v>1</v>
      </c>
      <c r="D196">
        <v>0</v>
      </c>
      <c r="E196">
        <v>2</v>
      </c>
      <c r="F196">
        <v>23</v>
      </c>
      <c r="G196">
        <v>0</v>
      </c>
      <c r="H196">
        <v>6</v>
      </c>
      <c r="I196">
        <v>1</v>
      </c>
      <c r="J196">
        <v>0.26</v>
      </c>
      <c r="K196">
        <v>0.2576</v>
      </c>
      <c r="L196">
        <v>0.93</v>
      </c>
      <c r="M196">
        <v>0.22389999999999999</v>
      </c>
      <c r="N196">
        <v>7</v>
      </c>
      <c r="O196">
        <v>52</v>
      </c>
      <c r="P196">
        <v>59</v>
      </c>
    </row>
    <row r="197" spans="1:16" x14ac:dyDescent="0.35">
      <c r="A197">
        <v>806</v>
      </c>
      <c r="B197" s="1">
        <v>40580</v>
      </c>
      <c r="C197">
        <v>1</v>
      </c>
      <c r="D197">
        <v>0</v>
      </c>
      <c r="E197">
        <v>2</v>
      </c>
      <c r="F197">
        <v>0</v>
      </c>
      <c r="G197">
        <v>0</v>
      </c>
      <c r="H197">
        <v>0</v>
      </c>
      <c r="I197">
        <v>1</v>
      </c>
      <c r="J197">
        <v>0.26</v>
      </c>
      <c r="K197">
        <v>0.2576</v>
      </c>
      <c r="L197">
        <v>0.7</v>
      </c>
      <c r="M197">
        <v>0.19400000000000001</v>
      </c>
      <c r="N197">
        <v>2</v>
      </c>
      <c r="O197">
        <v>37</v>
      </c>
      <c r="P197">
        <v>39</v>
      </c>
    </row>
    <row r="198" spans="1:16" x14ac:dyDescent="0.35">
      <c r="A198">
        <v>807</v>
      </c>
      <c r="B198" s="1">
        <v>40580</v>
      </c>
      <c r="C198">
        <v>1</v>
      </c>
      <c r="D198">
        <v>0</v>
      </c>
      <c r="E198">
        <v>2</v>
      </c>
      <c r="F198">
        <v>1</v>
      </c>
      <c r="G198">
        <v>0</v>
      </c>
      <c r="H198">
        <v>0</v>
      </c>
      <c r="I198">
        <v>1</v>
      </c>
      <c r="J198">
        <v>0.26</v>
      </c>
      <c r="K198">
        <v>0.2273</v>
      </c>
      <c r="L198">
        <v>0.65</v>
      </c>
      <c r="M198">
        <v>0.41789999999999999</v>
      </c>
      <c r="N198">
        <v>4</v>
      </c>
      <c r="O198">
        <v>40</v>
      </c>
      <c r="P198">
        <v>44</v>
      </c>
    </row>
    <row r="199" spans="1:16" x14ac:dyDescent="0.35">
      <c r="A199">
        <v>808</v>
      </c>
      <c r="B199" s="1">
        <v>40580</v>
      </c>
      <c r="C199">
        <v>1</v>
      </c>
      <c r="D199">
        <v>0</v>
      </c>
      <c r="E199">
        <v>2</v>
      </c>
      <c r="F199">
        <v>2</v>
      </c>
      <c r="G199">
        <v>0</v>
      </c>
      <c r="H199">
        <v>0</v>
      </c>
      <c r="I199">
        <v>1</v>
      </c>
      <c r="J199">
        <v>0.26</v>
      </c>
      <c r="K199">
        <v>0.2273</v>
      </c>
      <c r="L199">
        <v>0.6</v>
      </c>
      <c r="M199">
        <v>0.32840000000000003</v>
      </c>
      <c r="N199">
        <v>0</v>
      </c>
      <c r="O199">
        <v>20</v>
      </c>
      <c r="P199">
        <v>20</v>
      </c>
    </row>
    <row r="200" spans="1:16" x14ac:dyDescent="0.35">
      <c r="A200">
        <v>809</v>
      </c>
      <c r="B200" s="1">
        <v>40580</v>
      </c>
      <c r="C200">
        <v>1</v>
      </c>
      <c r="D200">
        <v>0</v>
      </c>
      <c r="E200">
        <v>2</v>
      </c>
      <c r="F200">
        <v>3</v>
      </c>
      <c r="G200">
        <v>0</v>
      </c>
      <c r="H200">
        <v>0</v>
      </c>
      <c r="I200">
        <v>1</v>
      </c>
      <c r="J200">
        <v>0.26</v>
      </c>
      <c r="K200">
        <v>0.28789999999999999</v>
      </c>
      <c r="L200">
        <v>0.6</v>
      </c>
      <c r="M200">
        <v>8.9599999999999999E-2</v>
      </c>
      <c r="N200">
        <v>3</v>
      </c>
      <c r="O200">
        <v>10</v>
      </c>
      <c r="P200">
        <v>13</v>
      </c>
    </row>
    <row r="201" spans="1:16" x14ac:dyDescent="0.35">
      <c r="A201">
        <v>810</v>
      </c>
      <c r="B201" s="1">
        <v>40580</v>
      </c>
      <c r="C201">
        <v>1</v>
      </c>
      <c r="D201">
        <v>0</v>
      </c>
      <c r="E201">
        <v>2</v>
      </c>
      <c r="F201">
        <v>4</v>
      </c>
      <c r="G201">
        <v>0</v>
      </c>
      <c r="H201">
        <v>0</v>
      </c>
      <c r="I201">
        <v>1</v>
      </c>
      <c r="J201">
        <v>0.26</v>
      </c>
      <c r="K201">
        <v>0.2273</v>
      </c>
      <c r="L201">
        <v>0.6</v>
      </c>
      <c r="M201">
        <v>0.35820000000000002</v>
      </c>
      <c r="N201">
        <v>0</v>
      </c>
      <c r="O201">
        <v>2</v>
      </c>
      <c r="P201">
        <v>2</v>
      </c>
    </row>
    <row r="202" spans="1:16" x14ac:dyDescent="0.35">
      <c r="A202">
        <v>811</v>
      </c>
      <c r="B202" s="1">
        <v>40580</v>
      </c>
      <c r="C202">
        <v>1</v>
      </c>
      <c r="D202">
        <v>0</v>
      </c>
      <c r="E202">
        <v>2</v>
      </c>
      <c r="F202">
        <v>5</v>
      </c>
      <c r="G202">
        <v>0</v>
      </c>
      <c r="H202">
        <v>0</v>
      </c>
      <c r="I202">
        <v>1</v>
      </c>
      <c r="J202">
        <v>0.26</v>
      </c>
      <c r="K202">
        <v>0.2576</v>
      </c>
      <c r="L202">
        <v>0.6</v>
      </c>
      <c r="M202">
        <v>0.22389999999999999</v>
      </c>
      <c r="N202">
        <v>0</v>
      </c>
      <c r="O202">
        <v>1</v>
      </c>
      <c r="P202">
        <v>1</v>
      </c>
    </row>
    <row r="203" spans="1:16" x14ac:dyDescent="0.35">
      <c r="A203">
        <v>812</v>
      </c>
      <c r="B203" s="1">
        <v>40580</v>
      </c>
      <c r="C203">
        <v>1</v>
      </c>
      <c r="D203">
        <v>0</v>
      </c>
      <c r="E203">
        <v>2</v>
      </c>
      <c r="F203">
        <v>6</v>
      </c>
      <c r="G203">
        <v>0</v>
      </c>
      <c r="H203">
        <v>0</v>
      </c>
      <c r="I203">
        <v>1</v>
      </c>
      <c r="J203">
        <v>0.26</v>
      </c>
      <c r="K203">
        <v>0.2576</v>
      </c>
      <c r="L203">
        <v>0.6</v>
      </c>
      <c r="M203">
        <v>0.22389999999999999</v>
      </c>
      <c r="N203">
        <v>0</v>
      </c>
      <c r="O203">
        <v>1</v>
      </c>
      <c r="P203">
        <v>1</v>
      </c>
    </row>
    <row r="204" spans="1:16" x14ac:dyDescent="0.35">
      <c r="A204">
        <v>813</v>
      </c>
      <c r="B204" s="1">
        <v>40580</v>
      </c>
      <c r="C204">
        <v>1</v>
      </c>
      <c r="D204">
        <v>0</v>
      </c>
      <c r="E204">
        <v>2</v>
      </c>
      <c r="F204">
        <v>7</v>
      </c>
      <c r="G204">
        <v>0</v>
      </c>
      <c r="H204">
        <v>0</v>
      </c>
      <c r="I204">
        <v>1</v>
      </c>
      <c r="J204">
        <v>0.24</v>
      </c>
      <c r="K204">
        <v>0.2424</v>
      </c>
      <c r="L204">
        <v>0.65</v>
      </c>
      <c r="M204">
        <v>0.16420000000000001</v>
      </c>
      <c r="N204">
        <v>0</v>
      </c>
      <c r="O204">
        <v>8</v>
      </c>
      <c r="P204">
        <v>8</v>
      </c>
    </row>
    <row r="205" spans="1:16" x14ac:dyDescent="0.35">
      <c r="A205">
        <v>814</v>
      </c>
      <c r="B205" s="1">
        <v>40580</v>
      </c>
      <c r="C205">
        <v>1</v>
      </c>
      <c r="D205">
        <v>0</v>
      </c>
      <c r="E205">
        <v>2</v>
      </c>
      <c r="F205">
        <v>8</v>
      </c>
      <c r="G205">
        <v>0</v>
      </c>
      <c r="H205">
        <v>0</v>
      </c>
      <c r="I205">
        <v>1</v>
      </c>
      <c r="J205">
        <v>0.24</v>
      </c>
      <c r="K205">
        <v>0.2576</v>
      </c>
      <c r="L205">
        <v>0.65</v>
      </c>
      <c r="M205">
        <v>0.1045</v>
      </c>
      <c r="N205">
        <v>2</v>
      </c>
      <c r="O205">
        <v>21</v>
      </c>
      <c r="P205">
        <v>23</v>
      </c>
    </row>
    <row r="206" spans="1:16" x14ac:dyDescent="0.35">
      <c r="A206">
        <v>815</v>
      </c>
      <c r="B206" s="1">
        <v>40580</v>
      </c>
      <c r="C206">
        <v>1</v>
      </c>
      <c r="D206">
        <v>0</v>
      </c>
      <c r="E206">
        <v>2</v>
      </c>
      <c r="F206">
        <v>9</v>
      </c>
      <c r="G206">
        <v>0</v>
      </c>
      <c r="H206">
        <v>0</v>
      </c>
      <c r="I206">
        <v>1</v>
      </c>
      <c r="J206">
        <v>0.28000000000000003</v>
      </c>
      <c r="K206">
        <v>0.28789999999999999</v>
      </c>
      <c r="L206">
        <v>0.56000000000000005</v>
      </c>
      <c r="M206">
        <v>0.1045</v>
      </c>
      <c r="N206">
        <v>7</v>
      </c>
      <c r="O206">
        <v>38</v>
      </c>
      <c r="P206">
        <v>45</v>
      </c>
    </row>
    <row r="207" spans="1:16" x14ac:dyDescent="0.35">
      <c r="A207">
        <v>816</v>
      </c>
      <c r="B207" s="1">
        <v>40580</v>
      </c>
      <c r="C207">
        <v>1</v>
      </c>
      <c r="D207">
        <v>0</v>
      </c>
      <c r="E207">
        <v>2</v>
      </c>
      <c r="F207">
        <v>10</v>
      </c>
      <c r="G207">
        <v>0</v>
      </c>
      <c r="H207">
        <v>0</v>
      </c>
      <c r="I207">
        <v>1</v>
      </c>
      <c r="J207">
        <v>0.3</v>
      </c>
      <c r="K207">
        <v>0.28789999999999999</v>
      </c>
      <c r="L207">
        <v>0.52</v>
      </c>
      <c r="M207">
        <v>0.25369999999999998</v>
      </c>
      <c r="N207">
        <v>15</v>
      </c>
      <c r="O207">
        <v>74</v>
      </c>
      <c r="P207">
        <v>89</v>
      </c>
    </row>
    <row r="208" spans="1:16" x14ac:dyDescent="0.35">
      <c r="A208">
        <v>817</v>
      </c>
      <c r="B208" s="1">
        <v>40580</v>
      </c>
      <c r="C208">
        <v>1</v>
      </c>
      <c r="D208">
        <v>0</v>
      </c>
      <c r="E208">
        <v>2</v>
      </c>
      <c r="F208">
        <v>11</v>
      </c>
      <c r="G208">
        <v>0</v>
      </c>
      <c r="H208">
        <v>0</v>
      </c>
      <c r="I208">
        <v>1</v>
      </c>
      <c r="J208">
        <v>0.32</v>
      </c>
      <c r="K208">
        <v>0.30299999999999999</v>
      </c>
      <c r="L208">
        <v>0.49</v>
      </c>
      <c r="M208">
        <v>0.25369999999999998</v>
      </c>
      <c r="N208">
        <v>28</v>
      </c>
      <c r="O208">
        <v>89</v>
      </c>
      <c r="P208">
        <v>117</v>
      </c>
    </row>
    <row r="209" spans="1:16" x14ac:dyDescent="0.35">
      <c r="A209">
        <v>818</v>
      </c>
      <c r="B209" s="1">
        <v>40580</v>
      </c>
      <c r="C209">
        <v>1</v>
      </c>
      <c r="D209">
        <v>0</v>
      </c>
      <c r="E209">
        <v>2</v>
      </c>
      <c r="F209">
        <v>12</v>
      </c>
      <c r="G209">
        <v>0</v>
      </c>
      <c r="H209">
        <v>0</v>
      </c>
      <c r="I209">
        <v>1</v>
      </c>
      <c r="J209">
        <v>0.34</v>
      </c>
      <c r="K209">
        <v>0.33329999999999999</v>
      </c>
      <c r="L209">
        <v>0.46</v>
      </c>
      <c r="M209">
        <v>0</v>
      </c>
      <c r="N209">
        <v>48</v>
      </c>
      <c r="O209">
        <v>126</v>
      </c>
      <c r="P209">
        <v>174</v>
      </c>
    </row>
    <row r="210" spans="1:16" x14ac:dyDescent="0.35">
      <c r="A210">
        <v>819</v>
      </c>
      <c r="B210" s="1">
        <v>40580</v>
      </c>
      <c r="C210">
        <v>1</v>
      </c>
      <c r="D210">
        <v>0</v>
      </c>
      <c r="E210">
        <v>2</v>
      </c>
      <c r="F210">
        <v>13</v>
      </c>
      <c r="G210">
        <v>0</v>
      </c>
      <c r="H210">
        <v>0</v>
      </c>
      <c r="I210">
        <v>1</v>
      </c>
      <c r="J210">
        <v>0.34</v>
      </c>
      <c r="K210">
        <v>0.36359999999999998</v>
      </c>
      <c r="L210">
        <v>0.46</v>
      </c>
      <c r="M210">
        <v>0</v>
      </c>
      <c r="N210">
        <v>47</v>
      </c>
      <c r="O210">
        <v>135</v>
      </c>
      <c r="P210">
        <v>182</v>
      </c>
    </row>
    <row r="211" spans="1:16" x14ac:dyDescent="0.35">
      <c r="A211">
        <v>820</v>
      </c>
      <c r="B211" s="1">
        <v>40580</v>
      </c>
      <c r="C211">
        <v>1</v>
      </c>
      <c r="D211">
        <v>0</v>
      </c>
      <c r="E211">
        <v>2</v>
      </c>
      <c r="F211">
        <v>14</v>
      </c>
      <c r="G211">
        <v>0</v>
      </c>
      <c r="H211">
        <v>0</v>
      </c>
      <c r="I211">
        <v>1</v>
      </c>
      <c r="J211">
        <v>0.34</v>
      </c>
      <c r="K211">
        <v>0.34849999999999998</v>
      </c>
      <c r="L211">
        <v>0.46</v>
      </c>
      <c r="M211">
        <v>8.9599999999999999E-2</v>
      </c>
      <c r="N211">
        <v>47</v>
      </c>
      <c r="O211">
        <v>114</v>
      </c>
      <c r="P211">
        <v>161</v>
      </c>
    </row>
    <row r="212" spans="1:16" x14ac:dyDescent="0.35">
      <c r="A212">
        <v>821</v>
      </c>
      <c r="B212" s="1">
        <v>40580</v>
      </c>
      <c r="C212">
        <v>1</v>
      </c>
      <c r="D212">
        <v>0</v>
      </c>
      <c r="E212">
        <v>2</v>
      </c>
      <c r="F212">
        <v>15</v>
      </c>
      <c r="G212">
        <v>0</v>
      </c>
      <c r="H212">
        <v>0</v>
      </c>
      <c r="I212">
        <v>1</v>
      </c>
      <c r="J212">
        <v>0.34</v>
      </c>
      <c r="K212">
        <v>0.34849999999999998</v>
      </c>
      <c r="L212">
        <v>0.46</v>
      </c>
      <c r="M212">
        <v>8.9599999999999999E-2</v>
      </c>
      <c r="N212">
        <v>52</v>
      </c>
      <c r="O212">
        <v>130</v>
      </c>
      <c r="P212">
        <v>182</v>
      </c>
    </row>
    <row r="213" spans="1:16" x14ac:dyDescent="0.35">
      <c r="A213">
        <v>822</v>
      </c>
      <c r="B213" s="1">
        <v>40580</v>
      </c>
      <c r="C213">
        <v>1</v>
      </c>
      <c r="D213">
        <v>0</v>
      </c>
      <c r="E213">
        <v>2</v>
      </c>
      <c r="F213">
        <v>16</v>
      </c>
      <c r="G213">
        <v>0</v>
      </c>
      <c r="H213">
        <v>0</v>
      </c>
      <c r="I213">
        <v>1</v>
      </c>
      <c r="J213">
        <v>0.34</v>
      </c>
      <c r="K213">
        <v>0.34849999999999998</v>
      </c>
      <c r="L213">
        <v>0.49</v>
      </c>
      <c r="M213">
        <v>0.1045</v>
      </c>
      <c r="N213">
        <v>42</v>
      </c>
      <c r="O213">
        <v>115</v>
      </c>
      <c r="P213">
        <v>157</v>
      </c>
    </row>
    <row r="214" spans="1:16" x14ac:dyDescent="0.35">
      <c r="A214">
        <v>823</v>
      </c>
      <c r="B214" s="1">
        <v>40580</v>
      </c>
      <c r="C214">
        <v>1</v>
      </c>
      <c r="D214">
        <v>0</v>
      </c>
      <c r="E214">
        <v>2</v>
      </c>
      <c r="F214">
        <v>17</v>
      </c>
      <c r="G214">
        <v>0</v>
      </c>
      <c r="H214">
        <v>0</v>
      </c>
      <c r="I214">
        <v>1</v>
      </c>
      <c r="J214">
        <v>0.34</v>
      </c>
      <c r="K214">
        <v>0.36359999999999998</v>
      </c>
      <c r="L214">
        <v>0.46</v>
      </c>
      <c r="M214">
        <v>0</v>
      </c>
      <c r="N214">
        <v>24</v>
      </c>
      <c r="O214">
        <v>97</v>
      </c>
      <c r="P214">
        <v>121</v>
      </c>
    </row>
    <row r="215" spans="1:16" x14ac:dyDescent="0.35">
      <c r="A215">
        <v>824</v>
      </c>
      <c r="B215" s="1">
        <v>40580</v>
      </c>
      <c r="C215">
        <v>1</v>
      </c>
      <c r="D215">
        <v>0</v>
      </c>
      <c r="E215">
        <v>2</v>
      </c>
      <c r="F215">
        <v>18</v>
      </c>
      <c r="G215">
        <v>0</v>
      </c>
      <c r="H215">
        <v>0</v>
      </c>
      <c r="I215">
        <v>1</v>
      </c>
      <c r="J215">
        <v>0.3</v>
      </c>
      <c r="K215">
        <v>0.30299999999999999</v>
      </c>
      <c r="L215">
        <v>0.56000000000000005</v>
      </c>
      <c r="M215">
        <v>0.16420000000000001</v>
      </c>
      <c r="N215">
        <v>13</v>
      </c>
      <c r="O215">
        <v>65</v>
      </c>
      <c r="P215">
        <v>78</v>
      </c>
    </row>
    <row r="216" spans="1:16" x14ac:dyDescent="0.35">
      <c r="A216">
        <v>825</v>
      </c>
      <c r="B216" s="1">
        <v>40580</v>
      </c>
      <c r="C216">
        <v>1</v>
      </c>
      <c r="D216">
        <v>0</v>
      </c>
      <c r="E216">
        <v>2</v>
      </c>
      <c r="F216">
        <v>19</v>
      </c>
      <c r="G216">
        <v>0</v>
      </c>
      <c r="H216">
        <v>0</v>
      </c>
      <c r="I216">
        <v>1</v>
      </c>
      <c r="J216">
        <v>0.28000000000000003</v>
      </c>
      <c r="K216">
        <v>0.28789999999999999</v>
      </c>
      <c r="L216">
        <v>0.61</v>
      </c>
      <c r="M216">
        <v>0.1343</v>
      </c>
      <c r="N216">
        <v>1</v>
      </c>
      <c r="O216">
        <v>20</v>
      </c>
      <c r="P216">
        <v>21</v>
      </c>
    </row>
    <row r="217" spans="1:16" x14ac:dyDescent="0.35">
      <c r="A217">
        <v>826</v>
      </c>
      <c r="B217" s="1">
        <v>40580</v>
      </c>
      <c r="C217">
        <v>1</v>
      </c>
      <c r="D217">
        <v>0</v>
      </c>
      <c r="E217">
        <v>2</v>
      </c>
      <c r="F217">
        <v>20</v>
      </c>
      <c r="G217">
        <v>0</v>
      </c>
      <c r="H217">
        <v>0</v>
      </c>
      <c r="I217">
        <v>1</v>
      </c>
      <c r="J217">
        <v>0.28000000000000003</v>
      </c>
      <c r="K217">
        <v>0.28789999999999999</v>
      </c>
      <c r="L217">
        <v>0.61</v>
      </c>
      <c r="M217">
        <v>0.1045</v>
      </c>
      <c r="N217">
        <v>5</v>
      </c>
      <c r="O217">
        <v>21</v>
      </c>
      <c r="P217">
        <v>26</v>
      </c>
    </row>
    <row r="218" spans="1:16" x14ac:dyDescent="0.35">
      <c r="A218">
        <v>827</v>
      </c>
      <c r="B218" s="1">
        <v>40580</v>
      </c>
      <c r="C218">
        <v>1</v>
      </c>
      <c r="D218">
        <v>0</v>
      </c>
      <c r="E218">
        <v>2</v>
      </c>
      <c r="F218">
        <v>21</v>
      </c>
      <c r="G218">
        <v>0</v>
      </c>
      <c r="H218">
        <v>0</v>
      </c>
      <c r="I218">
        <v>1</v>
      </c>
      <c r="J218">
        <v>0.26</v>
      </c>
      <c r="K218">
        <v>0.30299999999999999</v>
      </c>
      <c r="L218">
        <v>0.6</v>
      </c>
      <c r="M218">
        <v>0</v>
      </c>
      <c r="N218">
        <v>5</v>
      </c>
      <c r="O218">
        <v>22</v>
      </c>
      <c r="P218">
        <v>27</v>
      </c>
    </row>
    <row r="219" spans="1:16" x14ac:dyDescent="0.35">
      <c r="A219">
        <v>828</v>
      </c>
      <c r="B219" s="1">
        <v>40580</v>
      </c>
      <c r="C219">
        <v>1</v>
      </c>
      <c r="D219">
        <v>0</v>
      </c>
      <c r="E219">
        <v>2</v>
      </c>
      <c r="F219">
        <v>22</v>
      </c>
      <c r="G219">
        <v>0</v>
      </c>
      <c r="H219">
        <v>0</v>
      </c>
      <c r="I219">
        <v>1</v>
      </c>
      <c r="J219">
        <v>0.26</v>
      </c>
      <c r="K219">
        <v>0.30299999999999999</v>
      </c>
      <c r="L219">
        <v>0.6</v>
      </c>
      <c r="M219">
        <v>0</v>
      </c>
      <c r="N219">
        <v>5</v>
      </c>
      <c r="O219">
        <v>57</v>
      </c>
      <c r="P219">
        <v>62</v>
      </c>
    </row>
    <row r="220" spans="1:16" x14ac:dyDescent="0.35">
      <c r="A220">
        <v>829</v>
      </c>
      <c r="B220" s="1">
        <v>40580</v>
      </c>
      <c r="C220">
        <v>1</v>
      </c>
      <c r="D220">
        <v>0</v>
      </c>
      <c r="E220">
        <v>2</v>
      </c>
      <c r="F220">
        <v>23</v>
      </c>
      <c r="G220">
        <v>0</v>
      </c>
      <c r="H220">
        <v>0</v>
      </c>
      <c r="I220">
        <v>1</v>
      </c>
      <c r="J220">
        <v>0.24</v>
      </c>
      <c r="K220">
        <v>0.28789999999999999</v>
      </c>
      <c r="L220">
        <v>0.65</v>
      </c>
      <c r="M220">
        <v>0</v>
      </c>
      <c r="N220">
        <v>4</v>
      </c>
      <c r="O220">
        <v>26</v>
      </c>
      <c r="P220">
        <v>30</v>
      </c>
    </row>
    <row r="221" spans="1:16" x14ac:dyDescent="0.35">
      <c r="A221">
        <v>830</v>
      </c>
      <c r="B221" s="1">
        <v>40581</v>
      </c>
      <c r="C221">
        <v>1</v>
      </c>
      <c r="D221">
        <v>0</v>
      </c>
      <c r="E221">
        <v>2</v>
      </c>
      <c r="F221">
        <v>0</v>
      </c>
      <c r="G221">
        <v>0</v>
      </c>
      <c r="H221">
        <v>1</v>
      </c>
      <c r="I221">
        <v>1</v>
      </c>
      <c r="J221">
        <v>0.24</v>
      </c>
      <c r="K221">
        <v>0.28789999999999999</v>
      </c>
      <c r="L221">
        <v>0.65</v>
      </c>
      <c r="M221">
        <v>0</v>
      </c>
      <c r="N221">
        <v>1</v>
      </c>
      <c r="O221">
        <v>14</v>
      </c>
      <c r="P221">
        <v>15</v>
      </c>
    </row>
    <row r="222" spans="1:16" x14ac:dyDescent="0.35">
      <c r="A222">
        <v>831</v>
      </c>
      <c r="B222" s="1">
        <v>40581</v>
      </c>
      <c r="C222">
        <v>1</v>
      </c>
      <c r="D222">
        <v>0</v>
      </c>
      <c r="E222">
        <v>2</v>
      </c>
      <c r="F222">
        <v>1</v>
      </c>
      <c r="G222">
        <v>0</v>
      </c>
      <c r="H222">
        <v>1</v>
      </c>
      <c r="I222">
        <v>1</v>
      </c>
      <c r="J222">
        <v>0.22</v>
      </c>
      <c r="K222">
        <v>0.2727</v>
      </c>
      <c r="L222">
        <v>0.75</v>
      </c>
      <c r="M222">
        <v>0</v>
      </c>
      <c r="N222">
        <v>1</v>
      </c>
      <c r="O222">
        <v>4</v>
      </c>
      <c r="P222">
        <v>5</v>
      </c>
    </row>
    <row r="223" spans="1:16" x14ac:dyDescent="0.35">
      <c r="A223">
        <v>832</v>
      </c>
      <c r="B223" s="1">
        <v>40581</v>
      </c>
      <c r="C223">
        <v>1</v>
      </c>
      <c r="D223">
        <v>0</v>
      </c>
      <c r="E223">
        <v>2</v>
      </c>
      <c r="F223">
        <v>2</v>
      </c>
      <c r="G223">
        <v>0</v>
      </c>
      <c r="H223">
        <v>1</v>
      </c>
      <c r="I223">
        <v>1</v>
      </c>
      <c r="J223">
        <v>0.2</v>
      </c>
      <c r="K223">
        <v>0.2576</v>
      </c>
      <c r="L223">
        <v>0.8</v>
      </c>
      <c r="M223">
        <v>0</v>
      </c>
      <c r="N223">
        <v>0</v>
      </c>
      <c r="O223">
        <v>3</v>
      </c>
      <c r="P223">
        <v>3</v>
      </c>
    </row>
    <row r="224" spans="1:16" x14ac:dyDescent="0.35">
      <c r="A224">
        <v>833</v>
      </c>
      <c r="B224" s="1">
        <v>40581</v>
      </c>
      <c r="C224">
        <v>1</v>
      </c>
      <c r="D224">
        <v>0</v>
      </c>
      <c r="E224">
        <v>2</v>
      </c>
      <c r="F224">
        <v>3</v>
      </c>
      <c r="G224">
        <v>0</v>
      </c>
      <c r="H224">
        <v>1</v>
      </c>
      <c r="I224">
        <v>1</v>
      </c>
      <c r="J224">
        <v>0.2</v>
      </c>
      <c r="K224">
        <v>0.2576</v>
      </c>
      <c r="L224">
        <v>0.86</v>
      </c>
      <c r="M224">
        <v>0</v>
      </c>
      <c r="N224">
        <v>0</v>
      </c>
      <c r="O224">
        <v>1</v>
      </c>
      <c r="P224">
        <v>1</v>
      </c>
    </row>
    <row r="225" spans="1:16" x14ac:dyDescent="0.35">
      <c r="A225">
        <v>834</v>
      </c>
      <c r="B225" s="1">
        <v>40581</v>
      </c>
      <c r="C225">
        <v>1</v>
      </c>
      <c r="D225">
        <v>0</v>
      </c>
      <c r="E225">
        <v>2</v>
      </c>
      <c r="F225">
        <v>4</v>
      </c>
      <c r="G225">
        <v>0</v>
      </c>
      <c r="H225">
        <v>1</v>
      </c>
      <c r="I225">
        <v>1</v>
      </c>
      <c r="J225">
        <v>0.2</v>
      </c>
      <c r="K225">
        <v>0.2576</v>
      </c>
      <c r="L225">
        <v>0.86</v>
      </c>
      <c r="M225">
        <v>0</v>
      </c>
      <c r="N225">
        <v>1</v>
      </c>
      <c r="O225">
        <v>1</v>
      </c>
      <c r="P225">
        <v>2</v>
      </c>
    </row>
    <row r="226" spans="1:16" x14ac:dyDescent="0.35">
      <c r="A226">
        <v>835</v>
      </c>
      <c r="B226" s="1">
        <v>40581</v>
      </c>
      <c r="C226">
        <v>1</v>
      </c>
      <c r="D226">
        <v>0</v>
      </c>
      <c r="E226">
        <v>2</v>
      </c>
      <c r="F226">
        <v>5</v>
      </c>
      <c r="G226">
        <v>0</v>
      </c>
      <c r="H226">
        <v>1</v>
      </c>
      <c r="I226">
        <v>1</v>
      </c>
      <c r="J226">
        <v>0.2</v>
      </c>
      <c r="K226">
        <v>0.2576</v>
      </c>
      <c r="L226">
        <v>0.86</v>
      </c>
      <c r="M226">
        <v>0</v>
      </c>
      <c r="N226">
        <v>1</v>
      </c>
      <c r="O226">
        <v>9</v>
      </c>
      <c r="P226">
        <v>10</v>
      </c>
    </row>
    <row r="227" spans="1:16" x14ac:dyDescent="0.35">
      <c r="A227">
        <v>836</v>
      </c>
      <c r="B227" s="1">
        <v>40581</v>
      </c>
      <c r="C227">
        <v>1</v>
      </c>
      <c r="D227">
        <v>0</v>
      </c>
      <c r="E227">
        <v>2</v>
      </c>
      <c r="F227">
        <v>6</v>
      </c>
      <c r="G227">
        <v>0</v>
      </c>
      <c r="H227">
        <v>1</v>
      </c>
      <c r="I227">
        <v>1</v>
      </c>
      <c r="J227">
        <v>0.18</v>
      </c>
      <c r="K227">
        <v>0.2424</v>
      </c>
      <c r="L227">
        <v>0.93</v>
      </c>
      <c r="M227">
        <v>0</v>
      </c>
      <c r="N227">
        <v>1</v>
      </c>
      <c r="O227">
        <v>29</v>
      </c>
      <c r="P227">
        <v>30</v>
      </c>
    </row>
    <row r="228" spans="1:16" x14ac:dyDescent="0.35">
      <c r="A228">
        <v>837</v>
      </c>
      <c r="B228" s="1">
        <v>40581</v>
      </c>
      <c r="C228">
        <v>1</v>
      </c>
      <c r="D228">
        <v>0</v>
      </c>
      <c r="E228">
        <v>2</v>
      </c>
      <c r="F228">
        <v>7</v>
      </c>
      <c r="G228">
        <v>0</v>
      </c>
      <c r="H228">
        <v>1</v>
      </c>
      <c r="I228">
        <v>1</v>
      </c>
      <c r="J228">
        <v>0.18</v>
      </c>
      <c r="K228">
        <v>0.2424</v>
      </c>
      <c r="L228">
        <v>0.86</v>
      </c>
      <c r="M228">
        <v>0</v>
      </c>
      <c r="N228">
        <v>6</v>
      </c>
      <c r="O228">
        <v>89</v>
      </c>
      <c r="P228">
        <v>95</v>
      </c>
    </row>
    <row r="229" spans="1:16" x14ac:dyDescent="0.35">
      <c r="A229">
        <v>838</v>
      </c>
      <c r="B229" s="1">
        <v>40581</v>
      </c>
      <c r="C229">
        <v>1</v>
      </c>
      <c r="D229">
        <v>0</v>
      </c>
      <c r="E229">
        <v>2</v>
      </c>
      <c r="F229">
        <v>8</v>
      </c>
      <c r="G229">
        <v>0</v>
      </c>
      <c r="H229">
        <v>1</v>
      </c>
      <c r="I229">
        <v>2</v>
      </c>
      <c r="J229">
        <v>0.16</v>
      </c>
      <c r="K229">
        <v>0.2273</v>
      </c>
      <c r="L229">
        <v>1</v>
      </c>
      <c r="M229">
        <v>0</v>
      </c>
      <c r="N229">
        <v>7</v>
      </c>
      <c r="O229">
        <v>223</v>
      </c>
      <c r="P229">
        <v>230</v>
      </c>
    </row>
    <row r="230" spans="1:16" x14ac:dyDescent="0.35">
      <c r="A230">
        <v>839</v>
      </c>
      <c r="B230" s="1">
        <v>40581</v>
      </c>
      <c r="C230">
        <v>1</v>
      </c>
      <c r="D230">
        <v>0</v>
      </c>
      <c r="E230">
        <v>2</v>
      </c>
      <c r="F230">
        <v>9</v>
      </c>
      <c r="G230">
        <v>0</v>
      </c>
      <c r="H230">
        <v>1</v>
      </c>
      <c r="I230">
        <v>1</v>
      </c>
      <c r="J230">
        <v>0.22</v>
      </c>
      <c r="K230">
        <v>0.2727</v>
      </c>
      <c r="L230">
        <v>0.8</v>
      </c>
      <c r="M230">
        <v>0</v>
      </c>
      <c r="N230">
        <v>3</v>
      </c>
      <c r="O230">
        <v>115</v>
      </c>
      <c r="P230">
        <v>118</v>
      </c>
    </row>
    <row r="231" spans="1:16" x14ac:dyDescent="0.35">
      <c r="A231">
        <v>840</v>
      </c>
      <c r="B231" s="1">
        <v>40581</v>
      </c>
      <c r="C231">
        <v>1</v>
      </c>
      <c r="D231">
        <v>0</v>
      </c>
      <c r="E231">
        <v>2</v>
      </c>
      <c r="F231">
        <v>10</v>
      </c>
      <c r="G231">
        <v>0</v>
      </c>
      <c r="H231">
        <v>1</v>
      </c>
      <c r="I231">
        <v>1</v>
      </c>
      <c r="J231">
        <v>0.24</v>
      </c>
      <c r="K231">
        <v>0.2576</v>
      </c>
      <c r="L231">
        <v>0.75</v>
      </c>
      <c r="M231">
        <v>0.1045</v>
      </c>
      <c r="N231">
        <v>6</v>
      </c>
      <c r="O231">
        <v>49</v>
      </c>
      <c r="P231">
        <v>55</v>
      </c>
    </row>
    <row r="232" spans="1:16" x14ac:dyDescent="0.35">
      <c r="A232">
        <v>841</v>
      </c>
      <c r="B232" s="1">
        <v>40581</v>
      </c>
      <c r="C232">
        <v>1</v>
      </c>
      <c r="D232">
        <v>0</v>
      </c>
      <c r="E232">
        <v>2</v>
      </c>
      <c r="F232">
        <v>11</v>
      </c>
      <c r="G232">
        <v>0</v>
      </c>
      <c r="H232">
        <v>1</v>
      </c>
      <c r="I232">
        <v>1</v>
      </c>
      <c r="J232">
        <v>0.3</v>
      </c>
      <c r="K232">
        <v>0.31819999999999998</v>
      </c>
      <c r="L232">
        <v>0.65</v>
      </c>
      <c r="M232">
        <v>8.9599999999999999E-2</v>
      </c>
      <c r="N232">
        <v>11</v>
      </c>
      <c r="O232">
        <v>36</v>
      </c>
      <c r="P232">
        <v>47</v>
      </c>
    </row>
    <row r="233" spans="1:16" x14ac:dyDescent="0.35">
      <c r="A233">
        <v>842</v>
      </c>
      <c r="B233" s="1">
        <v>40581</v>
      </c>
      <c r="C233">
        <v>1</v>
      </c>
      <c r="D233">
        <v>0</v>
      </c>
      <c r="E233">
        <v>2</v>
      </c>
      <c r="F233">
        <v>12</v>
      </c>
      <c r="G233">
        <v>0</v>
      </c>
      <c r="H233">
        <v>1</v>
      </c>
      <c r="I233">
        <v>2</v>
      </c>
      <c r="J233">
        <v>0.32</v>
      </c>
      <c r="K233">
        <v>0.34849999999999998</v>
      </c>
      <c r="L233">
        <v>0.62</v>
      </c>
      <c r="M233">
        <v>0</v>
      </c>
      <c r="N233">
        <v>7</v>
      </c>
      <c r="O233">
        <v>59</v>
      </c>
      <c r="P233">
        <v>66</v>
      </c>
    </row>
    <row r="234" spans="1:16" x14ac:dyDescent="0.35">
      <c r="A234">
        <v>843</v>
      </c>
      <c r="B234" s="1">
        <v>40581</v>
      </c>
      <c r="C234">
        <v>1</v>
      </c>
      <c r="D234">
        <v>0</v>
      </c>
      <c r="E234">
        <v>2</v>
      </c>
      <c r="F234">
        <v>13</v>
      </c>
      <c r="G234">
        <v>0</v>
      </c>
      <c r="H234">
        <v>1</v>
      </c>
      <c r="I234">
        <v>2</v>
      </c>
      <c r="J234">
        <v>0.36</v>
      </c>
      <c r="K234">
        <v>0.36359999999999998</v>
      </c>
      <c r="L234">
        <v>0.56999999999999995</v>
      </c>
      <c r="M234">
        <v>8.9599999999999999E-2</v>
      </c>
      <c r="N234">
        <v>10</v>
      </c>
      <c r="O234">
        <v>54</v>
      </c>
      <c r="P234">
        <v>64</v>
      </c>
    </row>
    <row r="235" spans="1:16" x14ac:dyDescent="0.35">
      <c r="A235">
        <v>844</v>
      </c>
      <c r="B235" s="1">
        <v>40581</v>
      </c>
      <c r="C235">
        <v>1</v>
      </c>
      <c r="D235">
        <v>0</v>
      </c>
      <c r="E235">
        <v>2</v>
      </c>
      <c r="F235">
        <v>14</v>
      </c>
      <c r="G235">
        <v>0</v>
      </c>
      <c r="H235">
        <v>1</v>
      </c>
      <c r="I235">
        <v>2</v>
      </c>
      <c r="J235">
        <v>0.36</v>
      </c>
      <c r="K235">
        <v>0.36359999999999998</v>
      </c>
      <c r="L235">
        <v>0.56999999999999995</v>
      </c>
      <c r="M235">
        <v>8.9599999999999999E-2</v>
      </c>
      <c r="N235">
        <v>8</v>
      </c>
      <c r="O235">
        <v>52</v>
      </c>
      <c r="P235">
        <v>60</v>
      </c>
    </row>
    <row r="236" spans="1:16" x14ac:dyDescent="0.35">
      <c r="A236">
        <v>845</v>
      </c>
      <c r="B236" s="1">
        <v>40581</v>
      </c>
      <c r="C236">
        <v>1</v>
      </c>
      <c r="D236">
        <v>0</v>
      </c>
      <c r="E236">
        <v>2</v>
      </c>
      <c r="F236">
        <v>15</v>
      </c>
      <c r="G236">
        <v>0</v>
      </c>
      <c r="H236">
        <v>1</v>
      </c>
      <c r="I236">
        <v>2</v>
      </c>
      <c r="J236">
        <v>0.38</v>
      </c>
      <c r="K236">
        <v>0.39389999999999997</v>
      </c>
      <c r="L236">
        <v>0.54</v>
      </c>
      <c r="M236">
        <v>8.9599999999999999E-2</v>
      </c>
      <c r="N236">
        <v>4</v>
      </c>
      <c r="O236">
        <v>46</v>
      </c>
      <c r="P236">
        <v>50</v>
      </c>
    </row>
    <row r="237" spans="1:16" x14ac:dyDescent="0.35">
      <c r="A237">
        <v>846</v>
      </c>
      <c r="B237" s="1">
        <v>40581</v>
      </c>
      <c r="C237">
        <v>1</v>
      </c>
      <c r="D237">
        <v>0</v>
      </c>
      <c r="E237">
        <v>2</v>
      </c>
      <c r="F237">
        <v>16</v>
      </c>
      <c r="G237">
        <v>0</v>
      </c>
      <c r="H237">
        <v>1</v>
      </c>
      <c r="I237">
        <v>2</v>
      </c>
      <c r="J237">
        <v>0.36</v>
      </c>
      <c r="K237">
        <v>0.34849999999999998</v>
      </c>
      <c r="L237">
        <v>0.56999999999999995</v>
      </c>
      <c r="M237">
        <v>0.1343</v>
      </c>
      <c r="N237">
        <v>16</v>
      </c>
      <c r="O237">
        <v>98</v>
      </c>
      <c r="P237">
        <v>114</v>
      </c>
    </row>
    <row r="238" spans="1:16" x14ac:dyDescent="0.35">
      <c r="A238">
        <v>847</v>
      </c>
      <c r="B238" s="1">
        <v>40581</v>
      </c>
      <c r="C238">
        <v>1</v>
      </c>
      <c r="D238">
        <v>0</v>
      </c>
      <c r="E238">
        <v>2</v>
      </c>
      <c r="F238">
        <v>17</v>
      </c>
      <c r="G238">
        <v>0</v>
      </c>
      <c r="H238">
        <v>1</v>
      </c>
      <c r="I238">
        <v>2</v>
      </c>
      <c r="J238">
        <v>0.32</v>
      </c>
      <c r="K238">
        <v>0.31819999999999998</v>
      </c>
      <c r="L238">
        <v>0.7</v>
      </c>
      <c r="M238">
        <v>0.16420000000000001</v>
      </c>
      <c r="N238">
        <v>9</v>
      </c>
      <c r="O238">
        <v>207</v>
      </c>
      <c r="P238">
        <v>216</v>
      </c>
    </row>
    <row r="239" spans="1:16" x14ac:dyDescent="0.35">
      <c r="A239">
        <v>848</v>
      </c>
      <c r="B239" s="1">
        <v>40581</v>
      </c>
      <c r="C239">
        <v>1</v>
      </c>
      <c r="D239">
        <v>0</v>
      </c>
      <c r="E239">
        <v>2</v>
      </c>
      <c r="F239">
        <v>18</v>
      </c>
      <c r="G239">
        <v>0</v>
      </c>
      <c r="H239">
        <v>1</v>
      </c>
      <c r="I239">
        <v>2</v>
      </c>
      <c r="J239">
        <v>0.34</v>
      </c>
      <c r="K239">
        <v>0.33329999999999999</v>
      </c>
      <c r="L239">
        <v>0.66</v>
      </c>
      <c r="M239">
        <v>0.1343</v>
      </c>
      <c r="N239">
        <v>5</v>
      </c>
      <c r="O239">
        <v>170</v>
      </c>
      <c r="P239">
        <v>175</v>
      </c>
    </row>
    <row r="240" spans="1:16" x14ac:dyDescent="0.35">
      <c r="A240">
        <v>849</v>
      </c>
      <c r="B240" s="1">
        <v>40581</v>
      </c>
      <c r="C240">
        <v>1</v>
      </c>
      <c r="D240">
        <v>0</v>
      </c>
      <c r="E240">
        <v>2</v>
      </c>
      <c r="F240">
        <v>19</v>
      </c>
      <c r="G240">
        <v>0</v>
      </c>
      <c r="H240">
        <v>1</v>
      </c>
      <c r="I240">
        <v>2</v>
      </c>
      <c r="J240">
        <v>0.32</v>
      </c>
      <c r="K240">
        <v>0.34849999999999998</v>
      </c>
      <c r="L240">
        <v>0.7</v>
      </c>
      <c r="M240">
        <v>0</v>
      </c>
      <c r="N240">
        <v>5</v>
      </c>
      <c r="O240">
        <v>123</v>
      </c>
      <c r="P240">
        <v>128</v>
      </c>
    </row>
    <row r="241" spans="1:16" x14ac:dyDescent="0.35">
      <c r="A241">
        <v>850</v>
      </c>
      <c r="B241" s="1">
        <v>40581</v>
      </c>
      <c r="C241">
        <v>1</v>
      </c>
      <c r="D241">
        <v>0</v>
      </c>
      <c r="E241">
        <v>2</v>
      </c>
      <c r="F241">
        <v>20</v>
      </c>
      <c r="G241">
        <v>0</v>
      </c>
      <c r="H241">
        <v>1</v>
      </c>
      <c r="I241">
        <v>2</v>
      </c>
      <c r="J241">
        <v>0.32</v>
      </c>
      <c r="K241">
        <v>0.33329999999999999</v>
      </c>
      <c r="L241">
        <v>0.7</v>
      </c>
      <c r="M241">
        <v>0.1045</v>
      </c>
      <c r="N241">
        <v>6</v>
      </c>
      <c r="O241">
        <v>82</v>
      </c>
      <c r="P241">
        <v>88</v>
      </c>
    </row>
    <row r="242" spans="1:16" x14ac:dyDescent="0.35">
      <c r="A242">
        <v>851</v>
      </c>
      <c r="B242" s="1">
        <v>40581</v>
      </c>
      <c r="C242">
        <v>1</v>
      </c>
      <c r="D242">
        <v>0</v>
      </c>
      <c r="E242">
        <v>2</v>
      </c>
      <c r="F242">
        <v>21</v>
      </c>
      <c r="G242">
        <v>0</v>
      </c>
      <c r="H242">
        <v>1</v>
      </c>
      <c r="I242">
        <v>1</v>
      </c>
      <c r="J242">
        <v>0.32</v>
      </c>
      <c r="K242">
        <v>0.34849999999999998</v>
      </c>
      <c r="L242">
        <v>0.7</v>
      </c>
      <c r="M242">
        <v>0</v>
      </c>
      <c r="N242">
        <v>3</v>
      </c>
      <c r="O242">
        <v>75</v>
      </c>
      <c r="P242">
        <v>78</v>
      </c>
    </row>
    <row r="243" spans="1:16" x14ac:dyDescent="0.35">
      <c r="A243">
        <v>852</v>
      </c>
      <c r="B243" s="1">
        <v>40581</v>
      </c>
      <c r="C243">
        <v>1</v>
      </c>
      <c r="D243">
        <v>0</v>
      </c>
      <c r="E243">
        <v>2</v>
      </c>
      <c r="F243">
        <v>22</v>
      </c>
      <c r="G243">
        <v>0</v>
      </c>
      <c r="H243">
        <v>1</v>
      </c>
      <c r="I243">
        <v>1</v>
      </c>
      <c r="J243">
        <v>0.28000000000000003</v>
      </c>
      <c r="K243">
        <v>0.30299999999999999</v>
      </c>
      <c r="L243">
        <v>0.81</v>
      </c>
      <c r="M243">
        <v>8.9599999999999999E-2</v>
      </c>
      <c r="N243">
        <v>3</v>
      </c>
      <c r="O243">
        <v>34</v>
      </c>
      <c r="P243">
        <v>37</v>
      </c>
    </row>
    <row r="244" spans="1:16" x14ac:dyDescent="0.35">
      <c r="A244">
        <v>853</v>
      </c>
      <c r="B244" s="1">
        <v>40581</v>
      </c>
      <c r="C244">
        <v>1</v>
      </c>
      <c r="D244">
        <v>0</v>
      </c>
      <c r="E244">
        <v>2</v>
      </c>
      <c r="F244">
        <v>23</v>
      </c>
      <c r="G244">
        <v>0</v>
      </c>
      <c r="H244">
        <v>1</v>
      </c>
      <c r="I244">
        <v>2</v>
      </c>
      <c r="J244">
        <v>0.3</v>
      </c>
      <c r="K244">
        <v>0.33329999999999999</v>
      </c>
      <c r="L244">
        <v>0.81</v>
      </c>
      <c r="M244">
        <v>0</v>
      </c>
      <c r="N244">
        <v>6</v>
      </c>
      <c r="O244">
        <v>19</v>
      </c>
      <c r="P244">
        <v>25</v>
      </c>
    </row>
    <row r="245" spans="1:16" x14ac:dyDescent="0.35">
      <c r="A245">
        <v>854</v>
      </c>
      <c r="B245" s="1">
        <v>40582</v>
      </c>
      <c r="C245">
        <v>1</v>
      </c>
      <c r="D245">
        <v>0</v>
      </c>
      <c r="E245">
        <v>2</v>
      </c>
      <c r="F245">
        <v>0</v>
      </c>
      <c r="G245">
        <v>0</v>
      </c>
      <c r="H245">
        <v>2</v>
      </c>
      <c r="I245">
        <v>2</v>
      </c>
      <c r="J245">
        <v>0.28000000000000003</v>
      </c>
      <c r="K245">
        <v>0.31819999999999998</v>
      </c>
      <c r="L245">
        <v>0.87</v>
      </c>
      <c r="M245">
        <v>0</v>
      </c>
      <c r="N245">
        <v>4</v>
      </c>
      <c r="O245">
        <v>6</v>
      </c>
      <c r="P245">
        <v>10</v>
      </c>
    </row>
    <row r="246" spans="1:16" x14ac:dyDescent="0.35">
      <c r="A246">
        <v>855</v>
      </c>
      <c r="B246" s="1">
        <v>40582</v>
      </c>
      <c r="C246">
        <v>1</v>
      </c>
      <c r="D246">
        <v>0</v>
      </c>
      <c r="E246">
        <v>2</v>
      </c>
      <c r="F246">
        <v>1</v>
      </c>
      <c r="G246">
        <v>0</v>
      </c>
      <c r="H246">
        <v>2</v>
      </c>
      <c r="I246">
        <v>2</v>
      </c>
      <c r="J246">
        <v>0.28000000000000003</v>
      </c>
      <c r="K246">
        <v>0.31819999999999998</v>
      </c>
      <c r="L246">
        <v>0.87</v>
      </c>
      <c r="M246">
        <v>0</v>
      </c>
      <c r="N246">
        <v>0</v>
      </c>
      <c r="O246">
        <v>4</v>
      </c>
      <c r="P246">
        <v>4</v>
      </c>
    </row>
    <row r="247" spans="1:16" x14ac:dyDescent="0.35">
      <c r="A247">
        <v>856</v>
      </c>
      <c r="B247" s="1">
        <v>40582</v>
      </c>
      <c r="C247">
        <v>1</v>
      </c>
      <c r="D247">
        <v>0</v>
      </c>
      <c r="E247">
        <v>2</v>
      </c>
      <c r="F247">
        <v>2</v>
      </c>
      <c r="G247">
        <v>0</v>
      </c>
      <c r="H247">
        <v>2</v>
      </c>
      <c r="I247">
        <v>2</v>
      </c>
      <c r="J247">
        <v>0.26</v>
      </c>
      <c r="K247">
        <v>0.2727</v>
      </c>
      <c r="L247">
        <v>0.93</v>
      </c>
      <c r="M247">
        <v>0.1045</v>
      </c>
      <c r="N247">
        <v>1</v>
      </c>
      <c r="O247">
        <v>1</v>
      </c>
      <c r="P247">
        <v>2</v>
      </c>
    </row>
    <row r="248" spans="1:16" x14ac:dyDescent="0.35">
      <c r="A248">
        <v>857</v>
      </c>
      <c r="B248" s="1">
        <v>40582</v>
      </c>
      <c r="C248">
        <v>1</v>
      </c>
      <c r="D248">
        <v>0</v>
      </c>
      <c r="E248">
        <v>2</v>
      </c>
      <c r="F248">
        <v>3</v>
      </c>
      <c r="G248">
        <v>0</v>
      </c>
      <c r="H248">
        <v>2</v>
      </c>
      <c r="I248">
        <v>3</v>
      </c>
      <c r="J248">
        <v>0.28000000000000003</v>
      </c>
      <c r="K248">
        <v>0.2727</v>
      </c>
      <c r="L248">
        <v>0.93</v>
      </c>
      <c r="M248">
        <v>0.16420000000000001</v>
      </c>
      <c r="N248">
        <v>0</v>
      </c>
      <c r="O248">
        <v>1</v>
      </c>
      <c r="P248">
        <v>1</v>
      </c>
    </row>
    <row r="249" spans="1:16" x14ac:dyDescent="0.35">
      <c r="A249">
        <v>858</v>
      </c>
      <c r="B249" s="1">
        <v>40582</v>
      </c>
      <c r="C249">
        <v>1</v>
      </c>
      <c r="D249">
        <v>0</v>
      </c>
      <c r="E249">
        <v>2</v>
      </c>
      <c r="F249">
        <v>4</v>
      </c>
      <c r="G249">
        <v>0</v>
      </c>
      <c r="H249">
        <v>2</v>
      </c>
      <c r="I249">
        <v>1</v>
      </c>
      <c r="J249">
        <v>0.26</v>
      </c>
      <c r="K249">
        <v>0.2576</v>
      </c>
      <c r="L249">
        <v>0.93</v>
      </c>
      <c r="M249">
        <v>0.16420000000000001</v>
      </c>
      <c r="N249">
        <v>0</v>
      </c>
      <c r="O249">
        <v>3</v>
      </c>
      <c r="P249">
        <v>3</v>
      </c>
    </row>
    <row r="250" spans="1:16" x14ac:dyDescent="0.35">
      <c r="A250">
        <v>859</v>
      </c>
      <c r="B250" s="1">
        <v>40582</v>
      </c>
      <c r="C250">
        <v>1</v>
      </c>
      <c r="D250">
        <v>0</v>
      </c>
      <c r="E250">
        <v>2</v>
      </c>
      <c r="F250">
        <v>5</v>
      </c>
      <c r="G250">
        <v>0</v>
      </c>
      <c r="H250">
        <v>2</v>
      </c>
      <c r="I250">
        <v>1</v>
      </c>
      <c r="J250">
        <v>0.26</v>
      </c>
      <c r="K250">
        <v>0.2273</v>
      </c>
      <c r="L250">
        <v>0.81</v>
      </c>
      <c r="M250">
        <v>0.32840000000000003</v>
      </c>
      <c r="N250">
        <v>0</v>
      </c>
      <c r="O250">
        <v>2</v>
      </c>
      <c r="P250">
        <v>2</v>
      </c>
    </row>
    <row r="251" spans="1:16" x14ac:dyDescent="0.35">
      <c r="A251">
        <v>860</v>
      </c>
      <c r="B251" s="1">
        <v>40582</v>
      </c>
      <c r="C251">
        <v>1</v>
      </c>
      <c r="D251">
        <v>0</v>
      </c>
      <c r="E251">
        <v>2</v>
      </c>
      <c r="F251">
        <v>6</v>
      </c>
      <c r="G251">
        <v>0</v>
      </c>
      <c r="H251">
        <v>2</v>
      </c>
      <c r="I251">
        <v>1</v>
      </c>
      <c r="J251">
        <v>0.26</v>
      </c>
      <c r="K251">
        <v>0.2273</v>
      </c>
      <c r="L251">
        <v>0.7</v>
      </c>
      <c r="M251">
        <v>0.32840000000000003</v>
      </c>
      <c r="N251">
        <v>0</v>
      </c>
      <c r="O251">
        <v>39</v>
      </c>
      <c r="P251">
        <v>39</v>
      </c>
    </row>
    <row r="252" spans="1:16" x14ac:dyDescent="0.35">
      <c r="A252">
        <v>861</v>
      </c>
      <c r="B252" s="1">
        <v>40582</v>
      </c>
      <c r="C252">
        <v>1</v>
      </c>
      <c r="D252">
        <v>0</v>
      </c>
      <c r="E252">
        <v>2</v>
      </c>
      <c r="F252">
        <v>7</v>
      </c>
      <c r="G252">
        <v>0</v>
      </c>
      <c r="H252">
        <v>2</v>
      </c>
      <c r="I252">
        <v>1</v>
      </c>
      <c r="J252">
        <v>0.24</v>
      </c>
      <c r="K252">
        <v>0.19700000000000001</v>
      </c>
      <c r="L252">
        <v>0.65</v>
      </c>
      <c r="M252">
        <v>0.41789999999999999</v>
      </c>
      <c r="N252">
        <v>3</v>
      </c>
      <c r="O252">
        <v>97</v>
      </c>
      <c r="P252">
        <v>100</v>
      </c>
    </row>
    <row r="253" spans="1:16" x14ac:dyDescent="0.35">
      <c r="A253">
        <v>862</v>
      </c>
      <c r="B253" s="1">
        <v>40582</v>
      </c>
      <c r="C253">
        <v>1</v>
      </c>
      <c r="D253">
        <v>0</v>
      </c>
      <c r="E253">
        <v>2</v>
      </c>
      <c r="F253">
        <v>8</v>
      </c>
      <c r="G253">
        <v>0</v>
      </c>
      <c r="H253">
        <v>2</v>
      </c>
      <c r="I253">
        <v>1</v>
      </c>
      <c r="J253">
        <v>0.24</v>
      </c>
      <c r="K253">
        <v>0.19700000000000001</v>
      </c>
      <c r="L253">
        <v>0.56000000000000005</v>
      </c>
      <c r="M253">
        <v>0.49249999999999999</v>
      </c>
      <c r="N253">
        <v>7</v>
      </c>
      <c r="O253">
        <v>236</v>
      </c>
      <c r="P253">
        <v>243</v>
      </c>
    </row>
    <row r="254" spans="1:16" x14ac:dyDescent="0.35">
      <c r="A254">
        <v>863</v>
      </c>
      <c r="B254" s="1">
        <v>40582</v>
      </c>
      <c r="C254">
        <v>1</v>
      </c>
      <c r="D254">
        <v>0</v>
      </c>
      <c r="E254">
        <v>2</v>
      </c>
      <c r="F254">
        <v>9</v>
      </c>
      <c r="G254">
        <v>0</v>
      </c>
      <c r="H254">
        <v>2</v>
      </c>
      <c r="I254">
        <v>1</v>
      </c>
      <c r="J254">
        <v>0.24</v>
      </c>
      <c r="K254">
        <v>0.19700000000000001</v>
      </c>
      <c r="L254">
        <v>0.52</v>
      </c>
      <c r="M254">
        <v>0.49249999999999999</v>
      </c>
      <c r="N254">
        <v>7</v>
      </c>
      <c r="O254">
        <v>128</v>
      </c>
      <c r="P254">
        <v>135</v>
      </c>
    </row>
    <row r="255" spans="1:16" x14ac:dyDescent="0.35">
      <c r="A255">
        <v>864</v>
      </c>
      <c r="B255" s="1">
        <v>40582</v>
      </c>
      <c r="C255">
        <v>1</v>
      </c>
      <c r="D255">
        <v>0</v>
      </c>
      <c r="E255">
        <v>2</v>
      </c>
      <c r="F255">
        <v>10</v>
      </c>
      <c r="G255">
        <v>0</v>
      </c>
      <c r="H255">
        <v>2</v>
      </c>
      <c r="I255">
        <v>1</v>
      </c>
      <c r="J255">
        <v>0.22</v>
      </c>
      <c r="K255">
        <v>0.18179999999999999</v>
      </c>
      <c r="L255">
        <v>0.47</v>
      </c>
      <c r="M255">
        <v>0.55220000000000002</v>
      </c>
      <c r="N255">
        <v>4</v>
      </c>
      <c r="O255">
        <v>44</v>
      </c>
      <c r="P255">
        <v>48</v>
      </c>
    </row>
    <row r="256" spans="1:16" x14ac:dyDescent="0.35">
      <c r="A256">
        <v>865</v>
      </c>
      <c r="B256" s="1">
        <v>40582</v>
      </c>
      <c r="C256">
        <v>1</v>
      </c>
      <c r="D256">
        <v>0</v>
      </c>
      <c r="E256">
        <v>2</v>
      </c>
      <c r="F256">
        <v>11</v>
      </c>
      <c r="G256">
        <v>0</v>
      </c>
      <c r="H256">
        <v>2</v>
      </c>
      <c r="I256">
        <v>1</v>
      </c>
      <c r="J256">
        <v>0.22</v>
      </c>
      <c r="K256">
        <v>0.18179999999999999</v>
      </c>
      <c r="L256">
        <v>0.47</v>
      </c>
      <c r="M256">
        <v>0.4627</v>
      </c>
      <c r="N256">
        <v>1</v>
      </c>
      <c r="O256">
        <v>49</v>
      </c>
      <c r="P256">
        <v>50</v>
      </c>
    </row>
    <row r="257" spans="1:16" x14ac:dyDescent="0.35">
      <c r="A257">
        <v>866</v>
      </c>
      <c r="B257" s="1">
        <v>40582</v>
      </c>
      <c r="C257">
        <v>1</v>
      </c>
      <c r="D257">
        <v>0</v>
      </c>
      <c r="E257">
        <v>2</v>
      </c>
      <c r="F257">
        <v>12</v>
      </c>
      <c r="G257">
        <v>0</v>
      </c>
      <c r="H257">
        <v>2</v>
      </c>
      <c r="I257">
        <v>1</v>
      </c>
      <c r="J257">
        <v>0.24</v>
      </c>
      <c r="K257">
        <v>0.19700000000000001</v>
      </c>
      <c r="L257">
        <v>0.38</v>
      </c>
      <c r="M257">
        <v>0.49249999999999999</v>
      </c>
      <c r="N257">
        <v>2</v>
      </c>
      <c r="O257">
        <v>63</v>
      </c>
      <c r="P257">
        <v>65</v>
      </c>
    </row>
    <row r="258" spans="1:16" x14ac:dyDescent="0.35">
      <c r="A258">
        <v>867</v>
      </c>
      <c r="B258" s="1">
        <v>40582</v>
      </c>
      <c r="C258">
        <v>1</v>
      </c>
      <c r="D258">
        <v>0</v>
      </c>
      <c r="E258">
        <v>2</v>
      </c>
      <c r="F258">
        <v>13</v>
      </c>
      <c r="G258">
        <v>0</v>
      </c>
      <c r="H258">
        <v>2</v>
      </c>
      <c r="I258">
        <v>2</v>
      </c>
      <c r="J258">
        <v>0.24</v>
      </c>
      <c r="K258">
        <v>0.19700000000000001</v>
      </c>
      <c r="L258">
        <v>0.32</v>
      </c>
      <c r="M258">
        <v>0.44779999999999998</v>
      </c>
      <c r="N258">
        <v>2</v>
      </c>
      <c r="O258">
        <v>48</v>
      </c>
      <c r="P258">
        <v>50</v>
      </c>
    </row>
    <row r="259" spans="1:16" x14ac:dyDescent="0.35">
      <c r="A259">
        <v>868</v>
      </c>
      <c r="B259" s="1">
        <v>40582</v>
      </c>
      <c r="C259">
        <v>1</v>
      </c>
      <c r="D259">
        <v>0</v>
      </c>
      <c r="E259">
        <v>2</v>
      </c>
      <c r="F259">
        <v>14</v>
      </c>
      <c r="G259">
        <v>0</v>
      </c>
      <c r="H259">
        <v>2</v>
      </c>
      <c r="I259">
        <v>1</v>
      </c>
      <c r="J259">
        <v>0.22</v>
      </c>
      <c r="K259">
        <v>0.19700000000000001</v>
      </c>
      <c r="L259">
        <v>0.37</v>
      </c>
      <c r="M259">
        <v>0.41789999999999999</v>
      </c>
      <c r="N259">
        <v>3</v>
      </c>
      <c r="O259">
        <v>61</v>
      </c>
      <c r="P259">
        <v>64</v>
      </c>
    </row>
    <row r="260" spans="1:16" x14ac:dyDescent="0.35">
      <c r="A260">
        <v>869</v>
      </c>
      <c r="B260" s="1">
        <v>40582</v>
      </c>
      <c r="C260">
        <v>1</v>
      </c>
      <c r="D260">
        <v>0</v>
      </c>
      <c r="E260">
        <v>2</v>
      </c>
      <c r="F260">
        <v>15</v>
      </c>
      <c r="G260">
        <v>0</v>
      </c>
      <c r="H260">
        <v>2</v>
      </c>
      <c r="I260">
        <v>1</v>
      </c>
      <c r="J260">
        <v>0.22</v>
      </c>
      <c r="K260">
        <v>0.19700000000000001</v>
      </c>
      <c r="L260">
        <v>0.35</v>
      </c>
      <c r="M260">
        <v>0.3881</v>
      </c>
      <c r="N260">
        <v>6</v>
      </c>
      <c r="O260">
        <v>45</v>
      </c>
      <c r="P260">
        <v>51</v>
      </c>
    </row>
    <row r="261" spans="1:16" x14ac:dyDescent="0.35">
      <c r="A261">
        <v>870</v>
      </c>
      <c r="B261" s="1">
        <v>40582</v>
      </c>
      <c r="C261">
        <v>1</v>
      </c>
      <c r="D261">
        <v>0</v>
      </c>
      <c r="E261">
        <v>2</v>
      </c>
      <c r="F261">
        <v>16</v>
      </c>
      <c r="G261">
        <v>0</v>
      </c>
      <c r="H261">
        <v>2</v>
      </c>
      <c r="I261">
        <v>1</v>
      </c>
      <c r="J261">
        <v>0.22</v>
      </c>
      <c r="K261">
        <v>0.18179999999999999</v>
      </c>
      <c r="L261">
        <v>0.35</v>
      </c>
      <c r="M261">
        <v>0.52239999999999998</v>
      </c>
      <c r="N261">
        <v>4</v>
      </c>
      <c r="O261">
        <v>79</v>
      </c>
      <c r="P261">
        <v>83</v>
      </c>
    </row>
    <row r="262" spans="1:16" x14ac:dyDescent="0.35">
      <c r="A262">
        <v>871</v>
      </c>
      <c r="B262" s="1">
        <v>40582</v>
      </c>
      <c r="C262">
        <v>1</v>
      </c>
      <c r="D262">
        <v>0</v>
      </c>
      <c r="E262">
        <v>2</v>
      </c>
      <c r="F262">
        <v>17</v>
      </c>
      <c r="G262">
        <v>0</v>
      </c>
      <c r="H262">
        <v>2</v>
      </c>
      <c r="I262">
        <v>1</v>
      </c>
      <c r="J262">
        <v>0.22</v>
      </c>
      <c r="K262">
        <v>0.18179999999999999</v>
      </c>
      <c r="L262">
        <v>0.32</v>
      </c>
      <c r="M262">
        <v>0.58209999999999995</v>
      </c>
      <c r="N262">
        <v>4</v>
      </c>
      <c r="O262">
        <v>172</v>
      </c>
      <c r="P262">
        <v>176</v>
      </c>
    </row>
    <row r="263" spans="1:16" x14ac:dyDescent="0.35">
      <c r="A263">
        <v>872</v>
      </c>
      <c r="B263" s="1">
        <v>40582</v>
      </c>
      <c r="C263">
        <v>1</v>
      </c>
      <c r="D263">
        <v>0</v>
      </c>
      <c r="E263">
        <v>2</v>
      </c>
      <c r="F263">
        <v>18</v>
      </c>
      <c r="G263">
        <v>0</v>
      </c>
      <c r="H263">
        <v>2</v>
      </c>
      <c r="I263">
        <v>1</v>
      </c>
      <c r="J263">
        <v>0.2</v>
      </c>
      <c r="K263">
        <v>0.18179999999999999</v>
      </c>
      <c r="L263">
        <v>0.32</v>
      </c>
      <c r="M263">
        <v>0.3881</v>
      </c>
      <c r="N263">
        <v>1</v>
      </c>
      <c r="O263">
        <v>151</v>
      </c>
      <c r="P263">
        <v>152</v>
      </c>
    </row>
    <row r="264" spans="1:16" x14ac:dyDescent="0.35">
      <c r="A264">
        <v>873</v>
      </c>
      <c r="B264" s="1">
        <v>40582</v>
      </c>
      <c r="C264">
        <v>1</v>
      </c>
      <c r="D264">
        <v>0</v>
      </c>
      <c r="E264">
        <v>2</v>
      </c>
      <c r="F264">
        <v>19</v>
      </c>
      <c r="G264">
        <v>0</v>
      </c>
      <c r="H264">
        <v>2</v>
      </c>
      <c r="I264">
        <v>1</v>
      </c>
      <c r="J264">
        <v>0.16</v>
      </c>
      <c r="K264">
        <v>0.1212</v>
      </c>
      <c r="L264">
        <v>0.4</v>
      </c>
      <c r="M264">
        <v>0.4627</v>
      </c>
      <c r="N264">
        <v>1</v>
      </c>
      <c r="O264">
        <v>100</v>
      </c>
      <c r="P264">
        <v>101</v>
      </c>
    </row>
    <row r="265" spans="1:16" x14ac:dyDescent="0.35">
      <c r="A265">
        <v>874</v>
      </c>
      <c r="B265" s="1">
        <v>40582</v>
      </c>
      <c r="C265">
        <v>1</v>
      </c>
      <c r="D265">
        <v>0</v>
      </c>
      <c r="E265">
        <v>2</v>
      </c>
      <c r="F265">
        <v>20</v>
      </c>
      <c r="G265">
        <v>0</v>
      </c>
      <c r="H265">
        <v>2</v>
      </c>
      <c r="I265">
        <v>1</v>
      </c>
      <c r="J265">
        <v>0.16</v>
      </c>
      <c r="K265">
        <v>0.13639999999999999</v>
      </c>
      <c r="L265">
        <v>0.4</v>
      </c>
      <c r="M265">
        <v>0.32840000000000003</v>
      </c>
      <c r="N265">
        <v>3</v>
      </c>
      <c r="O265">
        <v>53</v>
      </c>
      <c r="P265">
        <v>56</v>
      </c>
    </row>
    <row r="266" spans="1:16" x14ac:dyDescent="0.35">
      <c r="A266">
        <v>875</v>
      </c>
      <c r="B266" s="1">
        <v>40582</v>
      </c>
      <c r="C266">
        <v>1</v>
      </c>
      <c r="D266">
        <v>0</v>
      </c>
      <c r="E266">
        <v>2</v>
      </c>
      <c r="F266">
        <v>21</v>
      </c>
      <c r="G266">
        <v>0</v>
      </c>
      <c r="H266">
        <v>2</v>
      </c>
      <c r="I266">
        <v>1</v>
      </c>
      <c r="J266">
        <v>0.14000000000000001</v>
      </c>
      <c r="K266">
        <v>0.1061</v>
      </c>
      <c r="L266">
        <v>0.33</v>
      </c>
      <c r="M266">
        <v>0.4627</v>
      </c>
      <c r="N266">
        <v>8</v>
      </c>
      <c r="O266">
        <v>46</v>
      </c>
      <c r="P266">
        <v>54</v>
      </c>
    </row>
    <row r="267" spans="1:16" x14ac:dyDescent="0.35">
      <c r="A267">
        <v>876</v>
      </c>
      <c r="B267" s="1">
        <v>40582</v>
      </c>
      <c r="C267">
        <v>1</v>
      </c>
      <c r="D267">
        <v>0</v>
      </c>
      <c r="E267">
        <v>2</v>
      </c>
      <c r="F267">
        <v>22</v>
      </c>
      <c r="G267">
        <v>0</v>
      </c>
      <c r="H267">
        <v>2</v>
      </c>
      <c r="I267">
        <v>1</v>
      </c>
      <c r="J267">
        <v>0.12</v>
      </c>
      <c r="K267">
        <v>0.1061</v>
      </c>
      <c r="L267">
        <v>0.33</v>
      </c>
      <c r="M267">
        <v>0.35820000000000002</v>
      </c>
      <c r="N267">
        <v>0</v>
      </c>
      <c r="O267">
        <v>29</v>
      </c>
      <c r="P267">
        <v>29</v>
      </c>
    </row>
    <row r="268" spans="1:16" x14ac:dyDescent="0.35">
      <c r="A268">
        <v>877</v>
      </c>
      <c r="B268" s="1">
        <v>40582</v>
      </c>
      <c r="C268">
        <v>1</v>
      </c>
      <c r="D268">
        <v>0</v>
      </c>
      <c r="E268">
        <v>2</v>
      </c>
      <c r="F268">
        <v>23</v>
      </c>
      <c r="G268">
        <v>0</v>
      </c>
      <c r="H268">
        <v>2</v>
      </c>
      <c r="I268">
        <v>1</v>
      </c>
      <c r="J268">
        <v>0.12</v>
      </c>
      <c r="K268">
        <v>0.1061</v>
      </c>
      <c r="L268">
        <v>0.33</v>
      </c>
      <c r="M268">
        <v>0.32840000000000003</v>
      </c>
      <c r="N268">
        <v>3</v>
      </c>
      <c r="O268">
        <v>9</v>
      </c>
      <c r="P268">
        <v>12</v>
      </c>
    </row>
    <row r="269" spans="1:16" x14ac:dyDescent="0.35">
      <c r="A269">
        <v>878</v>
      </c>
      <c r="B269" s="1">
        <v>40583</v>
      </c>
      <c r="C269">
        <v>1</v>
      </c>
      <c r="D269">
        <v>0</v>
      </c>
      <c r="E269">
        <v>2</v>
      </c>
      <c r="F269">
        <v>0</v>
      </c>
      <c r="G269">
        <v>0</v>
      </c>
      <c r="H269">
        <v>3</v>
      </c>
      <c r="I269">
        <v>1</v>
      </c>
      <c r="J269">
        <v>0.1</v>
      </c>
      <c r="K269">
        <v>7.5800000000000006E-2</v>
      </c>
      <c r="L269">
        <v>0.36</v>
      </c>
      <c r="M269">
        <v>0.35820000000000002</v>
      </c>
      <c r="N269">
        <v>0</v>
      </c>
      <c r="O269">
        <v>17</v>
      </c>
      <c r="P269">
        <v>17</v>
      </c>
    </row>
    <row r="270" spans="1:16" x14ac:dyDescent="0.35">
      <c r="A270">
        <v>879</v>
      </c>
      <c r="B270" s="1">
        <v>40583</v>
      </c>
      <c r="C270">
        <v>1</v>
      </c>
      <c r="D270">
        <v>0</v>
      </c>
      <c r="E270">
        <v>2</v>
      </c>
      <c r="F270">
        <v>1</v>
      </c>
      <c r="G270">
        <v>0</v>
      </c>
      <c r="H270">
        <v>3</v>
      </c>
      <c r="I270">
        <v>1</v>
      </c>
      <c r="J270">
        <v>0.1</v>
      </c>
      <c r="K270">
        <v>0.1061</v>
      </c>
      <c r="L270">
        <v>0.36</v>
      </c>
      <c r="M270">
        <v>0.22389999999999999</v>
      </c>
      <c r="N270">
        <v>0</v>
      </c>
      <c r="O270">
        <v>7</v>
      </c>
      <c r="P270">
        <v>7</v>
      </c>
    </row>
    <row r="271" spans="1:16" x14ac:dyDescent="0.35">
      <c r="A271">
        <v>880</v>
      </c>
      <c r="B271" s="1">
        <v>40583</v>
      </c>
      <c r="C271">
        <v>1</v>
      </c>
      <c r="D271">
        <v>0</v>
      </c>
      <c r="E271">
        <v>2</v>
      </c>
      <c r="F271">
        <v>2</v>
      </c>
      <c r="G271">
        <v>0</v>
      </c>
      <c r="H271">
        <v>3</v>
      </c>
      <c r="I271">
        <v>1</v>
      </c>
      <c r="J271">
        <v>0.08</v>
      </c>
      <c r="K271">
        <v>7.5800000000000006E-2</v>
      </c>
      <c r="L271">
        <v>0.38</v>
      </c>
      <c r="M271">
        <v>0.28360000000000002</v>
      </c>
      <c r="N271">
        <v>1</v>
      </c>
      <c r="O271">
        <v>2</v>
      </c>
      <c r="P271">
        <v>3</v>
      </c>
    </row>
    <row r="272" spans="1:16" x14ac:dyDescent="0.35">
      <c r="A272">
        <v>881</v>
      </c>
      <c r="B272" s="1">
        <v>40583</v>
      </c>
      <c r="C272">
        <v>1</v>
      </c>
      <c r="D272">
        <v>0</v>
      </c>
      <c r="E272">
        <v>2</v>
      </c>
      <c r="F272">
        <v>3</v>
      </c>
      <c r="G272">
        <v>0</v>
      </c>
      <c r="H272">
        <v>3</v>
      </c>
      <c r="I272">
        <v>1</v>
      </c>
      <c r="J272">
        <v>0.06</v>
      </c>
      <c r="K272">
        <v>7.5800000000000006E-2</v>
      </c>
      <c r="L272">
        <v>0.45</v>
      </c>
      <c r="M272">
        <v>0.1343</v>
      </c>
      <c r="N272">
        <v>0</v>
      </c>
      <c r="O272">
        <v>2</v>
      </c>
      <c r="P272">
        <v>2</v>
      </c>
    </row>
    <row r="273" spans="1:16" x14ac:dyDescent="0.35">
      <c r="A273">
        <v>882</v>
      </c>
      <c r="B273" s="1">
        <v>40583</v>
      </c>
      <c r="C273">
        <v>1</v>
      </c>
      <c r="D273">
        <v>0</v>
      </c>
      <c r="E273">
        <v>2</v>
      </c>
      <c r="F273">
        <v>5</v>
      </c>
      <c r="G273">
        <v>0</v>
      </c>
      <c r="H273">
        <v>3</v>
      </c>
      <c r="I273">
        <v>1</v>
      </c>
      <c r="J273">
        <v>0.06</v>
      </c>
      <c r="K273">
        <v>0.1061</v>
      </c>
      <c r="L273">
        <v>0.45</v>
      </c>
      <c r="M273">
        <v>0.1045</v>
      </c>
      <c r="N273">
        <v>0</v>
      </c>
      <c r="O273">
        <v>7</v>
      </c>
      <c r="P273">
        <v>7</v>
      </c>
    </row>
    <row r="274" spans="1:16" x14ac:dyDescent="0.35">
      <c r="A274">
        <v>883</v>
      </c>
      <c r="B274" s="1">
        <v>40583</v>
      </c>
      <c r="C274">
        <v>1</v>
      </c>
      <c r="D274">
        <v>0</v>
      </c>
      <c r="E274">
        <v>2</v>
      </c>
      <c r="F274">
        <v>6</v>
      </c>
      <c r="G274">
        <v>0</v>
      </c>
      <c r="H274">
        <v>3</v>
      </c>
      <c r="I274">
        <v>1</v>
      </c>
      <c r="J274">
        <v>0.06</v>
      </c>
      <c r="K274">
        <v>0.1515</v>
      </c>
      <c r="L274">
        <v>0.45</v>
      </c>
      <c r="M274">
        <v>0</v>
      </c>
      <c r="N274">
        <v>0</v>
      </c>
      <c r="O274">
        <v>43</v>
      </c>
      <c r="P274">
        <v>43</v>
      </c>
    </row>
    <row r="275" spans="1:16" x14ac:dyDescent="0.35">
      <c r="A275">
        <v>884</v>
      </c>
      <c r="B275" s="1">
        <v>40583</v>
      </c>
      <c r="C275">
        <v>1</v>
      </c>
      <c r="D275">
        <v>0</v>
      </c>
      <c r="E275">
        <v>2</v>
      </c>
      <c r="F275">
        <v>7</v>
      </c>
      <c r="G275">
        <v>0</v>
      </c>
      <c r="H275">
        <v>3</v>
      </c>
      <c r="I275">
        <v>1</v>
      </c>
      <c r="J275">
        <v>0.06</v>
      </c>
      <c r="K275">
        <v>0.1061</v>
      </c>
      <c r="L275">
        <v>0.49</v>
      </c>
      <c r="M275">
        <v>0.1045</v>
      </c>
      <c r="N275">
        <v>4</v>
      </c>
      <c r="O275">
        <v>95</v>
      </c>
      <c r="P275">
        <v>99</v>
      </c>
    </row>
    <row r="276" spans="1:16" x14ac:dyDescent="0.35">
      <c r="A276">
        <v>885</v>
      </c>
      <c r="B276" s="1">
        <v>40583</v>
      </c>
      <c r="C276">
        <v>1</v>
      </c>
      <c r="D276">
        <v>0</v>
      </c>
      <c r="E276">
        <v>2</v>
      </c>
      <c r="F276">
        <v>8</v>
      </c>
      <c r="G276">
        <v>0</v>
      </c>
      <c r="H276">
        <v>3</v>
      </c>
      <c r="I276">
        <v>1</v>
      </c>
      <c r="J276">
        <v>0.1</v>
      </c>
      <c r="K276">
        <v>0.13639999999999999</v>
      </c>
      <c r="L276">
        <v>0.42</v>
      </c>
      <c r="M276">
        <v>0</v>
      </c>
      <c r="N276">
        <v>1</v>
      </c>
      <c r="O276">
        <v>198</v>
      </c>
      <c r="P276">
        <v>199</v>
      </c>
    </row>
    <row r="277" spans="1:16" x14ac:dyDescent="0.35">
      <c r="A277">
        <v>886</v>
      </c>
      <c r="B277" s="1">
        <v>40583</v>
      </c>
      <c r="C277">
        <v>1</v>
      </c>
      <c r="D277">
        <v>0</v>
      </c>
      <c r="E277">
        <v>2</v>
      </c>
      <c r="F277">
        <v>9</v>
      </c>
      <c r="G277">
        <v>0</v>
      </c>
      <c r="H277">
        <v>3</v>
      </c>
      <c r="I277">
        <v>1</v>
      </c>
      <c r="J277">
        <v>0.12</v>
      </c>
      <c r="K277">
        <v>0.13639999999999999</v>
      </c>
      <c r="L277">
        <v>0.39</v>
      </c>
      <c r="M277">
        <v>0.16420000000000001</v>
      </c>
      <c r="N277">
        <v>4</v>
      </c>
      <c r="O277">
        <v>119</v>
      </c>
      <c r="P277">
        <v>123</v>
      </c>
    </row>
    <row r="278" spans="1:16" x14ac:dyDescent="0.35">
      <c r="A278">
        <v>887</v>
      </c>
      <c r="B278" s="1">
        <v>40583</v>
      </c>
      <c r="C278">
        <v>1</v>
      </c>
      <c r="D278">
        <v>0</v>
      </c>
      <c r="E278">
        <v>2</v>
      </c>
      <c r="F278">
        <v>10</v>
      </c>
      <c r="G278">
        <v>0</v>
      </c>
      <c r="H278">
        <v>3</v>
      </c>
      <c r="I278">
        <v>1</v>
      </c>
      <c r="J278">
        <v>0.14000000000000001</v>
      </c>
      <c r="K278">
        <v>0.18179999999999999</v>
      </c>
      <c r="L278">
        <v>0.36</v>
      </c>
      <c r="M278">
        <v>0</v>
      </c>
      <c r="N278">
        <v>8</v>
      </c>
      <c r="O278">
        <v>51</v>
      </c>
      <c r="P278">
        <v>59</v>
      </c>
    </row>
    <row r="279" spans="1:16" x14ac:dyDescent="0.35">
      <c r="A279">
        <v>888</v>
      </c>
      <c r="B279" s="1">
        <v>40583</v>
      </c>
      <c r="C279">
        <v>1</v>
      </c>
      <c r="D279">
        <v>0</v>
      </c>
      <c r="E279">
        <v>2</v>
      </c>
      <c r="F279">
        <v>11</v>
      </c>
      <c r="G279">
        <v>0</v>
      </c>
      <c r="H279">
        <v>3</v>
      </c>
      <c r="I279">
        <v>2</v>
      </c>
      <c r="J279">
        <v>0.14000000000000001</v>
      </c>
      <c r="K279">
        <v>0.1515</v>
      </c>
      <c r="L279">
        <v>0.43</v>
      </c>
      <c r="M279">
        <v>0.16420000000000001</v>
      </c>
      <c r="N279">
        <v>1</v>
      </c>
      <c r="O279">
        <v>40</v>
      </c>
      <c r="P279">
        <v>41</v>
      </c>
    </row>
    <row r="280" spans="1:16" x14ac:dyDescent="0.35">
      <c r="A280">
        <v>889</v>
      </c>
      <c r="B280" s="1">
        <v>40583</v>
      </c>
      <c r="C280">
        <v>1</v>
      </c>
      <c r="D280">
        <v>0</v>
      </c>
      <c r="E280">
        <v>2</v>
      </c>
      <c r="F280">
        <v>12</v>
      </c>
      <c r="G280">
        <v>0</v>
      </c>
      <c r="H280">
        <v>3</v>
      </c>
      <c r="I280">
        <v>2</v>
      </c>
      <c r="J280">
        <v>0.18</v>
      </c>
      <c r="K280">
        <v>0.18179999999999999</v>
      </c>
      <c r="L280">
        <v>0.4</v>
      </c>
      <c r="M280">
        <v>0.22389999999999999</v>
      </c>
      <c r="N280">
        <v>4</v>
      </c>
      <c r="O280">
        <v>57</v>
      </c>
      <c r="P280">
        <v>61</v>
      </c>
    </row>
    <row r="281" spans="1:16" x14ac:dyDescent="0.35">
      <c r="A281">
        <v>890</v>
      </c>
      <c r="B281" s="1">
        <v>40583</v>
      </c>
      <c r="C281">
        <v>1</v>
      </c>
      <c r="D281">
        <v>0</v>
      </c>
      <c r="E281">
        <v>2</v>
      </c>
      <c r="F281">
        <v>13</v>
      </c>
      <c r="G281">
        <v>0</v>
      </c>
      <c r="H281">
        <v>3</v>
      </c>
      <c r="I281">
        <v>1</v>
      </c>
      <c r="J281">
        <v>0.18</v>
      </c>
      <c r="K281">
        <v>0.16669999999999999</v>
      </c>
      <c r="L281">
        <v>0.4</v>
      </c>
      <c r="M281">
        <v>0.25369999999999998</v>
      </c>
      <c r="N281">
        <v>2</v>
      </c>
      <c r="O281">
        <v>67</v>
      </c>
      <c r="P281">
        <v>69</v>
      </c>
    </row>
    <row r="282" spans="1:16" x14ac:dyDescent="0.35">
      <c r="A282">
        <v>891</v>
      </c>
      <c r="B282" s="1">
        <v>40583</v>
      </c>
      <c r="C282">
        <v>1</v>
      </c>
      <c r="D282">
        <v>0</v>
      </c>
      <c r="E282">
        <v>2</v>
      </c>
      <c r="F282">
        <v>14</v>
      </c>
      <c r="G282">
        <v>0</v>
      </c>
      <c r="H282">
        <v>3</v>
      </c>
      <c r="I282">
        <v>1</v>
      </c>
      <c r="J282">
        <v>0.2</v>
      </c>
      <c r="K282">
        <v>0.18179999999999999</v>
      </c>
      <c r="L282">
        <v>0.34</v>
      </c>
      <c r="M282">
        <v>0.29849999999999999</v>
      </c>
      <c r="N282">
        <v>2</v>
      </c>
      <c r="O282">
        <v>56</v>
      </c>
      <c r="P282">
        <v>58</v>
      </c>
    </row>
    <row r="283" spans="1:16" x14ac:dyDescent="0.35">
      <c r="A283">
        <v>892</v>
      </c>
      <c r="B283" s="1">
        <v>40583</v>
      </c>
      <c r="C283">
        <v>1</v>
      </c>
      <c r="D283">
        <v>0</v>
      </c>
      <c r="E283">
        <v>2</v>
      </c>
      <c r="F283">
        <v>15</v>
      </c>
      <c r="G283">
        <v>0</v>
      </c>
      <c r="H283">
        <v>3</v>
      </c>
      <c r="I283">
        <v>2</v>
      </c>
      <c r="J283">
        <v>0.2</v>
      </c>
      <c r="K283">
        <v>0.18179999999999999</v>
      </c>
      <c r="L283">
        <v>0.34</v>
      </c>
      <c r="M283">
        <v>0.28360000000000002</v>
      </c>
      <c r="N283">
        <v>3</v>
      </c>
      <c r="O283">
        <v>61</v>
      </c>
      <c r="P283">
        <v>64</v>
      </c>
    </row>
    <row r="284" spans="1:16" x14ac:dyDescent="0.35">
      <c r="A284">
        <v>893</v>
      </c>
      <c r="B284" s="1">
        <v>40583</v>
      </c>
      <c r="C284">
        <v>1</v>
      </c>
      <c r="D284">
        <v>0</v>
      </c>
      <c r="E284">
        <v>2</v>
      </c>
      <c r="F284">
        <v>16</v>
      </c>
      <c r="G284">
        <v>0</v>
      </c>
      <c r="H284">
        <v>3</v>
      </c>
      <c r="I284">
        <v>2</v>
      </c>
      <c r="J284">
        <v>0.2</v>
      </c>
      <c r="K284">
        <v>0.19700000000000001</v>
      </c>
      <c r="L284">
        <v>0.37</v>
      </c>
      <c r="M284">
        <v>0.25369999999999998</v>
      </c>
      <c r="N284">
        <v>7</v>
      </c>
      <c r="O284">
        <v>72</v>
      </c>
      <c r="P284">
        <v>79</v>
      </c>
    </row>
    <row r="285" spans="1:16" x14ac:dyDescent="0.35">
      <c r="A285">
        <v>894</v>
      </c>
      <c r="B285" s="1">
        <v>40583</v>
      </c>
      <c r="C285">
        <v>1</v>
      </c>
      <c r="D285">
        <v>0</v>
      </c>
      <c r="E285">
        <v>2</v>
      </c>
      <c r="F285">
        <v>17</v>
      </c>
      <c r="G285">
        <v>0</v>
      </c>
      <c r="H285">
        <v>3</v>
      </c>
      <c r="I285">
        <v>2</v>
      </c>
      <c r="J285">
        <v>0.2</v>
      </c>
      <c r="K285">
        <v>0.19700000000000001</v>
      </c>
      <c r="L285">
        <v>0.34</v>
      </c>
      <c r="M285">
        <v>0.25369999999999998</v>
      </c>
      <c r="N285">
        <v>9</v>
      </c>
      <c r="O285">
        <v>157</v>
      </c>
      <c r="P285">
        <v>166</v>
      </c>
    </row>
    <row r="286" spans="1:16" x14ac:dyDescent="0.35">
      <c r="A286">
        <v>895</v>
      </c>
      <c r="B286" s="1">
        <v>40583</v>
      </c>
      <c r="C286">
        <v>1</v>
      </c>
      <c r="D286">
        <v>0</v>
      </c>
      <c r="E286">
        <v>2</v>
      </c>
      <c r="F286">
        <v>18</v>
      </c>
      <c r="G286">
        <v>0</v>
      </c>
      <c r="H286">
        <v>3</v>
      </c>
      <c r="I286">
        <v>2</v>
      </c>
      <c r="J286">
        <v>0.18</v>
      </c>
      <c r="K286">
        <v>0.16669999999999999</v>
      </c>
      <c r="L286">
        <v>0.47</v>
      </c>
      <c r="M286">
        <v>0.29849999999999999</v>
      </c>
      <c r="N286">
        <v>2</v>
      </c>
      <c r="O286">
        <v>168</v>
      </c>
      <c r="P286">
        <v>170</v>
      </c>
    </row>
    <row r="287" spans="1:16" x14ac:dyDescent="0.35">
      <c r="A287">
        <v>896</v>
      </c>
      <c r="B287" s="1">
        <v>40583</v>
      </c>
      <c r="C287">
        <v>1</v>
      </c>
      <c r="D287">
        <v>0</v>
      </c>
      <c r="E287">
        <v>2</v>
      </c>
      <c r="F287">
        <v>19</v>
      </c>
      <c r="G287">
        <v>0</v>
      </c>
      <c r="H287">
        <v>3</v>
      </c>
      <c r="I287">
        <v>3</v>
      </c>
      <c r="J287">
        <v>0.14000000000000001</v>
      </c>
      <c r="K287">
        <v>0.1212</v>
      </c>
      <c r="L287">
        <v>0.86</v>
      </c>
      <c r="M287">
        <v>0.25369999999999998</v>
      </c>
      <c r="N287">
        <v>1</v>
      </c>
      <c r="O287">
        <v>87</v>
      </c>
      <c r="P287">
        <v>88</v>
      </c>
    </row>
    <row r="288" spans="1:16" x14ac:dyDescent="0.35">
      <c r="A288">
        <v>897</v>
      </c>
      <c r="B288" s="1">
        <v>40583</v>
      </c>
      <c r="C288">
        <v>1</v>
      </c>
      <c r="D288">
        <v>0</v>
      </c>
      <c r="E288">
        <v>2</v>
      </c>
      <c r="F288">
        <v>20</v>
      </c>
      <c r="G288">
        <v>0</v>
      </c>
      <c r="H288">
        <v>3</v>
      </c>
      <c r="I288">
        <v>3</v>
      </c>
      <c r="J288">
        <v>0.14000000000000001</v>
      </c>
      <c r="K288">
        <v>0.1515</v>
      </c>
      <c r="L288">
        <v>0.86</v>
      </c>
      <c r="M288">
        <v>0.16420000000000001</v>
      </c>
      <c r="N288">
        <v>0</v>
      </c>
      <c r="O288">
        <v>84</v>
      </c>
      <c r="P288">
        <v>84</v>
      </c>
    </row>
    <row r="289" spans="1:16" x14ac:dyDescent="0.35">
      <c r="A289">
        <v>898</v>
      </c>
      <c r="B289" s="1">
        <v>40583</v>
      </c>
      <c r="C289">
        <v>1</v>
      </c>
      <c r="D289">
        <v>0</v>
      </c>
      <c r="E289">
        <v>2</v>
      </c>
      <c r="F289">
        <v>21</v>
      </c>
      <c r="G289">
        <v>0</v>
      </c>
      <c r="H289">
        <v>3</v>
      </c>
      <c r="I289">
        <v>2</v>
      </c>
      <c r="J289">
        <v>0.14000000000000001</v>
      </c>
      <c r="K289">
        <v>0.1515</v>
      </c>
      <c r="L289">
        <v>0.86</v>
      </c>
      <c r="M289">
        <v>0.16420000000000001</v>
      </c>
      <c r="N289">
        <v>0</v>
      </c>
      <c r="O289">
        <v>83</v>
      </c>
      <c r="P289">
        <v>83</v>
      </c>
    </row>
    <row r="290" spans="1:16" x14ac:dyDescent="0.35">
      <c r="A290">
        <v>899</v>
      </c>
      <c r="B290" s="1">
        <v>40583</v>
      </c>
      <c r="C290">
        <v>1</v>
      </c>
      <c r="D290">
        <v>0</v>
      </c>
      <c r="E290">
        <v>2</v>
      </c>
      <c r="F290">
        <v>22</v>
      </c>
      <c r="G290">
        <v>0</v>
      </c>
      <c r="H290">
        <v>3</v>
      </c>
      <c r="I290">
        <v>3</v>
      </c>
      <c r="J290">
        <v>0.16</v>
      </c>
      <c r="K290">
        <v>0.16669999999999999</v>
      </c>
      <c r="L290">
        <v>0.8</v>
      </c>
      <c r="M290">
        <v>0.16420000000000001</v>
      </c>
      <c r="N290">
        <v>4</v>
      </c>
      <c r="O290">
        <v>42</v>
      </c>
      <c r="P290">
        <v>46</v>
      </c>
    </row>
    <row r="291" spans="1:16" x14ac:dyDescent="0.35">
      <c r="A291">
        <v>900</v>
      </c>
      <c r="B291" s="1">
        <v>40583</v>
      </c>
      <c r="C291">
        <v>1</v>
      </c>
      <c r="D291">
        <v>0</v>
      </c>
      <c r="E291">
        <v>2</v>
      </c>
      <c r="F291">
        <v>23</v>
      </c>
      <c r="G291">
        <v>0</v>
      </c>
      <c r="H291">
        <v>3</v>
      </c>
      <c r="I291">
        <v>3</v>
      </c>
      <c r="J291">
        <v>0.16</v>
      </c>
      <c r="K291">
        <v>0.1515</v>
      </c>
      <c r="L291">
        <v>0.8</v>
      </c>
      <c r="M291">
        <v>0.19400000000000001</v>
      </c>
      <c r="N291">
        <v>0</v>
      </c>
      <c r="O291">
        <v>37</v>
      </c>
      <c r="P291">
        <v>37</v>
      </c>
    </row>
    <row r="292" spans="1:16" x14ac:dyDescent="0.35">
      <c r="A292">
        <v>901</v>
      </c>
      <c r="B292" s="1">
        <v>40584</v>
      </c>
      <c r="C292">
        <v>1</v>
      </c>
      <c r="D292">
        <v>0</v>
      </c>
      <c r="E292">
        <v>2</v>
      </c>
      <c r="F292">
        <v>0</v>
      </c>
      <c r="G292">
        <v>0</v>
      </c>
      <c r="H292">
        <v>4</v>
      </c>
      <c r="I292">
        <v>3</v>
      </c>
      <c r="J292">
        <v>0.14000000000000001</v>
      </c>
      <c r="K292">
        <v>0.13639999999999999</v>
      </c>
      <c r="L292">
        <v>0.86</v>
      </c>
      <c r="M292">
        <v>0.19400000000000001</v>
      </c>
      <c r="N292">
        <v>0</v>
      </c>
      <c r="O292">
        <v>16</v>
      </c>
      <c r="P292">
        <v>16</v>
      </c>
    </row>
    <row r="293" spans="1:16" x14ac:dyDescent="0.35">
      <c r="A293">
        <v>902</v>
      </c>
      <c r="B293" s="1">
        <v>40584</v>
      </c>
      <c r="C293">
        <v>1</v>
      </c>
      <c r="D293">
        <v>0</v>
      </c>
      <c r="E293">
        <v>2</v>
      </c>
      <c r="F293">
        <v>1</v>
      </c>
      <c r="G293">
        <v>0</v>
      </c>
      <c r="H293">
        <v>4</v>
      </c>
      <c r="I293">
        <v>3</v>
      </c>
      <c r="J293">
        <v>0.14000000000000001</v>
      </c>
      <c r="K293">
        <v>0.1515</v>
      </c>
      <c r="L293">
        <v>0.8</v>
      </c>
      <c r="M293">
        <v>0.1343</v>
      </c>
      <c r="N293">
        <v>0</v>
      </c>
      <c r="O293">
        <v>7</v>
      </c>
      <c r="P293">
        <v>7</v>
      </c>
    </row>
    <row r="294" spans="1:16" x14ac:dyDescent="0.35">
      <c r="A294">
        <v>903</v>
      </c>
      <c r="B294" s="1">
        <v>40584</v>
      </c>
      <c r="C294">
        <v>1</v>
      </c>
      <c r="D294">
        <v>0</v>
      </c>
      <c r="E294">
        <v>2</v>
      </c>
      <c r="F294">
        <v>2</v>
      </c>
      <c r="G294">
        <v>0</v>
      </c>
      <c r="H294">
        <v>4</v>
      </c>
      <c r="I294">
        <v>3</v>
      </c>
      <c r="J294">
        <v>0.14000000000000001</v>
      </c>
      <c r="K294">
        <v>0.1515</v>
      </c>
      <c r="L294">
        <v>0.8</v>
      </c>
      <c r="M294">
        <v>0.1343</v>
      </c>
      <c r="N294">
        <v>0</v>
      </c>
      <c r="O294">
        <v>3</v>
      </c>
      <c r="P294">
        <v>3</v>
      </c>
    </row>
    <row r="295" spans="1:16" x14ac:dyDescent="0.35">
      <c r="A295">
        <v>904</v>
      </c>
      <c r="B295" s="1">
        <v>40584</v>
      </c>
      <c r="C295">
        <v>1</v>
      </c>
      <c r="D295">
        <v>0</v>
      </c>
      <c r="E295">
        <v>2</v>
      </c>
      <c r="F295">
        <v>4</v>
      </c>
      <c r="G295">
        <v>0</v>
      </c>
      <c r="H295">
        <v>4</v>
      </c>
      <c r="I295">
        <v>2</v>
      </c>
      <c r="J295">
        <v>0.14000000000000001</v>
      </c>
      <c r="K295">
        <v>0.13639999999999999</v>
      </c>
      <c r="L295">
        <v>0.59</v>
      </c>
      <c r="M295">
        <v>0.22389999999999999</v>
      </c>
      <c r="N295">
        <v>0</v>
      </c>
      <c r="O295">
        <v>1</v>
      </c>
      <c r="P295">
        <v>1</v>
      </c>
    </row>
    <row r="296" spans="1:16" x14ac:dyDescent="0.35">
      <c r="A296">
        <v>905</v>
      </c>
      <c r="B296" s="1">
        <v>40584</v>
      </c>
      <c r="C296">
        <v>1</v>
      </c>
      <c r="D296">
        <v>0</v>
      </c>
      <c r="E296">
        <v>2</v>
      </c>
      <c r="F296">
        <v>5</v>
      </c>
      <c r="G296">
        <v>0</v>
      </c>
      <c r="H296">
        <v>4</v>
      </c>
      <c r="I296">
        <v>2</v>
      </c>
      <c r="J296">
        <v>0.12</v>
      </c>
      <c r="K296">
        <v>0.1212</v>
      </c>
      <c r="L296">
        <v>0.5</v>
      </c>
      <c r="M296">
        <v>0.22389999999999999</v>
      </c>
      <c r="N296">
        <v>0</v>
      </c>
      <c r="O296">
        <v>6</v>
      </c>
      <c r="P296">
        <v>6</v>
      </c>
    </row>
    <row r="297" spans="1:16" x14ac:dyDescent="0.35">
      <c r="A297">
        <v>906</v>
      </c>
      <c r="B297" s="1">
        <v>40584</v>
      </c>
      <c r="C297">
        <v>1</v>
      </c>
      <c r="D297">
        <v>0</v>
      </c>
      <c r="E297">
        <v>2</v>
      </c>
      <c r="F297">
        <v>6</v>
      </c>
      <c r="G297">
        <v>0</v>
      </c>
      <c r="H297">
        <v>4</v>
      </c>
      <c r="I297">
        <v>2</v>
      </c>
      <c r="J297">
        <v>0.12</v>
      </c>
      <c r="K297">
        <v>0.1212</v>
      </c>
      <c r="L297">
        <v>0.54</v>
      </c>
      <c r="M297">
        <v>0.28360000000000002</v>
      </c>
      <c r="N297">
        <v>0</v>
      </c>
      <c r="O297">
        <v>26</v>
      </c>
      <c r="P297">
        <v>26</v>
      </c>
    </row>
    <row r="298" spans="1:16" x14ac:dyDescent="0.35">
      <c r="A298">
        <v>907</v>
      </c>
      <c r="B298" s="1">
        <v>40584</v>
      </c>
      <c r="C298">
        <v>1</v>
      </c>
      <c r="D298">
        <v>0</v>
      </c>
      <c r="E298">
        <v>2</v>
      </c>
      <c r="F298">
        <v>7</v>
      </c>
      <c r="G298">
        <v>0</v>
      </c>
      <c r="H298">
        <v>4</v>
      </c>
      <c r="I298">
        <v>1</v>
      </c>
      <c r="J298">
        <v>0.1</v>
      </c>
      <c r="K298">
        <v>7.5800000000000006E-2</v>
      </c>
      <c r="L298">
        <v>0.5</v>
      </c>
      <c r="M298">
        <v>0.41789999999999999</v>
      </c>
      <c r="N298">
        <v>0</v>
      </c>
      <c r="O298">
        <v>99</v>
      </c>
      <c r="P298">
        <v>99</v>
      </c>
    </row>
    <row r="299" spans="1:16" x14ac:dyDescent="0.35">
      <c r="A299">
        <v>908</v>
      </c>
      <c r="B299" s="1">
        <v>40584</v>
      </c>
      <c r="C299">
        <v>1</v>
      </c>
      <c r="D299">
        <v>0</v>
      </c>
      <c r="E299">
        <v>2</v>
      </c>
      <c r="F299">
        <v>8</v>
      </c>
      <c r="G299">
        <v>0</v>
      </c>
      <c r="H299">
        <v>4</v>
      </c>
      <c r="I299">
        <v>1</v>
      </c>
      <c r="J299">
        <v>0.1</v>
      </c>
      <c r="K299">
        <v>7.5800000000000006E-2</v>
      </c>
      <c r="L299">
        <v>0.49</v>
      </c>
      <c r="M299">
        <v>0.32840000000000003</v>
      </c>
      <c r="N299">
        <v>5</v>
      </c>
      <c r="O299">
        <v>173</v>
      </c>
      <c r="P299">
        <v>178</v>
      </c>
    </row>
    <row r="300" spans="1:16" x14ac:dyDescent="0.35">
      <c r="A300">
        <v>909</v>
      </c>
      <c r="B300" s="1">
        <v>40584</v>
      </c>
      <c r="C300">
        <v>1</v>
      </c>
      <c r="D300">
        <v>0</v>
      </c>
      <c r="E300">
        <v>2</v>
      </c>
      <c r="F300">
        <v>9</v>
      </c>
      <c r="G300">
        <v>0</v>
      </c>
      <c r="H300">
        <v>4</v>
      </c>
      <c r="I300">
        <v>1</v>
      </c>
      <c r="J300">
        <v>0.12</v>
      </c>
      <c r="K300">
        <v>0.1061</v>
      </c>
      <c r="L300">
        <v>0.42</v>
      </c>
      <c r="M300">
        <v>0.35820000000000002</v>
      </c>
      <c r="N300">
        <v>1</v>
      </c>
      <c r="O300">
        <v>121</v>
      </c>
      <c r="P300">
        <v>122</v>
      </c>
    </row>
    <row r="301" spans="1:16" x14ac:dyDescent="0.35">
      <c r="A301">
        <v>910</v>
      </c>
      <c r="B301" s="1">
        <v>40584</v>
      </c>
      <c r="C301">
        <v>1</v>
      </c>
      <c r="D301">
        <v>0</v>
      </c>
      <c r="E301">
        <v>2</v>
      </c>
      <c r="F301">
        <v>10</v>
      </c>
      <c r="G301">
        <v>0</v>
      </c>
      <c r="H301">
        <v>4</v>
      </c>
      <c r="I301">
        <v>1</v>
      </c>
      <c r="J301">
        <v>0.12</v>
      </c>
      <c r="K301">
        <v>0.1061</v>
      </c>
      <c r="L301">
        <v>0.42</v>
      </c>
      <c r="M301">
        <v>0.29849999999999999</v>
      </c>
      <c r="N301">
        <v>1</v>
      </c>
      <c r="O301">
        <v>34</v>
      </c>
      <c r="P301">
        <v>35</v>
      </c>
    </row>
    <row r="302" spans="1:16" x14ac:dyDescent="0.35">
      <c r="A302">
        <v>911</v>
      </c>
      <c r="B302" s="1">
        <v>40584</v>
      </c>
      <c r="C302">
        <v>1</v>
      </c>
      <c r="D302">
        <v>0</v>
      </c>
      <c r="E302">
        <v>2</v>
      </c>
      <c r="F302">
        <v>11</v>
      </c>
      <c r="G302">
        <v>0</v>
      </c>
      <c r="H302">
        <v>4</v>
      </c>
      <c r="I302">
        <v>1</v>
      </c>
      <c r="J302">
        <v>0.14000000000000001</v>
      </c>
      <c r="K302">
        <v>0.1212</v>
      </c>
      <c r="L302">
        <v>0.39</v>
      </c>
      <c r="M302">
        <v>0.35820000000000002</v>
      </c>
      <c r="N302">
        <v>1</v>
      </c>
      <c r="O302">
        <v>44</v>
      </c>
      <c r="P302">
        <v>45</v>
      </c>
    </row>
    <row r="303" spans="1:16" x14ac:dyDescent="0.35">
      <c r="A303">
        <v>912</v>
      </c>
      <c r="B303" s="1">
        <v>40584</v>
      </c>
      <c r="C303">
        <v>1</v>
      </c>
      <c r="D303">
        <v>0</v>
      </c>
      <c r="E303">
        <v>2</v>
      </c>
      <c r="F303">
        <v>12</v>
      </c>
      <c r="G303">
        <v>0</v>
      </c>
      <c r="H303">
        <v>4</v>
      </c>
      <c r="I303">
        <v>1</v>
      </c>
      <c r="J303">
        <v>0.16</v>
      </c>
      <c r="K303">
        <v>0.13639999999999999</v>
      </c>
      <c r="L303">
        <v>0.34</v>
      </c>
      <c r="M303">
        <v>0.3881</v>
      </c>
      <c r="N303">
        <v>4</v>
      </c>
      <c r="O303">
        <v>65</v>
      </c>
      <c r="P303">
        <v>69</v>
      </c>
    </row>
    <row r="304" spans="1:16" x14ac:dyDescent="0.35">
      <c r="A304">
        <v>913</v>
      </c>
      <c r="B304" s="1">
        <v>40584</v>
      </c>
      <c r="C304">
        <v>1</v>
      </c>
      <c r="D304">
        <v>0</v>
      </c>
      <c r="E304">
        <v>2</v>
      </c>
      <c r="F304">
        <v>13</v>
      </c>
      <c r="G304">
        <v>0</v>
      </c>
      <c r="H304">
        <v>4</v>
      </c>
      <c r="I304">
        <v>1</v>
      </c>
      <c r="J304">
        <v>0.18</v>
      </c>
      <c r="K304">
        <v>0.16669999999999999</v>
      </c>
      <c r="L304">
        <v>0.28999999999999998</v>
      </c>
      <c r="M304">
        <v>0.29849999999999999</v>
      </c>
      <c r="N304">
        <v>3</v>
      </c>
      <c r="O304">
        <v>59</v>
      </c>
      <c r="P304">
        <v>62</v>
      </c>
    </row>
    <row r="305" spans="1:16" x14ac:dyDescent="0.35">
      <c r="A305">
        <v>914</v>
      </c>
      <c r="B305" s="1">
        <v>40584</v>
      </c>
      <c r="C305">
        <v>1</v>
      </c>
      <c r="D305">
        <v>0</v>
      </c>
      <c r="E305">
        <v>2</v>
      </c>
      <c r="F305">
        <v>14</v>
      </c>
      <c r="G305">
        <v>0</v>
      </c>
      <c r="H305">
        <v>4</v>
      </c>
      <c r="I305">
        <v>1</v>
      </c>
      <c r="J305">
        <v>0.2</v>
      </c>
      <c r="K305">
        <v>0.18179999999999999</v>
      </c>
      <c r="L305">
        <v>0.27</v>
      </c>
      <c r="M305">
        <v>0.28360000000000002</v>
      </c>
      <c r="N305">
        <v>6</v>
      </c>
      <c r="O305">
        <v>42</v>
      </c>
      <c r="P305">
        <v>48</v>
      </c>
    </row>
    <row r="306" spans="1:16" x14ac:dyDescent="0.35">
      <c r="A306">
        <v>915</v>
      </c>
      <c r="B306" s="1">
        <v>40584</v>
      </c>
      <c r="C306">
        <v>1</v>
      </c>
      <c r="D306">
        <v>0</v>
      </c>
      <c r="E306">
        <v>2</v>
      </c>
      <c r="F306">
        <v>15</v>
      </c>
      <c r="G306">
        <v>0</v>
      </c>
      <c r="H306">
        <v>4</v>
      </c>
      <c r="I306">
        <v>1</v>
      </c>
      <c r="J306">
        <v>0.2</v>
      </c>
      <c r="K306">
        <v>0.19700000000000001</v>
      </c>
      <c r="L306">
        <v>0.25</v>
      </c>
      <c r="M306">
        <v>0.25369999999999998</v>
      </c>
      <c r="N306">
        <v>0</v>
      </c>
      <c r="O306">
        <v>50</v>
      </c>
      <c r="P306">
        <v>50</v>
      </c>
    </row>
    <row r="307" spans="1:16" x14ac:dyDescent="0.35">
      <c r="A307">
        <v>916</v>
      </c>
      <c r="B307" s="1">
        <v>40584</v>
      </c>
      <c r="C307">
        <v>1</v>
      </c>
      <c r="D307">
        <v>0</v>
      </c>
      <c r="E307">
        <v>2</v>
      </c>
      <c r="F307">
        <v>16</v>
      </c>
      <c r="G307">
        <v>0</v>
      </c>
      <c r="H307">
        <v>4</v>
      </c>
      <c r="I307">
        <v>1</v>
      </c>
      <c r="J307">
        <v>0.2</v>
      </c>
      <c r="K307">
        <v>0.18179999999999999</v>
      </c>
      <c r="L307">
        <v>0.27</v>
      </c>
      <c r="M307">
        <v>0.29849999999999999</v>
      </c>
      <c r="N307">
        <v>4</v>
      </c>
      <c r="O307">
        <v>76</v>
      </c>
      <c r="P307">
        <v>80</v>
      </c>
    </row>
    <row r="308" spans="1:16" x14ac:dyDescent="0.35">
      <c r="A308">
        <v>917</v>
      </c>
      <c r="B308" s="1">
        <v>40584</v>
      </c>
      <c r="C308">
        <v>1</v>
      </c>
      <c r="D308">
        <v>0</v>
      </c>
      <c r="E308">
        <v>2</v>
      </c>
      <c r="F308">
        <v>17</v>
      </c>
      <c r="G308">
        <v>0</v>
      </c>
      <c r="H308">
        <v>4</v>
      </c>
      <c r="I308">
        <v>1</v>
      </c>
      <c r="J308">
        <v>0.18</v>
      </c>
      <c r="K308">
        <v>0.18179999999999999</v>
      </c>
      <c r="L308">
        <v>0.26</v>
      </c>
      <c r="M308">
        <v>0.19400000000000001</v>
      </c>
      <c r="N308">
        <v>6</v>
      </c>
      <c r="O308">
        <v>159</v>
      </c>
      <c r="P308">
        <v>165</v>
      </c>
    </row>
    <row r="309" spans="1:16" x14ac:dyDescent="0.35">
      <c r="A309">
        <v>918</v>
      </c>
      <c r="B309" s="1">
        <v>40584</v>
      </c>
      <c r="C309">
        <v>1</v>
      </c>
      <c r="D309">
        <v>0</v>
      </c>
      <c r="E309">
        <v>2</v>
      </c>
      <c r="F309">
        <v>18</v>
      </c>
      <c r="G309">
        <v>0</v>
      </c>
      <c r="H309">
        <v>4</v>
      </c>
      <c r="I309">
        <v>1</v>
      </c>
      <c r="J309">
        <v>0.16</v>
      </c>
      <c r="K309">
        <v>0.18179999999999999</v>
      </c>
      <c r="L309">
        <v>0.28000000000000003</v>
      </c>
      <c r="M309">
        <v>0.1343</v>
      </c>
      <c r="N309">
        <v>3</v>
      </c>
      <c r="O309">
        <v>157</v>
      </c>
      <c r="P309">
        <v>160</v>
      </c>
    </row>
    <row r="310" spans="1:16" x14ac:dyDescent="0.35">
      <c r="A310">
        <v>919</v>
      </c>
      <c r="B310" s="1">
        <v>40584</v>
      </c>
      <c r="C310">
        <v>1</v>
      </c>
      <c r="D310">
        <v>0</v>
      </c>
      <c r="E310">
        <v>2</v>
      </c>
      <c r="F310">
        <v>19</v>
      </c>
      <c r="G310">
        <v>0</v>
      </c>
      <c r="H310">
        <v>4</v>
      </c>
      <c r="I310">
        <v>1</v>
      </c>
      <c r="J310">
        <v>0.14000000000000001</v>
      </c>
      <c r="K310">
        <v>0.16669999999999999</v>
      </c>
      <c r="L310">
        <v>0.28000000000000003</v>
      </c>
      <c r="M310">
        <v>0.1045</v>
      </c>
      <c r="N310">
        <v>2</v>
      </c>
      <c r="O310">
        <v>110</v>
      </c>
      <c r="P310">
        <v>112</v>
      </c>
    </row>
    <row r="311" spans="1:16" x14ac:dyDescent="0.35">
      <c r="A311">
        <v>920</v>
      </c>
      <c r="B311" s="1">
        <v>40584</v>
      </c>
      <c r="C311">
        <v>1</v>
      </c>
      <c r="D311">
        <v>0</v>
      </c>
      <c r="E311">
        <v>2</v>
      </c>
      <c r="F311">
        <v>20</v>
      </c>
      <c r="G311">
        <v>0</v>
      </c>
      <c r="H311">
        <v>4</v>
      </c>
      <c r="I311">
        <v>1</v>
      </c>
      <c r="J311">
        <v>0.14000000000000001</v>
      </c>
      <c r="K311">
        <v>0.18179999999999999</v>
      </c>
      <c r="L311">
        <v>0.31</v>
      </c>
      <c r="M311">
        <v>8.9599999999999999E-2</v>
      </c>
      <c r="N311">
        <v>4</v>
      </c>
      <c r="O311">
        <v>93</v>
      </c>
      <c r="P311">
        <v>97</v>
      </c>
    </row>
    <row r="312" spans="1:16" x14ac:dyDescent="0.35">
      <c r="A312">
        <v>921</v>
      </c>
      <c r="B312" s="1">
        <v>40584</v>
      </c>
      <c r="C312">
        <v>1</v>
      </c>
      <c r="D312">
        <v>0</v>
      </c>
      <c r="E312">
        <v>2</v>
      </c>
      <c r="F312">
        <v>21</v>
      </c>
      <c r="G312">
        <v>0</v>
      </c>
      <c r="H312">
        <v>4</v>
      </c>
      <c r="I312">
        <v>1</v>
      </c>
      <c r="J312">
        <v>0.14000000000000001</v>
      </c>
      <c r="K312">
        <v>0.21210000000000001</v>
      </c>
      <c r="L312">
        <v>0.39</v>
      </c>
      <c r="M312">
        <v>0</v>
      </c>
      <c r="N312">
        <v>2</v>
      </c>
      <c r="O312">
        <v>70</v>
      </c>
      <c r="P312">
        <v>72</v>
      </c>
    </row>
    <row r="313" spans="1:16" x14ac:dyDescent="0.35">
      <c r="A313">
        <v>922</v>
      </c>
      <c r="B313" s="1">
        <v>40584</v>
      </c>
      <c r="C313">
        <v>1</v>
      </c>
      <c r="D313">
        <v>0</v>
      </c>
      <c r="E313">
        <v>2</v>
      </c>
      <c r="F313">
        <v>22</v>
      </c>
      <c r="G313">
        <v>0</v>
      </c>
      <c r="H313">
        <v>4</v>
      </c>
      <c r="I313">
        <v>1</v>
      </c>
      <c r="J313">
        <v>0.12</v>
      </c>
      <c r="K313">
        <v>0.19700000000000001</v>
      </c>
      <c r="L313">
        <v>0.39</v>
      </c>
      <c r="M313">
        <v>0</v>
      </c>
      <c r="N313">
        <v>4</v>
      </c>
      <c r="O313">
        <v>47</v>
      </c>
      <c r="P313">
        <v>51</v>
      </c>
    </row>
    <row r="314" spans="1:16" x14ac:dyDescent="0.35">
      <c r="A314">
        <v>923</v>
      </c>
      <c r="B314" s="1">
        <v>40584</v>
      </c>
      <c r="C314">
        <v>1</v>
      </c>
      <c r="D314">
        <v>0</v>
      </c>
      <c r="E314">
        <v>2</v>
      </c>
      <c r="F314">
        <v>23</v>
      </c>
      <c r="G314">
        <v>0</v>
      </c>
      <c r="H314">
        <v>4</v>
      </c>
      <c r="I314">
        <v>1</v>
      </c>
      <c r="J314">
        <v>0.12</v>
      </c>
      <c r="K314">
        <v>0.1515</v>
      </c>
      <c r="L314">
        <v>0.42</v>
      </c>
      <c r="M314">
        <v>0.1045</v>
      </c>
      <c r="N314">
        <v>1</v>
      </c>
      <c r="O314">
        <v>33</v>
      </c>
      <c r="P314">
        <v>34</v>
      </c>
    </row>
    <row r="315" spans="1:16" x14ac:dyDescent="0.35">
      <c r="A315">
        <v>924</v>
      </c>
      <c r="B315" s="1">
        <v>40585</v>
      </c>
      <c r="C315">
        <v>1</v>
      </c>
      <c r="D315">
        <v>0</v>
      </c>
      <c r="E315">
        <v>2</v>
      </c>
      <c r="F315">
        <v>0</v>
      </c>
      <c r="G315">
        <v>0</v>
      </c>
      <c r="H315">
        <v>5</v>
      </c>
      <c r="I315">
        <v>1</v>
      </c>
      <c r="J315">
        <v>0.1</v>
      </c>
      <c r="K315">
        <v>0.13639999999999999</v>
      </c>
      <c r="L315">
        <v>0.49</v>
      </c>
      <c r="M315">
        <v>0.1045</v>
      </c>
      <c r="N315">
        <v>2</v>
      </c>
      <c r="O315">
        <v>12</v>
      </c>
      <c r="P315">
        <v>14</v>
      </c>
    </row>
    <row r="316" spans="1:16" x14ac:dyDescent="0.35">
      <c r="A316">
        <v>925</v>
      </c>
      <c r="B316" s="1">
        <v>40585</v>
      </c>
      <c r="C316">
        <v>1</v>
      </c>
      <c r="D316">
        <v>0</v>
      </c>
      <c r="E316">
        <v>2</v>
      </c>
      <c r="F316">
        <v>1</v>
      </c>
      <c r="G316">
        <v>0</v>
      </c>
      <c r="H316">
        <v>5</v>
      </c>
      <c r="I316">
        <v>1</v>
      </c>
      <c r="J316">
        <v>0.1</v>
      </c>
      <c r="K316">
        <v>0.13639999999999999</v>
      </c>
      <c r="L316">
        <v>0.54</v>
      </c>
      <c r="M316">
        <v>8.9599999999999999E-2</v>
      </c>
      <c r="N316">
        <v>1</v>
      </c>
      <c r="O316">
        <v>6</v>
      </c>
      <c r="P316">
        <v>7</v>
      </c>
    </row>
    <row r="317" spans="1:16" x14ac:dyDescent="0.35">
      <c r="A317">
        <v>926</v>
      </c>
      <c r="B317" s="1">
        <v>40585</v>
      </c>
      <c r="C317">
        <v>1</v>
      </c>
      <c r="D317">
        <v>0</v>
      </c>
      <c r="E317">
        <v>2</v>
      </c>
      <c r="F317">
        <v>2</v>
      </c>
      <c r="G317">
        <v>0</v>
      </c>
      <c r="H317">
        <v>5</v>
      </c>
      <c r="I317">
        <v>1</v>
      </c>
      <c r="J317">
        <v>0.1</v>
      </c>
      <c r="K317">
        <v>0.13639999999999999</v>
      </c>
      <c r="L317">
        <v>0.54</v>
      </c>
      <c r="M317">
        <v>8.9599999999999999E-2</v>
      </c>
      <c r="N317">
        <v>0</v>
      </c>
      <c r="O317">
        <v>3</v>
      </c>
      <c r="P317">
        <v>3</v>
      </c>
    </row>
    <row r="318" spans="1:16" x14ac:dyDescent="0.35">
      <c r="A318">
        <v>927</v>
      </c>
      <c r="B318" s="1">
        <v>40585</v>
      </c>
      <c r="C318">
        <v>1</v>
      </c>
      <c r="D318">
        <v>0</v>
      </c>
      <c r="E318">
        <v>2</v>
      </c>
      <c r="F318">
        <v>5</v>
      </c>
      <c r="G318">
        <v>0</v>
      </c>
      <c r="H318">
        <v>5</v>
      </c>
      <c r="I318">
        <v>1</v>
      </c>
      <c r="J318">
        <v>0.08</v>
      </c>
      <c r="K318">
        <v>0.1212</v>
      </c>
      <c r="L318">
        <v>0.63</v>
      </c>
      <c r="M318">
        <v>8.9599999999999999E-2</v>
      </c>
      <c r="N318">
        <v>0</v>
      </c>
      <c r="O318">
        <v>4</v>
      </c>
      <c r="P318">
        <v>4</v>
      </c>
    </row>
    <row r="319" spans="1:16" x14ac:dyDescent="0.35">
      <c r="A319">
        <v>928</v>
      </c>
      <c r="B319" s="1">
        <v>40585</v>
      </c>
      <c r="C319">
        <v>1</v>
      </c>
      <c r="D319">
        <v>0</v>
      </c>
      <c r="E319">
        <v>2</v>
      </c>
      <c r="F319">
        <v>6</v>
      </c>
      <c r="G319">
        <v>0</v>
      </c>
      <c r="H319">
        <v>5</v>
      </c>
      <c r="I319">
        <v>1</v>
      </c>
      <c r="J319">
        <v>0.1</v>
      </c>
      <c r="K319">
        <v>0.18179999999999999</v>
      </c>
      <c r="L319">
        <v>0.68</v>
      </c>
      <c r="M319">
        <v>0</v>
      </c>
      <c r="N319">
        <v>1</v>
      </c>
      <c r="O319">
        <v>23</v>
      </c>
      <c r="P319">
        <v>24</v>
      </c>
    </row>
    <row r="320" spans="1:16" x14ac:dyDescent="0.35">
      <c r="A320">
        <v>929</v>
      </c>
      <c r="B320" s="1">
        <v>40585</v>
      </c>
      <c r="C320">
        <v>1</v>
      </c>
      <c r="D320">
        <v>0</v>
      </c>
      <c r="E320">
        <v>2</v>
      </c>
      <c r="F320">
        <v>7</v>
      </c>
      <c r="G320">
        <v>0</v>
      </c>
      <c r="H320">
        <v>5</v>
      </c>
      <c r="I320">
        <v>1</v>
      </c>
      <c r="J320">
        <v>0.08</v>
      </c>
      <c r="K320">
        <v>0.16669999999999999</v>
      </c>
      <c r="L320">
        <v>0.73</v>
      </c>
      <c r="M320">
        <v>0</v>
      </c>
      <c r="N320">
        <v>1</v>
      </c>
      <c r="O320">
        <v>73</v>
      </c>
      <c r="P320">
        <v>74</v>
      </c>
    </row>
    <row r="321" spans="1:16" x14ac:dyDescent="0.35">
      <c r="A321">
        <v>930</v>
      </c>
      <c r="B321" s="1">
        <v>40585</v>
      </c>
      <c r="C321">
        <v>1</v>
      </c>
      <c r="D321">
        <v>0</v>
      </c>
      <c r="E321">
        <v>2</v>
      </c>
      <c r="F321">
        <v>8</v>
      </c>
      <c r="G321">
        <v>0</v>
      </c>
      <c r="H321">
        <v>5</v>
      </c>
      <c r="I321">
        <v>1</v>
      </c>
      <c r="J321">
        <v>0.1</v>
      </c>
      <c r="K321">
        <v>0.1212</v>
      </c>
      <c r="L321">
        <v>0.74</v>
      </c>
      <c r="M321">
        <v>0.16420000000000001</v>
      </c>
      <c r="N321">
        <v>4</v>
      </c>
      <c r="O321">
        <v>212</v>
      </c>
      <c r="P321">
        <v>216</v>
      </c>
    </row>
    <row r="322" spans="1:16" x14ac:dyDescent="0.35">
      <c r="A322">
        <v>931</v>
      </c>
      <c r="B322" s="1">
        <v>40585</v>
      </c>
      <c r="C322">
        <v>1</v>
      </c>
      <c r="D322">
        <v>0</v>
      </c>
      <c r="E322">
        <v>2</v>
      </c>
      <c r="F322">
        <v>9</v>
      </c>
      <c r="G322">
        <v>0</v>
      </c>
      <c r="H322">
        <v>5</v>
      </c>
      <c r="I322">
        <v>1</v>
      </c>
      <c r="J322">
        <v>0.12</v>
      </c>
      <c r="K322">
        <v>0.1212</v>
      </c>
      <c r="L322">
        <v>0.74</v>
      </c>
      <c r="M322">
        <v>0.22389999999999999</v>
      </c>
      <c r="N322">
        <v>8</v>
      </c>
      <c r="O322">
        <v>132</v>
      </c>
      <c r="P322">
        <v>140</v>
      </c>
    </row>
    <row r="323" spans="1:16" x14ac:dyDescent="0.35">
      <c r="A323">
        <v>932</v>
      </c>
      <c r="B323" s="1">
        <v>40585</v>
      </c>
      <c r="C323">
        <v>1</v>
      </c>
      <c r="D323">
        <v>0</v>
      </c>
      <c r="E323">
        <v>2</v>
      </c>
      <c r="F323">
        <v>10</v>
      </c>
      <c r="G323">
        <v>0</v>
      </c>
      <c r="H323">
        <v>5</v>
      </c>
      <c r="I323">
        <v>1</v>
      </c>
      <c r="J323">
        <v>0.14000000000000001</v>
      </c>
      <c r="K323">
        <v>0.13639999999999999</v>
      </c>
      <c r="L323">
        <v>0.69</v>
      </c>
      <c r="M323">
        <v>0.19400000000000001</v>
      </c>
      <c r="N323">
        <v>5</v>
      </c>
      <c r="O323">
        <v>39</v>
      </c>
      <c r="P323">
        <v>44</v>
      </c>
    </row>
    <row r="324" spans="1:16" x14ac:dyDescent="0.35">
      <c r="A324">
        <v>933</v>
      </c>
      <c r="B324" s="1">
        <v>40585</v>
      </c>
      <c r="C324">
        <v>1</v>
      </c>
      <c r="D324">
        <v>0</v>
      </c>
      <c r="E324">
        <v>2</v>
      </c>
      <c r="F324">
        <v>11</v>
      </c>
      <c r="G324">
        <v>0</v>
      </c>
      <c r="H324">
        <v>5</v>
      </c>
      <c r="I324">
        <v>1</v>
      </c>
      <c r="J324">
        <v>0.22</v>
      </c>
      <c r="K324">
        <v>0.2273</v>
      </c>
      <c r="L324">
        <v>0.47</v>
      </c>
      <c r="M324">
        <v>0.1343</v>
      </c>
      <c r="N324">
        <v>12</v>
      </c>
      <c r="O324">
        <v>52</v>
      </c>
      <c r="P324">
        <v>64</v>
      </c>
    </row>
    <row r="325" spans="1:16" x14ac:dyDescent="0.35">
      <c r="A325">
        <v>934</v>
      </c>
      <c r="B325" s="1">
        <v>40585</v>
      </c>
      <c r="C325">
        <v>1</v>
      </c>
      <c r="D325">
        <v>0</v>
      </c>
      <c r="E325">
        <v>2</v>
      </c>
      <c r="F325">
        <v>12</v>
      </c>
      <c r="G325">
        <v>0</v>
      </c>
      <c r="H325">
        <v>5</v>
      </c>
      <c r="I325">
        <v>1</v>
      </c>
      <c r="J325">
        <v>0.22</v>
      </c>
      <c r="K325">
        <v>0.2273</v>
      </c>
      <c r="L325">
        <v>0.47</v>
      </c>
      <c r="M325">
        <v>0.1343</v>
      </c>
      <c r="N325">
        <v>7</v>
      </c>
      <c r="O325">
        <v>64</v>
      </c>
      <c r="P325">
        <v>71</v>
      </c>
    </row>
    <row r="326" spans="1:16" x14ac:dyDescent="0.35">
      <c r="A326">
        <v>935</v>
      </c>
      <c r="B326" s="1">
        <v>40585</v>
      </c>
      <c r="C326">
        <v>1</v>
      </c>
      <c r="D326">
        <v>0</v>
      </c>
      <c r="E326">
        <v>2</v>
      </c>
      <c r="F326">
        <v>13</v>
      </c>
      <c r="G326">
        <v>0</v>
      </c>
      <c r="H326">
        <v>5</v>
      </c>
      <c r="I326">
        <v>1</v>
      </c>
      <c r="J326">
        <v>0.24</v>
      </c>
      <c r="K326">
        <v>0.2273</v>
      </c>
      <c r="L326">
        <v>0.35</v>
      </c>
      <c r="M326">
        <v>0.19400000000000001</v>
      </c>
      <c r="N326">
        <v>21</v>
      </c>
      <c r="O326">
        <v>89</v>
      </c>
      <c r="P326">
        <v>110</v>
      </c>
    </row>
    <row r="327" spans="1:16" x14ac:dyDescent="0.35">
      <c r="A327">
        <v>936</v>
      </c>
      <c r="B327" s="1">
        <v>40585</v>
      </c>
      <c r="C327">
        <v>1</v>
      </c>
      <c r="D327">
        <v>0</v>
      </c>
      <c r="E327">
        <v>2</v>
      </c>
      <c r="F327">
        <v>14</v>
      </c>
      <c r="G327">
        <v>0</v>
      </c>
      <c r="H327">
        <v>5</v>
      </c>
      <c r="I327">
        <v>1</v>
      </c>
      <c r="J327">
        <v>0.3</v>
      </c>
      <c r="K327">
        <v>0.28789999999999999</v>
      </c>
      <c r="L327">
        <v>0.26</v>
      </c>
      <c r="M327">
        <v>0.25369999999999998</v>
      </c>
      <c r="N327">
        <v>17</v>
      </c>
      <c r="O327">
        <v>67</v>
      </c>
      <c r="P327">
        <v>84</v>
      </c>
    </row>
    <row r="328" spans="1:16" x14ac:dyDescent="0.35">
      <c r="A328">
        <v>937</v>
      </c>
      <c r="B328" s="1">
        <v>40585</v>
      </c>
      <c r="C328">
        <v>1</v>
      </c>
      <c r="D328">
        <v>0</v>
      </c>
      <c r="E328">
        <v>2</v>
      </c>
      <c r="F328">
        <v>15</v>
      </c>
      <c r="G328">
        <v>0</v>
      </c>
      <c r="H328">
        <v>5</v>
      </c>
      <c r="I328">
        <v>1</v>
      </c>
      <c r="J328">
        <v>0.32</v>
      </c>
      <c r="K328">
        <v>0.31819999999999998</v>
      </c>
      <c r="L328">
        <v>0.21</v>
      </c>
      <c r="M328">
        <v>0.16420000000000001</v>
      </c>
      <c r="N328">
        <v>12</v>
      </c>
      <c r="O328">
        <v>62</v>
      </c>
      <c r="P328">
        <v>74</v>
      </c>
    </row>
    <row r="329" spans="1:16" x14ac:dyDescent="0.35">
      <c r="A329">
        <v>938</v>
      </c>
      <c r="B329" s="1">
        <v>40585</v>
      </c>
      <c r="C329">
        <v>1</v>
      </c>
      <c r="D329">
        <v>0</v>
      </c>
      <c r="E329">
        <v>2</v>
      </c>
      <c r="F329">
        <v>16</v>
      </c>
      <c r="G329">
        <v>0</v>
      </c>
      <c r="H329">
        <v>5</v>
      </c>
      <c r="I329">
        <v>1</v>
      </c>
      <c r="J329">
        <v>0.3</v>
      </c>
      <c r="K329">
        <v>0.28789999999999999</v>
      </c>
      <c r="L329">
        <v>0.28000000000000003</v>
      </c>
      <c r="M329">
        <v>0.19400000000000001</v>
      </c>
      <c r="N329">
        <v>14</v>
      </c>
      <c r="O329">
        <v>111</v>
      </c>
      <c r="P329">
        <v>125</v>
      </c>
    </row>
    <row r="330" spans="1:16" x14ac:dyDescent="0.35">
      <c r="A330">
        <v>939</v>
      </c>
      <c r="B330" s="1">
        <v>40585</v>
      </c>
      <c r="C330">
        <v>1</v>
      </c>
      <c r="D330">
        <v>0</v>
      </c>
      <c r="E330">
        <v>2</v>
      </c>
      <c r="F330">
        <v>17</v>
      </c>
      <c r="G330">
        <v>0</v>
      </c>
      <c r="H330">
        <v>5</v>
      </c>
      <c r="I330">
        <v>1</v>
      </c>
      <c r="J330">
        <v>0.3</v>
      </c>
      <c r="K330">
        <v>0.33329999999999999</v>
      </c>
      <c r="L330">
        <v>0.24</v>
      </c>
      <c r="M330">
        <v>0</v>
      </c>
      <c r="N330">
        <v>18</v>
      </c>
      <c r="O330">
        <v>193</v>
      </c>
      <c r="P330">
        <v>211</v>
      </c>
    </row>
    <row r="331" spans="1:16" x14ac:dyDescent="0.35">
      <c r="A331">
        <v>940</v>
      </c>
      <c r="B331" s="1">
        <v>40585</v>
      </c>
      <c r="C331">
        <v>1</v>
      </c>
      <c r="D331">
        <v>0</v>
      </c>
      <c r="E331">
        <v>2</v>
      </c>
      <c r="F331">
        <v>18</v>
      </c>
      <c r="G331">
        <v>0</v>
      </c>
      <c r="H331">
        <v>5</v>
      </c>
      <c r="I331">
        <v>1</v>
      </c>
      <c r="J331">
        <v>0.28000000000000003</v>
      </c>
      <c r="K331">
        <v>0.31819999999999998</v>
      </c>
      <c r="L331">
        <v>0.28000000000000003</v>
      </c>
      <c r="M331">
        <v>0</v>
      </c>
      <c r="N331">
        <v>9</v>
      </c>
      <c r="O331">
        <v>165</v>
      </c>
      <c r="P331">
        <v>174</v>
      </c>
    </row>
    <row r="332" spans="1:16" x14ac:dyDescent="0.35">
      <c r="A332">
        <v>941</v>
      </c>
      <c r="B332" s="1">
        <v>40585</v>
      </c>
      <c r="C332">
        <v>1</v>
      </c>
      <c r="D332">
        <v>0</v>
      </c>
      <c r="E332">
        <v>2</v>
      </c>
      <c r="F332">
        <v>19</v>
      </c>
      <c r="G332">
        <v>0</v>
      </c>
      <c r="H332">
        <v>5</v>
      </c>
      <c r="I332">
        <v>1</v>
      </c>
      <c r="J332">
        <v>0.26</v>
      </c>
      <c r="K332">
        <v>0.30299999999999999</v>
      </c>
      <c r="L332">
        <v>0.33</v>
      </c>
      <c r="M332">
        <v>0</v>
      </c>
      <c r="N332">
        <v>7</v>
      </c>
      <c r="O332">
        <v>94</v>
      </c>
      <c r="P332">
        <v>101</v>
      </c>
    </row>
    <row r="333" spans="1:16" x14ac:dyDescent="0.35">
      <c r="A333">
        <v>942</v>
      </c>
      <c r="B333" s="1">
        <v>40585</v>
      </c>
      <c r="C333">
        <v>1</v>
      </c>
      <c r="D333">
        <v>0</v>
      </c>
      <c r="E333">
        <v>2</v>
      </c>
      <c r="F333">
        <v>20</v>
      </c>
      <c r="G333">
        <v>0</v>
      </c>
      <c r="H333">
        <v>5</v>
      </c>
      <c r="I333">
        <v>1</v>
      </c>
      <c r="J333">
        <v>0.22</v>
      </c>
      <c r="K333">
        <v>0.2273</v>
      </c>
      <c r="L333">
        <v>0.55000000000000004</v>
      </c>
      <c r="M333">
        <v>0.1343</v>
      </c>
      <c r="N333">
        <v>2</v>
      </c>
      <c r="O333">
        <v>61</v>
      </c>
      <c r="P333">
        <v>63</v>
      </c>
    </row>
    <row r="334" spans="1:16" x14ac:dyDescent="0.35">
      <c r="A334">
        <v>943</v>
      </c>
      <c r="B334" s="1">
        <v>40585</v>
      </c>
      <c r="C334">
        <v>1</v>
      </c>
      <c r="D334">
        <v>0</v>
      </c>
      <c r="E334">
        <v>2</v>
      </c>
      <c r="F334">
        <v>21</v>
      </c>
      <c r="G334">
        <v>0</v>
      </c>
      <c r="H334">
        <v>5</v>
      </c>
      <c r="I334">
        <v>1</v>
      </c>
      <c r="J334">
        <v>0.2</v>
      </c>
      <c r="K334">
        <v>0.21210000000000001</v>
      </c>
      <c r="L334">
        <v>0.59</v>
      </c>
      <c r="M334">
        <v>0.1343</v>
      </c>
      <c r="N334">
        <v>1</v>
      </c>
      <c r="O334">
        <v>46</v>
      </c>
      <c r="P334">
        <v>47</v>
      </c>
    </row>
    <row r="335" spans="1:16" x14ac:dyDescent="0.35">
      <c r="A335">
        <v>944</v>
      </c>
      <c r="B335" s="1">
        <v>40585</v>
      </c>
      <c r="C335">
        <v>1</v>
      </c>
      <c r="D335">
        <v>0</v>
      </c>
      <c r="E335">
        <v>2</v>
      </c>
      <c r="F335">
        <v>22</v>
      </c>
      <c r="G335">
        <v>0</v>
      </c>
      <c r="H335">
        <v>5</v>
      </c>
      <c r="I335">
        <v>1</v>
      </c>
      <c r="J335">
        <v>0.2</v>
      </c>
      <c r="K335">
        <v>0.2273</v>
      </c>
      <c r="L335">
        <v>0.64</v>
      </c>
      <c r="M335">
        <v>8.9599999999999999E-2</v>
      </c>
      <c r="N335">
        <v>2</v>
      </c>
      <c r="O335">
        <v>41</v>
      </c>
      <c r="P335">
        <v>43</v>
      </c>
    </row>
    <row r="336" spans="1:16" x14ac:dyDescent="0.35">
      <c r="A336">
        <v>945</v>
      </c>
      <c r="B336" s="1">
        <v>40585</v>
      </c>
      <c r="C336">
        <v>1</v>
      </c>
      <c r="D336">
        <v>0</v>
      </c>
      <c r="E336">
        <v>2</v>
      </c>
      <c r="F336">
        <v>23</v>
      </c>
      <c r="G336">
        <v>0</v>
      </c>
      <c r="H336">
        <v>5</v>
      </c>
      <c r="I336">
        <v>1</v>
      </c>
      <c r="J336">
        <v>0.18</v>
      </c>
      <c r="K336">
        <v>0.2424</v>
      </c>
      <c r="L336">
        <v>0.69</v>
      </c>
      <c r="M336">
        <v>0</v>
      </c>
      <c r="N336">
        <v>5</v>
      </c>
      <c r="O336">
        <v>48</v>
      </c>
      <c r="P336">
        <v>53</v>
      </c>
    </row>
    <row r="337" spans="1:16" x14ac:dyDescent="0.35">
      <c r="A337">
        <v>946</v>
      </c>
      <c r="B337" s="1">
        <v>40586</v>
      </c>
      <c r="C337">
        <v>1</v>
      </c>
      <c r="D337">
        <v>0</v>
      </c>
      <c r="E337">
        <v>2</v>
      </c>
      <c r="F337">
        <v>0</v>
      </c>
      <c r="G337">
        <v>0</v>
      </c>
      <c r="H337">
        <v>6</v>
      </c>
      <c r="I337">
        <v>1</v>
      </c>
      <c r="J337">
        <v>0.16</v>
      </c>
      <c r="K337">
        <v>0.19700000000000001</v>
      </c>
      <c r="L337">
        <v>0.69</v>
      </c>
      <c r="M337">
        <v>8.9599999999999999E-2</v>
      </c>
      <c r="N337">
        <v>3</v>
      </c>
      <c r="O337">
        <v>27</v>
      </c>
      <c r="P337">
        <v>30</v>
      </c>
    </row>
    <row r="338" spans="1:16" x14ac:dyDescent="0.35">
      <c r="A338">
        <v>947</v>
      </c>
      <c r="B338" s="1">
        <v>40586</v>
      </c>
      <c r="C338">
        <v>1</v>
      </c>
      <c r="D338">
        <v>0</v>
      </c>
      <c r="E338">
        <v>2</v>
      </c>
      <c r="F338">
        <v>1</v>
      </c>
      <c r="G338">
        <v>0</v>
      </c>
      <c r="H338">
        <v>6</v>
      </c>
      <c r="I338">
        <v>1</v>
      </c>
      <c r="J338">
        <v>0.14000000000000001</v>
      </c>
      <c r="K338">
        <v>0.21210000000000001</v>
      </c>
      <c r="L338">
        <v>0.86</v>
      </c>
      <c r="M338">
        <v>0</v>
      </c>
      <c r="N338">
        <v>2</v>
      </c>
      <c r="O338">
        <v>22</v>
      </c>
      <c r="P338">
        <v>24</v>
      </c>
    </row>
    <row r="339" spans="1:16" x14ac:dyDescent="0.35">
      <c r="A339">
        <v>948</v>
      </c>
      <c r="B339" s="1">
        <v>40586</v>
      </c>
      <c r="C339">
        <v>1</v>
      </c>
      <c r="D339">
        <v>0</v>
      </c>
      <c r="E339">
        <v>2</v>
      </c>
      <c r="F339">
        <v>2</v>
      </c>
      <c r="G339">
        <v>0</v>
      </c>
      <c r="H339">
        <v>6</v>
      </c>
      <c r="I339">
        <v>1</v>
      </c>
      <c r="J339">
        <v>0.14000000000000001</v>
      </c>
      <c r="K339">
        <v>0.21210000000000001</v>
      </c>
      <c r="L339">
        <v>0.8</v>
      </c>
      <c r="M339">
        <v>0</v>
      </c>
      <c r="N339">
        <v>2</v>
      </c>
      <c r="O339">
        <v>13</v>
      </c>
      <c r="P339">
        <v>15</v>
      </c>
    </row>
    <row r="340" spans="1:16" x14ac:dyDescent="0.35">
      <c r="A340">
        <v>949</v>
      </c>
      <c r="B340" s="1">
        <v>40586</v>
      </c>
      <c r="C340">
        <v>1</v>
      </c>
      <c r="D340">
        <v>0</v>
      </c>
      <c r="E340">
        <v>2</v>
      </c>
      <c r="F340">
        <v>3</v>
      </c>
      <c r="G340">
        <v>0</v>
      </c>
      <c r="H340">
        <v>6</v>
      </c>
      <c r="I340">
        <v>1</v>
      </c>
      <c r="J340">
        <v>0.12</v>
      </c>
      <c r="K340">
        <v>0.19700000000000001</v>
      </c>
      <c r="L340">
        <v>0.8</v>
      </c>
      <c r="M340">
        <v>0</v>
      </c>
      <c r="N340">
        <v>3</v>
      </c>
      <c r="O340">
        <v>7</v>
      </c>
      <c r="P340">
        <v>10</v>
      </c>
    </row>
    <row r="341" spans="1:16" x14ac:dyDescent="0.35">
      <c r="A341">
        <v>950</v>
      </c>
      <c r="B341" s="1">
        <v>40586</v>
      </c>
      <c r="C341">
        <v>1</v>
      </c>
      <c r="D341">
        <v>0</v>
      </c>
      <c r="E341">
        <v>2</v>
      </c>
      <c r="F341">
        <v>4</v>
      </c>
      <c r="G341">
        <v>0</v>
      </c>
      <c r="H341">
        <v>6</v>
      </c>
      <c r="I341">
        <v>1</v>
      </c>
      <c r="J341">
        <v>0.12</v>
      </c>
      <c r="K341">
        <v>0.16669999999999999</v>
      </c>
      <c r="L341">
        <v>0.74</v>
      </c>
      <c r="M341">
        <v>8.9599999999999999E-2</v>
      </c>
      <c r="N341">
        <v>0</v>
      </c>
      <c r="O341">
        <v>4</v>
      </c>
      <c r="P341">
        <v>4</v>
      </c>
    </row>
    <row r="342" spans="1:16" x14ac:dyDescent="0.35">
      <c r="A342">
        <v>951</v>
      </c>
      <c r="B342" s="1">
        <v>40586</v>
      </c>
      <c r="C342">
        <v>1</v>
      </c>
      <c r="D342">
        <v>0</v>
      </c>
      <c r="E342">
        <v>2</v>
      </c>
      <c r="F342">
        <v>5</v>
      </c>
      <c r="G342">
        <v>0</v>
      </c>
      <c r="H342">
        <v>6</v>
      </c>
      <c r="I342">
        <v>1</v>
      </c>
      <c r="J342">
        <v>0.12</v>
      </c>
      <c r="K342">
        <v>0.16669999999999999</v>
      </c>
      <c r="L342">
        <v>0.74</v>
      </c>
      <c r="M342">
        <v>8.9599999999999999E-2</v>
      </c>
      <c r="N342">
        <v>0</v>
      </c>
      <c r="O342">
        <v>1</v>
      </c>
      <c r="P342">
        <v>1</v>
      </c>
    </row>
    <row r="343" spans="1:16" x14ac:dyDescent="0.35">
      <c r="A343">
        <v>952</v>
      </c>
      <c r="B343" s="1">
        <v>40586</v>
      </c>
      <c r="C343">
        <v>1</v>
      </c>
      <c r="D343">
        <v>0</v>
      </c>
      <c r="E343">
        <v>2</v>
      </c>
      <c r="F343">
        <v>6</v>
      </c>
      <c r="G343">
        <v>0</v>
      </c>
      <c r="H343">
        <v>6</v>
      </c>
      <c r="I343">
        <v>1</v>
      </c>
      <c r="J343">
        <v>0.12</v>
      </c>
      <c r="K343">
        <v>0.13639999999999999</v>
      </c>
      <c r="L343">
        <v>0.93</v>
      </c>
      <c r="M343">
        <v>0.19400000000000001</v>
      </c>
      <c r="N343">
        <v>1</v>
      </c>
      <c r="O343">
        <v>1</v>
      </c>
      <c r="P343">
        <v>2</v>
      </c>
    </row>
    <row r="344" spans="1:16" x14ac:dyDescent="0.35">
      <c r="A344">
        <v>953</v>
      </c>
      <c r="B344" s="1">
        <v>40586</v>
      </c>
      <c r="C344">
        <v>1</v>
      </c>
      <c r="D344">
        <v>0</v>
      </c>
      <c r="E344">
        <v>2</v>
      </c>
      <c r="F344">
        <v>7</v>
      </c>
      <c r="G344">
        <v>0</v>
      </c>
      <c r="H344">
        <v>6</v>
      </c>
      <c r="I344">
        <v>1</v>
      </c>
      <c r="J344">
        <v>0.12</v>
      </c>
      <c r="K344">
        <v>0.1515</v>
      </c>
      <c r="L344">
        <v>0.8</v>
      </c>
      <c r="M344">
        <v>0.1045</v>
      </c>
      <c r="N344">
        <v>2</v>
      </c>
      <c r="O344">
        <v>9</v>
      </c>
      <c r="P344">
        <v>11</v>
      </c>
    </row>
    <row r="345" spans="1:16" x14ac:dyDescent="0.35">
      <c r="A345">
        <v>954</v>
      </c>
      <c r="B345" s="1">
        <v>40586</v>
      </c>
      <c r="C345">
        <v>1</v>
      </c>
      <c r="D345">
        <v>0</v>
      </c>
      <c r="E345">
        <v>2</v>
      </c>
      <c r="F345">
        <v>8</v>
      </c>
      <c r="G345">
        <v>0</v>
      </c>
      <c r="H345">
        <v>6</v>
      </c>
      <c r="I345">
        <v>1</v>
      </c>
      <c r="J345">
        <v>0.14000000000000001</v>
      </c>
      <c r="K345">
        <v>0.1515</v>
      </c>
      <c r="L345">
        <v>0.86</v>
      </c>
      <c r="M345">
        <v>0.1343</v>
      </c>
      <c r="N345">
        <v>2</v>
      </c>
      <c r="O345">
        <v>28</v>
      </c>
      <c r="P345">
        <v>30</v>
      </c>
    </row>
    <row r="346" spans="1:16" x14ac:dyDescent="0.35">
      <c r="A346">
        <v>955</v>
      </c>
      <c r="B346" s="1">
        <v>40586</v>
      </c>
      <c r="C346">
        <v>1</v>
      </c>
      <c r="D346">
        <v>0</v>
      </c>
      <c r="E346">
        <v>2</v>
      </c>
      <c r="F346">
        <v>9</v>
      </c>
      <c r="G346">
        <v>0</v>
      </c>
      <c r="H346">
        <v>6</v>
      </c>
      <c r="I346">
        <v>1</v>
      </c>
      <c r="J346">
        <v>0.16</v>
      </c>
      <c r="K346">
        <v>0.18179999999999999</v>
      </c>
      <c r="L346">
        <v>0.64</v>
      </c>
      <c r="M346">
        <v>0.1343</v>
      </c>
      <c r="N346">
        <v>5</v>
      </c>
      <c r="O346">
        <v>38</v>
      </c>
      <c r="P346">
        <v>43</v>
      </c>
    </row>
    <row r="347" spans="1:16" x14ac:dyDescent="0.35">
      <c r="A347">
        <v>956</v>
      </c>
      <c r="B347" s="1">
        <v>40586</v>
      </c>
      <c r="C347">
        <v>1</v>
      </c>
      <c r="D347">
        <v>0</v>
      </c>
      <c r="E347">
        <v>2</v>
      </c>
      <c r="F347">
        <v>10</v>
      </c>
      <c r="G347">
        <v>0</v>
      </c>
      <c r="H347">
        <v>6</v>
      </c>
      <c r="I347">
        <v>1</v>
      </c>
      <c r="J347">
        <v>0.22</v>
      </c>
      <c r="K347">
        <v>0.21210000000000001</v>
      </c>
      <c r="L347">
        <v>0.41</v>
      </c>
      <c r="M347">
        <v>0.25369999999999998</v>
      </c>
      <c r="N347">
        <v>13</v>
      </c>
      <c r="O347">
        <v>71</v>
      </c>
      <c r="P347">
        <v>84</v>
      </c>
    </row>
    <row r="348" spans="1:16" x14ac:dyDescent="0.35">
      <c r="A348">
        <v>957</v>
      </c>
      <c r="B348" s="1">
        <v>40586</v>
      </c>
      <c r="C348">
        <v>1</v>
      </c>
      <c r="D348">
        <v>0</v>
      </c>
      <c r="E348">
        <v>2</v>
      </c>
      <c r="F348">
        <v>11</v>
      </c>
      <c r="G348">
        <v>0</v>
      </c>
      <c r="H348">
        <v>6</v>
      </c>
      <c r="I348">
        <v>1</v>
      </c>
      <c r="J348">
        <v>0.3</v>
      </c>
      <c r="K348">
        <v>0.2727</v>
      </c>
      <c r="L348">
        <v>0.28000000000000003</v>
      </c>
      <c r="M348">
        <v>0.32840000000000003</v>
      </c>
      <c r="N348">
        <v>30</v>
      </c>
      <c r="O348">
        <v>84</v>
      </c>
      <c r="P348">
        <v>114</v>
      </c>
    </row>
    <row r="349" spans="1:16" x14ac:dyDescent="0.35">
      <c r="A349">
        <v>958</v>
      </c>
      <c r="B349" s="1">
        <v>40586</v>
      </c>
      <c r="C349">
        <v>1</v>
      </c>
      <c r="D349">
        <v>0</v>
      </c>
      <c r="E349">
        <v>2</v>
      </c>
      <c r="F349">
        <v>12</v>
      </c>
      <c r="G349">
        <v>0</v>
      </c>
      <c r="H349">
        <v>6</v>
      </c>
      <c r="I349">
        <v>1</v>
      </c>
      <c r="J349">
        <v>0.3</v>
      </c>
      <c r="K349">
        <v>0.2727</v>
      </c>
      <c r="L349">
        <v>0.39</v>
      </c>
      <c r="M349">
        <v>0.4627</v>
      </c>
      <c r="N349">
        <v>27</v>
      </c>
      <c r="O349">
        <v>93</v>
      </c>
      <c r="P349">
        <v>120</v>
      </c>
    </row>
    <row r="350" spans="1:16" x14ac:dyDescent="0.35">
      <c r="A350">
        <v>959</v>
      </c>
      <c r="B350" s="1">
        <v>40586</v>
      </c>
      <c r="C350">
        <v>1</v>
      </c>
      <c r="D350">
        <v>0</v>
      </c>
      <c r="E350">
        <v>2</v>
      </c>
      <c r="F350">
        <v>13</v>
      </c>
      <c r="G350">
        <v>0</v>
      </c>
      <c r="H350">
        <v>6</v>
      </c>
      <c r="I350">
        <v>1</v>
      </c>
      <c r="J350">
        <v>0.3</v>
      </c>
      <c r="K350">
        <v>0.2727</v>
      </c>
      <c r="L350">
        <v>0.39</v>
      </c>
      <c r="M350">
        <v>0.41789999999999999</v>
      </c>
      <c r="N350">
        <v>32</v>
      </c>
      <c r="O350">
        <v>103</v>
      </c>
      <c r="P350">
        <v>135</v>
      </c>
    </row>
    <row r="351" spans="1:16" x14ac:dyDescent="0.35">
      <c r="A351">
        <v>960</v>
      </c>
      <c r="B351" s="1">
        <v>40586</v>
      </c>
      <c r="C351">
        <v>1</v>
      </c>
      <c r="D351">
        <v>0</v>
      </c>
      <c r="E351">
        <v>2</v>
      </c>
      <c r="F351">
        <v>14</v>
      </c>
      <c r="G351">
        <v>0</v>
      </c>
      <c r="H351">
        <v>6</v>
      </c>
      <c r="I351">
        <v>1</v>
      </c>
      <c r="J351">
        <v>0.34</v>
      </c>
      <c r="K351">
        <v>0.31819999999999998</v>
      </c>
      <c r="L351">
        <v>0.31</v>
      </c>
      <c r="M351">
        <v>0.28360000000000002</v>
      </c>
      <c r="N351">
        <v>30</v>
      </c>
      <c r="O351">
        <v>90</v>
      </c>
      <c r="P351">
        <v>120</v>
      </c>
    </row>
    <row r="352" spans="1:16" x14ac:dyDescent="0.35">
      <c r="A352">
        <v>961</v>
      </c>
      <c r="B352" s="1">
        <v>40586</v>
      </c>
      <c r="C352">
        <v>1</v>
      </c>
      <c r="D352">
        <v>0</v>
      </c>
      <c r="E352">
        <v>2</v>
      </c>
      <c r="F352">
        <v>15</v>
      </c>
      <c r="G352">
        <v>0</v>
      </c>
      <c r="H352">
        <v>6</v>
      </c>
      <c r="I352">
        <v>1</v>
      </c>
      <c r="J352">
        <v>0.34</v>
      </c>
      <c r="K352">
        <v>0.30299999999999999</v>
      </c>
      <c r="L352">
        <v>0.28999999999999998</v>
      </c>
      <c r="M352">
        <v>0.41789999999999999</v>
      </c>
      <c r="N352">
        <v>47</v>
      </c>
      <c r="O352">
        <v>127</v>
      </c>
      <c r="P352">
        <v>174</v>
      </c>
    </row>
    <row r="353" spans="1:16" x14ac:dyDescent="0.35">
      <c r="A353">
        <v>962</v>
      </c>
      <c r="B353" s="1">
        <v>40586</v>
      </c>
      <c r="C353">
        <v>1</v>
      </c>
      <c r="D353">
        <v>0</v>
      </c>
      <c r="E353">
        <v>2</v>
      </c>
      <c r="F353">
        <v>16</v>
      </c>
      <c r="G353">
        <v>0</v>
      </c>
      <c r="H353">
        <v>6</v>
      </c>
      <c r="I353">
        <v>1</v>
      </c>
      <c r="J353">
        <v>0.34</v>
      </c>
      <c r="K353">
        <v>0.30299999999999999</v>
      </c>
      <c r="L353">
        <v>0.28999999999999998</v>
      </c>
      <c r="M353">
        <v>0.41789999999999999</v>
      </c>
      <c r="N353">
        <v>42</v>
      </c>
      <c r="O353">
        <v>103</v>
      </c>
      <c r="P353">
        <v>145</v>
      </c>
    </row>
    <row r="354" spans="1:16" x14ac:dyDescent="0.35">
      <c r="A354">
        <v>963</v>
      </c>
      <c r="B354" s="1">
        <v>40586</v>
      </c>
      <c r="C354">
        <v>1</v>
      </c>
      <c r="D354">
        <v>0</v>
      </c>
      <c r="E354">
        <v>2</v>
      </c>
      <c r="F354">
        <v>17</v>
      </c>
      <c r="G354">
        <v>0</v>
      </c>
      <c r="H354">
        <v>6</v>
      </c>
      <c r="I354">
        <v>1</v>
      </c>
      <c r="J354">
        <v>0.32</v>
      </c>
      <c r="K354">
        <v>0.28789999999999999</v>
      </c>
      <c r="L354">
        <v>0.31</v>
      </c>
      <c r="M354">
        <v>0.52239999999999998</v>
      </c>
      <c r="N354">
        <v>24</v>
      </c>
      <c r="O354">
        <v>113</v>
      </c>
      <c r="P354">
        <v>137</v>
      </c>
    </row>
    <row r="355" spans="1:16" x14ac:dyDescent="0.35">
      <c r="A355">
        <v>964</v>
      </c>
      <c r="B355" s="1">
        <v>40586</v>
      </c>
      <c r="C355">
        <v>1</v>
      </c>
      <c r="D355">
        <v>0</v>
      </c>
      <c r="E355">
        <v>2</v>
      </c>
      <c r="F355">
        <v>18</v>
      </c>
      <c r="G355">
        <v>0</v>
      </c>
      <c r="H355">
        <v>6</v>
      </c>
      <c r="I355">
        <v>1</v>
      </c>
      <c r="J355">
        <v>0.28000000000000003</v>
      </c>
      <c r="K355">
        <v>0.2576</v>
      </c>
      <c r="L355">
        <v>0.38</v>
      </c>
      <c r="M355">
        <v>0.32840000000000003</v>
      </c>
      <c r="N355">
        <v>4</v>
      </c>
      <c r="O355">
        <v>60</v>
      </c>
      <c r="P355">
        <v>64</v>
      </c>
    </row>
    <row r="356" spans="1:16" x14ac:dyDescent="0.35">
      <c r="A356">
        <v>965</v>
      </c>
      <c r="B356" s="1">
        <v>40586</v>
      </c>
      <c r="C356">
        <v>1</v>
      </c>
      <c r="D356">
        <v>0</v>
      </c>
      <c r="E356">
        <v>2</v>
      </c>
      <c r="F356">
        <v>19</v>
      </c>
      <c r="G356">
        <v>0</v>
      </c>
      <c r="H356">
        <v>6</v>
      </c>
      <c r="I356">
        <v>1</v>
      </c>
      <c r="J356">
        <v>0.28000000000000003</v>
      </c>
      <c r="K356">
        <v>0.2727</v>
      </c>
      <c r="L356">
        <v>0.38</v>
      </c>
      <c r="M356">
        <v>0.16420000000000001</v>
      </c>
      <c r="N356">
        <v>2</v>
      </c>
      <c r="O356">
        <v>39</v>
      </c>
      <c r="P356">
        <v>41</v>
      </c>
    </row>
    <row r="357" spans="1:16" x14ac:dyDescent="0.35">
      <c r="A357">
        <v>966</v>
      </c>
      <c r="B357" s="1">
        <v>40586</v>
      </c>
      <c r="C357">
        <v>1</v>
      </c>
      <c r="D357">
        <v>0</v>
      </c>
      <c r="E357">
        <v>2</v>
      </c>
      <c r="F357">
        <v>20</v>
      </c>
      <c r="G357">
        <v>0</v>
      </c>
      <c r="H357">
        <v>6</v>
      </c>
      <c r="I357">
        <v>1</v>
      </c>
      <c r="J357">
        <v>0.26</v>
      </c>
      <c r="K357">
        <v>0.2576</v>
      </c>
      <c r="L357">
        <v>0.41</v>
      </c>
      <c r="M357">
        <v>0.22389999999999999</v>
      </c>
      <c r="N357">
        <v>1</v>
      </c>
      <c r="O357">
        <v>39</v>
      </c>
      <c r="P357">
        <v>40</v>
      </c>
    </row>
    <row r="358" spans="1:16" x14ac:dyDescent="0.35">
      <c r="A358">
        <v>967</v>
      </c>
      <c r="B358" s="1">
        <v>40586</v>
      </c>
      <c r="C358">
        <v>1</v>
      </c>
      <c r="D358">
        <v>0</v>
      </c>
      <c r="E358">
        <v>2</v>
      </c>
      <c r="F358">
        <v>21</v>
      </c>
      <c r="G358">
        <v>0</v>
      </c>
      <c r="H358">
        <v>6</v>
      </c>
      <c r="I358">
        <v>1</v>
      </c>
      <c r="J358">
        <v>0.26</v>
      </c>
      <c r="K358">
        <v>0.30299999999999999</v>
      </c>
      <c r="L358">
        <v>0.41</v>
      </c>
      <c r="M358">
        <v>0</v>
      </c>
      <c r="N358">
        <v>9</v>
      </c>
      <c r="O358">
        <v>42</v>
      </c>
      <c r="P358">
        <v>51</v>
      </c>
    </row>
    <row r="359" spans="1:16" x14ac:dyDescent="0.35">
      <c r="A359">
        <v>968</v>
      </c>
      <c r="B359" s="1">
        <v>40586</v>
      </c>
      <c r="C359">
        <v>1</v>
      </c>
      <c r="D359">
        <v>0</v>
      </c>
      <c r="E359">
        <v>2</v>
      </c>
      <c r="F359">
        <v>22</v>
      </c>
      <c r="G359">
        <v>0</v>
      </c>
      <c r="H359">
        <v>6</v>
      </c>
      <c r="I359">
        <v>1</v>
      </c>
      <c r="J359">
        <v>0.24</v>
      </c>
      <c r="K359">
        <v>0.2576</v>
      </c>
      <c r="L359">
        <v>0.44</v>
      </c>
      <c r="M359">
        <v>8.9599999999999999E-2</v>
      </c>
      <c r="N359">
        <v>6</v>
      </c>
      <c r="O359">
        <v>39</v>
      </c>
      <c r="P359">
        <v>45</v>
      </c>
    </row>
    <row r="360" spans="1:16" x14ac:dyDescent="0.35">
      <c r="A360">
        <v>969</v>
      </c>
      <c r="B360" s="1">
        <v>40586</v>
      </c>
      <c r="C360">
        <v>1</v>
      </c>
      <c r="D360">
        <v>0</v>
      </c>
      <c r="E360">
        <v>2</v>
      </c>
      <c r="F360">
        <v>23</v>
      </c>
      <c r="G360">
        <v>0</v>
      </c>
      <c r="H360">
        <v>6</v>
      </c>
      <c r="I360">
        <v>1</v>
      </c>
      <c r="J360">
        <v>0.22</v>
      </c>
      <c r="K360">
        <v>0.2273</v>
      </c>
      <c r="L360">
        <v>0.51</v>
      </c>
      <c r="M360">
        <v>0.1343</v>
      </c>
      <c r="N360">
        <v>1</v>
      </c>
      <c r="O360">
        <v>31</v>
      </c>
      <c r="P360">
        <v>32</v>
      </c>
    </row>
    <row r="361" spans="1:16" x14ac:dyDescent="0.35">
      <c r="A361">
        <v>970</v>
      </c>
      <c r="B361" s="1">
        <v>40587</v>
      </c>
      <c r="C361">
        <v>1</v>
      </c>
      <c r="D361">
        <v>0</v>
      </c>
      <c r="E361">
        <v>2</v>
      </c>
      <c r="F361">
        <v>0</v>
      </c>
      <c r="G361">
        <v>0</v>
      </c>
      <c r="H361">
        <v>0</v>
      </c>
      <c r="I361">
        <v>1</v>
      </c>
      <c r="J361">
        <v>0.2</v>
      </c>
      <c r="K361">
        <v>0.2273</v>
      </c>
      <c r="L361">
        <v>0.64</v>
      </c>
      <c r="M361">
        <v>0.1045</v>
      </c>
      <c r="N361">
        <v>5</v>
      </c>
      <c r="O361">
        <v>34</v>
      </c>
      <c r="P361">
        <v>39</v>
      </c>
    </row>
    <row r="362" spans="1:16" x14ac:dyDescent="0.35">
      <c r="A362">
        <v>971</v>
      </c>
      <c r="B362" s="1">
        <v>40587</v>
      </c>
      <c r="C362">
        <v>1</v>
      </c>
      <c r="D362">
        <v>0</v>
      </c>
      <c r="E362">
        <v>2</v>
      </c>
      <c r="F362">
        <v>1</v>
      </c>
      <c r="G362">
        <v>0</v>
      </c>
      <c r="H362">
        <v>0</v>
      </c>
      <c r="I362">
        <v>1</v>
      </c>
      <c r="J362">
        <v>0.2</v>
      </c>
      <c r="K362">
        <v>0.2273</v>
      </c>
      <c r="L362">
        <v>0.59</v>
      </c>
      <c r="M362">
        <v>8.9599999999999999E-2</v>
      </c>
      <c r="N362">
        <v>1</v>
      </c>
      <c r="O362">
        <v>23</v>
      </c>
      <c r="P362">
        <v>24</v>
      </c>
    </row>
    <row r="363" spans="1:16" x14ac:dyDescent="0.35">
      <c r="A363">
        <v>972</v>
      </c>
      <c r="B363" s="1">
        <v>40587</v>
      </c>
      <c r="C363">
        <v>1</v>
      </c>
      <c r="D363">
        <v>0</v>
      </c>
      <c r="E363">
        <v>2</v>
      </c>
      <c r="F363">
        <v>2</v>
      </c>
      <c r="G363">
        <v>0</v>
      </c>
      <c r="H363">
        <v>0</v>
      </c>
      <c r="I363">
        <v>2</v>
      </c>
      <c r="J363">
        <v>0.2</v>
      </c>
      <c r="K363">
        <v>0.2273</v>
      </c>
      <c r="L363">
        <v>0.75</v>
      </c>
      <c r="M363">
        <v>8.9599999999999999E-2</v>
      </c>
      <c r="N363">
        <v>1</v>
      </c>
      <c r="O363">
        <v>19</v>
      </c>
      <c r="P363">
        <v>20</v>
      </c>
    </row>
    <row r="364" spans="1:16" x14ac:dyDescent="0.35">
      <c r="A364">
        <v>973</v>
      </c>
      <c r="B364" s="1">
        <v>40587</v>
      </c>
      <c r="C364">
        <v>1</v>
      </c>
      <c r="D364">
        <v>0</v>
      </c>
      <c r="E364">
        <v>2</v>
      </c>
      <c r="F364">
        <v>3</v>
      </c>
      <c r="G364">
        <v>0</v>
      </c>
      <c r="H364">
        <v>0</v>
      </c>
      <c r="I364">
        <v>2</v>
      </c>
      <c r="J364">
        <v>0.2</v>
      </c>
      <c r="K364">
        <v>0.2273</v>
      </c>
      <c r="L364">
        <v>0.69</v>
      </c>
      <c r="M364">
        <v>0.1045</v>
      </c>
      <c r="N364">
        <v>4</v>
      </c>
      <c r="O364">
        <v>8</v>
      </c>
      <c r="P364">
        <v>12</v>
      </c>
    </row>
    <row r="365" spans="1:16" x14ac:dyDescent="0.35">
      <c r="A365">
        <v>974</v>
      </c>
      <c r="B365" s="1">
        <v>40587</v>
      </c>
      <c r="C365">
        <v>1</v>
      </c>
      <c r="D365">
        <v>0</v>
      </c>
      <c r="E365">
        <v>2</v>
      </c>
      <c r="F365">
        <v>4</v>
      </c>
      <c r="G365">
        <v>0</v>
      </c>
      <c r="H365">
        <v>0</v>
      </c>
      <c r="I365">
        <v>2</v>
      </c>
      <c r="J365">
        <v>0.2</v>
      </c>
      <c r="K365">
        <v>0.21210000000000001</v>
      </c>
      <c r="L365">
        <v>0.69</v>
      </c>
      <c r="M365">
        <v>0.16420000000000001</v>
      </c>
      <c r="N365">
        <v>0</v>
      </c>
      <c r="O365">
        <v>2</v>
      </c>
      <c r="P365">
        <v>2</v>
      </c>
    </row>
    <row r="366" spans="1:16" x14ac:dyDescent="0.35">
      <c r="A366">
        <v>975</v>
      </c>
      <c r="B366" s="1">
        <v>40587</v>
      </c>
      <c r="C366">
        <v>1</v>
      </c>
      <c r="D366">
        <v>0</v>
      </c>
      <c r="E366">
        <v>2</v>
      </c>
      <c r="F366">
        <v>6</v>
      </c>
      <c r="G366">
        <v>0</v>
      </c>
      <c r="H366">
        <v>0</v>
      </c>
      <c r="I366">
        <v>2</v>
      </c>
      <c r="J366">
        <v>0.2</v>
      </c>
      <c r="K366">
        <v>0.21210000000000001</v>
      </c>
      <c r="L366">
        <v>0.69</v>
      </c>
      <c r="M366">
        <v>0.1343</v>
      </c>
      <c r="N366">
        <v>2</v>
      </c>
      <c r="O366">
        <v>3</v>
      </c>
      <c r="P366">
        <v>5</v>
      </c>
    </row>
    <row r="367" spans="1:16" x14ac:dyDescent="0.35">
      <c r="A367">
        <v>976</v>
      </c>
      <c r="B367" s="1">
        <v>40587</v>
      </c>
      <c r="C367">
        <v>1</v>
      </c>
      <c r="D367">
        <v>0</v>
      </c>
      <c r="E367">
        <v>2</v>
      </c>
      <c r="F367">
        <v>7</v>
      </c>
      <c r="G367">
        <v>0</v>
      </c>
      <c r="H367">
        <v>0</v>
      </c>
      <c r="I367">
        <v>2</v>
      </c>
      <c r="J367">
        <v>0.22</v>
      </c>
      <c r="K367">
        <v>0.2727</v>
      </c>
      <c r="L367">
        <v>0.55000000000000004</v>
      </c>
      <c r="M367">
        <v>0</v>
      </c>
      <c r="N367">
        <v>0</v>
      </c>
      <c r="O367">
        <v>3</v>
      </c>
      <c r="P367">
        <v>3</v>
      </c>
    </row>
    <row r="368" spans="1:16" x14ac:dyDescent="0.35">
      <c r="A368">
        <v>977</v>
      </c>
      <c r="B368" s="1">
        <v>40587</v>
      </c>
      <c r="C368">
        <v>1</v>
      </c>
      <c r="D368">
        <v>0</v>
      </c>
      <c r="E368">
        <v>2</v>
      </c>
      <c r="F368">
        <v>8</v>
      </c>
      <c r="G368">
        <v>0</v>
      </c>
      <c r="H368">
        <v>0</v>
      </c>
      <c r="I368">
        <v>2</v>
      </c>
      <c r="J368">
        <v>0.22</v>
      </c>
      <c r="K368">
        <v>0.2273</v>
      </c>
      <c r="L368">
        <v>0.64</v>
      </c>
      <c r="M368">
        <v>0.19400000000000001</v>
      </c>
      <c r="N368">
        <v>1</v>
      </c>
      <c r="O368">
        <v>11</v>
      </c>
      <c r="P368">
        <v>12</v>
      </c>
    </row>
    <row r="369" spans="1:16" x14ac:dyDescent="0.35">
      <c r="A369">
        <v>978</v>
      </c>
      <c r="B369" s="1">
        <v>40587</v>
      </c>
      <c r="C369">
        <v>1</v>
      </c>
      <c r="D369">
        <v>0</v>
      </c>
      <c r="E369">
        <v>2</v>
      </c>
      <c r="F369">
        <v>9</v>
      </c>
      <c r="G369">
        <v>0</v>
      </c>
      <c r="H369">
        <v>0</v>
      </c>
      <c r="I369">
        <v>2</v>
      </c>
      <c r="J369">
        <v>0.24</v>
      </c>
      <c r="K369">
        <v>0.2273</v>
      </c>
      <c r="L369">
        <v>0.6</v>
      </c>
      <c r="M369">
        <v>0.22389999999999999</v>
      </c>
      <c r="N369">
        <v>12</v>
      </c>
      <c r="O369">
        <v>35</v>
      </c>
      <c r="P369">
        <v>47</v>
      </c>
    </row>
    <row r="370" spans="1:16" x14ac:dyDescent="0.35">
      <c r="A370">
        <v>979</v>
      </c>
      <c r="B370" s="1">
        <v>40587</v>
      </c>
      <c r="C370">
        <v>1</v>
      </c>
      <c r="D370">
        <v>0</v>
      </c>
      <c r="E370">
        <v>2</v>
      </c>
      <c r="F370">
        <v>10</v>
      </c>
      <c r="G370">
        <v>0</v>
      </c>
      <c r="H370">
        <v>0</v>
      </c>
      <c r="I370">
        <v>1</v>
      </c>
      <c r="J370">
        <v>0.3</v>
      </c>
      <c r="K370">
        <v>0.2727</v>
      </c>
      <c r="L370">
        <v>0.45</v>
      </c>
      <c r="M370">
        <v>0.32840000000000003</v>
      </c>
      <c r="N370">
        <v>19</v>
      </c>
      <c r="O370">
        <v>86</v>
      </c>
      <c r="P370">
        <v>105</v>
      </c>
    </row>
    <row r="371" spans="1:16" x14ac:dyDescent="0.35">
      <c r="A371">
        <v>980</v>
      </c>
      <c r="B371" s="1">
        <v>40587</v>
      </c>
      <c r="C371">
        <v>1</v>
      </c>
      <c r="D371">
        <v>0</v>
      </c>
      <c r="E371">
        <v>2</v>
      </c>
      <c r="F371">
        <v>11</v>
      </c>
      <c r="G371">
        <v>0</v>
      </c>
      <c r="H371">
        <v>0</v>
      </c>
      <c r="I371">
        <v>1</v>
      </c>
      <c r="J371">
        <v>0.32</v>
      </c>
      <c r="K371">
        <v>0.28789999999999999</v>
      </c>
      <c r="L371">
        <v>0.39</v>
      </c>
      <c r="M371">
        <v>0.44779999999999998</v>
      </c>
      <c r="N371">
        <v>26</v>
      </c>
      <c r="O371">
        <v>86</v>
      </c>
      <c r="P371">
        <v>112</v>
      </c>
    </row>
    <row r="372" spans="1:16" x14ac:dyDescent="0.35">
      <c r="A372">
        <v>981</v>
      </c>
      <c r="B372" s="1">
        <v>40587</v>
      </c>
      <c r="C372">
        <v>1</v>
      </c>
      <c r="D372">
        <v>0</v>
      </c>
      <c r="E372">
        <v>2</v>
      </c>
      <c r="F372">
        <v>12</v>
      </c>
      <c r="G372">
        <v>0</v>
      </c>
      <c r="H372">
        <v>0</v>
      </c>
      <c r="I372">
        <v>1</v>
      </c>
      <c r="J372">
        <v>0.36</v>
      </c>
      <c r="K372">
        <v>0.31819999999999998</v>
      </c>
      <c r="L372">
        <v>0.32</v>
      </c>
      <c r="M372">
        <v>0.4627</v>
      </c>
      <c r="N372">
        <v>58</v>
      </c>
      <c r="O372">
        <v>94</v>
      </c>
      <c r="P372">
        <v>152</v>
      </c>
    </row>
    <row r="373" spans="1:16" x14ac:dyDescent="0.35">
      <c r="A373">
        <v>982</v>
      </c>
      <c r="B373" s="1">
        <v>40587</v>
      </c>
      <c r="C373">
        <v>1</v>
      </c>
      <c r="D373">
        <v>0</v>
      </c>
      <c r="E373">
        <v>2</v>
      </c>
      <c r="F373">
        <v>13</v>
      </c>
      <c r="G373">
        <v>0</v>
      </c>
      <c r="H373">
        <v>0</v>
      </c>
      <c r="I373">
        <v>1</v>
      </c>
      <c r="J373">
        <v>0.38</v>
      </c>
      <c r="K373">
        <v>0.39389999999999997</v>
      </c>
      <c r="L373">
        <v>0.28999999999999998</v>
      </c>
      <c r="M373">
        <v>0.35820000000000002</v>
      </c>
      <c r="N373">
        <v>62</v>
      </c>
      <c r="O373">
        <v>92</v>
      </c>
      <c r="P373">
        <v>154</v>
      </c>
    </row>
    <row r="374" spans="1:16" x14ac:dyDescent="0.35">
      <c r="A374">
        <v>983</v>
      </c>
      <c r="B374" s="1">
        <v>40587</v>
      </c>
      <c r="C374">
        <v>1</v>
      </c>
      <c r="D374">
        <v>0</v>
      </c>
      <c r="E374">
        <v>2</v>
      </c>
      <c r="F374">
        <v>14</v>
      </c>
      <c r="G374">
        <v>0</v>
      </c>
      <c r="H374">
        <v>0</v>
      </c>
      <c r="I374">
        <v>2</v>
      </c>
      <c r="J374">
        <v>0.4</v>
      </c>
      <c r="K374">
        <v>0.40910000000000002</v>
      </c>
      <c r="L374">
        <v>0.3</v>
      </c>
      <c r="M374">
        <v>0.41789999999999999</v>
      </c>
      <c r="N374">
        <v>51</v>
      </c>
      <c r="O374">
        <v>110</v>
      </c>
      <c r="P374">
        <v>161</v>
      </c>
    </row>
    <row r="375" spans="1:16" x14ac:dyDescent="0.35">
      <c r="A375">
        <v>984</v>
      </c>
      <c r="B375" s="1">
        <v>40587</v>
      </c>
      <c r="C375">
        <v>1</v>
      </c>
      <c r="D375">
        <v>0</v>
      </c>
      <c r="E375">
        <v>2</v>
      </c>
      <c r="F375">
        <v>15</v>
      </c>
      <c r="G375">
        <v>0</v>
      </c>
      <c r="H375">
        <v>0</v>
      </c>
      <c r="I375">
        <v>2</v>
      </c>
      <c r="J375">
        <v>0.4</v>
      </c>
      <c r="K375">
        <v>0.40910000000000002</v>
      </c>
      <c r="L375">
        <v>0.3</v>
      </c>
      <c r="M375">
        <v>0.29849999999999999</v>
      </c>
      <c r="N375">
        <v>40</v>
      </c>
      <c r="O375">
        <v>122</v>
      </c>
      <c r="P375">
        <v>162</v>
      </c>
    </row>
    <row r="376" spans="1:16" x14ac:dyDescent="0.35">
      <c r="A376">
        <v>985</v>
      </c>
      <c r="B376" s="1">
        <v>40587</v>
      </c>
      <c r="C376">
        <v>1</v>
      </c>
      <c r="D376">
        <v>0</v>
      </c>
      <c r="E376">
        <v>2</v>
      </c>
      <c r="F376">
        <v>16</v>
      </c>
      <c r="G376">
        <v>0</v>
      </c>
      <c r="H376">
        <v>0</v>
      </c>
      <c r="I376">
        <v>2</v>
      </c>
      <c r="J376">
        <v>0.42</v>
      </c>
      <c r="K376">
        <v>0.42420000000000002</v>
      </c>
      <c r="L376">
        <v>0.28000000000000003</v>
      </c>
      <c r="M376">
        <v>0.32840000000000003</v>
      </c>
      <c r="N376">
        <v>28</v>
      </c>
      <c r="O376">
        <v>106</v>
      </c>
      <c r="P376">
        <v>134</v>
      </c>
    </row>
    <row r="377" spans="1:16" x14ac:dyDescent="0.35">
      <c r="A377">
        <v>986</v>
      </c>
      <c r="B377" s="1">
        <v>40587</v>
      </c>
      <c r="C377">
        <v>1</v>
      </c>
      <c r="D377">
        <v>0</v>
      </c>
      <c r="E377">
        <v>2</v>
      </c>
      <c r="F377">
        <v>17</v>
      </c>
      <c r="G377">
        <v>0</v>
      </c>
      <c r="H377">
        <v>0</v>
      </c>
      <c r="I377">
        <v>1</v>
      </c>
      <c r="J377">
        <v>0.42</v>
      </c>
      <c r="K377">
        <v>0.42420000000000002</v>
      </c>
      <c r="L377">
        <v>0.28000000000000003</v>
      </c>
      <c r="M377">
        <v>0.32840000000000003</v>
      </c>
      <c r="N377">
        <v>30</v>
      </c>
      <c r="O377">
        <v>95</v>
      </c>
      <c r="P377">
        <v>125</v>
      </c>
    </row>
    <row r="378" spans="1:16" x14ac:dyDescent="0.35">
      <c r="A378">
        <v>987</v>
      </c>
      <c r="B378" s="1">
        <v>40587</v>
      </c>
      <c r="C378">
        <v>1</v>
      </c>
      <c r="D378">
        <v>0</v>
      </c>
      <c r="E378">
        <v>2</v>
      </c>
      <c r="F378">
        <v>18</v>
      </c>
      <c r="G378">
        <v>0</v>
      </c>
      <c r="H378">
        <v>0</v>
      </c>
      <c r="I378">
        <v>1</v>
      </c>
      <c r="J378">
        <v>0.4</v>
      </c>
      <c r="K378">
        <v>0.40910000000000002</v>
      </c>
      <c r="L378">
        <v>0.32</v>
      </c>
      <c r="M378">
        <v>0.29849999999999999</v>
      </c>
      <c r="N378">
        <v>17</v>
      </c>
      <c r="O378">
        <v>78</v>
      </c>
      <c r="P378">
        <v>95</v>
      </c>
    </row>
    <row r="379" spans="1:16" x14ac:dyDescent="0.35">
      <c r="A379">
        <v>988</v>
      </c>
      <c r="B379" s="1">
        <v>40587</v>
      </c>
      <c r="C379">
        <v>1</v>
      </c>
      <c r="D379">
        <v>0</v>
      </c>
      <c r="E379">
        <v>2</v>
      </c>
      <c r="F379">
        <v>19</v>
      </c>
      <c r="G379">
        <v>0</v>
      </c>
      <c r="H379">
        <v>0</v>
      </c>
      <c r="I379">
        <v>1</v>
      </c>
      <c r="J379">
        <v>0.4</v>
      </c>
      <c r="K379">
        <v>0.40910000000000002</v>
      </c>
      <c r="L379">
        <v>0.35</v>
      </c>
      <c r="M379">
        <v>0.28360000000000002</v>
      </c>
      <c r="N379">
        <v>11</v>
      </c>
      <c r="O379">
        <v>50</v>
      </c>
      <c r="P379">
        <v>61</v>
      </c>
    </row>
    <row r="380" spans="1:16" x14ac:dyDescent="0.35">
      <c r="A380">
        <v>989</v>
      </c>
      <c r="B380" s="1">
        <v>40587</v>
      </c>
      <c r="C380">
        <v>1</v>
      </c>
      <c r="D380">
        <v>0</v>
      </c>
      <c r="E380">
        <v>2</v>
      </c>
      <c r="F380">
        <v>20</v>
      </c>
      <c r="G380">
        <v>0</v>
      </c>
      <c r="H380">
        <v>0</v>
      </c>
      <c r="I380">
        <v>1</v>
      </c>
      <c r="J380">
        <v>0.4</v>
      </c>
      <c r="K380">
        <v>0.40910000000000002</v>
      </c>
      <c r="L380">
        <v>0.35</v>
      </c>
      <c r="M380">
        <v>0.32840000000000003</v>
      </c>
      <c r="N380">
        <v>15</v>
      </c>
      <c r="O380">
        <v>32</v>
      </c>
      <c r="P380">
        <v>47</v>
      </c>
    </row>
    <row r="381" spans="1:16" x14ac:dyDescent="0.35">
      <c r="A381">
        <v>990</v>
      </c>
      <c r="B381" s="1">
        <v>40587</v>
      </c>
      <c r="C381">
        <v>1</v>
      </c>
      <c r="D381">
        <v>0</v>
      </c>
      <c r="E381">
        <v>2</v>
      </c>
      <c r="F381">
        <v>21</v>
      </c>
      <c r="G381">
        <v>0</v>
      </c>
      <c r="H381">
        <v>0</v>
      </c>
      <c r="I381">
        <v>1</v>
      </c>
      <c r="J381">
        <v>0.4</v>
      </c>
      <c r="K381">
        <v>0.40910000000000002</v>
      </c>
      <c r="L381">
        <v>0.35</v>
      </c>
      <c r="M381">
        <v>0.35820000000000002</v>
      </c>
      <c r="N381">
        <v>6</v>
      </c>
      <c r="O381">
        <v>45</v>
      </c>
      <c r="P381">
        <v>51</v>
      </c>
    </row>
    <row r="382" spans="1:16" x14ac:dyDescent="0.35">
      <c r="A382">
        <v>991</v>
      </c>
      <c r="B382" s="1">
        <v>40587</v>
      </c>
      <c r="C382">
        <v>1</v>
      </c>
      <c r="D382">
        <v>0</v>
      </c>
      <c r="E382">
        <v>2</v>
      </c>
      <c r="F382">
        <v>22</v>
      </c>
      <c r="G382">
        <v>0</v>
      </c>
      <c r="H382">
        <v>0</v>
      </c>
      <c r="I382">
        <v>1</v>
      </c>
      <c r="J382">
        <v>0.4</v>
      </c>
      <c r="K382">
        <v>0.40910000000000002</v>
      </c>
      <c r="L382">
        <v>0.35</v>
      </c>
      <c r="M382">
        <v>0.29849999999999999</v>
      </c>
      <c r="N382">
        <v>5</v>
      </c>
      <c r="O382">
        <v>31</v>
      </c>
      <c r="P382">
        <v>36</v>
      </c>
    </row>
    <row r="383" spans="1:16" x14ac:dyDescent="0.35">
      <c r="A383">
        <v>992</v>
      </c>
      <c r="B383" s="1">
        <v>40587</v>
      </c>
      <c r="C383">
        <v>1</v>
      </c>
      <c r="D383">
        <v>0</v>
      </c>
      <c r="E383">
        <v>2</v>
      </c>
      <c r="F383">
        <v>23</v>
      </c>
      <c r="G383">
        <v>0</v>
      </c>
      <c r="H383">
        <v>0</v>
      </c>
      <c r="I383">
        <v>1</v>
      </c>
      <c r="J383">
        <v>0.4</v>
      </c>
      <c r="K383">
        <v>0.40910000000000002</v>
      </c>
      <c r="L383">
        <v>0.35</v>
      </c>
      <c r="M383">
        <v>0.35820000000000002</v>
      </c>
      <c r="N383">
        <v>3</v>
      </c>
      <c r="O383">
        <v>27</v>
      </c>
      <c r="P383">
        <v>30</v>
      </c>
    </row>
    <row r="384" spans="1:16" x14ac:dyDescent="0.35">
      <c r="A384">
        <v>993</v>
      </c>
      <c r="B384" s="1">
        <v>40588</v>
      </c>
      <c r="C384">
        <v>1</v>
      </c>
      <c r="D384">
        <v>0</v>
      </c>
      <c r="E384">
        <v>2</v>
      </c>
      <c r="F384">
        <v>0</v>
      </c>
      <c r="G384">
        <v>0</v>
      </c>
      <c r="H384">
        <v>1</v>
      </c>
      <c r="I384">
        <v>1</v>
      </c>
      <c r="J384">
        <v>0.38</v>
      </c>
      <c r="K384">
        <v>0.39389999999999997</v>
      </c>
      <c r="L384">
        <v>0.37</v>
      </c>
      <c r="M384">
        <v>0.35820000000000002</v>
      </c>
      <c r="N384">
        <v>3</v>
      </c>
      <c r="O384">
        <v>8</v>
      </c>
      <c r="P384">
        <v>11</v>
      </c>
    </row>
    <row r="385" spans="1:16" x14ac:dyDescent="0.35">
      <c r="A385">
        <v>994</v>
      </c>
      <c r="B385" s="1">
        <v>40588</v>
      </c>
      <c r="C385">
        <v>1</v>
      </c>
      <c r="D385">
        <v>0</v>
      </c>
      <c r="E385">
        <v>2</v>
      </c>
      <c r="F385">
        <v>1</v>
      </c>
      <c r="G385">
        <v>0</v>
      </c>
      <c r="H385">
        <v>1</v>
      </c>
      <c r="I385">
        <v>1</v>
      </c>
      <c r="J385">
        <v>0.38</v>
      </c>
      <c r="K385">
        <v>0.39389999999999997</v>
      </c>
      <c r="L385">
        <v>0.37</v>
      </c>
      <c r="M385">
        <v>0.35820000000000002</v>
      </c>
      <c r="N385">
        <v>1</v>
      </c>
      <c r="O385">
        <v>6</v>
      </c>
      <c r="P385">
        <v>7</v>
      </c>
    </row>
    <row r="386" spans="1:16" x14ac:dyDescent="0.35">
      <c r="A386">
        <v>995</v>
      </c>
      <c r="B386" s="1">
        <v>40588</v>
      </c>
      <c r="C386">
        <v>1</v>
      </c>
      <c r="D386">
        <v>0</v>
      </c>
      <c r="E386">
        <v>2</v>
      </c>
      <c r="F386">
        <v>2</v>
      </c>
      <c r="G386">
        <v>0</v>
      </c>
      <c r="H386">
        <v>1</v>
      </c>
      <c r="I386">
        <v>1</v>
      </c>
      <c r="J386">
        <v>0.36</v>
      </c>
      <c r="K386">
        <v>0.33329999999999999</v>
      </c>
      <c r="L386">
        <v>0.4</v>
      </c>
      <c r="M386">
        <v>0.29849999999999999</v>
      </c>
      <c r="N386">
        <v>0</v>
      </c>
      <c r="O386">
        <v>2</v>
      </c>
      <c r="P386">
        <v>2</v>
      </c>
    </row>
    <row r="387" spans="1:16" x14ac:dyDescent="0.35">
      <c r="A387">
        <v>996</v>
      </c>
      <c r="B387" s="1">
        <v>40588</v>
      </c>
      <c r="C387">
        <v>1</v>
      </c>
      <c r="D387">
        <v>0</v>
      </c>
      <c r="E387">
        <v>2</v>
      </c>
      <c r="F387">
        <v>3</v>
      </c>
      <c r="G387">
        <v>0</v>
      </c>
      <c r="H387">
        <v>1</v>
      </c>
      <c r="I387">
        <v>1</v>
      </c>
      <c r="J387">
        <v>0.34</v>
      </c>
      <c r="K387">
        <v>0.31819999999999998</v>
      </c>
      <c r="L387">
        <v>0.46</v>
      </c>
      <c r="M387">
        <v>0.22389999999999999</v>
      </c>
      <c r="N387">
        <v>1</v>
      </c>
      <c r="O387">
        <v>1</v>
      </c>
      <c r="P387">
        <v>2</v>
      </c>
    </row>
    <row r="388" spans="1:16" x14ac:dyDescent="0.35">
      <c r="A388">
        <v>997</v>
      </c>
      <c r="B388" s="1">
        <v>40588</v>
      </c>
      <c r="C388">
        <v>1</v>
      </c>
      <c r="D388">
        <v>0</v>
      </c>
      <c r="E388">
        <v>2</v>
      </c>
      <c r="F388">
        <v>4</v>
      </c>
      <c r="G388">
        <v>0</v>
      </c>
      <c r="H388">
        <v>1</v>
      </c>
      <c r="I388">
        <v>1</v>
      </c>
      <c r="J388">
        <v>0.32</v>
      </c>
      <c r="K388">
        <v>0.30299999999999999</v>
      </c>
      <c r="L388">
        <v>0.53</v>
      </c>
      <c r="M388">
        <v>0.28360000000000002</v>
      </c>
      <c r="N388">
        <v>0</v>
      </c>
      <c r="O388">
        <v>2</v>
      </c>
      <c r="P388">
        <v>2</v>
      </c>
    </row>
    <row r="389" spans="1:16" x14ac:dyDescent="0.35">
      <c r="A389">
        <v>998</v>
      </c>
      <c r="B389" s="1">
        <v>40588</v>
      </c>
      <c r="C389">
        <v>1</v>
      </c>
      <c r="D389">
        <v>0</v>
      </c>
      <c r="E389">
        <v>2</v>
      </c>
      <c r="F389">
        <v>5</v>
      </c>
      <c r="G389">
        <v>0</v>
      </c>
      <c r="H389">
        <v>1</v>
      </c>
      <c r="I389">
        <v>1</v>
      </c>
      <c r="J389">
        <v>0.32</v>
      </c>
      <c r="K389">
        <v>0.30299999999999999</v>
      </c>
      <c r="L389">
        <v>0.53</v>
      </c>
      <c r="M389">
        <v>0.28360000000000002</v>
      </c>
      <c r="N389">
        <v>0</v>
      </c>
      <c r="O389">
        <v>3</v>
      </c>
      <c r="P389">
        <v>3</v>
      </c>
    </row>
    <row r="390" spans="1:16" x14ac:dyDescent="0.35">
      <c r="A390">
        <v>999</v>
      </c>
      <c r="B390" s="1">
        <v>40588</v>
      </c>
      <c r="C390">
        <v>1</v>
      </c>
      <c r="D390">
        <v>0</v>
      </c>
      <c r="E390">
        <v>2</v>
      </c>
      <c r="F390">
        <v>6</v>
      </c>
      <c r="G390">
        <v>0</v>
      </c>
      <c r="H390">
        <v>1</v>
      </c>
      <c r="I390">
        <v>1</v>
      </c>
      <c r="J390">
        <v>0.34</v>
      </c>
      <c r="K390">
        <v>0.30299999999999999</v>
      </c>
      <c r="L390">
        <v>0.46</v>
      </c>
      <c r="M390">
        <v>0.29849999999999999</v>
      </c>
      <c r="N390">
        <v>1</v>
      </c>
      <c r="O390">
        <v>25</v>
      </c>
      <c r="P390">
        <v>26</v>
      </c>
    </row>
    <row r="391" spans="1:16" x14ac:dyDescent="0.35">
      <c r="A391">
        <v>1000</v>
      </c>
      <c r="B391" s="1">
        <v>40588</v>
      </c>
      <c r="C391">
        <v>1</v>
      </c>
      <c r="D391">
        <v>0</v>
      </c>
      <c r="E391">
        <v>2</v>
      </c>
      <c r="F391">
        <v>7</v>
      </c>
      <c r="G391">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3E6CE-A6F2-4236-ADC0-E7C342D14989}">
  <dimension ref="A1:T1001"/>
  <sheetViews>
    <sheetView topLeftCell="B1" zoomScale="72" zoomScaleNormal="72" workbookViewId="0">
      <selection activeCell="Y30" sqref="Y30"/>
    </sheetView>
  </sheetViews>
  <sheetFormatPr defaultRowHeight="14.5" x14ac:dyDescent="0.35"/>
  <cols>
    <col min="2" max="2" width="10.81640625" customWidth="1"/>
  </cols>
  <sheetData>
    <row r="1" spans="1:20" x14ac:dyDescent="0.35">
      <c r="A1" t="s">
        <v>28</v>
      </c>
      <c r="B1" t="s">
        <v>27</v>
      </c>
      <c r="C1" s="2" t="s">
        <v>29</v>
      </c>
      <c r="D1" t="s">
        <v>30</v>
      </c>
      <c r="E1" t="s">
        <v>31</v>
      </c>
      <c r="F1" t="s">
        <v>26</v>
      </c>
      <c r="G1" t="s">
        <v>32</v>
      </c>
      <c r="H1" t="s">
        <v>33</v>
      </c>
      <c r="I1" t="s">
        <v>34</v>
      </c>
      <c r="J1" t="s">
        <v>35</v>
      </c>
      <c r="K1" t="s">
        <v>45</v>
      </c>
      <c r="L1" t="s">
        <v>36</v>
      </c>
      <c r="M1" t="s">
        <v>37</v>
      </c>
      <c r="N1" t="s">
        <v>38</v>
      </c>
      <c r="O1" t="s">
        <v>39</v>
      </c>
      <c r="P1" t="s">
        <v>40</v>
      </c>
      <c r="Q1" t="s">
        <v>41</v>
      </c>
      <c r="R1" t="s">
        <v>42</v>
      </c>
      <c r="S1" t="s">
        <v>43</v>
      </c>
      <c r="T1" t="s">
        <v>44</v>
      </c>
    </row>
    <row r="2" spans="1:20" x14ac:dyDescent="0.35">
      <c r="A2">
        <v>1</v>
      </c>
      <c r="B2" s="1">
        <v>40544</v>
      </c>
      <c r="C2">
        <v>1</v>
      </c>
      <c r="D2">
        <v>0</v>
      </c>
      <c r="E2">
        <v>1</v>
      </c>
      <c r="F2" t="str">
        <f>IF(final_data786[[#This Row],[MONTH_CODE]]=1,"JANUARY",IF(final_data786[[#This Row],[MONTH_CODE]]=2,"FEBRUARY"))</f>
        <v>JANUARY</v>
      </c>
      <c r="G2">
        <v>0</v>
      </c>
      <c r="H2">
        <v>0</v>
      </c>
      <c r="I2">
        <v>6</v>
      </c>
      <c r="J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 t="str">
        <f>IF(final_data786[[#This Row],[DAY_CODE]]=0,"weekend",IF(final_data786[[#This Row],[DAY_CODE]]=6,"weekend","weekday"))</f>
        <v>weekend</v>
      </c>
      <c r="L2">
        <v>1</v>
      </c>
      <c r="M2" t="str">
        <f>IF(final_data786[[#This Row],[WEATHER_CODE]]=1,"clear",IF(final_data786[[#This Row],[WEATHER_CODE]]=2,"cloudy",IF(final_data786[[#This Row],[WEATHER_CODE]]=3,"light rain",IF(final_data786[[#This Row],[WEATHER_CODE]]=4,"heavy rain",0))))</f>
        <v>clear</v>
      </c>
      <c r="N2">
        <v>0.24</v>
      </c>
      <c r="O2">
        <v>0.28789999999999999</v>
      </c>
      <c r="P2">
        <v>0.81</v>
      </c>
      <c r="Q2">
        <v>0</v>
      </c>
      <c r="R2">
        <v>3</v>
      </c>
      <c r="S2">
        <v>13</v>
      </c>
      <c r="T2">
        <v>16</v>
      </c>
    </row>
    <row r="3" spans="1:20" x14ac:dyDescent="0.35">
      <c r="A3">
        <v>2</v>
      </c>
      <c r="B3" s="1">
        <v>40544</v>
      </c>
      <c r="C3">
        <v>1</v>
      </c>
      <c r="D3">
        <v>0</v>
      </c>
      <c r="E3">
        <v>1</v>
      </c>
      <c r="F3" t="str">
        <f>IF(final_data786[[#This Row],[MONTH_CODE]]=1,"JANUARY",IF(final_data786[[#This Row],[MONTH_CODE]]=2,"FEBRUARY"))</f>
        <v>JANUARY</v>
      </c>
      <c r="G3">
        <v>1</v>
      </c>
      <c r="H3">
        <v>0</v>
      </c>
      <c r="I3">
        <v>6</v>
      </c>
      <c r="J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 t="str">
        <f>IF(final_data786[[#This Row],[DAY_CODE]]=0,"weekend",IF(final_data786[[#This Row],[DAY_CODE]]=6,"weekend","weekday"))</f>
        <v>weekend</v>
      </c>
      <c r="L3">
        <v>1</v>
      </c>
      <c r="M3" t="str">
        <f>IF(final_data786[[#This Row],[WEATHER_CODE]]=1,"clear",IF(final_data786[[#This Row],[WEATHER_CODE]]=2,"cloudy",IF(final_data786[[#This Row],[WEATHER_CODE]]=3,"light rain",IF(final_data786[[#This Row],[WEATHER_CODE]]=4,"heavy rain",0))))</f>
        <v>clear</v>
      </c>
      <c r="N3">
        <v>0.22</v>
      </c>
      <c r="O3">
        <v>0.2727</v>
      </c>
      <c r="P3">
        <v>0.8</v>
      </c>
      <c r="Q3">
        <v>0</v>
      </c>
      <c r="R3">
        <v>8</v>
      </c>
      <c r="S3">
        <v>32</v>
      </c>
      <c r="T3">
        <v>40</v>
      </c>
    </row>
    <row r="4" spans="1:20" x14ac:dyDescent="0.35">
      <c r="A4">
        <v>3</v>
      </c>
      <c r="B4" s="1">
        <v>40544</v>
      </c>
      <c r="C4">
        <v>1</v>
      </c>
      <c r="D4">
        <v>0</v>
      </c>
      <c r="E4">
        <v>1</v>
      </c>
      <c r="F4" t="str">
        <f>IF(final_data786[[#This Row],[MONTH_CODE]]=1,"JANUARY",IF(final_data786[[#This Row],[MONTH_CODE]]=2,"FEBRUARY"))</f>
        <v>JANUARY</v>
      </c>
      <c r="G4">
        <v>2</v>
      </c>
      <c r="H4">
        <v>0</v>
      </c>
      <c r="I4">
        <v>6</v>
      </c>
      <c r="J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 t="str">
        <f>IF(final_data786[[#This Row],[DAY_CODE]]=0,"weekend",IF(final_data786[[#This Row],[DAY_CODE]]=6,"weekend","weekday"))</f>
        <v>weekend</v>
      </c>
      <c r="L4">
        <v>1</v>
      </c>
      <c r="M4" t="str">
        <f>IF(final_data786[[#This Row],[WEATHER_CODE]]=1,"clear",IF(final_data786[[#This Row],[WEATHER_CODE]]=2,"cloudy",IF(final_data786[[#This Row],[WEATHER_CODE]]=3,"light rain",IF(final_data786[[#This Row],[WEATHER_CODE]]=4,"heavy rain",0))))</f>
        <v>clear</v>
      </c>
      <c r="N4">
        <v>0.22</v>
      </c>
      <c r="O4">
        <v>0.2727</v>
      </c>
      <c r="P4">
        <v>0.8</v>
      </c>
      <c r="Q4">
        <v>0</v>
      </c>
      <c r="R4">
        <v>5</v>
      </c>
      <c r="S4">
        <v>27</v>
      </c>
      <c r="T4">
        <v>32</v>
      </c>
    </row>
    <row r="5" spans="1:20" x14ac:dyDescent="0.35">
      <c r="A5">
        <v>4</v>
      </c>
      <c r="B5" s="1">
        <v>40544</v>
      </c>
      <c r="C5">
        <v>1</v>
      </c>
      <c r="D5">
        <v>0</v>
      </c>
      <c r="E5">
        <v>1</v>
      </c>
      <c r="F5" t="str">
        <f>IF(final_data786[[#This Row],[MONTH_CODE]]=1,"JANUARY",IF(final_data786[[#This Row],[MONTH_CODE]]=2,"FEBRUARY"))</f>
        <v>JANUARY</v>
      </c>
      <c r="G5">
        <v>3</v>
      </c>
      <c r="H5">
        <v>0</v>
      </c>
      <c r="I5">
        <v>6</v>
      </c>
      <c r="J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5" t="str">
        <f>IF(final_data786[[#This Row],[DAY_CODE]]=0,"weekend",IF(final_data786[[#This Row],[DAY_CODE]]=6,"weekend","weekday"))</f>
        <v>weekend</v>
      </c>
      <c r="L5">
        <v>1</v>
      </c>
      <c r="M5" t="str">
        <f>IF(final_data786[[#This Row],[WEATHER_CODE]]=1,"clear",IF(final_data786[[#This Row],[WEATHER_CODE]]=2,"cloudy",IF(final_data786[[#This Row],[WEATHER_CODE]]=3,"light rain",IF(final_data786[[#This Row],[WEATHER_CODE]]=4,"heavy rain",0))))</f>
        <v>clear</v>
      </c>
      <c r="N5">
        <v>0.24</v>
      </c>
      <c r="O5">
        <v>0.28789999999999999</v>
      </c>
      <c r="P5">
        <v>0.75</v>
      </c>
      <c r="Q5">
        <v>0</v>
      </c>
      <c r="R5">
        <v>3</v>
      </c>
      <c r="S5">
        <v>10</v>
      </c>
      <c r="T5">
        <v>13</v>
      </c>
    </row>
    <row r="6" spans="1:20" x14ac:dyDescent="0.35">
      <c r="A6">
        <v>5</v>
      </c>
      <c r="B6" s="1">
        <v>40544</v>
      </c>
      <c r="C6">
        <v>1</v>
      </c>
      <c r="D6">
        <v>0</v>
      </c>
      <c r="E6">
        <v>1</v>
      </c>
      <c r="F6" t="str">
        <f>IF(final_data786[[#This Row],[MONTH_CODE]]=1,"JANUARY",IF(final_data786[[#This Row],[MONTH_CODE]]=2,"FEBRUARY"))</f>
        <v>JANUARY</v>
      </c>
      <c r="G6">
        <v>4</v>
      </c>
      <c r="H6">
        <v>0</v>
      </c>
      <c r="I6">
        <v>6</v>
      </c>
      <c r="J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 t="str">
        <f>IF(final_data786[[#This Row],[DAY_CODE]]=0,"weekend",IF(final_data786[[#This Row],[DAY_CODE]]=6,"weekend","weekday"))</f>
        <v>weekend</v>
      </c>
      <c r="L6">
        <v>1</v>
      </c>
      <c r="M6" t="str">
        <f>IF(final_data786[[#This Row],[WEATHER_CODE]]=1,"clear",IF(final_data786[[#This Row],[WEATHER_CODE]]=2,"cloudy",IF(final_data786[[#This Row],[WEATHER_CODE]]=3,"light rain",IF(final_data786[[#This Row],[WEATHER_CODE]]=4,"heavy rain",0))))</f>
        <v>clear</v>
      </c>
      <c r="N6">
        <v>0.24</v>
      </c>
      <c r="O6">
        <v>0.28789999999999999</v>
      </c>
      <c r="P6">
        <v>0.75</v>
      </c>
      <c r="Q6">
        <v>0</v>
      </c>
      <c r="R6">
        <v>0</v>
      </c>
      <c r="S6">
        <v>1</v>
      </c>
      <c r="T6">
        <v>1</v>
      </c>
    </row>
    <row r="7" spans="1:20" x14ac:dyDescent="0.35">
      <c r="A7">
        <v>6</v>
      </c>
      <c r="B7" s="1">
        <v>40544</v>
      </c>
      <c r="C7">
        <v>1</v>
      </c>
      <c r="D7">
        <v>0</v>
      </c>
      <c r="E7">
        <v>1</v>
      </c>
      <c r="F7" t="str">
        <f>IF(final_data786[[#This Row],[MONTH_CODE]]=1,"JANUARY",IF(final_data786[[#This Row],[MONTH_CODE]]=2,"FEBRUARY"))</f>
        <v>JANUARY</v>
      </c>
      <c r="G7">
        <v>5</v>
      </c>
      <c r="H7">
        <v>0</v>
      </c>
      <c r="I7">
        <v>6</v>
      </c>
      <c r="J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 t="str">
        <f>IF(final_data786[[#This Row],[DAY_CODE]]=0,"weekend",IF(final_data786[[#This Row],[DAY_CODE]]=6,"weekend","weekday"))</f>
        <v>weekend</v>
      </c>
      <c r="L7">
        <v>2</v>
      </c>
      <c r="M7" t="str">
        <f>IF(final_data786[[#This Row],[WEATHER_CODE]]=1,"clear",IF(final_data786[[#This Row],[WEATHER_CODE]]=2,"cloudy",IF(final_data786[[#This Row],[WEATHER_CODE]]=3,"light rain",IF(final_data786[[#This Row],[WEATHER_CODE]]=4,"heavy rain",0))))</f>
        <v>cloudy</v>
      </c>
      <c r="N7">
        <v>0.24</v>
      </c>
      <c r="O7">
        <v>0.2576</v>
      </c>
      <c r="P7">
        <v>0.75</v>
      </c>
      <c r="Q7">
        <v>8.9599999999999999E-2</v>
      </c>
      <c r="R7">
        <v>0</v>
      </c>
      <c r="S7">
        <v>1</v>
      </c>
      <c r="T7">
        <v>1</v>
      </c>
    </row>
    <row r="8" spans="1:20" x14ac:dyDescent="0.35">
      <c r="A8">
        <v>7</v>
      </c>
      <c r="B8" s="1">
        <v>40544</v>
      </c>
      <c r="C8">
        <v>1</v>
      </c>
      <c r="D8">
        <v>0</v>
      </c>
      <c r="E8">
        <v>1</v>
      </c>
      <c r="F8" t="str">
        <f>IF(final_data786[[#This Row],[MONTH_CODE]]=1,"JANUARY",IF(final_data786[[#This Row],[MONTH_CODE]]=2,"FEBRUARY"))</f>
        <v>JANUARY</v>
      </c>
      <c r="G8">
        <v>6</v>
      </c>
      <c r="H8">
        <v>0</v>
      </c>
      <c r="I8">
        <v>6</v>
      </c>
      <c r="J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 t="str">
        <f>IF(final_data786[[#This Row],[DAY_CODE]]=0,"weekend",IF(final_data786[[#This Row],[DAY_CODE]]=6,"weekend","weekday"))</f>
        <v>weekend</v>
      </c>
      <c r="L8">
        <v>1</v>
      </c>
      <c r="M8" t="str">
        <f>IF(final_data786[[#This Row],[WEATHER_CODE]]=1,"clear",IF(final_data786[[#This Row],[WEATHER_CODE]]=2,"cloudy",IF(final_data786[[#This Row],[WEATHER_CODE]]=3,"light rain",IF(final_data786[[#This Row],[WEATHER_CODE]]=4,"heavy rain",0))))</f>
        <v>clear</v>
      </c>
      <c r="N8">
        <v>0.22</v>
      </c>
      <c r="O8">
        <v>0.2727</v>
      </c>
      <c r="P8">
        <v>0.8</v>
      </c>
      <c r="Q8">
        <v>0</v>
      </c>
      <c r="R8">
        <v>2</v>
      </c>
      <c r="S8">
        <v>0</v>
      </c>
      <c r="T8">
        <v>2</v>
      </c>
    </row>
    <row r="9" spans="1:20" x14ac:dyDescent="0.35">
      <c r="A9">
        <v>8</v>
      </c>
      <c r="B9" s="1">
        <v>40544</v>
      </c>
      <c r="C9">
        <v>1</v>
      </c>
      <c r="D9">
        <v>0</v>
      </c>
      <c r="E9">
        <v>1</v>
      </c>
      <c r="F9" t="str">
        <f>IF(final_data786[[#This Row],[MONTH_CODE]]=1,"JANUARY",IF(final_data786[[#This Row],[MONTH_CODE]]=2,"FEBRUARY"))</f>
        <v>JANUARY</v>
      </c>
      <c r="G9">
        <v>7</v>
      </c>
      <c r="H9">
        <v>0</v>
      </c>
      <c r="I9">
        <v>6</v>
      </c>
      <c r="J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 t="str">
        <f>IF(final_data786[[#This Row],[DAY_CODE]]=0,"weekend",IF(final_data786[[#This Row],[DAY_CODE]]=6,"weekend","weekday"))</f>
        <v>weekend</v>
      </c>
      <c r="L9">
        <v>1</v>
      </c>
      <c r="M9" t="str">
        <f>IF(final_data786[[#This Row],[WEATHER_CODE]]=1,"clear",IF(final_data786[[#This Row],[WEATHER_CODE]]=2,"cloudy",IF(final_data786[[#This Row],[WEATHER_CODE]]=3,"light rain",IF(final_data786[[#This Row],[WEATHER_CODE]]=4,"heavy rain",0))))</f>
        <v>clear</v>
      </c>
      <c r="N9">
        <v>0.2</v>
      </c>
      <c r="O9">
        <v>0.2576</v>
      </c>
      <c r="P9">
        <v>0.86</v>
      </c>
      <c r="Q9">
        <v>0</v>
      </c>
      <c r="R9">
        <v>1</v>
      </c>
      <c r="S9">
        <v>2</v>
      </c>
      <c r="T9">
        <v>3</v>
      </c>
    </row>
    <row r="10" spans="1:20" x14ac:dyDescent="0.35">
      <c r="A10">
        <v>9</v>
      </c>
      <c r="B10" s="1">
        <v>40544</v>
      </c>
      <c r="C10">
        <v>1</v>
      </c>
      <c r="D10">
        <v>0</v>
      </c>
      <c r="E10">
        <v>1</v>
      </c>
      <c r="F10" t="str">
        <f>IF(final_data786[[#This Row],[MONTH_CODE]]=1,"JANUARY",IF(final_data786[[#This Row],[MONTH_CODE]]=2,"FEBRUARY"))</f>
        <v>JANUARY</v>
      </c>
      <c r="G10">
        <v>8</v>
      </c>
      <c r="H10">
        <v>0</v>
      </c>
      <c r="I10">
        <v>6</v>
      </c>
      <c r="J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0" t="str">
        <f>IF(final_data786[[#This Row],[DAY_CODE]]=0,"weekend",IF(final_data786[[#This Row],[DAY_CODE]]=6,"weekend","weekday"))</f>
        <v>weekend</v>
      </c>
      <c r="L10">
        <v>1</v>
      </c>
      <c r="M10" t="str">
        <f>IF(final_data786[[#This Row],[WEATHER_CODE]]=1,"clear",IF(final_data786[[#This Row],[WEATHER_CODE]]=2,"cloudy",IF(final_data786[[#This Row],[WEATHER_CODE]]=3,"light rain",IF(final_data786[[#This Row],[WEATHER_CODE]]=4,"heavy rain",0))))</f>
        <v>clear</v>
      </c>
      <c r="N10">
        <v>0.24</v>
      </c>
      <c r="O10">
        <v>0.19993489148580967</v>
      </c>
      <c r="P10">
        <v>0.75</v>
      </c>
      <c r="Q10">
        <v>0</v>
      </c>
      <c r="R10">
        <v>1</v>
      </c>
      <c r="S10">
        <v>7</v>
      </c>
      <c r="T10">
        <v>8</v>
      </c>
    </row>
    <row r="11" spans="1:20" x14ac:dyDescent="0.35">
      <c r="A11">
        <v>10</v>
      </c>
      <c r="B11" s="1">
        <v>40544</v>
      </c>
      <c r="C11">
        <v>1</v>
      </c>
      <c r="D11">
        <v>0</v>
      </c>
      <c r="E11">
        <v>1</v>
      </c>
      <c r="F11" t="str">
        <f>IF(final_data786[[#This Row],[MONTH_CODE]]=1,"JANUARY",IF(final_data786[[#This Row],[MONTH_CODE]]=2,"FEBRUARY"))</f>
        <v>JANUARY</v>
      </c>
      <c r="G11">
        <v>9</v>
      </c>
      <c r="H11">
        <v>0</v>
      </c>
      <c r="I11">
        <v>6</v>
      </c>
      <c r="J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1" t="str">
        <f>IF(final_data786[[#This Row],[DAY_CODE]]=0,"weekend",IF(final_data786[[#This Row],[DAY_CODE]]=6,"weekend","weekday"))</f>
        <v>weekend</v>
      </c>
      <c r="L11">
        <v>1</v>
      </c>
      <c r="M11" t="str">
        <f>IF(final_data786[[#This Row],[WEATHER_CODE]]=1,"clear",IF(final_data786[[#This Row],[WEATHER_CODE]]=2,"cloudy",IF(final_data786[[#This Row],[WEATHER_CODE]]=3,"light rain",IF(final_data786[[#This Row],[WEATHER_CODE]]=4,"heavy rain",0))))</f>
        <v>clear</v>
      </c>
      <c r="N11">
        <v>0.32</v>
      </c>
      <c r="O11">
        <v>0.34849999999999998</v>
      </c>
      <c r="P11">
        <v>0.76</v>
      </c>
      <c r="Q11">
        <v>0</v>
      </c>
      <c r="R11">
        <v>8</v>
      </c>
      <c r="S11">
        <v>6</v>
      </c>
      <c r="T11">
        <v>14</v>
      </c>
    </row>
    <row r="12" spans="1:20" x14ac:dyDescent="0.35">
      <c r="A12">
        <v>11</v>
      </c>
      <c r="B12" s="1">
        <v>40544</v>
      </c>
      <c r="C12">
        <v>1</v>
      </c>
      <c r="D12">
        <v>0</v>
      </c>
      <c r="E12">
        <v>1</v>
      </c>
      <c r="F12" t="str">
        <f>IF(final_data786[[#This Row],[MONTH_CODE]]=1,"JANUARY",IF(final_data786[[#This Row],[MONTH_CODE]]=2,"FEBRUARY"))</f>
        <v>JANUARY</v>
      </c>
      <c r="G12">
        <v>10</v>
      </c>
      <c r="H12">
        <v>0</v>
      </c>
      <c r="I12">
        <v>6</v>
      </c>
      <c r="J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2" t="str">
        <f>IF(final_data786[[#This Row],[DAY_CODE]]=0,"weekend",IF(final_data786[[#This Row],[DAY_CODE]]=6,"weekend","weekday"))</f>
        <v>weekend</v>
      </c>
      <c r="L12">
        <v>1</v>
      </c>
      <c r="M12" t="str">
        <f>IF(final_data786[[#This Row],[WEATHER_CODE]]=1,"clear",IF(final_data786[[#This Row],[WEATHER_CODE]]=2,"cloudy",IF(final_data786[[#This Row],[WEATHER_CODE]]=3,"light rain",IF(final_data786[[#This Row],[WEATHER_CODE]]=4,"heavy rain",0))))</f>
        <v>clear</v>
      </c>
      <c r="N12">
        <v>0.38</v>
      </c>
      <c r="O12">
        <v>0.39389999999999997</v>
      </c>
      <c r="P12">
        <v>0.76</v>
      </c>
      <c r="Q12">
        <v>0.25369999999999998</v>
      </c>
      <c r="R12">
        <v>12</v>
      </c>
      <c r="S12">
        <v>24</v>
      </c>
      <c r="T12">
        <v>36</v>
      </c>
    </row>
    <row r="13" spans="1:20" x14ac:dyDescent="0.35">
      <c r="A13">
        <v>12</v>
      </c>
      <c r="B13" s="1">
        <v>40544</v>
      </c>
      <c r="C13">
        <v>1</v>
      </c>
      <c r="D13">
        <v>0</v>
      </c>
      <c r="E13">
        <v>1</v>
      </c>
      <c r="F13" t="str">
        <f>IF(final_data786[[#This Row],[MONTH_CODE]]=1,"JANUARY",IF(final_data786[[#This Row],[MONTH_CODE]]=2,"FEBRUARY"))</f>
        <v>JANUARY</v>
      </c>
      <c r="G13">
        <v>11</v>
      </c>
      <c r="H13">
        <v>0</v>
      </c>
      <c r="I13">
        <v>6</v>
      </c>
      <c r="J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3" t="str">
        <f>IF(final_data786[[#This Row],[DAY_CODE]]=0,"weekend",IF(final_data786[[#This Row],[DAY_CODE]]=6,"weekend","weekday"))</f>
        <v>weekend</v>
      </c>
      <c r="L13">
        <v>1</v>
      </c>
      <c r="M13" t="str">
        <f>IF(final_data786[[#This Row],[WEATHER_CODE]]=1,"clear",IF(final_data786[[#This Row],[WEATHER_CODE]]=2,"cloudy",IF(final_data786[[#This Row],[WEATHER_CODE]]=3,"light rain",IF(final_data786[[#This Row],[WEATHER_CODE]]=4,"heavy rain",0))))</f>
        <v>clear</v>
      </c>
      <c r="N13">
        <v>0.36</v>
      </c>
      <c r="O13">
        <v>0.33329999999999999</v>
      </c>
      <c r="P13">
        <v>0.81</v>
      </c>
      <c r="Q13">
        <v>0.28360000000000002</v>
      </c>
      <c r="R13">
        <v>26</v>
      </c>
      <c r="S13">
        <v>30</v>
      </c>
      <c r="T13">
        <v>56</v>
      </c>
    </row>
    <row r="14" spans="1:20" x14ac:dyDescent="0.35">
      <c r="A14">
        <v>13</v>
      </c>
      <c r="B14" s="1">
        <v>40544</v>
      </c>
      <c r="C14">
        <v>1</v>
      </c>
      <c r="D14">
        <v>0</v>
      </c>
      <c r="E14">
        <v>1</v>
      </c>
      <c r="F14" t="str">
        <f>IF(final_data786[[#This Row],[MONTH_CODE]]=1,"JANUARY",IF(final_data786[[#This Row],[MONTH_CODE]]=2,"FEBRUARY"))</f>
        <v>JANUARY</v>
      </c>
      <c r="G14">
        <v>12</v>
      </c>
      <c r="H14">
        <v>0</v>
      </c>
      <c r="I14">
        <v>6</v>
      </c>
      <c r="J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4" t="str">
        <f>IF(final_data786[[#This Row],[DAY_CODE]]=0,"weekend",IF(final_data786[[#This Row],[DAY_CODE]]=6,"weekend","weekday"))</f>
        <v>weekend</v>
      </c>
      <c r="L14">
        <v>1</v>
      </c>
      <c r="M14" t="str">
        <f>IF(final_data786[[#This Row],[WEATHER_CODE]]=1,"clear",IF(final_data786[[#This Row],[WEATHER_CODE]]=2,"cloudy",IF(final_data786[[#This Row],[WEATHER_CODE]]=3,"light rain",IF(final_data786[[#This Row],[WEATHER_CODE]]=4,"heavy rain",0))))</f>
        <v>clear</v>
      </c>
      <c r="N14">
        <v>0.42</v>
      </c>
      <c r="O14">
        <v>0.42420000000000002</v>
      </c>
      <c r="P14">
        <v>0.77</v>
      </c>
      <c r="Q14">
        <v>0.28360000000000002</v>
      </c>
      <c r="R14">
        <v>29</v>
      </c>
      <c r="S14">
        <v>55</v>
      </c>
      <c r="T14">
        <v>84</v>
      </c>
    </row>
    <row r="15" spans="1:20" x14ac:dyDescent="0.35">
      <c r="A15">
        <v>14</v>
      </c>
      <c r="B15" s="1">
        <v>40544</v>
      </c>
      <c r="C15">
        <v>1</v>
      </c>
      <c r="D15">
        <v>0</v>
      </c>
      <c r="E15">
        <v>1</v>
      </c>
      <c r="F15" t="str">
        <f>IF(final_data786[[#This Row],[MONTH_CODE]]=1,"JANUARY",IF(final_data786[[#This Row],[MONTH_CODE]]=2,"FEBRUARY"))</f>
        <v>JANUARY</v>
      </c>
      <c r="G15">
        <v>13</v>
      </c>
      <c r="H15">
        <v>0</v>
      </c>
      <c r="I15">
        <v>6</v>
      </c>
      <c r="J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5" t="str">
        <f>IF(final_data786[[#This Row],[DAY_CODE]]=0,"weekend",IF(final_data786[[#This Row],[DAY_CODE]]=6,"weekend","weekday"))</f>
        <v>weekend</v>
      </c>
      <c r="L15">
        <v>2</v>
      </c>
      <c r="M15" t="str">
        <f>IF(final_data786[[#This Row],[WEATHER_CODE]]=1,"clear",IF(final_data786[[#This Row],[WEATHER_CODE]]=2,"cloudy",IF(final_data786[[#This Row],[WEATHER_CODE]]=3,"light rain",IF(final_data786[[#This Row],[WEATHER_CODE]]=4,"heavy rain",0))))</f>
        <v>cloudy</v>
      </c>
      <c r="N15">
        <v>0.46</v>
      </c>
      <c r="O15">
        <v>0.45450000000000002</v>
      </c>
      <c r="P15">
        <v>0.72</v>
      </c>
      <c r="Q15">
        <v>0.29849999999999999</v>
      </c>
      <c r="R15">
        <v>47</v>
      </c>
      <c r="S15">
        <v>47</v>
      </c>
      <c r="T15">
        <v>94</v>
      </c>
    </row>
    <row r="16" spans="1:20" x14ac:dyDescent="0.35">
      <c r="A16">
        <v>15</v>
      </c>
      <c r="B16" s="1">
        <v>40544</v>
      </c>
      <c r="C16">
        <v>1</v>
      </c>
      <c r="D16">
        <v>0</v>
      </c>
      <c r="E16">
        <v>1</v>
      </c>
      <c r="F16" t="str">
        <f>IF(final_data786[[#This Row],[MONTH_CODE]]=1,"JANUARY",IF(final_data786[[#This Row],[MONTH_CODE]]=2,"FEBRUARY"))</f>
        <v>JANUARY</v>
      </c>
      <c r="G16">
        <v>14</v>
      </c>
      <c r="H16">
        <v>0</v>
      </c>
      <c r="I16">
        <v>6</v>
      </c>
      <c r="J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 t="str">
        <f>IF(final_data786[[#This Row],[DAY_CODE]]=0,"weekend",IF(final_data786[[#This Row],[DAY_CODE]]=6,"weekend","weekday"))</f>
        <v>weekend</v>
      </c>
      <c r="L16">
        <v>2</v>
      </c>
      <c r="M16" t="str">
        <f>IF(final_data786[[#This Row],[WEATHER_CODE]]=1,"clear",IF(final_data786[[#This Row],[WEATHER_CODE]]=2,"cloudy",IF(final_data786[[#This Row],[WEATHER_CODE]]=3,"light rain",IF(final_data786[[#This Row],[WEATHER_CODE]]=4,"heavy rain",0))))</f>
        <v>cloudy</v>
      </c>
      <c r="N16">
        <v>0.46</v>
      </c>
      <c r="O16">
        <v>0.45450000000000002</v>
      </c>
      <c r="P16">
        <v>0.72</v>
      </c>
      <c r="Q16">
        <v>0.28360000000000002</v>
      </c>
      <c r="R16">
        <v>35</v>
      </c>
      <c r="S16">
        <v>71</v>
      </c>
      <c r="T16">
        <v>106</v>
      </c>
    </row>
    <row r="17" spans="1:20" x14ac:dyDescent="0.35">
      <c r="A17">
        <v>16</v>
      </c>
      <c r="B17" s="1">
        <v>40544</v>
      </c>
      <c r="C17">
        <v>1</v>
      </c>
      <c r="D17">
        <v>0</v>
      </c>
      <c r="E17">
        <v>1</v>
      </c>
      <c r="F17" t="str">
        <f>IF(final_data786[[#This Row],[MONTH_CODE]]=1,"JANUARY",IF(final_data786[[#This Row],[MONTH_CODE]]=2,"FEBRUARY"))</f>
        <v>JANUARY</v>
      </c>
      <c r="G17">
        <v>15</v>
      </c>
      <c r="H17">
        <v>0</v>
      </c>
      <c r="I17">
        <v>6</v>
      </c>
      <c r="J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 t="str">
        <f>IF(final_data786[[#This Row],[DAY_CODE]]=0,"weekend",IF(final_data786[[#This Row],[DAY_CODE]]=6,"weekend","weekday"))</f>
        <v>weekend</v>
      </c>
      <c r="L17">
        <v>2</v>
      </c>
      <c r="M17" t="str">
        <f>IF(final_data786[[#This Row],[WEATHER_CODE]]=1,"clear",IF(final_data786[[#This Row],[WEATHER_CODE]]=2,"cloudy",IF(final_data786[[#This Row],[WEATHER_CODE]]=3,"light rain",IF(final_data786[[#This Row],[WEATHER_CODE]]=4,"heavy rain",0))))</f>
        <v>cloudy</v>
      </c>
      <c r="N17">
        <v>0.44</v>
      </c>
      <c r="O17">
        <v>0.43940000000000001</v>
      </c>
      <c r="P17">
        <v>0.77</v>
      </c>
      <c r="Q17">
        <v>0.29849999999999999</v>
      </c>
      <c r="R17">
        <v>40</v>
      </c>
      <c r="S17">
        <v>70</v>
      </c>
      <c r="T17">
        <v>110</v>
      </c>
    </row>
    <row r="18" spans="1:20" x14ac:dyDescent="0.35">
      <c r="A18">
        <v>17</v>
      </c>
      <c r="B18" s="1">
        <v>40544</v>
      </c>
      <c r="C18">
        <v>1</v>
      </c>
      <c r="D18">
        <v>0</v>
      </c>
      <c r="E18">
        <v>1</v>
      </c>
      <c r="F18" t="str">
        <f>IF(final_data786[[#This Row],[MONTH_CODE]]=1,"JANUARY",IF(final_data786[[#This Row],[MONTH_CODE]]=2,"FEBRUARY"))</f>
        <v>JANUARY</v>
      </c>
      <c r="G18">
        <v>16</v>
      </c>
      <c r="H18">
        <v>0</v>
      </c>
      <c r="I18">
        <v>6</v>
      </c>
      <c r="J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 t="str">
        <f>IF(final_data786[[#This Row],[DAY_CODE]]=0,"weekend",IF(final_data786[[#This Row],[DAY_CODE]]=6,"weekend","weekday"))</f>
        <v>weekend</v>
      </c>
      <c r="L18">
        <v>2</v>
      </c>
      <c r="M18" t="str">
        <f>IF(final_data786[[#This Row],[WEATHER_CODE]]=1,"clear",IF(final_data786[[#This Row],[WEATHER_CODE]]=2,"cloudy",IF(final_data786[[#This Row],[WEATHER_CODE]]=3,"light rain",IF(final_data786[[#This Row],[WEATHER_CODE]]=4,"heavy rain",0))))</f>
        <v>cloudy</v>
      </c>
      <c r="N18">
        <v>0.42</v>
      </c>
      <c r="O18">
        <v>0.42420000000000002</v>
      </c>
      <c r="P18">
        <v>0.82</v>
      </c>
      <c r="Q18">
        <v>0.29849999999999999</v>
      </c>
      <c r="R18">
        <v>41</v>
      </c>
      <c r="S18">
        <v>52</v>
      </c>
      <c r="T18">
        <v>93</v>
      </c>
    </row>
    <row r="19" spans="1:20" x14ac:dyDescent="0.35">
      <c r="A19">
        <v>18</v>
      </c>
      <c r="B19" s="1">
        <v>40544</v>
      </c>
      <c r="C19">
        <v>1</v>
      </c>
      <c r="D19">
        <v>0</v>
      </c>
      <c r="E19">
        <v>1</v>
      </c>
      <c r="F19" t="str">
        <f>IF(final_data786[[#This Row],[MONTH_CODE]]=1,"JANUARY",IF(final_data786[[#This Row],[MONTH_CODE]]=2,"FEBRUARY"))</f>
        <v>JANUARY</v>
      </c>
      <c r="G19">
        <v>17</v>
      </c>
      <c r="H19">
        <v>0</v>
      </c>
      <c r="I19">
        <v>6</v>
      </c>
      <c r="J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9" t="str">
        <f>IF(final_data786[[#This Row],[DAY_CODE]]=0,"weekend",IF(final_data786[[#This Row],[DAY_CODE]]=6,"weekend","weekday"))</f>
        <v>weekend</v>
      </c>
      <c r="L19">
        <v>2</v>
      </c>
      <c r="M19" t="str">
        <f>IF(final_data786[[#This Row],[WEATHER_CODE]]=1,"clear",IF(final_data786[[#This Row],[WEATHER_CODE]]=2,"cloudy",IF(final_data786[[#This Row],[WEATHER_CODE]]=3,"light rain",IF(final_data786[[#This Row],[WEATHER_CODE]]=4,"heavy rain",0))))</f>
        <v>cloudy</v>
      </c>
      <c r="N19">
        <v>0.44</v>
      </c>
      <c r="O19">
        <v>0.19993489148580967</v>
      </c>
      <c r="P19">
        <v>0.82</v>
      </c>
      <c r="Q19">
        <v>0.28360000000000002</v>
      </c>
      <c r="R19">
        <v>15</v>
      </c>
      <c r="S19">
        <v>52</v>
      </c>
      <c r="T19">
        <v>67</v>
      </c>
    </row>
    <row r="20" spans="1:20" x14ac:dyDescent="0.35">
      <c r="A20">
        <v>19</v>
      </c>
      <c r="B20" s="1">
        <v>40544</v>
      </c>
      <c r="C20">
        <v>1</v>
      </c>
      <c r="D20">
        <v>0</v>
      </c>
      <c r="E20">
        <v>1</v>
      </c>
      <c r="F20" t="str">
        <f>IF(final_data786[[#This Row],[MONTH_CODE]]=1,"JANUARY",IF(final_data786[[#This Row],[MONTH_CODE]]=2,"FEBRUARY"))</f>
        <v>JANUARY</v>
      </c>
      <c r="G20">
        <v>18</v>
      </c>
      <c r="H20">
        <v>0</v>
      </c>
      <c r="I20">
        <v>6</v>
      </c>
      <c r="J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0" t="str">
        <f>IF(final_data786[[#This Row],[DAY_CODE]]=0,"weekend",IF(final_data786[[#This Row],[DAY_CODE]]=6,"weekend","weekday"))</f>
        <v>weekend</v>
      </c>
      <c r="L20">
        <v>3</v>
      </c>
      <c r="M20" t="str">
        <f>IF(final_data786[[#This Row],[WEATHER_CODE]]=1,"clear",IF(final_data786[[#This Row],[WEATHER_CODE]]=2,"cloudy",IF(final_data786[[#This Row],[WEATHER_CODE]]=3,"light rain",IF(final_data786[[#This Row],[WEATHER_CODE]]=4,"heavy rain",0))))</f>
        <v>light rain</v>
      </c>
      <c r="N20">
        <v>0.42</v>
      </c>
      <c r="O20">
        <v>0.42420000000000002</v>
      </c>
      <c r="P20">
        <v>0.88</v>
      </c>
      <c r="Q20">
        <v>0.25369999999999998</v>
      </c>
      <c r="R20">
        <v>9</v>
      </c>
      <c r="S20">
        <v>26</v>
      </c>
      <c r="T20">
        <v>35</v>
      </c>
    </row>
    <row r="21" spans="1:20" x14ac:dyDescent="0.35">
      <c r="A21">
        <v>20</v>
      </c>
      <c r="B21" s="1">
        <v>40544</v>
      </c>
      <c r="C21">
        <v>1</v>
      </c>
      <c r="D21">
        <v>0</v>
      </c>
      <c r="E21">
        <v>1</v>
      </c>
      <c r="F21" t="str">
        <f>IF(final_data786[[#This Row],[MONTH_CODE]]=1,"JANUARY",IF(final_data786[[#This Row],[MONTH_CODE]]=2,"FEBRUARY"))</f>
        <v>JANUARY</v>
      </c>
      <c r="G21">
        <v>19</v>
      </c>
      <c r="H21">
        <v>0</v>
      </c>
      <c r="I21">
        <v>6</v>
      </c>
      <c r="J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1" t="str">
        <f>IF(final_data786[[#This Row],[DAY_CODE]]=0,"weekend",IF(final_data786[[#This Row],[DAY_CODE]]=6,"weekend","weekday"))</f>
        <v>weekend</v>
      </c>
      <c r="L21">
        <v>3</v>
      </c>
      <c r="M21" t="str">
        <f>IF(final_data786[[#This Row],[WEATHER_CODE]]=1,"clear",IF(final_data786[[#This Row],[WEATHER_CODE]]=2,"cloudy",IF(final_data786[[#This Row],[WEATHER_CODE]]=3,"light rain",IF(final_data786[[#This Row],[WEATHER_CODE]]=4,"heavy rain",0))))</f>
        <v>light rain</v>
      </c>
      <c r="N21">
        <v>0.42</v>
      </c>
      <c r="O21">
        <v>0.42420000000000002</v>
      </c>
      <c r="P21">
        <v>0.88</v>
      </c>
      <c r="Q21">
        <v>0.25369999999999998</v>
      </c>
      <c r="R21">
        <v>6</v>
      </c>
      <c r="S21">
        <v>31</v>
      </c>
      <c r="T21">
        <v>37</v>
      </c>
    </row>
    <row r="22" spans="1:20" x14ac:dyDescent="0.35">
      <c r="A22">
        <v>21</v>
      </c>
      <c r="B22" s="1">
        <v>40544</v>
      </c>
      <c r="C22">
        <v>1</v>
      </c>
      <c r="D22">
        <v>0</v>
      </c>
      <c r="E22">
        <v>1</v>
      </c>
      <c r="F22" t="str">
        <f>IF(final_data786[[#This Row],[MONTH_CODE]]=1,"JANUARY",IF(final_data786[[#This Row],[MONTH_CODE]]=2,"FEBRUARY"))</f>
        <v>JANUARY</v>
      </c>
      <c r="G22">
        <v>20</v>
      </c>
      <c r="H22">
        <v>0</v>
      </c>
      <c r="I22">
        <v>6</v>
      </c>
      <c r="J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2" t="str">
        <f>IF(final_data786[[#This Row],[DAY_CODE]]=0,"weekend",IF(final_data786[[#This Row],[DAY_CODE]]=6,"weekend","weekday"))</f>
        <v>weekend</v>
      </c>
      <c r="L22">
        <v>2</v>
      </c>
      <c r="M22" t="str">
        <f>IF(final_data786[[#This Row],[WEATHER_CODE]]=1,"clear",IF(final_data786[[#This Row],[WEATHER_CODE]]=2,"cloudy",IF(final_data786[[#This Row],[WEATHER_CODE]]=3,"light rain",IF(final_data786[[#This Row],[WEATHER_CODE]]=4,"heavy rain",0))))</f>
        <v>cloudy</v>
      </c>
      <c r="N22">
        <v>0.4</v>
      </c>
      <c r="O22">
        <v>0.40910000000000002</v>
      </c>
      <c r="P22">
        <v>0.87</v>
      </c>
      <c r="Q22">
        <v>0.25369999999999998</v>
      </c>
      <c r="R22">
        <v>11</v>
      </c>
      <c r="S22">
        <v>25</v>
      </c>
      <c r="T22">
        <v>36</v>
      </c>
    </row>
    <row r="23" spans="1:20" x14ac:dyDescent="0.35">
      <c r="A23">
        <v>22</v>
      </c>
      <c r="B23" s="1">
        <v>40544</v>
      </c>
      <c r="C23">
        <v>1</v>
      </c>
      <c r="D23">
        <v>0</v>
      </c>
      <c r="E23">
        <v>1</v>
      </c>
      <c r="F23" t="str">
        <f>IF(final_data786[[#This Row],[MONTH_CODE]]=1,"JANUARY",IF(final_data786[[#This Row],[MONTH_CODE]]=2,"FEBRUARY"))</f>
        <v>JANUARY</v>
      </c>
      <c r="G23">
        <v>21</v>
      </c>
      <c r="H23">
        <v>0</v>
      </c>
      <c r="I23">
        <v>6</v>
      </c>
      <c r="J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3" t="str">
        <f>IF(final_data786[[#This Row],[DAY_CODE]]=0,"weekend",IF(final_data786[[#This Row],[DAY_CODE]]=6,"weekend","weekday"))</f>
        <v>weekend</v>
      </c>
      <c r="L23">
        <v>2</v>
      </c>
      <c r="M23" t="str">
        <f>IF(final_data786[[#This Row],[WEATHER_CODE]]=1,"clear",IF(final_data786[[#This Row],[WEATHER_CODE]]=2,"cloudy",IF(final_data786[[#This Row],[WEATHER_CODE]]=3,"light rain",IF(final_data786[[#This Row],[WEATHER_CODE]]=4,"heavy rain",0))))</f>
        <v>cloudy</v>
      </c>
      <c r="N23">
        <v>0.4</v>
      </c>
      <c r="O23">
        <v>0.40910000000000002</v>
      </c>
      <c r="P23">
        <v>0.87</v>
      </c>
      <c r="Q23">
        <v>0.19400000000000001</v>
      </c>
      <c r="R23">
        <v>3</v>
      </c>
      <c r="S23">
        <v>31</v>
      </c>
      <c r="T23">
        <v>34</v>
      </c>
    </row>
    <row r="24" spans="1:20" x14ac:dyDescent="0.35">
      <c r="A24">
        <v>23</v>
      </c>
      <c r="B24" s="1">
        <v>40544</v>
      </c>
      <c r="C24">
        <v>1</v>
      </c>
      <c r="D24">
        <v>0</v>
      </c>
      <c r="E24">
        <v>1</v>
      </c>
      <c r="F24" t="str">
        <f>IF(final_data786[[#This Row],[MONTH_CODE]]=1,"JANUARY",IF(final_data786[[#This Row],[MONTH_CODE]]=2,"FEBRUARY"))</f>
        <v>JANUARY</v>
      </c>
      <c r="G24">
        <v>22</v>
      </c>
      <c r="H24">
        <v>0</v>
      </c>
      <c r="I24">
        <v>6</v>
      </c>
      <c r="J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4" t="str">
        <f>IF(final_data786[[#This Row],[DAY_CODE]]=0,"weekend",IF(final_data786[[#This Row],[DAY_CODE]]=6,"weekend","weekday"))</f>
        <v>weekend</v>
      </c>
      <c r="L24">
        <v>2</v>
      </c>
      <c r="M24" t="str">
        <f>IF(final_data786[[#This Row],[WEATHER_CODE]]=1,"clear",IF(final_data786[[#This Row],[WEATHER_CODE]]=2,"cloudy",IF(final_data786[[#This Row],[WEATHER_CODE]]=3,"light rain",IF(final_data786[[#This Row],[WEATHER_CODE]]=4,"heavy rain",0))))</f>
        <v>cloudy</v>
      </c>
      <c r="N24">
        <v>0.4</v>
      </c>
      <c r="O24">
        <v>0.40910000000000002</v>
      </c>
      <c r="P24">
        <v>0.94</v>
      </c>
      <c r="Q24">
        <v>0.22389999999999999</v>
      </c>
      <c r="R24">
        <v>11</v>
      </c>
      <c r="S24">
        <v>17</v>
      </c>
      <c r="T24">
        <v>28</v>
      </c>
    </row>
    <row r="25" spans="1:20" x14ac:dyDescent="0.35">
      <c r="A25">
        <v>24</v>
      </c>
      <c r="B25" s="1">
        <v>40544</v>
      </c>
      <c r="C25">
        <v>1</v>
      </c>
      <c r="D25">
        <v>0</v>
      </c>
      <c r="E25">
        <v>1</v>
      </c>
      <c r="F25" t="str">
        <f>IF(final_data786[[#This Row],[MONTH_CODE]]=1,"JANUARY",IF(final_data786[[#This Row],[MONTH_CODE]]=2,"FEBRUARY"))</f>
        <v>JANUARY</v>
      </c>
      <c r="G25">
        <v>23</v>
      </c>
      <c r="H25">
        <v>0</v>
      </c>
      <c r="I25">
        <v>6</v>
      </c>
      <c r="J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25" t="str">
        <f>IF(final_data786[[#This Row],[DAY_CODE]]=0,"weekend",IF(final_data786[[#This Row],[DAY_CODE]]=6,"weekend","weekday"))</f>
        <v>weekend</v>
      </c>
      <c r="L25">
        <v>2</v>
      </c>
      <c r="M25" t="str">
        <f>IF(final_data786[[#This Row],[WEATHER_CODE]]=1,"clear",IF(final_data786[[#This Row],[WEATHER_CODE]]=2,"cloudy",IF(final_data786[[#This Row],[WEATHER_CODE]]=3,"light rain",IF(final_data786[[#This Row],[WEATHER_CODE]]=4,"heavy rain",0))))</f>
        <v>cloudy</v>
      </c>
      <c r="N25">
        <v>0.46</v>
      </c>
      <c r="O25">
        <v>0.19993489148580967</v>
      </c>
      <c r="P25">
        <v>0.88</v>
      </c>
      <c r="Q25">
        <v>0.29849999999999999</v>
      </c>
      <c r="R25">
        <v>15</v>
      </c>
      <c r="S25">
        <v>24</v>
      </c>
      <c r="T25">
        <v>39</v>
      </c>
    </row>
    <row r="26" spans="1:20" x14ac:dyDescent="0.35">
      <c r="A26">
        <v>25</v>
      </c>
      <c r="B26" s="1">
        <v>40545</v>
      </c>
      <c r="C26">
        <v>1</v>
      </c>
      <c r="D26">
        <v>0</v>
      </c>
      <c r="E26">
        <v>1</v>
      </c>
      <c r="F26" t="str">
        <f>IF(final_data786[[#This Row],[MONTH_CODE]]=1,"JANUARY",IF(final_data786[[#This Row],[MONTH_CODE]]=2,"FEBRUARY"))</f>
        <v>JANUARY</v>
      </c>
      <c r="G26">
        <v>0</v>
      </c>
      <c r="H26">
        <v>0</v>
      </c>
      <c r="I26">
        <v>0</v>
      </c>
      <c r="J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6" t="str">
        <f>IF(final_data786[[#This Row],[DAY_CODE]]=0,"weekend",IF(final_data786[[#This Row],[DAY_CODE]]=6,"weekend","weekday"))</f>
        <v>weekend</v>
      </c>
      <c r="L26">
        <v>2</v>
      </c>
      <c r="M26" t="str">
        <f>IF(final_data786[[#This Row],[WEATHER_CODE]]=1,"clear",IF(final_data786[[#This Row],[WEATHER_CODE]]=2,"cloudy",IF(final_data786[[#This Row],[WEATHER_CODE]]=3,"light rain",IF(final_data786[[#This Row],[WEATHER_CODE]]=4,"heavy rain",0))))</f>
        <v>cloudy</v>
      </c>
      <c r="N26">
        <v>0.46</v>
      </c>
      <c r="O26">
        <v>0.45450000000000002</v>
      </c>
      <c r="P26">
        <v>0.88</v>
      </c>
      <c r="Q26">
        <v>0.29849999999999999</v>
      </c>
      <c r="R26">
        <v>4</v>
      </c>
      <c r="S26">
        <v>13</v>
      </c>
      <c r="T26">
        <v>17</v>
      </c>
    </row>
    <row r="27" spans="1:20" x14ac:dyDescent="0.35">
      <c r="A27">
        <v>26</v>
      </c>
      <c r="B27" s="1">
        <v>40545</v>
      </c>
      <c r="C27">
        <v>1</v>
      </c>
      <c r="D27">
        <v>0</v>
      </c>
      <c r="E27">
        <v>1</v>
      </c>
      <c r="F27" t="str">
        <f>IF(final_data786[[#This Row],[MONTH_CODE]]=1,"JANUARY",IF(final_data786[[#This Row],[MONTH_CODE]]=2,"FEBRUARY"))</f>
        <v>JANUARY</v>
      </c>
      <c r="G27">
        <v>1</v>
      </c>
      <c r="H27">
        <v>0</v>
      </c>
      <c r="I27">
        <v>0</v>
      </c>
      <c r="J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7" t="str">
        <f>IF(final_data786[[#This Row],[DAY_CODE]]=0,"weekend",IF(final_data786[[#This Row],[DAY_CODE]]=6,"weekend","weekday"))</f>
        <v>weekend</v>
      </c>
      <c r="L27">
        <v>2</v>
      </c>
      <c r="M27" t="str">
        <f>IF(final_data786[[#This Row],[WEATHER_CODE]]=1,"clear",IF(final_data786[[#This Row],[WEATHER_CODE]]=2,"cloudy",IF(final_data786[[#This Row],[WEATHER_CODE]]=3,"light rain",IF(final_data786[[#This Row],[WEATHER_CODE]]=4,"heavy rain",0))))</f>
        <v>cloudy</v>
      </c>
      <c r="N27">
        <v>0.44</v>
      </c>
      <c r="O27">
        <v>0.43940000000000001</v>
      </c>
      <c r="P27">
        <v>0.94</v>
      </c>
      <c r="Q27">
        <v>0.25369999999999998</v>
      </c>
      <c r="R27">
        <v>1</v>
      </c>
      <c r="S27">
        <v>16</v>
      </c>
      <c r="T27">
        <v>17</v>
      </c>
    </row>
    <row r="28" spans="1:20" x14ac:dyDescent="0.35">
      <c r="A28">
        <v>27</v>
      </c>
      <c r="B28" s="1">
        <v>40545</v>
      </c>
      <c r="C28">
        <v>1</v>
      </c>
      <c r="D28">
        <v>0</v>
      </c>
      <c r="E28">
        <v>1</v>
      </c>
      <c r="F28" t="str">
        <f>IF(final_data786[[#This Row],[MONTH_CODE]]=1,"JANUARY",IF(final_data786[[#This Row],[MONTH_CODE]]=2,"FEBRUARY"))</f>
        <v>JANUARY</v>
      </c>
      <c r="G28">
        <v>2</v>
      </c>
      <c r="H28">
        <v>0</v>
      </c>
      <c r="I28">
        <v>0</v>
      </c>
      <c r="J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8" t="str">
        <f>IF(final_data786[[#This Row],[DAY_CODE]]=0,"weekend",IF(final_data786[[#This Row],[DAY_CODE]]=6,"weekend","weekday"))</f>
        <v>weekend</v>
      </c>
      <c r="L28">
        <v>2</v>
      </c>
      <c r="M28" t="str">
        <f>IF(final_data786[[#This Row],[WEATHER_CODE]]=1,"clear",IF(final_data786[[#This Row],[WEATHER_CODE]]=2,"cloudy",IF(final_data786[[#This Row],[WEATHER_CODE]]=3,"light rain",IF(final_data786[[#This Row],[WEATHER_CODE]]=4,"heavy rain",0))))</f>
        <v>cloudy</v>
      </c>
      <c r="N28">
        <v>0.42</v>
      </c>
      <c r="O28">
        <v>0.42420000000000002</v>
      </c>
      <c r="P28">
        <v>1</v>
      </c>
      <c r="Q28">
        <v>0.28360000000000002</v>
      </c>
      <c r="R28">
        <v>1</v>
      </c>
      <c r="S28">
        <v>8</v>
      </c>
      <c r="T28">
        <v>9</v>
      </c>
    </row>
    <row r="29" spans="1:20" x14ac:dyDescent="0.35">
      <c r="A29">
        <v>28</v>
      </c>
      <c r="B29" s="1">
        <v>40545</v>
      </c>
      <c r="C29">
        <v>1</v>
      </c>
      <c r="D29">
        <v>0</v>
      </c>
      <c r="E29">
        <v>1</v>
      </c>
      <c r="F29" t="str">
        <f>IF(final_data786[[#This Row],[MONTH_CODE]]=1,"JANUARY",IF(final_data786[[#This Row],[MONTH_CODE]]=2,"FEBRUARY"))</f>
        <v>JANUARY</v>
      </c>
      <c r="G29">
        <v>3</v>
      </c>
      <c r="H29">
        <v>0</v>
      </c>
      <c r="I29">
        <v>0</v>
      </c>
      <c r="J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9" t="str">
        <f>IF(final_data786[[#This Row],[DAY_CODE]]=0,"weekend",IF(final_data786[[#This Row],[DAY_CODE]]=6,"weekend","weekday"))</f>
        <v>weekend</v>
      </c>
      <c r="L29">
        <v>2</v>
      </c>
      <c r="M29" t="str">
        <f>IF(final_data786[[#This Row],[WEATHER_CODE]]=1,"clear",IF(final_data786[[#This Row],[WEATHER_CODE]]=2,"cloudy",IF(final_data786[[#This Row],[WEATHER_CODE]]=3,"light rain",IF(final_data786[[#This Row],[WEATHER_CODE]]=4,"heavy rain",0))))</f>
        <v>cloudy</v>
      </c>
      <c r="N29">
        <v>0.46</v>
      </c>
      <c r="O29">
        <v>0.45450000000000002</v>
      </c>
      <c r="P29">
        <v>0.94</v>
      </c>
      <c r="Q29">
        <v>0.19400000000000001</v>
      </c>
      <c r="R29">
        <v>2</v>
      </c>
      <c r="S29">
        <v>4</v>
      </c>
      <c r="T29">
        <v>6</v>
      </c>
    </row>
    <row r="30" spans="1:20" x14ac:dyDescent="0.35">
      <c r="A30">
        <v>29</v>
      </c>
      <c r="B30" s="1">
        <v>40545</v>
      </c>
      <c r="C30">
        <v>1</v>
      </c>
      <c r="D30">
        <v>0</v>
      </c>
      <c r="E30">
        <v>1</v>
      </c>
      <c r="F30" t="str">
        <f>IF(final_data786[[#This Row],[MONTH_CODE]]=1,"JANUARY",IF(final_data786[[#This Row],[MONTH_CODE]]=2,"FEBRUARY"))</f>
        <v>JANUARY</v>
      </c>
      <c r="G30">
        <v>4</v>
      </c>
      <c r="H30">
        <v>0</v>
      </c>
      <c r="I30">
        <v>0</v>
      </c>
      <c r="J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0" t="str">
        <f>IF(final_data786[[#This Row],[DAY_CODE]]=0,"weekend",IF(final_data786[[#This Row],[DAY_CODE]]=6,"weekend","weekday"))</f>
        <v>weekend</v>
      </c>
      <c r="L30">
        <v>2</v>
      </c>
      <c r="M30" t="str">
        <f>IF(final_data786[[#This Row],[WEATHER_CODE]]=1,"clear",IF(final_data786[[#This Row],[WEATHER_CODE]]=2,"cloudy",IF(final_data786[[#This Row],[WEATHER_CODE]]=3,"light rain",IF(final_data786[[#This Row],[WEATHER_CODE]]=4,"heavy rain",0))))</f>
        <v>cloudy</v>
      </c>
      <c r="N30">
        <v>0.46</v>
      </c>
      <c r="O30">
        <v>0.19993489148580967</v>
      </c>
      <c r="P30">
        <v>0.94</v>
      </c>
      <c r="Q30">
        <v>0.19400000000000001</v>
      </c>
      <c r="R30">
        <v>2</v>
      </c>
      <c r="S30">
        <v>1</v>
      </c>
      <c r="T30">
        <v>3</v>
      </c>
    </row>
    <row r="31" spans="1:20" x14ac:dyDescent="0.35">
      <c r="A31">
        <v>30</v>
      </c>
      <c r="B31" s="1">
        <v>40545</v>
      </c>
      <c r="C31">
        <v>1</v>
      </c>
      <c r="D31">
        <v>0</v>
      </c>
      <c r="E31">
        <v>1</v>
      </c>
      <c r="F31" t="str">
        <f>IF(final_data786[[#This Row],[MONTH_CODE]]=1,"JANUARY",IF(final_data786[[#This Row],[MONTH_CODE]]=2,"FEBRUARY"))</f>
        <v>JANUARY</v>
      </c>
      <c r="G31">
        <v>6</v>
      </c>
      <c r="H31">
        <v>0</v>
      </c>
      <c r="I31">
        <v>0</v>
      </c>
      <c r="J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1" t="str">
        <f>IF(final_data786[[#This Row],[DAY_CODE]]=0,"weekend",IF(final_data786[[#This Row],[DAY_CODE]]=6,"weekend","weekday"))</f>
        <v>weekend</v>
      </c>
      <c r="L31">
        <v>3</v>
      </c>
      <c r="M31" t="str">
        <f>IF(final_data786[[#This Row],[WEATHER_CODE]]=1,"clear",IF(final_data786[[#This Row],[WEATHER_CODE]]=2,"cloudy",IF(final_data786[[#This Row],[WEATHER_CODE]]=3,"light rain",IF(final_data786[[#This Row],[WEATHER_CODE]]=4,"heavy rain",0))))</f>
        <v>light rain</v>
      </c>
      <c r="N31">
        <v>0.42</v>
      </c>
      <c r="O31">
        <v>0.42420000000000002</v>
      </c>
      <c r="P31">
        <v>0.77</v>
      </c>
      <c r="Q31">
        <v>0.29849999999999999</v>
      </c>
      <c r="R31">
        <v>0</v>
      </c>
      <c r="S31">
        <v>2</v>
      </c>
      <c r="T31">
        <v>2</v>
      </c>
    </row>
    <row r="32" spans="1:20" x14ac:dyDescent="0.35">
      <c r="A32">
        <v>31</v>
      </c>
      <c r="B32" s="1">
        <v>40545</v>
      </c>
      <c r="C32">
        <v>1</v>
      </c>
      <c r="D32">
        <v>0</v>
      </c>
      <c r="E32">
        <v>1</v>
      </c>
      <c r="F32" t="str">
        <f>IF(final_data786[[#This Row],[MONTH_CODE]]=1,"JANUARY",IF(final_data786[[#This Row],[MONTH_CODE]]=2,"FEBRUARY"))</f>
        <v>JANUARY</v>
      </c>
      <c r="G32">
        <v>7</v>
      </c>
      <c r="H32">
        <v>0</v>
      </c>
      <c r="I32">
        <v>0</v>
      </c>
      <c r="J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2" t="str">
        <f>IF(final_data786[[#This Row],[DAY_CODE]]=0,"weekend",IF(final_data786[[#This Row],[DAY_CODE]]=6,"weekend","weekday"))</f>
        <v>weekend</v>
      </c>
      <c r="L32">
        <v>2</v>
      </c>
      <c r="M32" t="str">
        <f>IF(final_data786[[#This Row],[WEATHER_CODE]]=1,"clear",IF(final_data786[[#This Row],[WEATHER_CODE]]=2,"cloudy",IF(final_data786[[#This Row],[WEATHER_CODE]]=3,"light rain",IF(final_data786[[#This Row],[WEATHER_CODE]]=4,"heavy rain",0))))</f>
        <v>cloudy</v>
      </c>
      <c r="N32">
        <v>0.4</v>
      </c>
      <c r="O32">
        <v>0.40910000000000002</v>
      </c>
      <c r="P32">
        <v>0.76</v>
      </c>
      <c r="Q32">
        <v>0.19400000000000001</v>
      </c>
      <c r="R32">
        <v>0</v>
      </c>
      <c r="S32">
        <v>1</v>
      </c>
      <c r="T32">
        <v>1</v>
      </c>
    </row>
    <row r="33" spans="1:20" x14ac:dyDescent="0.35">
      <c r="A33">
        <v>32</v>
      </c>
      <c r="B33" s="1">
        <v>40545</v>
      </c>
      <c r="C33">
        <v>1</v>
      </c>
      <c r="D33">
        <v>0</v>
      </c>
      <c r="E33">
        <v>1</v>
      </c>
      <c r="F33" t="str">
        <f>IF(final_data786[[#This Row],[MONTH_CODE]]=1,"JANUARY",IF(final_data786[[#This Row],[MONTH_CODE]]=2,"FEBRUARY"))</f>
        <v>JANUARY</v>
      </c>
      <c r="G33">
        <v>8</v>
      </c>
      <c r="H33">
        <v>0</v>
      </c>
      <c r="I33">
        <v>0</v>
      </c>
      <c r="J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3" t="str">
        <f>IF(final_data786[[#This Row],[DAY_CODE]]=0,"weekend",IF(final_data786[[#This Row],[DAY_CODE]]=6,"weekend","weekday"))</f>
        <v>weekend</v>
      </c>
      <c r="L33">
        <v>3</v>
      </c>
      <c r="M33" t="str">
        <f>IF(final_data786[[#This Row],[WEATHER_CODE]]=1,"clear",IF(final_data786[[#This Row],[WEATHER_CODE]]=2,"cloudy",IF(final_data786[[#This Row],[WEATHER_CODE]]=3,"light rain",IF(final_data786[[#This Row],[WEATHER_CODE]]=4,"heavy rain",0))))</f>
        <v>light rain</v>
      </c>
      <c r="N33">
        <v>0.4</v>
      </c>
      <c r="O33">
        <v>0.40910000000000002</v>
      </c>
      <c r="P33">
        <v>0.71</v>
      </c>
      <c r="Q33">
        <v>0.22389999999999999</v>
      </c>
      <c r="R33">
        <v>0</v>
      </c>
      <c r="S33">
        <v>8</v>
      </c>
      <c r="T33">
        <v>8</v>
      </c>
    </row>
    <row r="34" spans="1:20" x14ac:dyDescent="0.35">
      <c r="A34">
        <v>33</v>
      </c>
      <c r="B34" s="1">
        <v>40545</v>
      </c>
      <c r="C34">
        <v>1</v>
      </c>
      <c r="D34">
        <v>0</v>
      </c>
      <c r="E34">
        <v>1</v>
      </c>
      <c r="F34" t="str">
        <f>IF(final_data786[[#This Row],[MONTH_CODE]]=1,"JANUARY",IF(final_data786[[#This Row],[MONTH_CODE]]=2,"FEBRUARY"))</f>
        <v>JANUARY</v>
      </c>
      <c r="G34">
        <v>9</v>
      </c>
      <c r="H34">
        <v>0</v>
      </c>
      <c r="I34">
        <v>0</v>
      </c>
      <c r="J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4" t="str">
        <f>IF(final_data786[[#This Row],[DAY_CODE]]=0,"weekend",IF(final_data786[[#This Row],[DAY_CODE]]=6,"weekend","weekday"))</f>
        <v>weekend</v>
      </c>
      <c r="L34">
        <v>2</v>
      </c>
      <c r="M34" t="str">
        <f>IF(final_data786[[#This Row],[WEATHER_CODE]]=1,"clear",IF(final_data786[[#This Row],[WEATHER_CODE]]=2,"cloudy",IF(final_data786[[#This Row],[WEATHER_CODE]]=3,"light rain",IF(final_data786[[#This Row],[WEATHER_CODE]]=4,"heavy rain",0))))</f>
        <v>cloudy</v>
      </c>
      <c r="N34">
        <v>0.38</v>
      </c>
      <c r="O34">
        <v>0.19993489148580967</v>
      </c>
      <c r="P34">
        <v>0.76</v>
      </c>
      <c r="Q34">
        <v>0.22389999999999999</v>
      </c>
      <c r="R34">
        <v>1</v>
      </c>
      <c r="S34">
        <v>19</v>
      </c>
      <c r="T34">
        <v>20</v>
      </c>
    </row>
    <row r="35" spans="1:20" x14ac:dyDescent="0.35">
      <c r="A35">
        <v>34</v>
      </c>
      <c r="B35" s="1">
        <v>40545</v>
      </c>
      <c r="C35">
        <v>1</v>
      </c>
      <c r="D35">
        <v>0</v>
      </c>
      <c r="E35">
        <v>1</v>
      </c>
      <c r="F35" t="str">
        <f>IF(final_data786[[#This Row],[MONTH_CODE]]=1,"JANUARY",IF(final_data786[[#This Row],[MONTH_CODE]]=2,"FEBRUARY"))</f>
        <v>JANUARY</v>
      </c>
      <c r="G35">
        <v>10</v>
      </c>
      <c r="H35">
        <v>0</v>
      </c>
      <c r="I35">
        <v>0</v>
      </c>
      <c r="J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 t="str">
        <f>IF(final_data786[[#This Row],[DAY_CODE]]=0,"weekend",IF(final_data786[[#This Row],[DAY_CODE]]=6,"weekend","weekday"))</f>
        <v>weekend</v>
      </c>
      <c r="L35">
        <v>2</v>
      </c>
      <c r="M35" t="str">
        <f>IF(final_data786[[#This Row],[WEATHER_CODE]]=1,"clear",IF(final_data786[[#This Row],[WEATHER_CODE]]=2,"cloudy",IF(final_data786[[#This Row],[WEATHER_CODE]]=3,"light rain",IF(final_data786[[#This Row],[WEATHER_CODE]]=4,"heavy rain",0))))</f>
        <v>cloudy</v>
      </c>
      <c r="N35">
        <v>0.36</v>
      </c>
      <c r="O35">
        <v>0.34849999999999998</v>
      </c>
      <c r="P35">
        <v>0.81</v>
      </c>
      <c r="Q35">
        <v>0.22389999999999999</v>
      </c>
      <c r="R35">
        <v>7</v>
      </c>
      <c r="S35">
        <v>46</v>
      </c>
      <c r="T35">
        <v>53</v>
      </c>
    </row>
    <row r="36" spans="1:20" x14ac:dyDescent="0.35">
      <c r="A36">
        <v>35</v>
      </c>
      <c r="B36" s="1">
        <v>40545</v>
      </c>
      <c r="C36">
        <v>1</v>
      </c>
      <c r="D36">
        <v>0</v>
      </c>
      <c r="E36">
        <v>1</v>
      </c>
      <c r="F36" t="str">
        <f>IF(final_data786[[#This Row],[MONTH_CODE]]=1,"JANUARY",IF(final_data786[[#This Row],[MONTH_CODE]]=2,"FEBRUARY"))</f>
        <v>JANUARY</v>
      </c>
      <c r="G36">
        <v>11</v>
      </c>
      <c r="H36">
        <v>0</v>
      </c>
      <c r="I36">
        <v>0</v>
      </c>
      <c r="J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 t="str">
        <f>IF(final_data786[[#This Row],[DAY_CODE]]=0,"weekend",IF(final_data786[[#This Row],[DAY_CODE]]=6,"weekend","weekday"))</f>
        <v>weekend</v>
      </c>
      <c r="L36">
        <v>2</v>
      </c>
      <c r="M36" t="str">
        <f>IF(final_data786[[#This Row],[WEATHER_CODE]]=1,"clear",IF(final_data786[[#This Row],[WEATHER_CODE]]=2,"cloudy",IF(final_data786[[#This Row],[WEATHER_CODE]]=3,"light rain",IF(final_data786[[#This Row],[WEATHER_CODE]]=4,"heavy rain",0))))</f>
        <v>cloudy</v>
      </c>
      <c r="N36">
        <v>0.36</v>
      </c>
      <c r="O36">
        <v>0.33329999999999999</v>
      </c>
      <c r="P36">
        <v>0.71</v>
      </c>
      <c r="Q36">
        <v>0.25369999999999998</v>
      </c>
      <c r="R36">
        <v>16</v>
      </c>
      <c r="S36">
        <v>54</v>
      </c>
      <c r="T36">
        <v>70</v>
      </c>
    </row>
    <row r="37" spans="1:20" x14ac:dyDescent="0.35">
      <c r="A37">
        <v>36</v>
      </c>
      <c r="B37" s="1">
        <v>40545</v>
      </c>
      <c r="C37">
        <v>1</v>
      </c>
      <c r="D37">
        <v>0</v>
      </c>
      <c r="E37">
        <v>1</v>
      </c>
      <c r="F37" t="str">
        <f>IF(final_data786[[#This Row],[MONTH_CODE]]=1,"JANUARY",IF(final_data786[[#This Row],[MONTH_CODE]]=2,"FEBRUARY"))</f>
        <v>JANUARY</v>
      </c>
      <c r="G37">
        <v>12</v>
      </c>
      <c r="H37">
        <v>0</v>
      </c>
      <c r="I37">
        <v>0</v>
      </c>
      <c r="J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7" t="str">
        <f>IF(final_data786[[#This Row],[DAY_CODE]]=0,"weekend",IF(final_data786[[#This Row],[DAY_CODE]]=6,"weekend","weekday"))</f>
        <v>weekend</v>
      </c>
      <c r="L37">
        <v>2</v>
      </c>
      <c r="M37" t="str">
        <f>IF(final_data786[[#This Row],[WEATHER_CODE]]=1,"clear",IF(final_data786[[#This Row],[WEATHER_CODE]]=2,"cloudy",IF(final_data786[[#This Row],[WEATHER_CODE]]=3,"light rain",IF(final_data786[[#This Row],[WEATHER_CODE]]=4,"heavy rain",0))))</f>
        <v>cloudy</v>
      </c>
      <c r="N37">
        <v>0.36</v>
      </c>
      <c r="O37">
        <v>0.33329999999999999</v>
      </c>
      <c r="P37">
        <v>0.66</v>
      </c>
      <c r="Q37">
        <v>0.29849999999999999</v>
      </c>
      <c r="R37">
        <v>20</v>
      </c>
      <c r="S37">
        <v>73</v>
      </c>
      <c r="T37">
        <v>93</v>
      </c>
    </row>
    <row r="38" spans="1:20" x14ac:dyDescent="0.35">
      <c r="A38">
        <v>37</v>
      </c>
      <c r="B38" s="1">
        <v>40545</v>
      </c>
      <c r="C38">
        <v>1</v>
      </c>
      <c r="D38">
        <v>0</v>
      </c>
      <c r="E38">
        <v>1</v>
      </c>
      <c r="F38" t="str">
        <f>IF(final_data786[[#This Row],[MONTH_CODE]]=1,"JANUARY",IF(final_data786[[#This Row],[MONTH_CODE]]=2,"FEBRUARY"))</f>
        <v>JANUARY</v>
      </c>
      <c r="G38">
        <v>13</v>
      </c>
      <c r="H38">
        <v>0</v>
      </c>
      <c r="I38">
        <v>0</v>
      </c>
      <c r="J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8" t="str">
        <f>IF(final_data786[[#This Row],[DAY_CODE]]=0,"weekend",IF(final_data786[[#This Row],[DAY_CODE]]=6,"weekend","weekday"))</f>
        <v>weekend</v>
      </c>
      <c r="L38">
        <v>2</v>
      </c>
      <c r="M38" t="str">
        <f>IF(final_data786[[#This Row],[WEATHER_CODE]]=1,"clear",IF(final_data786[[#This Row],[WEATHER_CODE]]=2,"cloudy",IF(final_data786[[#This Row],[WEATHER_CODE]]=3,"light rain",IF(final_data786[[#This Row],[WEATHER_CODE]]=4,"heavy rain",0))))</f>
        <v>cloudy</v>
      </c>
      <c r="N38">
        <v>0.36</v>
      </c>
      <c r="O38">
        <v>0.34849999999999998</v>
      </c>
      <c r="P38">
        <v>0.66</v>
      </c>
      <c r="Q38">
        <v>0.1343</v>
      </c>
      <c r="R38">
        <v>11</v>
      </c>
      <c r="S38">
        <v>64</v>
      </c>
      <c r="T38">
        <v>75</v>
      </c>
    </row>
    <row r="39" spans="1:20" x14ac:dyDescent="0.35">
      <c r="A39">
        <v>38</v>
      </c>
      <c r="B39" s="1">
        <v>40545</v>
      </c>
      <c r="C39">
        <v>1</v>
      </c>
      <c r="D39">
        <v>0</v>
      </c>
      <c r="E39">
        <v>1</v>
      </c>
      <c r="F39" t="str">
        <f>IF(final_data786[[#This Row],[MONTH_CODE]]=1,"JANUARY",IF(final_data786[[#This Row],[MONTH_CODE]]=2,"FEBRUARY"))</f>
        <v>JANUARY</v>
      </c>
      <c r="G39">
        <v>14</v>
      </c>
      <c r="H39">
        <v>0</v>
      </c>
      <c r="I39">
        <v>0</v>
      </c>
      <c r="J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9" t="str">
        <f>IF(final_data786[[#This Row],[DAY_CODE]]=0,"weekend",IF(final_data786[[#This Row],[DAY_CODE]]=6,"weekend","weekday"))</f>
        <v>weekend</v>
      </c>
      <c r="L39">
        <v>3</v>
      </c>
      <c r="M39" t="str">
        <f>IF(final_data786[[#This Row],[WEATHER_CODE]]=1,"clear",IF(final_data786[[#This Row],[WEATHER_CODE]]=2,"cloudy",IF(final_data786[[#This Row],[WEATHER_CODE]]=3,"light rain",IF(final_data786[[#This Row],[WEATHER_CODE]]=4,"heavy rain",0))))</f>
        <v>light rain</v>
      </c>
      <c r="N39">
        <v>0.36</v>
      </c>
      <c r="O39">
        <v>0.19993489148580967</v>
      </c>
      <c r="P39">
        <v>0.76</v>
      </c>
      <c r="Q39">
        <v>0.19400000000000001</v>
      </c>
      <c r="R39">
        <v>4</v>
      </c>
      <c r="S39">
        <v>55</v>
      </c>
      <c r="T39">
        <v>59</v>
      </c>
    </row>
    <row r="40" spans="1:20" x14ac:dyDescent="0.35">
      <c r="A40">
        <v>39</v>
      </c>
      <c r="B40" s="1">
        <v>40545</v>
      </c>
      <c r="C40">
        <v>1</v>
      </c>
      <c r="D40">
        <v>0</v>
      </c>
      <c r="E40">
        <v>1</v>
      </c>
      <c r="F40" t="str">
        <f>IF(final_data786[[#This Row],[MONTH_CODE]]=1,"JANUARY",IF(final_data786[[#This Row],[MONTH_CODE]]=2,"FEBRUARY"))</f>
        <v>JANUARY</v>
      </c>
      <c r="G40">
        <v>15</v>
      </c>
      <c r="H40">
        <v>0</v>
      </c>
      <c r="I40">
        <v>0</v>
      </c>
      <c r="J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0" t="str">
        <f>IF(final_data786[[#This Row],[DAY_CODE]]=0,"weekend",IF(final_data786[[#This Row],[DAY_CODE]]=6,"weekend","weekday"))</f>
        <v>weekend</v>
      </c>
      <c r="L40">
        <v>3</v>
      </c>
      <c r="M40" t="str">
        <f>IF(final_data786[[#This Row],[WEATHER_CODE]]=1,"clear",IF(final_data786[[#This Row],[WEATHER_CODE]]=2,"cloudy",IF(final_data786[[#This Row],[WEATHER_CODE]]=3,"light rain",IF(final_data786[[#This Row],[WEATHER_CODE]]=4,"heavy rain",0))))</f>
        <v>light rain</v>
      </c>
      <c r="N40">
        <v>0.34</v>
      </c>
      <c r="O40">
        <v>0.33329999999999999</v>
      </c>
      <c r="P40">
        <v>0.81</v>
      </c>
      <c r="Q40">
        <v>0.16420000000000001</v>
      </c>
      <c r="R40">
        <v>19</v>
      </c>
      <c r="S40">
        <v>55</v>
      </c>
      <c r="T40">
        <v>74</v>
      </c>
    </row>
    <row r="41" spans="1:20" x14ac:dyDescent="0.35">
      <c r="A41">
        <v>40</v>
      </c>
      <c r="B41" s="1">
        <v>40545</v>
      </c>
      <c r="C41">
        <v>1</v>
      </c>
      <c r="D41">
        <v>0</v>
      </c>
      <c r="E41">
        <v>1</v>
      </c>
      <c r="F41" t="str">
        <f>IF(final_data786[[#This Row],[MONTH_CODE]]=1,"JANUARY",IF(final_data786[[#This Row],[MONTH_CODE]]=2,"FEBRUARY"))</f>
        <v>JANUARY</v>
      </c>
      <c r="G41">
        <v>16</v>
      </c>
      <c r="H41">
        <v>0</v>
      </c>
      <c r="I41">
        <v>0</v>
      </c>
      <c r="J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1" t="str">
        <f>IF(final_data786[[#This Row],[DAY_CODE]]=0,"weekend",IF(final_data786[[#This Row],[DAY_CODE]]=6,"weekend","weekday"))</f>
        <v>weekend</v>
      </c>
      <c r="L41">
        <v>3</v>
      </c>
      <c r="M41" t="str">
        <f>IF(final_data786[[#This Row],[WEATHER_CODE]]=1,"clear",IF(final_data786[[#This Row],[WEATHER_CODE]]=2,"cloudy",IF(final_data786[[#This Row],[WEATHER_CODE]]=3,"light rain",IF(final_data786[[#This Row],[WEATHER_CODE]]=4,"heavy rain",0))))</f>
        <v>light rain</v>
      </c>
      <c r="N41">
        <v>0.34</v>
      </c>
      <c r="O41">
        <v>0.33329999999999999</v>
      </c>
      <c r="P41">
        <v>0.71</v>
      </c>
      <c r="Q41">
        <v>0.16420000000000001</v>
      </c>
      <c r="R41">
        <v>9</v>
      </c>
      <c r="S41">
        <v>67</v>
      </c>
      <c r="T41">
        <v>76</v>
      </c>
    </row>
    <row r="42" spans="1:20" x14ac:dyDescent="0.35">
      <c r="A42">
        <v>41</v>
      </c>
      <c r="B42" s="1">
        <v>40545</v>
      </c>
      <c r="C42">
        <v>1</v>
      </c>
      <c r="D42">
        <v>0</v>
      </c>
      <c r="E42">
        <v>1</v>
      </c>
      <c r="F42" t="str">
        <f>IF(final_data786[[#This Row],[MONTH_CODE]]=1,"JANUARY",IF(final_data786[[#This Row],[MONTH_CODE]]=2,"FEBRUARY"))</f>
        <v>JANUARY</v>
      </c>
      <c r="G42">
        <v>17</v>
      </c>
      <c r="H42">
        <v>0</v>
      </c>
      <c r="I42">
        <v>0</v>
      </c>
      <c r="J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2" t="str">
        <f>IF(final_data786[[#This Row],[DAY_CODE]]=0,"weekend",IF(final_data786[[#This Row],[DAY_CODE]]=6,"weekend","weekday"))</f>
        <v>weekend</v>
      </c>
      <c r="L42">
        <v>1</v>
      </c>
      <c r="M42" t="str">
        <f>IF(final_data786[[#This Row],[WEATHER_CODE]]=1,"clear",IF(final_data786[[#This Row],[WEATHER_CODE]]=2,"cloudy",IF(final_data786[[#This Row],[WEATHER_CODE]]=3,"light rain",IF(final_data786[[#This Row],[WEATHER_CODE]]=4,"heavy rain",0))))</f>
        <v>clear</v>
      </c>
      <c r="N42">
        <v>0.34</v>
      </c>
      <c r="O42">
        <v>0.33329999999999999</v>
      </c>
      <c r="P42">
        <v>0.56999999999999995</v>
      </c>
      <c r="Q42">
        <v>0.19400000000000001</v>
      </c>
      <c r="R42">
        <v>7</v>
      </c>
      <c r="S42">
        <v>58</v>
      </c>
      <c r="T42">
        <v>65</v>
      </c>
    </row>
    <row r="43" spans="1:20" x14ac:dyDescent="0.35">
      <c r="A43">
        <v>42</v>
      </c>
      <c r="B43" s="1">
        <v>40545</v>
      </c>
      <c r="C43">
        <v>1</v>
      </c>
      <c r="D43">
        <v>0</v>
      </c>
      <c r="E43">
        <v>1</v>
      </c>
      <c r="F43" t="str">
        <f>IF(final_data786[[#This Row],[MONTH_CODE]]=1,"JANUARY",IF(final_data786[[#This Row],[MONTH_CODE]]=2,"FEBRUARY"))</f>
        <v>JANUARY</v>
      </c>
      <c r="G43">
        <v>18</v>
      </c>
      <c r="H43">
        <v>0</v>
      </c>
      <c r="I43">
        <v>0</v>
      </c>
      <c r="J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3" t="str">
        <f>IF(final_data786[[#This Row],[DAY_CODE]]=0,"weekend",IF(final_data786[[#This Row],[DAY_CODE]]=6,"weekend","weekday"))</f>
        <v>weekend</v>
      </c>
      <c r="L43">
        <v>2</v>
      </c>
      <c r="M43" t="str">
        <f>IF(final_data786[[#This Row],[WEATHER_CODE]]=1,"clear",IF(final_data786[[#This Row],[WEATHER_CODE]]=2,"cloudy",IF(final_data786[[#This Row],[WEATHER_CODE]]=3,"light rain",IF(final_data786[[#This Row],[WEATHER_CODE]]=4,"heavy rain",0))))</f>
        <v>cloudy</v>
      </c>
      <c r="N43">
        <v>0.36</v>
      </c>
      <c r="O43">
        <v>0.33329999999999999</v>
      </c>
      <c r="P43">
        <v>0.46</v>
      </c>
      <c r="Q43">
        <v>0.32840000000000003</v>
      </c>
      <c r="R43">
        <v>10</v>
      </c>
      <c r="S43">
        <v>43</v>
      </c>
      <c r="T43">
        <v>53</v>
      </c>
    </row>
    <row r="44" spans="1:20" x14ac:dyDescent="0.35">
      <c r="A44">
        <v>43</v>
      </c>
      <c r="B44" s="1">
        <v>40545</v>
      </c>
      <c r="C44">
        <v>1</v>
      </c>
      <c r="D44">
        <v>0</v>
      </c>
      <c r="E44">
        <v>1</v>
      </c>
      <c r="F44" t="str">
        <f>IF(final_data786[[#This Row],[MONTH_CODE]]=1,"JANUARY",IF(final_data786[[#This Row],[MONTH_CODE]]=2,"FEBRUARY"))</f>
        <v>JANUARY</v>
      </c>
      <c r="G44">
        <v>19</v>
      </c>
      <c r="H44">
        <v>0</v>
      </c>
      <c r="I44">
        <v>0</v>
      </c>
      <c r="J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4" t="str">
        <f>IF(final_data786[[#This Row],[DAY_CODE]]=0,"weekend",IF(final_data786[[#This Row],[DAY_CODE]]=6,"weekend","weekday"))</f>
        <v>weekend</v>
      </c>
      <c r="L44">
        <v>1</v>
      </c>
      <c r="M44" t="str">
        <f>IF(final_data786[[#This Row],[WEATHER_CODE]]=1,"clear",IF(final_data786[[#This Row],[WEATHER_CODE]]=2,"cloudy",IF(final_data786[[#This Row],[WEATHER_CODE]]=3,"light rain",IF(final_data786[[#This Row],[WEATHER_CODE]]=4,"heavy rain",0))))</f>
        <v>clear</v>
      </c>
      <c r="N44">
        <v>0.32</v>
      </c>
      <c r="O44">
        <v>0.28789999999999999</v>
      </c>
      <c r="P44">
        <v>0.42</v>
      </c>
      <c r="Q44">
        <v>0.44779999999999998</v>
      </c>
      <c r="R44">
        <v>1</v>
      </c>
      <c r="S44">
        <v>29</v>
      </c>
      <c r="T44">
        <v>30</v>
      </c>
    </row>
    <row r="45" spans="1:20" x14ac:dyDescent="0.35">
      <c r="A45">
        <v>44</v>
      </c>
      <c r="B45" s="1">
        <v>40545</v>
      </c>
      <c r="C45">
        <v>1</v>
      </c>
      <c r="D45">
        <v>0</v>
      </c>
      <c r="E45">
        <v>1</v>
      </c>
      <c r="F45" t="str">
        <f>IF(final_data786[[#This Row],[MONTH_CODE]]=1,"JANUARY",IF(final_data786[[#This Row],[MONTH_CODE]]=2,"FEBRUARY"))</f>
        <v>JANUARY</v>
      </c>
      <c r="G45">
        <v>20</v>
      </c>
      <c r="H45">
        <v>0</v>
      </c>
      <c r="I45">
        <v>0</v>
      </c>
      <c r="J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5" t="str">
        <f>IF(final_data786[[#This Row],[DAY_CODE]]=0,"weekend",IF(final_data786[[#This Row],[DAY_CODE]]=6,"weekend","weekday"))</f>
        <v>weekend</v>
      </c>
      <c r="L45">
        <v>1</v>
      </c>
      <c r="M45" t="str">
        <f>IF(final_data786[[#This Row],[WEATHER_CODE]]=1,"clear",IF(final_data786[[#This Row],[WEATHER_CODE]]=2,"cloudy",IF(final_data786[[#This Row],[WEATHER_CODE]]=3,"light rain",IF(final_data786[[#This Row],[WEATHER_CODE]]=4,"heavy rain",0))))</f>
        <v>clear</v>
      </c>
      <c r="N45">
        <v>0.3</v>
      </c>
      <c r="O45">
        <v>0.19993489148580967</v>
      </c>
      <c r="P45">
        <v>0.39</v>
      </c>
      <c r="Q45">
        <v>0.35820000000000002</v>
      </c>
      <c r="R45">
        <v>5</v>
      </c>
      <c r="S45">
        <v>17</v>
      </c>
      <c r="T45">
        <v>22</v>
      </c>
    </row>
    <row r="46" spans="1:20" x14ac:dyDescent="0.35">
      <c r="A46">
        <v>45</v>
      </c>
      <c r="B46" s="1">
        <v>40545</v>
      </c>
      <c r="C46">
        <v>1</v>
      </c>
      <c r="D46">
        <v>0</v>
      </c>
      <c r="E46">
        <v>1</v>
      </c>
      <c r="F46" t="str">
        <f>IF(final_data786[[#This Row],[MONTH_CODE]]=1,"JANUARY",IF(final_data786[[#This Row],[MONTH_CODE]]=2,"FEBRUARY"))</f>
        <v>JANUARY</v>
      </c>
      <c r="G46">
        <v>21</v>
      </c>
      <c r="H46">
        <v>0</v>
      </c>
      <c r="I46">
        <v>0</v>
      </c>
      <c r="J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6" t="str">
        <f>IF(final_data786[[#This Row],[DAY_CODE]]=0,"weekend",IF(final_data786[[#This Row],[DAY_CODE]]=6,"weekend","weekday"))</f>
        <v>weekend</v>
      </c>
      <c r="L46">
        <v>1</v>
      </c>
      <c r="M46" t="str">
        <f>IF(final_data786[[#This Row],[WEATHER_CODE]]=1,"clear",IF(final_data786[[#This Row],[WEATHER_CODE]]=2,"cloudy",IF(final_data786[[#This Row],[WEATHER_CODE]]=3,"light rain",IF(final_data786[[#This Row],[WEATHER_CODE]]=4,"heavy rain",0))))</f>
        <v>clear</v>
      </c>
      <c r="N46">
        <v>0.26</v>
      </c>
      <c r="O46">
        <v>0.2273</v>
      </c>
      <c r="P46">
        <v>0.44</v>
      </c>
      <c r="Q46">
        <v>0.32840000000000003</v>
      </c>
      <c r="R46">
        <v>11</v>
      </c>
      <c r="S46">
        <v>20</v>
      </c>
      <c r="T46">
        <v>31</v>
      </c>
    </row>
    <row r="47" spans="1:20" x14ac:dyDescent="0.35">
      <c r="A47">
        <v>46</v>
      </c>
      <c r="B47" s="1">
        <v>40545</v>
      </c>
      <c r="C47">
        <v>1</v>
      </c>
      <c r="D47">
        <v>0</v>
      </c>
      <c r="E47">
        <v>1</v>
      </c>
      <c r="F47" t="str">
        <f>IF(final_data786[[#This Row],[MONTH_CODE]]=1,"JANUARY",IF(final_data786[[#This Row],[MONTH_CODE]]=2,"FEBRUARY"))</f>
        <v>JANUARY</v>
      </c>
      <c r="G47">
        <v>22</v>
      </c>
      <c r="H47">
        <v>0</v>
      </c>
      <c r="I47">
        <v>0</v>
      </c>
      <c r="J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7" t="str">
        <f>IF(final_data786[[#This Row],[DAY_CODE]]=0,"weekend",IF(final_data786[[#This Row],[DAY_CODE]]=6,"weekend","weekday"))</f>
        <v>weekend</v>
      </c>
      <c r="L47">
        <v>1</v>
      </c>
      <c r="M47" t="str">
        <f>IF(final_data786[[#This Row],[WEATHER_CODE]]=1,"clear",IF(final_data786[[#This Row],[WEATHER_CODE]]=2,"cloudy",IF(final_data786[[#This Row],[WEATHER_CODE]]=3,"light rain",IF(final_data786[[#This Row],[WEATHER_CODE]]=4,"heavy rain",0))))</f>
        <v>clear</v>
      </c>
      <c r="N47">
        <v>0.24</v>
      </c>
      <c r="O47">
        <v>0.21210000000000001</v>
      </c>
      <c r="P47">
        <v>0.44</v>
      </c>
      <c r="Q47">
        <v>0.29849999999999999</v>
      </c>
      <c r="R47">
        <v>0</v>
      </c>
      <c r="S47">
        <v>9</v>
      </c>
      <c r="T47">
        <v>9</v>
      </c>
    </row>
    <row r="48" spans="1:20" x14ac:dyDescent="0.35">
      <c r="A48">
        <v>47</v>
      </c>
      <c r="B48" s="1">
        <v>40545</v>
      </c>
      <c r="C48">
        <v>1</v>
      </c>
      <c r="D48">
        <v>0</v>
      </c>
      <c r="E48">
        <v>1</v>
      </c>
      <c r="F48" t="str">
        <f>IF(final_data786[[#This Row],[MONTH_CODE]]=1,"JANUARY",IF(final_data786[[#This Row],[MONTH_CODE]]=2,"FEBRUARY"))</f>
        <v>JANUARY</v>
      </c>
      <c r="G48">
        <v>23</v>
      </c>
      <c r="H48">
        <v>0</v>
      </c>
      <c r="I48">
        <v>0</v>
      </c>
      <c r="J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48" t="str">
        <f>IF(final_data786[[#This Row],[DAY_CODE]]=0,"weekend",IF(final_data786[[#This Row],[DAY_CODE]]=6,"weekend","weekday"))</f>
        <v>weekend</v>
      </c>
      <c r="L48">
        <v>1</v>
      </c>
      <c r="M48" t="str">
        <f>IF(final_data786[[#This Row],[WEATHER_CODE]]=1,"clear",IF(final_data786[[#This Row],[WEATHER_CODE]]=2,"cloudy",IF(final_data786[[#This Row],[WEATHER_CODE]]=3,"light rain",IF(final_data786[[#This Row],[WEATHER_CODE]]=4,"heavy rain",0))))</f>
        <v>clear</v>
      </c>
      <c r="N48">
        <v>0.22</v>
      </c>
      <c r="O48">
        <v>0.2273</v>
      </c>
      <c r="P48">
        <v>0.47</v>
      </c>
      <c r="Q48">
        <v>0.16420000000000001</v>
      </c>
      <c r="R48">
        <v>0</v>
      </c>
      <c r="S48">
        <v>8</v>
      </c>
      <c r="T48">
        <v>8</v>
      </c>
    </row>
    <row r="49" spans="1:20" x14ac:dyDescent="0.35">
      <c r="A49">
        <v>48</v>
      </c>
      <c r="B49" s="1">
        <v>40546</v>
      </c>
      <c r="C49">
        <v>1</v>
      </c>
      <c r="D49">
        <v>0</v>
      </c>
      <c r="E49">
        <v>1</v>
      </c>
      <c r="F49" t="str">
        <f>IF(final_data786[[#This Row],[MONTH_CODE]]=1,"JANUARY",IF(final_data786[[#This Row],[MONTH_CODE]]=2,"FEBRUARY"))</f>
        <v>JANUARY</v>
      </c>
      <c r="G49">
        <v>0</v>
      </c>
      <c r="H49">
        <v>0</v>
      </c>
      <c r="I49">
        <v>1</v>
      </c>
      <c r="J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49" t="str">
        <f>IF(final_data786[[#This Row],[DAY_CODE]]=0,"weekend",IF(final_data786[[#This Row],[DAY_CODE]]=6,"weekend","weekday"))</f>
        <v>weekday</v>
      </c>
      <c r="L49">
        <v>1</v>
      </c>
      <c r="M49" t="str">
        <f>IF(final_data786[[#This Row],[WEATHER_CODE]]=1,"clear",IF(final_data786[[#This Row],[WEATHER_CODE]]=2,"cloudy",IF(final_data786[[#This Row],[WEATHER_CODE]]=3,"light rain",IF(final_data786[[#This Row],[WEATHER_CODE]]=4,"heavy rain",0))))</f>
        <v>clear</v>
      </c>
      <c r="N49">
        <v>0.22</v>
      </c>
      <c r="O49">
        <v>0.19700000000000001</v>
      </c>
      <c r="P49">
        <v>0.44</v>
      </c>
      <c r="Q49">
        <v>0.35820000000000002</v>
      </c>
      <c r="R49">
        <v>0</v>
      </c>
      <c r="S49">
        <v>5</v>
      </c>
      <c r="T49">
        <v>5</v>
      </c>
    </row>
    <row r="50" spans="1:20" x14ac:dyDescent="0.35">
      <c r="A50">
        <v>49</v>
      </c>
      <c r="B50" s="1">
        <v>40546</v>
      </c>
      <c r="C50">
        <v>1</v>
      </c>
      <c r="D50">
        <v>0</v>
      </c>
      <c r="E50">
        <v>1</v>
      </c>
      <c r="F50" t="str">
        <f>IF(final_data786[[#This Row],[MONTH_CODE]]=1,"JANUARY",IF(final_data786[[#This Row],[MONTH_CODE]]=2,"FEBRUARY"))</f>
        <v>JANUARY</v>
      </c>
      <c r="G50">
        <v>1</v>
      </c>
      <c r="H50">
        <v>0</v>
      </c>
      <c r="I50">
        <v>1</v>
      </c>
      <c r="J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0" t="str">
        <f>IF(final_data786[[#This Row],[DAY_CODE]]=0,"weekend",IF(final_data786[[#This Row],[DAY_CODE]]=6,"weekend","weekday"))</f>
        <v>weekday</v>
      </c>
      <c r="L50">
        <v>1</v>
      </c>
      <c r="M50" t="str">
        <f>IF(final_data786[[#This Row],[WEATHER_CODE]]=1,"clear",IF(final_data786[[#This Row],[WEATHER_CODE]]=2,"cloudy",IF(final_data786[[#This Row],[WEATHER_CODE]]=3,"light rain",IF(final_data786[[#This Row],[WEATHER_CODE]]=4,"heavy rain",0))))</f>
        <v>clear</v>
      </c>
      <c r="N50">
        <v>0.2</v>
      </c>
      <c r="O50">
        <v>0.19993489148580967</v>
      </c>
      <c r="P50">
        <v>0.44</v>
      </c>
      <c r="Q50">
        <v>0.41789999999999999</v>
      </c>
      <c r="R50">
        <v>0</v>
      </c>
      <c r="S50">
        <v>2</v>
      </c>
      <c r="T50">
        <v>2</v>
      </c>
    </row>
    <row r="51" spans="1:20" x14ac:dyDescent="0.35">
      <c r="A51">
        <v>50</v>
      </c>
      <c r="B51" s="1">
        <v>40546</v>
      </c>
      <c r="C51">
        <v>1</v>
      </c>
      <c r="D51">
        <v>0</v>
      </c>
      <c r="E51">
        <v>1</v>
      </c>
      <c r="F51" t="str">
        <f>IF(final_data786[[#This Row],[MONTH_CODE]]=1,"JANUARY",IF(final_data786[[#This Row],[MONTH_CODE]]=2,"FEBRUARY"))</f>
        <v>JANUARY</v>
      </c>
      <c r="G51">
        <v>4</v>
      </c>
      <c r="H51">
        <v>0</v>
      </c>
      <c r="I51">
        <v>1</v>
      </c>
      <c r="J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1" t="str">
        <f>IF(final_data786[[#This Row],[DAY_CODE]]=0,"weekend",IF(final_data786[[#This Row],[DAY_CODE]]=6,"weekend","weekday"))</f>
        <v>weekday</v>
      </c>
      <c r="L51">
        <v>1</v>
      </c>
      <c r="M51" t="str">
        <f>IF(final_data786[[#This Row],[WEATHER_CODE]]=1,"clear",IF(final_data786[[#This Row],[WEATHER_CODE]]=2,"cloudy",IF(final_data786[[#This Row],[WEATHER_CODE]]=3,"light rain",IF(final_data786[[#This Row],[WEATHER_CODE]]=4,"heavy rain",0))))</f>
        <v>clear</v>
      </c>
      <c r="N51">
        <v>0.16</v>
      </c>
      <c r="O51">
        <v>0.13639999999999999</v>
      </c>
      <c r="P51">
        <v>0.47</v>
      </c>
      <c r="Q51">
        <v>0.3881</v>
      </c>
      <c r="R51">
        <v>0</v>
      </c>
      <c r="S51">
        <v>1</v>
      </c>
      <c r="T51">
        <v>1</v>
      </c>
    </row>
    <row r="52" spans="1:20" x14ac:dyDescent="0.35">
      <c r="A52">
        <v>51</v>
      </c>
      <c r="B52" s="1">
        <v>40546</v>
      </c>
      <c r="C52">
        <v>1</v>
      </c>
      <c r="D52">
        <v>0</v>
      </c>
      <c r="E52">
        <v>1</v>
      </c>
      <c r="F52" t="str">
        <f>IF(final_data786[[#This Row],[MONTH_CODE]]=1,"JANUARY",IF(final_data786[[#This Row],[MONTH_CODE]]=2,"FEBRUARY"))</f>
        <v>JANUARY</v>
      </c>
      <c r="G52">
        <v>5</v>
      </c>
      <c r="H52">
        <v>0</v>
      </c>
      <c r="I52">
        <v>1</v>
      </c>
      <c r="J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2" t="str">
        <f>IF(final_data786[[#This Row],[DAY_CODE]]=0,"weekend",IF(final_data786[[#This Row],[DAY_CODE]]=6,"weekend","weekday"))</f>
        <v>weekday</v>
      </c>
      <c r="L52">
        <v>1</v>
      </c>
      <c r="M52" t="str">
        <f>IF(final_data786[[#This Row],[WEATHER_CODE]]=1,"clear",IF(final_data786[[#This Row],[WEATHER_CODE]]=2,"cloudy",IF(final_data786[[#This Row],[WEATHER_CODE]]=3,"light rain",IF(final_data786[[#This Row],[WEATHER_CODE]]=4,"heavy rain",0))))</f>
        <v>clear</v>
      </c>
      <c r="N52">
        <v>0.16</v>
      </c>
      <c r="O52">
        <v>0.13639999999999999</v>
      </c>
      <c r="P52">
        <v>0.47</v>
      </c>
      <c r="Q52">
        <v>0.28360000000000002</v>
      </c>
      <c r="R52">
        <v>0</v>
      </c>
      <c r="S52">
        <v>3</v>
      </c>
      <c r="T52">
        <v>3</v>
      </c>
    </row>
    <row r="53" spans="1:20" x14ac:dyDescent="0.35">
      <c r="A53">
        <v>52</v>
      </c>
      <c r="B53" s="1">
        <v>40546</v>
      </c>
      <c r="C53">
        <v>1</v>
      </c>
      <c r="D53">
        <v>0</v>
      </c>
      <c r="E53">
        <v>1</v>
      </c>
      <c r="F53" t="str">
        <f>IF(final_data786[[#This Row],[MONTH_CODE]]=1,"JANUARY",IF(final_data786[[#This Row],[MONTH_CODE]]=2,"FEBRUARY"))</f>
        <v>JANUARY</v>
      </c>
      <c r="G53">
        <v>6</v>
      </c>
      <c r="H53">
        <v>0</v>
      </c>
      <c r="I53">
        <v>1</v>
      </c>
      <c r="J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 t="str">
        <f>IF(final_data786[[#This Row],[DAY_CODE]]=0,"weekend",IF(final_data786[[#This Row],[DAY_CODE]]=6,"weekend","weekday"))</f>
        <v>weekday</v>
      </c>
      <c r="L53">
        <v>1</v>
      </c>
      <c r="M53" t="str">
        <f>IF(final_data786[[#This Row],[WEATHER_CODE]]=1,"clear",IF(final_data786[[#This Row],[WEATHER_CODE]]=2,"cloudy",IF(final_data786[[#This Row],[WEATHER_CODE]]=3,"light rain",IF(final_data786[[#This Row],[WEATHER_CODE]]=4,"heavy rain",0))))</f>
        <v>clear</v>
      </c>
      <c r="N53">
        <v>0.14000000000000001</v>
      </c>
      <c r="O53">
        <v>0.1061</v>
      </c>
      <c r="P53">
        <v>0.5</v>
      </c>
      <c r="Q53">
        <v>0.3881</v>
      </c>
      <c r="R53">
        <v>0</v>
      </c>
      <c r="S53">
        <v>30</v>
      </c>
      <c r="T53">
        <v>30</v>
      </c>
    </row>
    <row r="54" spans="1:20" x14ac:dyDescent="0.35">
      <c r="A54">
        <v>53</v>
      </c>
      <c r="B54" s="1">
        <v>40546</v>
      </c>
      <c r="C54">
        <v>1</v>
      </c>
      <c r="D54">
        <v>0</v>
      </c>
      <c r="E54">
        <v>1</v>
      </c>
      <c r="F54" t="str">
        <f>IF(final_data786[[#This Row],[MONTH_CODE]]=1,"JANUARY",IF(final_data786[[#This Row],[MONTH_CODE]]=2,"FEBRUARY"))</f>
        <v>JANUARY</v>
      </c>
      <c r="G54">
        <v>7</v>
      </c>
      <c r="H54">
        <v>0</v>
      </c>
      <c r="I54">
        <v>1</v>
      </c>
      <c r="J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 t="str">
        <f>IF(final_data786[[#This Row],[DAY_CODE]]=0,"weekend",IF(final_data786[[#This Row],[DAY_CODE]]=6,"weekend","weekday"))</f>
        <v>weekday</v>
      </c>
      <c r="L54">
        <v>1</v>
      </c>
      <c r="M54" t="str">
        <f>IF(final_data786[[#This Row],[WEATHER_CODE]]=1,"clear",IF(final_data786[[#This Row],[WEATHER_CODE]]=2,"cloudy",IF(final_data786[[#This Row],[WEATHER_CODE]]=3,"light rain",IF(final_data786[[#This Row],[WEATHER_CODE]]=4,"heavy rain",0))))</f>
        <v>clear</v>
      </c>
      <c r="N54">
        <v>0.14000000000000001</v>
      </c>
      <c r="O54">
        <v>0.13639999999999999</v>
      </c>
      <c r="P54">
        <v>0.5</v>
      </c>
      <c r="Q54">
        <v>0.19400000000000001</v>
      </c>
      <c r="R54">
        <v>1</v>
      </c>
      <c r="S54">
        <v>63</v>
      </c>
      <c r="T54">
        <v>64</v>
      </c>
    </row>
    <row r="55" spans="1:20" x14ac:dyDescent="0.35">
      <c r="A55">
        <v>54</v>
      </c>
      <c r="B55" s="1">
        <v>40546</v>
      </c>
      <c r="C55">
        <v>1</v>
      </c>
      <c r="D55">
        <v>0</v>
      </c>
      <c r="E55">
        <v>1</v>
      </c>
      <c r="F55" t="str">
        <f>IF(final_data786[[#This Row],[MONTH_CODE]]=1,"JANUARY",IF(final_data786[[#This Row],[MONTH_CODE]]=2,"FEBRUARY"))</f>
        <v>JANUARY</v>
      </c>
      <c r="G55">
        <v>8</v>
      </c>
      <c r="H55">
        <v>0</v>
      </c>
      <c r="I55">
        <v>1</v>
      </c>
      <c r="J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5" t="str">
        <f>IF(final_data786[[#This Row],[DAY_CODE]]=0,"weekend",IF(final_data786[[#This Row],[DAY_CODE]]=6,"weekend","weekday"))</f>
        <v>weekday</v>
      </c>
      <c r="L55">
        <v>1</v>
      </c>
      <c r="M55" t="str">
        <f>IF(final_data786[[#This Row],[WEATHER_CODE]]=1,"clear",IF(final_data786[[#This Row],[WEATHER_CODE]]=2,"cloudy",IF(final_data786[[#This Row],[WEATHER_CODE]]=3,"light rain",IF(final_data786[[#This Row],[WEATHER_CODE]]=4,"heavy rain",0))))</f>
        <v>clear</v>
      </c>
      <c r="N55">
        <v>0.14000000000000001</v>
      </c>
      <c r="O55">
        <v>0.1212</v>
      </c>
      <c r="P55">
        <v>0.5</v>
      </c>
      <c r="Q55">
        <v>0.28360000000000002</v>
      </c>
      <c r="R55">
        <v>1</v>
      </c>
      <c r="S55">
        <v>153</v>
      </c>
      <c r="T55">
        <v>154</v>
      </c>
    </row>
    <row r="56" spans="1:20" x14ac:dyDescent="0.35">
      <c r="A56">
        <v>55</v>
      </c>
      <c r="B56" s="1">
        <v>40546</v>
      </c>
      <c r="C56">
        <v>1</v>
      </c>
      <c r="D56">
        <v>0</v>
      </c>
      <c r="E56">
        <v>1</v>
      </c>
      <c r="F56" t="str">
        <f>IF(final_data786[[#This Row],[MONTH_CODE]]=1,"JANUARY",IF(final_data786[[#This Row],[MONTH_CODE]]=2,"FEBRUARY"))</f>
        <v>JANUARY</v>
      </c>
      <c r="G56">
        <v>9</v>
      </c>
      <c r="H56">
        <v>0</v>
      </c>
      <c r="I56">
        <v>1</v>
      </c>
      <c r="J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6" t="str">
        <f>IF(final_data786[[#This Row],[DAY_CODE]]=0,"weekend",IF(final_data786[[#This Row],[DAY_CODE]]=6,"weekend","weekday"))</f>
        <v>weekday</v>
      </c>
      <c r="L56">
        <v>1</v>
      </c>
      <c r="M56" t="str">
        <f>IF(final_data786[[#This Row],[WEATHER_CODE]]=1,"clear",IF(final_data786[[#This Row],[WEATHER_CODE]]=2,"cloudy",IF(final_data786[[#This Row],[WEATHER_CODE]]=3,"light rain",IF(final_data786[[#This Row],[WEATHER_CODE]]=4,"heavy rain",0))))</f>
        <v>clear</v>
      </c>
      <c r="N56">
        <v>0.16</v>
      </c>
      <c r="O56">
        <v>0.13639999999999999</v>
      </c>
      <c r="P56">
        <v>0.43</v>
      </c>
      <c r="Q56">
        <v>0.3881</v>
      </c>
      <c r="R56">
        <v>7</v>
      </c>
      <c r="S56">
        <v>81</v>
      </c>
      <c r="T56">
        <v>88</v>
      </c>
    </row>
    <row r="57" spans="1:20" x14ac:dyDescent="0.35">
      <c r="A57">
        <v>56</v>
      </c>
      <c r="B57" s="1">
        <v>40546</v>
      </c>
      <c r="C57">
        <v>1</v>
      </c>
      <c r="D57">
        <v>0</v>
      </c>
      <c r="E57">
        <v>1</v>
      </c>
      <c r="F57" t="str">
        <f>IF(final_data786[[#This Row],[MONTH_CODE]]=1,"JANUARY",IF(final_data786[[#This Row],[MONTH_CODE]]=2,"FEBRUARY"))</f>
        <v>JANUARY</v>
      </c>
      <c r="G57">
        <v>10</v>
      </c>
      <c r="H57">
        <v>0</v>
      </c>
      <c r="I57">
        <v>1</v>
      </c>
      <c r="J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7" t="str">
        <f>IF(final_data786[[#This Row],[DAY_CODE]]=0,"weekend",IF(final_data786[[#This Row],[DAY_CODE]]=6,"weekend","weekday"))</f>
        <v>weekday</v>
      </c>
      <c r="L57">
        <v>1</v>
      </c>
      <c r="M57" t="str">
        <f>IF(final_data786[[#This Row],[WEATHER_CODE]]=1,"clear",IF(final_data786[[#This Row],[WEATHER_CODE]]=2,"cloudy",IF(final_data786[[#This Row],[WEATHER_CODE]]=3,"light rain",IF(final_data786[[#This Row],[WEATHER_CODE]]=4,"heavy rain",0))))</f>
        <v>clear</v>
      </c>
      <c r="N57">
        <v>0.18</v>
      </c>
      <c r="O57">
        <v>0.16669999999999999</v>
      </c>
      <c r="P57">
        <v>0.43</v>
      </c>
      <c r="Q57">
        <v>0.25369999999999998</v>
      </c>
      <c r="R57">
        <v>11</v>
      </c>
      <c r="S57">
        <v>33</v>
      </c>
      <c r="T57">
        <v>44</v>
      </c>
    </row>
    <row r="58" spans="1:20" x14ac:dyDescent="0.35">
      <c r="A58">
        <v>57</v>
      </c>
      <c r="B58" s="1">
        <v>40546</v>
      </c>
      <c r="C58">
        <v>1</v>
      </c>
      <c r="D58">
        <v>0</v>
      </c>
      <c r="E58">
        <v>1</v>
      </c>
      <c r="F58" t="str">
        <f>IF(final_data786[[#This Row],[MONTH_CODE]]=1,"JANUARY",IF(final_data786[[#This Row],[MONTH_CODE]]=2,"FEBRUARY"))</f>
        <v>JANUARY</v>
      </c>
      <c r="G58">
        <v>11</v>
      </c>
      <c r="H58">
        <v>0</v>
      </c>
      <c r="I58">
        <v>1</v>
      </c>
      <c r="J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8" t="str">
        <f>IF(final_data786[[#This Row],[DAY_CODE]]=0,"weekend",IF(final_data786[[#This Row],[DAY_CODE]]=6,"weekend","weekday"))</f>
        <v>weekday</v>
      </c>
      <c r="L58">
        <v>1</v>
      </c>
      <c r="M58" t="str">
        <f>IF(final_data786[[#This Row],[WEATHER_CODE]]=1,"clear",IF(final_data786[[#This Row],[WEATHER_CODE]]=2,"cloudy",IF(final_data786[[#This Row],[WEATHER_CODE]]=3,"light rain",IF(final_data786[[#This Row],[WEATHER_CODE]]=4,"heavy rain",0))))</f>
        <v>clear</v>
      </c>
      <c r="N58">
        <v>0.2</v>
      </c>
      <c r="O58">
        <v>0.18179999999999999</v>
      </c>
      <c r="P58">
        <v>0.4</v>
      </c>
      <c r="Q58">
        <v>0.32840000000000003</v>
      </c>
      <c r="R58">
        <v>10</v>
      </c>
      <c r="S58">
        <v>41</v>
      </c>
      <c r="T58">
        <v>51</v>
      </c>
    </row>
    <row r="59" spans="1:20" x14ac:dyDescent="0.35">
      <c r="A59">
        <v>58</v>
      </c>
      <c r="B59" s="1">
        <v>40546</v>
      </c>
      <c r="C59">
        <v>1</v>
      </c>
      <c r="D59">
        <v>0</v>
      </c>
      <c r="E59">
        <v>1</v>
      </c>
      <c r="F59" t="str">
        <f>IF(final_data786[[#This Row],[MONTH_CODE]]=1,"JANUARY",IF(final_data786[[#This Row],[MONTH_CODE]]=2,"FEBRUARY"))</f>
        <v>JANUARY</v>
      </c>
      <c r="G59">
        <v>12</v>
      </c>
      <c r="H59">
        <v>0</v>
      </c>
      <c r="I59">
        <v>1</v>
      </c>
      <c r="J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9" t="str">
        <f>IF(final_data786[[#This Row],[DAY_CODE]]=0,"weekend",IF(final_data786[[#This Row],[DAY_CODE]]=6,"weekend","weekday"))</f>
        <v>weekday</v>
      </c>
      <c r="L59">
        <v>1</v>
      </c>
      <c r="M59" t="str">
        <f>IF(final_data786[[#This Row],[WEATHER_CODE]]=1,"clear",IF(final_data786[[#This Row],[WEATHER_CODE]]=2,"cloudy",IF(final_data786[[#This Row],[WEATHER_CODE]]=3,"light rain",IF(final_data786[[#This Row],[WEATHER_CODE]]=4,"heavy rain",0))))</f>
        <v>clear</v>
      </c>
      <c r="N59">
        <v>0.22</v>
      </c>
      <c r="O59">
        <v>0.21210000000000001</v>
      </c>
      <c r="P59">
        <v>0.35</v>
      </c>
      <c r="Q59">
        <v>0.29849999999999999</v>
      </c>
      <c r="R59">
        <v>13</v>
      </c>
      <c r="S59">
        <v>48</v>
      </c>
      <c r="T59">
        <v>61</v>
      </c>
    </row>
    <row r="60" spans="1:20" x14ac:dyDescent="0.35">
      <c r="A60">
        <v>59</v>
      </c>
      <c r="B60" s="1">
        <v>40546</v>
      </c>
      <c r="C60">
        <v>1</v>
      </c>
      <c r="D60">
        <v>0</v>
      </c>
      <c r="E60">
        <v>1</v>
      </c>
      <c r="F60" t="str">
        <f>IF(final_data786[[#This Row],[MONTH_CODE]]=1,"JANUARY",IF(final_data786[[#This Row],[MONTH_CODE]]=2,"FEBRUARY"))</f>
        <v>JANUARY</v>
      </c>
      <c r="G60">
        <v>13</v>
      </c>
      <c r="H60">
        <v>0</v>
      </c>
      <c r="I60">
        <v>1</v>
      </c>
      <c r="J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0" t="str">
        <f>IF(final_data786[[#This Row],[DAY_CODE]]=0,"weekend",IF(final_data786[[#This Row],[DAY_CODE]]=6,"weekend","weekday"))</f>
        <v>weekday</v>
      </c>
      <c r="L60">
        <v>1</v>
      </c>
      <c r="M60" t="str">
        <f>IF(final_data786[[#This Row],[WEATHER_CODE]]=1,"clear",IF(final_data786[[#This Row],[WEATHER_CODE]]=2,"cloudy",IF(final_data786[[#This Row],[WEATHER_CODE]]=3,"light rain",IF(final_data786[[#This Row],[WEATHER_CODE]]=4,"heavy rain",0))))</f>
        <v>clear</v>
      </c>
      <c r="N60">
        <v>0.24</v>
      </c>
      <c r="O60">
        <v>0.19993489148580967</v>
      </c>
      <c r="P60">
        <v>0.35</v>
      </c>
      <c r="Q60">
        <v>0.28360000000000002</v>
      </c>
      <c r="R60">
        <v>8</v>
      </c>
      <c r="S60">
        <v>53</v>
      </c>
      <c r="T60">
        <v>61</v>
      </c>
    </row>
    <row r="61" spans="1:20" x14ac:dyDescent="0.35">
      <c r="A61">
        <v>60</v>
      </c>
      <c r="B61" s="1">
        <v>40546</v>
      </c>
      <c r="C61">
        <v>1</v>
      </c>
      <c r="D61">
        <v>0</v>
      </c>
      <c r="E61">
        <v>1</v>
      </c>
      <c r="F61" t="str">
        <f>IF(final_data786[[#This Row],[MONTH_CODE]]=1,"JANUARY",IF(final_data786[[#This Row],[MONTH_CODE]]=2,"FEBRUARY"))</f>
        <v>JANUARY</v>
      </c>
      <c r="G61">
        <v>14</v>
      </c>
      <c r="H61">
        <v>0</v>
      </c>
      <c r="I61">
        <v>1</v>
      </c>
      <c r="J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1" t="str">
        <f>IF(final_data786[[#This Row],[DAY_CODE]]=0,"weekend",IF(final_data786[[#This Row],[DAY_CODE]]=6,"weekend","weekday"))</f>
        <v>weekday</v>
      </c>
      <c r="L61">
        <v>1</v>
      </c>
      <c r="M61" t="str">
        <f>IF(final_data786[[#This Row],[WEATHER_CODE]]=1,"clear",IF(final_data786[[#This Row],[WEATHER_CODE]]=2,"cloudy",IF(final_data786[[#This Row],[WEATHER_CODE]]=3,"light rain",IF(final_data786[[#This Row],[WEATHER_CODE]]=4,"heavy rain",0))))</f>
        <v>clear</v>
      </c>
      <c r="N61">
        <v>0.26</v>
      </c>
      <c r="O61">
        <v>0.2424</v>
      </c>
      <c r="P61">
        <v>0.3</v>
      </c>
      <c r="Q61">
        <v>0.28360000000000002</v>
      </c>
      <c r="R61">
        <v>11</v>
      </c>
      <c r="S61">
        <v>66</v>
      </c>
      <c r="T61">
        <v>77</v>
      </c>
    </row>
    <row r="62" spans="1:20" x14ac:dyDescent="0.35">
      <c r="A62">
        <v>61</v>
      </c>
      <c r="B62" s="1">
        <v>40546</v>
      </c>
      <c r="C62">
        <v>1</v>
      </c>
      <c r="D62">
        <v>0</v>
      </c>
      <c r="E62">
        <v>1</v>
      </c>
      <c r="F62" t="str">
        <f>IF(final_data786[[#This Row],[MONTH_CODE]]=1,"JANUARY",IF(final_data786[[#This Row],[MONTH_CODE]]=2,"FEBRUARY"))</f>
        <v>JANUARY</v>
      </c>
      <c r="G62">
        <v>15</v>
      </c>
      <c r="H62">
        <v>0</v>
      </c>
      <c r="I62">
        <v>1</v>
      </c>
      <c r="J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2" t="str">
        <f>IF(final_data786[[#This Row],[DAY_CODE]]=0,"weekend",IF(final_data786[[#This Row],[DAY_CODE]]=6,"weekend","weekday"))</f>
        <v>weekday</v>
      </c>
      <c r="L62">
        <v>1</v>
      </c>
      <c r="M62" t="str">
        <f>IF(final_data786[[#This Row],[WEATHER_CODE]]=1,"clear",IF(final_data786[[#This Row],[WEATHER_CODE]]=2,"cloudy",IF(final_data786[[#This Row],[WEATHER_CODE]]=3,"light rain",IF(final_data786[[#This Row],[WEATHER_CODE]]=4,"heavy rain",0))))</f>
        <v>clear</v>
      </c>
      <c r="N62">
        <v>0.26</v>
      </c>
      <c r="O62">
        <v>0.2424</v>
      </c>
      <c r="P62">
        <v>0.3</v>
      </c>
      <c r="Q62">
        <v>0.25369999999999998</v>
      </c>
      <c r="R62">
        <v>14</v>
      </c>
      <c r="S62">
        <v>58</v>
      </c>
      <c r="T62">
        <v>72</v>
      </c>
    </row>
    <row r="63" spans="1:20" x14ac:dyDescent="0.35">
      <c r="A63">
        <v>62</v>
      </c>
      <c r="B63" s="1">
        <v>40546</v>
      </c>
      <c r="C63">
        <v>1</v>
      </c>
      <c r="D63">
        <v>0</v>
      </c>
      <c r="E63">
        <v>1</v>
      </c>
      <c r="F63" t="str">
        <f>IF(final_data786[[#This Row],[MONTH_CODE]]=1,"JANUARY",IF(final_data786[[#This Row],[MONTH_CODE]]=2,"FEBRUARY"))</f>
        <v>JANUARY</v>
      </c>
      <c r="G63">
        <v>16</v>
      </c>
      <c r="H63">
        <v>0</v>
      </c>
      <c r="I63">
        <v>1</v>
      </c>
      <c r="J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3" t="str">
        <f>IF(final_data786[[#This Row],[DAY_CODE]]=0,"weekend",IF(final_data786[[#This Row],[DAY_CODE]]=6,"weekend","weekday"))</f>
        <v>weekday</v>
      </c>
      <c r="L63">
        <v>1</v>
      </c>
      <c r="M63" t="str">
        <f>IF(final_data786[[#This Row],[WEATHER_CODE]]=1,"clear",IF(final_data786[[#This Row],[WEATHER_CODE]]=2,"cloudy",IF(final_data786[[#This Row],[WEATHER_CODE]]=3,"light rain",IF(final_data786[[#This Row],[WEATHER_CODE]]=4,"heavy rain",0))))</f>
        <v>clear</v>
      </c>
      <c r="N63">
        <v>0.26</v>
      </c>
      <c r="O63">
        <v>0.2424</v>
      </c>
      <c r="P63">
        <v>0.3</v>
      </c>
      <c r="Q63">
        <v>0.25369999999999998</v>
      </c>
      <c r="R63">
        <v>9</v>
      </c>
      <c r="S63">
        <v>67</v>
      </c>
      <c r="T63">
        <v>76</v>
      </c>
    </row>
    <row r="64" spans="1:20" x14ac:dyDescent="0.35">
      <c r="A64">
        <v>63</v>
      </c>
      <c r="B64" s="1">
        <v>40546</v>
      </c>
      <c r="C64">
        <v>1</v>
      </c>
      <c r="D64">
        <v>0</v>
      </c>
      <c r="E64">
        <v>1</v>
      </c>
      <c r="F64" t="str">
        <f>IF(final_data786[[#This Row],[MONTH_CODE]]=1,"JANUARY",IF(final_data786[[#This Row],[MONTH_CODE]]=2,"FEBRUARY"))</f>
        <v>JANUARY</v>
      </c>
      <c r="G64">
        <v>17</v>
      </c>
      <c r="H64">
        <v>0</v>
      </c>
      <c r="I64">
        <v>1</v>
      </c>
      <c r="J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4" t="str">
        <f>IF(final_data786[[#This Row],[DAY_CODE]]=0,"weekend",IF(final_data786[[#This Row],[DAY_CODE]]=6,"weekend","weekday"))</f>
        <v>weekday</v>
      </c>
      <c r="L64">
        <v>1</v>
      </c>
      <c r="M64" t="str">
        <f>IF(final_data786[[#This Row],[WEATHER_CODE]]=1,"clear",IF(final_data786[[#This Row],[WEATHER_CODE]]=2,"cloudy",IF(final_data786[[#This Row],[WEATHER_CODE]]=3,"light rain",IF(final_data786[[#This Row],[WEATHER_CODE]]=4,"heavy rain",0))))</f>
        <v>clear</v>
      </c>
      <c r="N64">
        <v>0.24</v>
      </c>
      <c r="O64">
        <v>0.2273</v>
      </c>
      <c r="P64">
        <v>0.3</v>
      </c>
      <c r="Q64">
        <v>0.22389999999999999</v>
      </c>
      <c r="R64">
        <v>11</v>
      </c>
      <c r="S64">
        <v>146</v>
      </c>
      <c r="T64">
        <v>157</v>
      </c>
    </row>
    <row r="65" spans="1:20" x14ac:dyDescent="0.35">
      <c r="A65">
        <v>64</v>
      </c>
      <c r="B65" s="1">
        <v>40546</v>
      </c>
      <c r="C65">
        <v>1</v>
      </c>
      <c r="D65">
        <v>0</v>
      </c>
      <c r="E65">
        <v>1</v>
      </c>
      <c r="F65" t="str">
        <f>IF(final_data786[[#This Row],[MONTH_CODE]]=1,"JANUARY",IF(final_data786[[#This Row],[MONTH_CODE]]=2,"FEBRUARY"))</f>
        <v>JANUARY</v>
      </c>
      <c r="G65">
        <v>18</v>
      </c>
      <c r="H65">
        <v>0</v>
      </c>
      <c r="I65">
        <v>1</v>
      </c>
      <c r="J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5" t="str">
        <f>IF(final_data786[[#This Row],[DAY_CODE]]=0,"weekend",IF(final_data786[[#This Row],[DAY_CODE]]=6,"weekend","weekday"))</f>
        <v>weekday</v>
      </c>
      <c r="L65">
        <v>1</v>
      </c>
      <c r="M65" t="str">
        <f>IF(final_data786[[#This Row],[WEATHER_CODE]]=1,"clear",IF(final_data786[[#This Row],[WEATHER_CODE]]=2,"cloudy",IF(final_data786[[#This Row],[WEATHER_CODE]]=3,"light rain",IF(final_data786[[#This Row],[WEATHER_CODE]]=4,"heavy rain",0))))</f>
        <v>clear</v>
      </c>
      <c r="N65">
        <v>0.24</v>
      </c>
      <c r="O65">
        <v>0.2576</v>
      </c>
      <c r="P65">
        <v>0.32</v>
      </c>
      <c r="Q65">
        <v>0.1045</v>
      </c>
      <c r="R65">
        <v>9</v>
      </c>
      <c r="S65">
        <v>148</v>
      </c>
      <c r="T65">
        <v>157</v>
      </c>
    </row>
    <row r="66" spans="1:20" x14ac:dyDescent="0.35">
      <c r="A66">
        <v>65</v>
      </c>
      <c r="B66" s="1">
        <v>40546</v>
      </c>
      <c r="C66">
        <v>1</v>
      </c>
      <c r="D66">
        <v>0</v>
      </c>
      <c r="E66">
        <v>1</v>
      </c>
      <c r="F66" t="str">
        <f>IF(final_data786[[#This Row],[MONTH_CODE]]=1,"JANUARY",IF(final_data786[[#This Row],[MONTH_CODE]]=2,"FEBRUARY"))</f>
        <v>JANUARY</v>
      </c>
      <c r="G66">
        <v>19</v>
      </c>
      <c r="H66">
        <v>0</v>
      </c>
      <c r="I66">
        <v>1</v>
      </c>
      <c r="J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6" t="str">
        <f>IF(final_data786[[#This Row],[DAY_CODE]]=0,"weekend",IF(final_data786[[#This Row],[DAY_CODE]]=6,"weekend","weekday"))</f>
        <v>weekday</v>
      </c>
      <c r="L66">
        <v>1</v>
      </c>
      <c r="M66" t="str">
        <f>IF(final_data786[[#This Row],[WEATHER_CODE]]=1,"clear",IF(final_data786[[#This Row],[WEATHER_CODE]]=2,"cloudy",IF(final_data786[[#This Row],[WEATHER_CODE]]=3,"light rain",IF(final_data786[[#This Row],[WEATHER_CODE]]=4,"heavy rain",0))))</f>
        <v>clear</v>
      </c>
      <c r="N66">
        <v>0.2</v>
      </c>
      <c r="O66">
        <v>0.2576</v>
      </c>
      <c r="P66">
        <v>0.47</v>
      </c>
      <c r="Q66">
        <v>0</v>
      </c>
      <c r="R66">
        <v>8</v>
      </c>
      <c r="S66">
        <v>102</v>
      </c>
      <c r="T66">
        <v>110</v>
      </c>
    </row>
    <row r="67" spans="1:20" x14ac:dyDescent="0.35">
      <c r="A67">
        <v>66</v>
      </c>
      <c r="B67" s="1">
        <v>40546</v>
      </c>
      <c r="C67">
        <v>1</v>
      </c>
      <c r="D67">
        <v>0</v>
      </c>
      <c r="E67">
        <v>1</v>
      </c>
      <c r="F67" t="str">
        <f>IF(final_data786[[#This Row],[MONTH_CODE]]=1,"JANUARY",IF(final_data786[[#This Row],[MONTH_CODE]]=2,"FEBRUARY"))</f>
        <v>JANUARY</v>
      </c>
      <c r="G67">
        <v>20</v>
      </c>
      <c r="H67">
        <v>0</v>
      </c>
      <c r="I67">
        <v>1</v>
      </c>
      <c r="J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 t="str">
        <f>IF(final_data786[[#This Row],[DAY_CODE]]=0,"weekend",IF(final_data786[[#This Row],[DAY_CODE]]=6,"weekend","weekday"))</f>
        <v>weekday</v>
      </c>
      <c r="L67">
        <v>1</v>
      </c>
      <c r="M67" t="str">
        <f>IF(final_data786[[#This Row],[WEATHER_CODE]]=1,"clear",IF(final_data786[[#This Row],[WEATHER_CODE]]=2,"cloudy",IF(final_data786[[#This Row],[WEATHER_CODE]]=3,"light rain",IF(final_data786[[#This Row],[WEATHER_CODE]]=4,"heavy rain",0))))</f>
        <v>clear</v>
      </c>
      <c r="N67">
        <v>0.2</v>
      </c>
      <c r="O67">
        <v>0.19993489148580967</v>
      </c>
      <c r="P67">
        <v>0.47</v>
      </c>
      <c r="Q67">
        <v>0.1045</v>
      </c>
      <c r="R67">
        <v>3</v>
      </c>
      <c r="S67">
        <v>49</v>
      </c>
      <c r="T67">
        <v>52</v>
      </c>
    </row>
    <row r="68" spans="1:20" x14ac:dyDescent="0.35">
      <c r="A68">
        <v>67</v>
      </c>
      <c r="B68" s="1">
        <v>40546</v>
      </c>
      <c r="C68">
        <v>1</v>
      </c>
      <c r="D68">
        <v>0</v>
      </c>
      <c r="E68">
        <v>1</v>
      </c>
      <c r="F68" t="str">
        <f>IF(final_data786[[#This Row],[MONTH_CODE]]=1,"JANUARY",IF(final_data786[[#This Row],[MONTH_CODE]]=2,"FEBRUARY"))</f>
        <v>JANUARY</v>
      </c>
      <c r="G68">
        <v>21</v>
      </c>
      <c r="H68">
        <v>0</v>
      </c>
      <c r="I68">
        <v>1</v>
      </c>
      <c r="J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 t="str">
        <f>IF(final_data786[[#This Row],[DAY_CODE]]=0,"weekend",IF(final_data786[[#This Row],[DAY_CODE]]=6,"weekend","weekday"))</f>
        <v>weekday</v>
      </c>
      <c r="L68">
        <v>1</v>
      </c>
      <c r="M68" t="str">
        <f>IF(final_data786[[#This Row],[WEATHER_CODE]]=1,"clear",IF(final_data786[[#This Row],[WEATHER_CODE]]=2,"cloudy",IF(final_data786[[#This Row],[WEATHER_CODE]]=3,"light rain",IF(final_data786[[#This Row],[WEATHER_CODE]]=4,"heavy rain",0))))</f>
        <v>clear</v>
      </c>
      <c r="N68">
        <v>0.18</v>
      </c>
      <c r="O68">
        <v>0.19700000000000001</v>
      </c>
      <c r="P68">
        <v>0.64</v>
      </c>
      <c r="Q68">
        <v>0.1343</v>
      </c>
      <c r="R68">
        <v>3</v>
      </c>
      <c r="S68">
        <v>49</v>
      </c>
      <c r="T68">
        <v>52</v>
      </c>
    </row>
    <row r="69" spans="1:20" x14ac:dyDescent="0.35">
      <c r="A69">
        <v>68</v>
      </c>
      <c r="B69" s="1">
        <v>40546</v>
      </c>
      <c r="C69">
        <v>1</v>
      </c>
      <c r="D69">
        <v>0</v>
      </c>
      <c r="E69">
        <v>1</v>
      </c>
      <c r="F69" t="str">
        <f>IF(final_data786[[#This Row],[MONTH_CODE]]=1,"JANUARY",IF(final_data786[[#This Row],[MONTH_CODE]]=2,"FEBRUARY"))</f>
        <v>JANUARY</v>
      </c>
      <c r="G69">
        <v>22</v>
      </c>
      <c r="H69">
        <v>0</v>
      </c>
      <c r="I69">
        <v>1</v>
      </c>
      <c r="J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9" t="str">
        <f>IF(final_data786[[#This Row],[DAY_CODE]]=0,"weekend",IF(final_data786[[#This Row],[DAY_CODE]]=6,"weekend","weekday"))</f>
        <v>weekday</v>
      </c>
      <c r="L69">
        <v>1</v>
      </c>
      <c r="M69" t="str">
        <f>IF(final_data786[[#This Row],[WEATHER_CODE]]=1,"clear",IF(final_data786[[#This Row],[WEATHER_CODE]]=2,"cloudy",IF(final_data786[[#This Row],[WEATHER_CODE]]=3,"light rain",IF(final_data786[[#This Row],[WEATHER_CODE]]=4,"heavy rain",0))))</f>
        <v>clear</v>
      </c>
      <c r="N69">
        <v>0.14000000000000001</v>
      </c>
      <c r="O69">
        <v>0.1515</v>
      </c>
      <c r="P69">
        <v>0.69</v>
      </c>
      <c r="Q69">
        <v>0.1343</v>
      </c>
      <c r="R69">
        <v>0</v>
      </c>
      <c r="S69">
        <v>20</v>
      </c>
      <c r="T69">
        <v>20</v>
      </c>
    </row>
    <row r="70" spans="1:20" x14ac:dyDescent="0.35">
      <c r="A70">
        <v>69</v>
      </c>
      <c r="B70" s="1">
        <v>40546</v>
      </c>
      <c r="C70">
        <v>1</v>
      </c>
      <c r="D70">
        <v>0</v>
      </c>
      <c r="E70">
        <v>1</v>
      </c>
      <c r="F70" t="str">
        <f>IF(final_data786[[#This Row],[MONTH_CODE]]=1,"JANUARY",IF(final_data786[[#This Row],[MONTH_CODE]]=2,"FEBRUARY"))</f>
        <v>JANUARY</v>
      </c>
      <c r="G70">
        <v>23</v>
      </c>
      <c r="H70">
        <v>0</v>
      </c>
      <c r="I70">
        <v>1</v>
      </c>
      <c r="J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70" t="str">
        <f>IF(final_data786[[#This Row],[DAY_CODE]]=0,"weekend",IF(final_data786[[#This Row],[DAY_CODE]]=6,"weekend","weekday"))</f>
        <v>weekday</v>
      </c>
      <c r="L70">
        <v>1</v>
      </c>
      <c r="M70" t="str">
        <f>IF(final_data786[[#This Row],[WEATHER_CODE]]=1,"clear",IF(final_data786[[#This Row],[WEATHER_CODE]]=2,"cloudy",IF(final_data786[[#This Row],[WEATHER_CODE]]=3,"light rain",IF(final_data786[[#This Row],[WEATHER_CODE]]=4,"heavy rain",0))))</f>
        <v>clear</v>
      </c>
      <c r="N70">
        <v>0.18</v>
      </c>
      <c r="O70">
        <v>0.21210000000000001</v>
      </c>
      <c r="P70">
        <v>0.55000000000000004</v>
      </c>
      <c r="Q70">
        <v>0.1045</v>
      </c>
      <c r="R70">
        <v>1</v>
      </c>
      <c r="S70">
        <v>11</v>
      </c>
      <c r="T70">
        <v>12</v>
      </c>
    </row>
    <row r="71" spans="1:20" x14ac:dyDescent="0.35">
      <c r="A71">
        <v>70</v>
      </c>
      <c r="B71" s="1">
        <v>40547</v>
      </c>
      <c r="C71">
        <v>1</v>
      </c>
      <c r="D71">
        <v>0</v>
      </c>
      <c r="E71">
        <v>1</v>
      </c>
      <c r="F71" t="str">
        <f>IF(final_data786[[#This Row],[MONTH_CODE]]=1,"JANUARY",IF(final_data786[[#This Row],[MONTH_CODE]]=2,"FEBRUARY"))</f>
        <v>JANUARY</v>
      </c>
      <c r="G71">
        <v>0</v>
      </c>
      <c r="H71">
        <v>0</v>
      </c>
      <c r="I71">
        <v>2</v>
      </c>
      <c r="J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1" t="str">
        <f>IF(final_data786[[#This Row],[DAY_CODE]]=0,"weekend",IF(final_data786[[#This Row],[DAY_CODE]]=6,"weekend","weekday"))</f>
        <v>weekday</v>
      </c>
      <c r="L71">
        <v>1</v>
      </c>
      <c r="M71" t="str">
        <f>IF(final_data786[[#This Row],[WEATHER_CODE]]=1,"clear",IF(final_data786[[#This Row],[WEATHER_CODE]]=2,"cloudy",IF(final_data786[[#This Row],[WEATHER_CODE]]=3,"light rain",IF(final_data786[[#This Row],[WEATHER_CODE]]=4,"heavy rain",0))))</f>
        <v>clear</v>
      </c>
      <c r="N71">
        <v>0.16</v>
      </c>
      <c r="O71">
        <v>0.19993489148580967</v>
      </c>
      <c r="P71">
        <v>0.55000000000000004</v>
      </c>
      <c r="Q71">
        <v>0.1045</v>
      </c>
      <c r="R71">
        <v>0</v>
      </c>
      <c r="S71">
        <v>5</v>
      </c>
      <c r="T71">
        <v>5</v>
      </c>
    </row>
    <row r="72" spans="1:20" x14ac:dyDescent="0.35">
      <c r="A72">
        <v>71</v>
      </c>
      <c r="B72" s="1">
        <v>40547</v>
      </c>
      <c r="C72">
        <v>1</v>
      </c>
      <c r="D72">
        <v>0</v>
      </c>
      <c r="E72">
        <v>1</v>
      </c>
      <c r="F72" t="str">
        <f>IF(final_data786[[#This Row],[MONTH_CODE]]=1,"JANUARY",IF(final_data786[[#This Row],[MONTH_CODE]]=2,"FEBRUARY"))</f>
        <v>JANUARY</v>
      </c>
      <c r="G72">
        <v>1</v>
      </c>
      <c r="H72">
        <v>0</v>
      </c>
      <c r="I72">
        <v>2</v>
      </c>
      <c r="J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2" t="str">
        <f>IF(final_data786[[#This Row],[DAY_CODE]]=0,"weekend",IF(final_data786[[#This Row],[DAY_CODE]]=6,"weekend","weekday"))</f>
        <v>weekday</v>
      </c>
      <c r="L72">
        <v>1</v>
      </c>
      <c r="M72" t="str">
        <f>IF(final_data786[[#This Row],[WEATHER_CODE]]=1,"clear",IF(final_data786[[#This Row],[WEATHER_CODE]]=2,"cloudy",IF(final_data786[[#This Row],[WEATHER_CODE]]=3,"light rain",IF(final_data786[[#This Row],[WEATHER_CODE]]=4,"heavy rain",0))))</f>
        <v>clear</v>
      </c>
      <c r="N72">
        <v>0.16</v>
      </c>
      <c r="O72">
        <v>0.18179999999999999</v>
      </c>
      <c r="P72">
        <v>0.59</v>
      </c>
      <c r="Q72">
        <v>0.1045</v>
      </c>
      <c r="R72">
        <v>0</v>
      </c>
      <c r="S72">
        <v>2</v>
      </c>
      <c r="T72">
        <v>2</v>
      </c>
    </row>
    <row r="73" spans="1:20" x14ac:dyDescent="0.35">
      <c r="A73">
        <v>72</v>
      </c>
      <c r="B73" s="1">
        <v>40547</v>
      </c>
      <c r="C73">
        <v>1</v>
      </c>
      <c r="D73">
        <v>0</v>
      </c>
      <c r="E73">
        <v>1</v>
      </c>
      <c r="F73" t="str">
        <f>IF(final_data786[[#This Row],[MONTH_CODE]]=1,"JANUARY",IF(final_data786[[#This Row],[MONTH_CODE]]=2,"FEBRUARY"))</f>
        <v>JANUARY</v>
      </c>
      <c r="G73">
        <v>2</v>
      </c>
      <c r="H73">
        <v>0</v>
      </c>
      <c r="I73">
        <v>2</v>
      </c>
      <c r="J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3" t="str">
        <f>IF(final_data786[[#This Row],[DAY_CODE]]=0,"weekend",IF(final_data786[[#This Row],[DAY_CODE]]=6,"weekend","weekday"))</f>
        <v>weekday</v>
      </c>
      <c r="L73">
        <v>1</v>
      </c>
      <c r="M73" t="str">
        <f>IF(final_data786[[#This Row],[WEATHER_CODE]]=1,"clear",IF(final_data786[[#This Row],[WEATHER_CODE]]=2,"cloudy",IF(final_data786[[#This Row],[WEATHER_CODE]]=3,"light rain",IF(final_data786[[#This Row],[WEATHER_CODE]]=4,"heavy rain",0))))</f>
        <v>clear</v>
      </c>
      <c r="N73">
        <v>0.14000000000000001</v>
      </c>
      <c r="O73">
        <v>0.1515</v>
      </c>
      <c r="P73">
        <v>0.63</v>
      </c>
      <c r="Q73">
        <v>0.1343</v>
      </c>
      <c r="R73">
        <v>0</v>
      </c>
      <c r="S73">
        <v>1</v>
      </c>
      <c r="T73">
        <v>1</v>
      </c>
    </row>
    <row r="74" spans="1:20" x14ac:dyDescent="0.35">
      <c r="A74">
        <v>73</v>
      </c>
      <c r="B74" s="1">
        <v>40547</v>
      </c>
      <c r="C74">
        <v>1</v>
      </c>
      <c r="D74">
        <v>0</v>
      </c>
      <c r="E74">
        <v>1</v>
      </c>
      <c r="F74" t="str">
        <f>IF(final_data786[[#This Row],[MONTH_CODE]]=1,"JANUARY",IF(final_data786[[#This Row],[MONTH_CODE]]=2,"FEBRUARY"))</f>
        <v>JANUARY</v>
      </c>
      <c r="G74">
        <v>4</v>
      </c>
      <c r="H74">
        <v>0</v>
      </c>
      <c r="I74">
        <v>2</v>
      </c>
      <c r="J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4" t="str">
        <f>IF(final_data786[[#This Row],[DAY_CODE]]=0,"weekend",IF(final_data786[[#This Row],[DAY_CODE]]=6,"weekend","weekday"))</f>
        <v>weekday</v>
      </c>
      <c r="L74">
        <v>1</v>
      </c>
      <c r="M74" t="str">
        <f>IF(final_data786[[#This Row],[WEATHER_CODE]]=1,"clear",IF(final_data786[[#This Row],[WEATHER_CODE]]=2,"cloudy",IF(final_data786[[#This Row],[WEATHER_CODE]]=3,"light rain",IF(final_data786[[#This Row],[WEATHER_CODE]]=4,"heavy rain",0))))</f>
        <v>clear</v>
      </c>
      <c r="N74">
        <v>0.14000000000000001</v>
      </c>
      <c r="O74">
        <v>0.18179999999999999</v>
      </c>
      <c r="P74">
        <v>0.63</v>
      </c>
      <c r="Q74">
        <v>8.9599999999999999E-2</v>
      </c>
      <c r="R74">
        <v>0</v>
      </c>
      <c r="S74">
        <v>2</v>
      </c>
      <c r="T74">
        <v>2</v>
      </c>
    </row>
    <row r="75" spans="1:20" x14ac:dyDescent="0.35">
      <c r="A75">
        <v>74</v>
      </c>
      <c r="B75" s="1">
        <v>40547</v>
      </c>
      <c r="C75">
        <v>1</v>
      </c>
      <c r="D75">
        <v>0</v>
      </c>
      <c r="E75">
        <v>1</v>
      </c>
      <c r="F75" t="str">
        <f>IF(final_data786[[#This Row],[MONTH_CODE]]=1,"JANUARY",IF(final_data786[[#This Row],[MONTH_CODE]]=2,"FEBRUARY"))</f>
        <v>JANUARY</v>
      </c>
      <c r="G75">
        <v>5</v>
      </c>
      <c r="H75">
        <v>0</v>
      </c>
      <c r="I75">
        <v>2</v>
      </c>
      <c r="J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5" t="str">
        <f>IF(final_data786[[#This Row],[DAY_CODE]]=0,"weekend",IF(final_data786[[#This Row],[DAY_CODE]]=6,"weekend","weekday"))</f>
        <v>weekday</v>
      </c>
      <c r="L75">
        <v>1</v>
      </c>
      <c r="M75" t="str">
        <f>IF(final_data786[[#This Row],[WEATHER_CODE]]=1,"clear",IF(final_data786[[#This Row],[WEATHER_CODE]]=2,"cloudy",IF(final_data786[[#This Row],[WEATHER_CODE]]=3,"light rain",IF(final_data786[[#This Row],[WEATHER_CODE]]=4,"heavy rain",0))))</f>
        <v>clear</v>
      </c>
      <c r="N75">
        <v>0.12</v>
      </c>
      <c r="O75">
        <v>0.1515</v>
      </c>
      <c r="P75">
        <v>0.68</v>
      </c>
      <c r="Q75">
        <v>0.1045</v>
      </c>
      <c r="R75">
        <v>0</v>
      </c>
      <c r="S75">
        <v>4</v>
      </c>
      <c r="T75">
        <v>4</v>
      </c>
    </row>
    <row r="76" spans="1:20" x14ac:dyDescent="0.35">
      <c r="A76">
        <v>75</v>
      </c>
      <c r="B76" s="1">
        <v>40547</v>
      </c>
      <c r="C76">
        <v>1</v>
      </c>
      <c r="D76">
        <v>0</v>
      </c>
      <c r="E76">
        <v>1</v>
      </c>
      <c r="F76" t="str">
        <f>IF(final_data786[[#This Row],[MONTH_CODE]]=1,"JANUARY",IF(final_data786[[#This Row],[MONTH_CODE]]=2,"FEBRUARY"))</f>
        <v>JANUARY</v>
      </c>
      <c r="G76">
        <v>6</v>
      </c>
      <c r="H76">
        <v>0</v>
      </c>
      <c r="I76">
        <v>2</v>
      </c>
      <c r="J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6" t="str">
        <f>IF(final_data786[[#This Row],[DAY_CODE]]=0,"weekend",IF(final_data786[[#This Row],[DAY_CODE]]=6,"weekend","weekday"))</f>
        <v>weekday</v>
      </c>
      <c r="L76">
        <v>1</v>
      </c>
      <c r="M76" t="str">
        <f>IF(final_data786[[#This Row],[WEATHER_CODE]]=1,"clear",IF(final_data786[[#This Row],[WEATHER_CODE]]=2,"cloudy",IF(final_data786[[#This Row],[WEATHER_CODE]]=3,"light rain",IF(final_data786[[#This Row],[WEATHER_CODE]]=4,"heavy rain",0))))</f>
        <v>clear</v>
      </c>
      <c r="N76">
        <v>0.12</v>
      </c>
      <c r="O76">
        <v>0.1515</v>
      </c>
      <c r="P76">
        <v>0.74</v>
      </c>
      <c r="Q76">
        <v>0.1045</v>
      </c>
      <c r="R76">
        <v>0</v>
      </c>
      <c r="S76">
        <v>36</v>
      </c>
      <c r="T76">
        <v>36</v>
      </c>
    </row>
    <row r="77" spans="1:20" x14ac:dyDescent="0.35">
      <c r="A77">
        <v>76</v>
      </c>
      <c r="B77" s="1">
        <v>40547</v>
      </c>
      <c r="C77">
        <v>1</v>
      </c>
      <c r="D77">
        <v>0</v>
      </c>
      <c r="E77">
        <v>1</v>
      </c>
      <c r="F77" t="str">
        <f>IF(final_data786[[#This Row],[MONTH_CODE]]=1,"JANUARY",IF(final_data786[[#This Row],[MONTH_CODE]]=2,"FEBRUARY"))</f>
        <v>JANUARY</v>
      </c>
      <c r="G77">
        <v>7</v>
      </c>
      <c r="H77">
        <v>0</v>
      </c>
      <c r="I77">
        <v>2</v>
      </c>
      <c r="J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7" t="str">
        <f>IF(final_data786[[#This Row],[DAY_CODE]]=0,"weekend",IF(final_data786[[#This Row],[DAY_CODE]]=6,"weekend","weekday"))</f>
        <v>weekday</v>
      </c>
      <c r="L77">
        <v>1</v>
      </c>
      <c r="M77" t="str">
        <f>IF(final_data786[[#This Row],[WEATHER_CODE]]=1,"clear",IF(final_data786[[#This Row],[WEATHER_CODE]]=2,"cloudy",IF(final_data786[[#This Row],[WEATHER_CODE]]=3,"light rain",IF(final_data786[[#This Row],[WEATHER_CODE]]=4,"heavy rain",0))))</f>
        <v>clear</v>
      </c>
      <c r="N77">
        <v>0.12</v>
      </c>
      <c r="O77">
        <v>0.1515</v>
      </c>
      <c r="P77">
        <v>0.74</v>
      </c>
      <c r="Q77">
        <v>0.1343</v>
      </c>
      <c r="R77">
        <v>2</v>
      </c>
      <c r="S77">
        <v>92</v>
      </c>
      <c r="T77">
        <v>94</v>
      </c>
    </row>
    <row r="78" spans="1:20" x14ac:dyDescent="0.35">
      <c r="A78">
        <v>77</v>
      </c>
      <c r="B78" s="1">
        <v>40547</v>
      </c>
      <c r="C78">
        <v>1</v>
      </c>
      <c r="D78">
        <v>0</v>
      </c>
      <c r="E78">
        <v>1</v>
      </c>
      <c r="F78" t="str">
        <f>IF(final_data786[[#This Row],[MONTH_CODE]]=1,"JANUARY",IF(final_data786[[#This Row],[MONTH_CODE]]=2,"FEBRUARY"))</f>
        <v>JANUARY</v>
      </c>
      <c r="G78">
        <v>8</v>
      </c>
      <c r="H78">
        <v>0</v>
      </c>
      <c r="I78">
        <v>2</v>
      </c>
      <c r="J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8" t="str">
        <f>IF(final_data786[[#This Row],[DAY_CODE]]=0,"weekend",IF(final_data786[[#This Row],[DAY_CODE]]=6,"weekend","weekday"))</f>
        <v>weekday</v>
      </c>
      <c r="L78">
        <v>1</v>
      </c>
      <c r="M78" t="str">
        <f>IF(final_data786[[#This Row],[WEATHER_CODE]]=1,"clear",IF(final_data786[[#This Row],[WEATHER_CODE]]=2,"cloudy",IF(final_data786[[#This Row],[WEATHER_CODE]]=3,"light rain",IF(final_data786[[#This Row],[WEATHER_CODE]]=4,"heavy rain",0))))</f>
        <v>clear</v>
      </c>
      <c r="N78">
        <v>0.14000000000000001</v>
      </c>
      <c r="O78">
        <v>0.1515</v>
      </c>
      <c r="P78">
        <v>0.69</v>
      </c>
      <c r="Q78">
        <v>0.16420000000000001</v>
      </c>
      <c r="R78">
        <v>2</v>
      </c>
      <c r="S78">
        <v>177</v>
      </c>
      <c r="T78">
        <v>179</v>
      </c>
    </row>
    <row r="79" spans="1:20" x14ac:dyDescent="0.35">
      <c r="A79">
        <v>78</v>
      </c>
      <c r="B79" s="1">
        <v>40547</v>
      </c>
      <c r="C79">
        <v>1</v>
      </c>
      <c r="D79">
        <v>0</v>
      </c>
      <c r="E79">
        <v>1</v>
      </c>
      <c r="F79" t="str">
        <f>IF(final_data786[[#This Row],[MONTH_CODE]]=1,"JANUARY",IF(final_data786[[#This Row],[MONTH_CODE]]=2,"FEBRUARY"))</f>
        <v>JANUARY</v>
      </c>
      <c r="G79">
        <v>9</v>
      </c>
      <c r="H79">
        <v>0</v>
      </c>
      <c r="I79">
        <v>2</v>
      </c>
      <c r="J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9" t="str">
        <f>IF(final_data786[[#This Row],[DAY_CODE]]=0,"weekend",IF(final_data786[[#This Row],[DAY_CODE]]=6,"weekend","weekday"))</f>
        <v>weekday</v>
      </c>
      <c r="L79">
        <v>1</v>
      </c>
      <c r="M79" t="str">
        <f>IF(final_data786[[#This Row],[WEATHER_CODE]]=1,"clear",IF(final_data786[[#This Row],[WEATHER_CODE]]=2,"cloudy",IF(final_data786[[#This Row],[WEATHER_CODE]]=3,"light rain",IF(final_data786[[#This Row],[WEATHER_CODE]]=4,"heavy rain",0))))</f>
        <v>clear</v>
      </c>
      <c r="N79">
        <v>0.16</v>
      </c>
      <c r="O79">
        <v>0.1515</v>
      </c>
      <c r="P79">
        <v>0.64</v>
      </c>
      <c r="Q79">
        <v>0.22389999999999999</v>
      </c>
      <c r="R79">
        <v>2</v>
      </c>
      <c r="S79">
        <v>98</v>
      </c>
      <c r="T79">
        <v>100</v>
      </c>
    </row>
    <row r="80" spans="1:20" x14ac:dyDescent="0.35">
      <c r="A80">
        <v>79</v>
      </c>
      <c r="B80" s="1">
        <v>40547</v>
      </c>
      <c r="C80">
        <v>1</v>
      </c>
      <c r="D80">
        <v>0</v>
      </c>
      <c r="E80">
        <v>1</v>
      </c>
      <c r="F80" t="str">
        <f>IF(final_data786[[#This Row],[MONTH_CODE]]=1,"JANUARY",IF(final_data786[[#This Row],[MONTH_CODE]]=2,"FEBRUARY"))</f>
        <v>JANUARY</v>
      </c>
      <c r="G80">
        <v>10</v>
      </c>
      <c r="H80">
        <v>0</v>
      </c>
      <c r="I80">
        <v>2</v>
      </c>
      <c r="J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0" t="str">
        <f>IF(final_data786[[#This Row],[DAY_CODE]]=0,"weekend",IF(final_data786[[#This Row],[DAY_CODE]]=6,"weekend","weekday"))</f>
        <v>weekday</v>
      </c>
      <c r="L80">
        <v>2</v>
      </c>
      <c r="M80" t="str">
        <f>IF(final_data786[[#This Row],[WEATHER_CODE]]=1,"clear",IF(final_data786[[#This Row],[WEATHER_CODE]]=2,"cloudy",IF(final_data786[[#This Row],[WEATHER_CODE]]=3,"light rain",IF(final_data786[[#This Row],[WEATHER_CODE]]=4,"heavy rain",0))))</f>
        <v>cloudy</v>
      </c>
      <c r="N80">
        <v>0.16</v>
      </c>
      <c r="O80">
        <v>0.13639999999999999</v>
      </c>
      <c r="P80">
        <v>0.69</v>
      </c>
      <c r="Q80">
        <v>0.32840000000000003</v>
      </c>
      <c r="R80">
        <v>5</v>
      </c>
      <c r="S80">
        <v>37</v>
      </c>
      <c r="T80">
        <v>42</v>
      </c>
    </row>
    <row r="81" spans="1:20" x14ac:dyDescent="0.35">
      <c r="A81">
        <v>80</v>
      </c>
      <c r="B81" s="1">
        <v>40547</v>
      </c>
      <c r="C81">
        <v>1</v>
      </c>
      <c r="D81">
        <v>0</v>
      </c>
      <c r="E81">
        <v>1</v>
      </c>
      <c r="F81" t="str">
        <f>IF(final_data786[[#This Row],[MONTH_CODE]]=1,"JANUARY",IF(final_data786[[#This Row],[MONTH_CODE]]=2,"FEBRUARY"))</f>
        <v>JANUARY</v>
      </c>
      <c r="G81">
        <v>11</v>
      </c>
      <c r="H81">
        <v>0</v>
      </c>
      <c r="I81">
        <v>2</v>
      </c>
      <c r="J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1" t="str">
        <f>IF(final_data786[[#This Row],[DAY_CODE]]=0,"weekend",IF(final_data786[[#This Row],[DAY_CODE]]=6,"weekend","weekday"))</f>
        <v>weekday</v>
      </c>
      <c r="L81">
        <v>1</v>
      </c>
      <c r="M81" t="str">
        <f>IF(final_data786[[#This Row],[WEATHER_CODE]]=1,"clear",IF(final_data786[[#This Row],[WEATHER_CODE]]=2,"cloudy",IF(final_data786[[#This Row],[WEATHER_CODE]]=3,"light rain",IF(final_data786[[#This Row],[WEATHER_CODE]]=4,"heavy rain",0))))</f>
        <v>clear</v>
      </c>
      <c r="N81">
        <v>0.22</v>
      </c>
      <c r="O81">
        <v>0.21210000000000001</v>
      </c>
      <c r="P81">
        <v>0.51</v>
      </c>
      <c r="Q81">
        <v>0.29849999999999999</v>
      </c>
      <c r="R81">
        <v>7</v>
      </c>
      <c r="S81">
        <v>50</v>
      </c>
      <c r="T81">
        <v>57</v>
      </c>
    </row>
    <row r="82" spans="1:20" x14ac:dyDescent="0.35">
      <c r="A82">
        <v>81</v>
      </c>
      <c r="B82" s="1">
        <v>40547</v>
      </c>
      <c r="C82">
        <v>1</v>
      </c>
      <c r="D82">
        <v>0</v>
      </c>
      <c r="E82">
        <v>1</v>
      </c>
      <c r="F82" t="str">
        <f>IF(final_data786[[#This Row],[MONTH_CODE]]=1,"JANUARY",IF(final_data786[[#This Row],[MONTH_CODE]]=2,"FEBRUARY"))</f>
        <v>JANUARY</v>
      </c>
      <c r="G82">
        <v>12</v>
      </c>
      <c r="H82">
        <v>0</v>
      </c>
      <c r="I82">
        <v>2</v>
      </c>
      <c r="J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2" t="str">
        <f>IF(final_data786[[#This Row],[DAY_CODE]]=0,"weekend",IF(final_data786[[#This Row],[DAY_CODE]]=6,"weekend","weekday"))</f>
        <v>weekday</v>
      </c>
      <c r="L82">
        <v>1</v>
      </c>
      <c r="M82" t="str">
        <f>IF(final_data786[[#This Row],[WEATHER_CODE]]=1,"clear",IF(final_data786[[#This Row],[WEATHER_CODE]]=2,"cloudy",IF(final_data786[[#This Row],[WEATHER_CODE]]=3,"light rain",IF(final_data786[[#This Row],[WEATHER_CODE]]=4,"heavy rain",0))))</f>
        <v>clear</v>
      </c>
      <c r="N82">
        <v>0.22</v>
      </c>
      <c r="O82">
        <v>0.2273</v>
      </c>
      <c r="P82">
        <v>0.51</v>
      </c>
      <c r="Q82">
        <v>0.16420000000000001</v>
      </c>
      <c r="R82">
        <v>12</v>
      </c>
      <c r="S82">
        <v>66</v>
      </c>
      <c r="T82">
        <v>78</v>
      </c>
    </row>
    <row r="83" spans="1:20" x14ac:dyDescent="0.35">
      <c r="A83">
        <v>82</v>
      </c>
      <c r="B83" s="1">
        <v>40547</v>
      </c>
      <c r="C83">
        <v>1</v>
      </c>
      <c r="D83">
        <v>0</v>
      </c>
      <c r="E83">
        <v>1</v>
      </c>
      <c r="F83" t="str">
        <f>IF(final_data786[[#This Row],[MONTH_CODE]]=1,"JANUARY",IF(final_data786[[#This Row],[MONTH_CODE]]=2,"FEBRUARY"))</f>
        <v>JANUARY</v>
      </c>
      <c r="G83">
        <v>13</v>
      </c>
      <c r="H83">
        <v>0</v>
      </c>
      <c r="I83">
        <v>2</v>
      </c>
      <c r="J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3" t="str">
        <f>IF(final_data786[[#This Row],[DAY_CODE]]=0,"weekend",IF(final_data786[[#This Row],[DAY_CODE]]=6,"weekend","weekday"))</f>
        <v>weekday</v>
      </c>
      <c r="L83">
        <v>1</v>
      </c>
      <c r="M83" t="str">
        <f>IF(final_data786[[#This Row],[WEATHER_CODE]]=1,"clear",IF(final_data786[[#This Row],[WEATHER_CODE]]=2,"cloudy",IF(final_data786[[#This Row],[WEATHER_CODE]]=3,"light rain",IF(final_data786[[#This Row],[WEATHER_CODE]]=4,"heavy rain",0))))</f>
        <v>clear</v>
      </c>
      <c r="N83">
        <v>0.24</v>
      </c>
      <c r="O83">
        <v>0.2273</v>
      </c>
      <c r="P83">
        <v>0.56000000000000005</v>
      </c>
      <c r="Q83">
        <v>0.19400000000000001</v>
      </c>
      <c r="R83">
        <v>18</v>
      </c>
      <c r="S83">
        <v>79</v>
      </c>
      <c r="T83">
        <v>97</v>
      </c>
    </row>
    <row r="84" spans="1:20" x14ac:dyDescent="0.35">
      <c r="A84">
        <v>83</v>
      </c>
      <c r="B84" s="1">
        <v>40547</v>
      </c>
      <c r="C84">
        <v>1</v>
      </c>
      <c r="D84">
        <v>0</v>
      </c>
      <c r="E84">
        <v>1</v>
      </c>
      <c r="F84" t="str">
        <f>IF(final_data786[[#This Row],[MONTH_CODE]]=1,"JANUARY",IF(final_data786[[#This Row],[MONTH_CODE]]=2,"FEBRUARY"))</f>
        <v>JANUARY</v>
      </c>
      <c r="G84">
        <v>14</v>
      </c>
      <c r="H84">
        <v>0</v>
      </c>
      <c r="I84">
        <v>2</v>
      </c>
      <c r="J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4" t="str">
        <f>IF(final_data786[[#This Row],[DAY_CODE]]=0,"weekend",IF(final_data786[[#This Row],[DAY_CODE]]=6,"weekend","weekday"))</f>
        <v>weekday</v>
      </c>
      <c r="L84">
        <v>1</v>
      </c>
      <c r="M84" t="str">
        <f>IF(final_data786[[#This Row],[WEATHER_CODE]]=1,"clear",IF(final_data786[[#This Row],[WEATHER_CODE]]=2,"cloudy",IF(final_data786[[#This Row],[WEATHER_CODE]]=3,"light rain",IF(final_data786[[#This Row],[WEATHER_CODE]]=4,"heavy rain",0))))</f>
        <v>clear</v>
      </c>
      <c r="N84">
        <v>0.26</v>
      </c>
      <c r="O84">
        <v>0.2576</v>
      </c>
      <c r="P84">
        <v>0.52</v>
      </c>
      <c r="Q84">
        <v>0.22389999999999999</v>
      </c>
      <c r="R84">
        <v>9</v>
      </c>
      <c r="S84">
        <v>54</v>
      </c>
      <c r="T84">
        <v>63</v>
      </c>
    </row>
    <row r="85" spans="1:20" x14ac:dyDescent="0.35">
      <c r="A85">
        <v>84</v>
      </c>
      <c r="B85" s="1">
        <v>40547</v>
      </c>
      <c r="C85">
        <v>1</v>
      </c>
      <c r="D85">
        <v>0</v>
      </c>
      <c r="E85">
        <v>1</v>
      </c>
      <c r="F85" t="str">
        <f>IF(final_data786[[#This Row],[MONTH_CODE]]=1,"JANUARY",IF(final_data786[[#This Row],[MONTH_CODE]]=2,"FEBRUARY"))</f>
        <v>JANUARY</v>
      </c>
      <c r="G85">
        <v>15</v>
      </c>
      <c r="H85">
        <v>0</v>
      </c>
      <c r="I85">
        <v>2</v>
      </c>
      <c r="J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 t="str">
        <f>IF(final_data786[[#This Row],[DAY_CODE]]=0,"weekend",IF(final_data786[[#This Row],[DAY_CODE]]=6,"weekend","weekday"))</f>
        <v>weekday</v>
      </c>
      <c r="L85">
        <v>1</v>
      </c>
      <c r="M85" t="str">
        <f>IF(final_data786[[#This Row],[WEATHER_CODE]]=1,"clear",IF(final_data786[[#This Row],[WEATHER_CODE]]=2,"cloudy",IF(final_data786[[#This Row],[WEATHER_CODE]]=3,"light rain",IF(final_data786[[#This Row],[WEATHER_CODE]]=4,"heavy rain",0))))</f>
        <v>clear</v>
      </c>
      <c r="N85">
        <v>0.28000000000000003</v>
      </c>
      <c r="O85">
        <v>0.2727</v>
      </c>
      <c r="P85">
        <v>0.52</v>
      </c>
      <c r="Q85">
        <v>0.25369999999999998</v>
      </c>
      <c r="R85">
        <v>17</v>
      </c>
      <c r="S85">
        <v>48</v>
      </c>
      <c r="T85">
        <v>65</v>
      </c>
    </row>
    <row r="86" spans="1:20" x14ac:dyDescent="0.35">
      <c r="A86">
        <v>85</v>
      </c>
      <c r="B86" s="1">
        <v>40547</v>
      </c>
      <c r="C86">
        <v>1</v>
      </c>
      <c r="D86">
        <v>0</v>
      </c>
      <c r="E86">
        <v>1</v>
      </c>
      <c r="F86" t="str">
        <f>IF(final_data786[[#This Row],[MONTH_CODE]]=1,"JANUARY",IF(final_data786[[#This Row],[MONTH_CODE]]=2,"FEBRUARY"))</f>
        <v>JANUARY</v>
      </c>
      <c r="G86">
        <v>16</v>
      </c>
      <c r="H86">
        <v>0</v>
      </c>
      <c r="I86">
        <v>2</v>
      </c>
      <c r="J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 t="str">
        <f>IF(final_data786[[#This Row],[DAY_CODE]]=0,"weekend",IF(final_data786[[#This Row],[DAY_CODE]]=6,"weekend","weekday"))</f>
        <v>weekday</v>
      </c>
      <c r="L86">
        <v>1</v>
      </c>
      <c r="M86" t="str">
        <f>IF(final_data786[[#This Row],[WEATHER_CODE]]=1,"clear",IF(final_data786[[#This Row],[WEATHER_CODE]]=2,"cloudy",IF(final_data786[[#This Row],[WEATHER_CODE]]=3,"light rain",IF(final_data786[[#This Row],[WEATHER_CODE]]=4,"heavy rain",0))))</f>
        <v>clear</v>
      </c>
      <c r="N86">
        <v>0.3</v>
      </c>
      <c r="O86">
        <v>0.28789999999999999</v>
      </c>
      <c r="P86">
        <v>0.49</v>
      </c>
      <c r="Q86">
        <v>0.25369999999999998</v>
      </c>
      <c r="R86">
        <v>15</v>
      </c>
      <c r="S86">
        <v>68</v>
      </c>
      <c r="T86">
        <v>83</v>
      </c>
    </row>
    <row r="87" spans="1:20" x14ac:dyDescent="0.35">
      <c r="A87">
        <v>86</v>
      </c>
      <c r="B87" s="1">
        <v>40547</v>
      </c>
      <c r="C87">
        <v>1</v>
      </c>
      <c r="D87">
        <v>0</v>
      </c>
      <c r="E87">
        <v>1</v>
      </c>
      <c r="F87" t="str">
        <f>IF(final_data786[[#This Row],[MONTH_CODE]]=1,"JANUARY",IF(final_data786[[#This Row],[MONTH_CODE]]=2,"FEBRUARY"))</f>
        <v>JANUARY</v>
      </c>
      <c r="G87">
        <v>17</v>
      </c>
      <c r="H87">
        <v>0</v>
      </c>
      <c r="I87">
        <v>2</v>
      </c>
      <c r="J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 t="str">
        <f>IF(final_data786[[#This Row],[DAY_CODE]]=0,"weekend",IF(final_data786[[#This Row],[DAY_CODE]]=6,"weekend","weekday"))</f>
        <v>weekday</v>
      </c>
      <c r="L87">
        <v>1</v>
      </c>
      <c r="M87" t="str">
        <f>IF(final_data786[[#This Row],[WEATHER_CODE]]=1,"clear",IF(final_data786[[#This Row],[WEATHER_CODE]]=2,"cloudy",IF(final_data786[[#This Row],[WEATHER_CODE]]=3,"light rain",IF(final_data786[[#This Row],[WEATHER_CODE]]=4,"heavy rain",0))))</f>
        <v>clear</v>
      </c>
      <c r="N87">
        <v>0.28000000000000003</v>
      </c>
      <c r="O87">
        <v>0.2727</v>
      </c>
      <c r="P87">
        <v>0.48</v>
      </c>
      <c r="Q87">
        <v>0.22389999999999999</v>
      </c>
      <c r="R87">
        <v>10</v>
      </c>
      <c r="S87">
        <v>202</v>
      </c>
      <c r="T87">
        <v>212</v>
      </c>
    </row>
    <row r="88" spans="1:20" x14ac:dyDescent="0.35">
      <c r="A88">
        <v>87</v>
      </c>
      <c r="B88" s="1">
        <v>40547</v>
      </c>
      <c r="C88">
        <v>1</v>
      </c>
      <c r="D88">
        <v>0</v>
      </c>
      <c r="E88">
        <v>1</v>
      </c>
      <c r="F88" t="str">
        <f>IF(final_data786[[#This Row],[MONTH_CODE]]=1,"JANUARY",IF(final_data786[[#This Row],[MONTH_CODE]]=2,"FEBRUARY"))</f>
        <v>JANUARY</v>
      </c>
      <c r="G88">
        <v>18</v>
      </c>
      <c r="H88">
        <v>0</v>
      </c>
      <c r="I88">
        <v>2</v>
      </c>
      <c r="J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8" t="str">
        <f>IF(final_data786[[#This Row],[DAY_CODE]]=0,"weekend",IF(final_data786[[#This Row],[DAY_CODE]]=6,"weekend","weekday"))</f>
        <v>weekday</v>
      </c>
      <c r="L88">
        <v>1</v>
      </c>
      <c r="M88" t="str">
        <f>IF(final_data786[[#This Row],[WEATHER_CODE]]=1,"clear",IF(final_data786[[#This Row],[WEATHER_CODE]]=2,"cloudy",IF(final_data786[[#This Row],[WEATHER_CODE]]=3,"light rain",IF(final_data786[[#This Row],[WEATHER_CODE]]=4,"heavy rain",0))))</f>
        <v>clear</v>
      </c>
      <c r="N88">
        <v>0.26</v>
      </c>
      <c r="O88">
        <v>0.2576</v>
      </c>
      <c r="P88">
        <v>0.48</v>
      </c>
      <c r="Q88">
        <v>0.19400000000000001</v>
      </c>
      <c r="R88">
        <v>3</v>
      </c>
      <c r="S88">
        <v>179</v>
      </c>
      <c r="T88">
        <v>182</v>
      </c>
    </row>
    <row r="89" spans="1:20" x14ac:dyDescent="0.35">
      <c r="A89">
        <v>88</v>
      </c>
      <c r="B89" s="1">
        <v>40547</v>
      </c>
      <c r="C89">
        <v>1</v>
      </c>
      <c r="D89">
        <v>0</v>
      </c>
      <c r="E89">
        <v>1</v>
      </c>
      <c r="F89" t="str">
        <f>IF(final_data786[[#This Row],[MONTH_CODE]]=1,"JANUARY",IF(final_data786[[#This Row],[MONTH_CODE]]=2,"FEBRUARY"))</f>
        <v>JANUARY</v>
      </c>
      <c r="G89">
        <v>19</v>
      </c>
      <c r="H89">
        <v>0</v>
      </c>
      <c r="I89">
        <v>2</v>
      </c>
      <c r="J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9" t="str">
        <f>IF(final_data786[[#This Row],[DAY_CODE]]=0,"weekend",IF(final_data786[[#This Row],[DAY_CODE]]=6,"weekend","weekday"))</f>
        <v>weekday</v>
      </c>
      <c r="L89">
        <v>1</v>
      </c>
      <c r="M89" t="str">
        <f>IF(final_data786[[#This Row],[WEATHER_CODE]]=1,"clear",IF(final_data786[[#This Row],[WEATHER_CODE]]=2,"cloudy",IF(final_data786[[#This Row],[WEATHER_CODE]]=3,"light rain",IF(final_data786[[#This Row],[WEATHER_CODE]]=4,"heavy rain",0))))</f>
        <v>clear</v>
      </c>
      <c r="N89">
        <v>0.24</v>
      </c>
      <c r="O89">
        <v>0.2576</v>
      </c>
      <c r="P89">
        <v>0.48</v>
      </c>
      <c r="Q89">
        <v>0.1045</v>
      </c>
      <c r="R89">
        <v>2</v>
      </c>
      <c r="S89">
        <v>110</v>
      </c>
      <c r="T89">
        <v>112</v>
      </c>
    </row>
    <row r="90" spans="1:20" x14ac:dyDescent="0.35">
      <c r="A90">
        <v>89</v>
      </c>
      <c r="B90" s="1">
        <v>40547</v>
      </c>
      <c r="C90">
        <v>1</v>
      </c>
      <c r="D90">
        <v>0</v>
      </c>
      <c r="E90">
        <v>1</v>
      </c>
      <c r="F90" t="str">
        <f>IF(final_data786[[#This Row],[MONTH_CODE]]=1,"JANUARY",IF(final_data786[[#This Row],[MONTH_CODE]]=2,"FEBRUARY"))</f>
        <v>JANUARY</v>
      </c>
      <c r="G90">
        <v>20</v>
      </c>
      <c r="H90">
        <v>0</v>
      </c>
      <c r="I90">
        <v>2</v>
      </c>
      <c r="J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90" t="str">
        <f>IF(final_data786[[#This Row],[DAY_CODE]]=0,"weekend",IF(final_data786[[#This Row],[DAY_CODE]]=6,"weekend","weekday"))</f>
        <v>weekday</v>
      </c>
      <c r="L90">
        <v>1</v>
      </c>
      <c r="M90" t="str">
        <f>IF(final_data786[[#This Row],[WEATHER_CODE]]=1,"clear",IF(final_data786[[#This Row],[WEATHER_CODE]]=2,"cloudy",IF(final_data786[[#This Row],[WEATHER_CODE]]=3,"light rain",IF(final_data786[[#This Row],[WEATHER_CODE]]=4,"heavy rain",0))))</f>
        <v>clear</v>
      </c>
      <c r="N90">
        <v>0.24</v>
      </c>
      <c r="O90">
        <v>0.2576</v>
      </c>
      <c r="P90">
        <v>0.48</v>
      </c>
      <c r="Q90">
        <v>0.1045</v>
      </c>
      <c r="R90">
        <v>1</v>
      </c>
      <c r="S90">
        <v>53</v>
      </c>
      <c r="T90">
        <v>54</v>
      </c>
    </row>
    <row r="91" spans="1:20" x14ac:dyDescent="0.35">
      <c r="A91">
        <v>90</v>
      </c>
      <c r="B91" s="1">
        <v>40547</v>
      </c>
      <c r="C91">
        <v>1</v>
      </c>
      <c r="D91">
        <v>0</v>
      </c>
      <c r="E91">
        <v>1</v>
      </c>
      <c r="F91" t="str">
        <f>IF(final_data786[[#This Row],[MONTH_CODE]]=1,"JANUARY",IF(final_data786[[#This Row],[MONTH_CODE]]=2,"FEBRUARY"))</f>
        <v>JANUARY</v>
      </c>
      <c r="G91">
        <v>21</v>
      </c>
      <c r="H91">
        <v>0</v>
      </c>
      <c r="I91">
        <v>2</v>
      </c>
      <c r="J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91" t="str">
        <f>IF(final_data786[[#This Row],[DAY_CODE]]=0,"weekend",IF(final_data786[[#This Row],[DAY_CODE]]=6,"weekend","weekday"))</f>
        <v>weekday</v>
      </c>
      <c r="L91">
        <v>1</v>
      </c>
      <c r="M91" t="str">
        <f>IF(final_data786[[#This Row],[WEATHER_CODE]]=1,"clear",IF(final_data786[[#This Row],[WEATHER_CODE]]=2,"cloudy",IF(final_data786[[#This Row],[WEATHER_CODE]]=3,"light rain",IF(final_data786[[#This Row],[WEATHER_CODE]]=4,"heavy rain",0))))</f>
        <v>clear</v>
      </c>
      <c r="N91">
        <v>0.22</v>
      </c>
      <c r="O91">
        <v>0.2727</v>
      </c>
      <c r="P91">
        <v>0.64</v>
      </c>
      <c r="Q91">
        <v>0</v>
      </c>
      <c r="R91">
        <v>0</v>
      </c>
      <c r="S91">
        <v>48</v>
      </c>
      <c r="T91">
        <v>48</v>
      </c>
    </row>
    <row r="92" spans="1:20" x14ac:dyDescent="0.35">
      <c r="A92">
        <v>91</v>
      </c>
      <c r="B92" s="1">
        <v>40547</v>
      </c>
      <c r="C92">
        <v>1</v>
      </c>
      <c r="D92">
        <v>0</v>
      </c>
      <c r="E92">
        <v>1</v>
      </c>
      <c r="F92" t="str">
        <f>IF(final_data786[[#This Row],[MONTH_CODE]]=1,"JANUARY",IF(final_data786[[#This Row],[MONTH_CODE]]=2,"FEBRUARY"))</f>
        <v>JANUARY</v>
      </c>
      <c r="G92">
        <v>22</v>
      </c>
      <c r="H92">
        <v>0</v>
      </c>
      <c r="I92">
        <v>2</v>
      </c>
      <c r="J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92" t="str">
        <f>IF(final_data786[[#This Row],[DAY_CODE]]=0,"weekend",IF(final_data786[[#This Row],[DAY_CODE]]=6,"weekend","weekday"))</f>
        <v>weekday</v>
      </c>
      <c r="L92">
        <v>1</v>
      </c>
      <c r="M92" t="str">
        <f>IF(final_data786[[#This Row],[WEATHER_CODE]]=1,"clear",IF(final_data786[[#This Row],[WEATHER_CODE]]=2,"cloudy",IF(final_data786[[#This Row],[WEATHER_CODE]]=3,"light rain",IF(final_data786[[#This Row],[WEATHER_CODE]]=4,"heavy rain",0))))</f>
        <v>clear</v>
      </c>
      <c r="N92">
        <v>0.22</v>
      </c>
      <c r="O92">
        <v>0.2576</v>
      </c>
      <c r="P92">
        <v>0.64</v>
      </c>
      <c r="Q92">
        <v>8.9599999999999999E-2</v>
      </c>
      <c r="R92">
        <v>1</v>
      </c>
      <c r="S92">
        <v>34</v>
      </c>
      <c r="T92">
        <v>35</v>
      </c>
    </row>
    <row r="93" spans="1:20" x14ac:dyDescent="0.35">
      <c r="A93">
        <v>92</v>
      </c>
      <c r="B93" s="1">
        <v>40547</v>
      </c>
      <c r="C93">
        <v>1</v>
      </c>
      <c r="D93">
        <v>0</v>
      </c>
      <c r="E93">
        <v>1</v>
      </c>
      <c r="F93" t="str">
        <f>IF(final_data786[[#This Row],[MONTH_CODE]]=1,"JANUARY",IF(final_data786[[#This Row],[MONTH_CODE]]=2,"FEBRUARY"))</f>
        <v>JANUARY</v>
      </c>
      <c r="G93">
        <v>23</v>
      </c>
      <c r="H93">
        <v>0</v>
      </c>
      <c r="I93">
        <v>2</v>
      </c>
      <c r="J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93" t="str">
        <f>IF(final_data786[[#This Row],[DAY_CODE]]=0,"weekend",IF(final_data786[[#This Row],[DAY_CODE]]=6,"weekend","weekday"))</f>
        <v>weekday</v>
      </c>
      <c r="L93">
        <v>1</v>
      </c>
      <c r="M93" t="str">
        <f>IF(final_data786[[#This Row],[WEATHER_CODE]]=1,"clear",IF(final_data786[[#This Row],[WEATHER_CODE]]=2,"cloudy",IF(final_data786[[#This Row],[WEATHER_CODE]]=3,"light rain",IF(final_data786[[#This Row],[WEATHER_CODE]]=4,"heavy rain",0))))</f>
        <v>clear</v>
      </c>
      <c r="N93">
        <v>0.2</v>
      </c>
      <c r="O93">
        <v>0.2273</v>
      </c>
      <c r="P93">
        <v>0.69</v>
      </c>
      <c r="Q93">
        <v>8.9599999999999999E-2</v>
      </c>
      <c r="R93">
        <v>2</v>
      </c>
      <c r="S93">
        <v>9</v>
      </c>
      <c r="T93">
        <v>11</v>
      </c>
    </row>
    <row r="94" spans="1:20" x14ac:dyDescent="0.35">
      <c r="A94">
        <v>93</v>
      </c>
      <c r="B94" s="1">
        <v>40548</v>
      </c>
      <c r="C94">
        <v>1</v>
      </c>
      <c r="D94">
        <v>0</v>
      </c>
      <c r="E94">
        <v>1</v>
      </c>
      <c r="F94" t="str">
        <f>IF(final_data786[[#This Row],[MONTH_CODE]]=1,"JANUARY",IF(final_data786[[#This Row],[MONTH_CODE]]=2,"FEBRUARY"))</f>
        <v>JANUARY</v>
      </c>
      <c r="G94">
        <v>0</v>
      </c>
      <c r="H94">
        <v>0</v>
      </c>
      <c r="I94">
        <v>3</v>
      </c>
      <c r="J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4" t="str">
        <f>IF(final_data786[[#This Row],[DAY_CODE]]=0,"weekend",IF(final_data786[[#This Row],[DAY_CODE]]=6,"weekend","weekday"))</f>
        <v>weekday</v>
      </c>
      <c r="L94">
        <v>1</v>
      </c>
      <c r="M94" t="str">
        <f>IF(final_data786[[#This Row],[WEATHER_CODE]]=1,"clear",IF(final_data786[[#This Row],[WEATHER_CODE]]=2,"cloudy",IF(final_data786[[#This Row],[WEATHER_CODE]]=3,"light rain",IF(final_data786[[#This Row],[WEATHER_CODE]]=4,"heavy rain",0))))</f>
        <v>clear</v>
      </c>
      <c r="N94">
        <v>0.2</v>
      </c>
      <c r="O94">
        <v>0.2576</v>
      </c>
      <c r="P94">
        <v>0.64</v>
      </c>
      <c r="Q94">
        <v>0</v>
      </c>
      <c r="R94">
        <v>0</v>
      </c>
      <c r="S94">
        <v>6</v>
      </c>
      <c r="T94">
        <v>6</v>
      </c>
    </row>
    <row r="95" spans="1:20" x14ac:dyDescent="0.35">
      <c r="A95">
        <v>94</v>
      </c>
      <c r="B95" s="1">
        <v>40548</v>
      </c>
      <c r="C95">
        <v>1</v>
      </c>
      <c r="D95">
        <v>0</v>
      </c>
      <c r="E95">
        <v>1</v>
      </c>
      <c r="F95" t="str">
        <f>IF(final_data786[[#This Row],[MONTH_CODE]]=1,"JANUARY",IF(final_data786[[#This Row],[MONTH_CODE]]=2,"FEBRUARY"))</f>
        <v>JANUARY</v>
      </c>
      <c r="G95">
        <v>1</v>
      </c>
      <c r="H95">
        <v>0</v>
      </c>
      <c r="I95">
        <v>3</v>
      </c>
      <c r="J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5" t="str">
        <f>IF(final_data786[[#This Row],[DAY_CODE]]=0,"weekend",IF(final_data786[[#This Row],[DAY_CODE]]=6,"weekend","weekday"))</f>
        <v>weekday</v>
      </c>
      <c r="L95">
        <v>1</v>
      </c>
      <c r="M95" t="str">
        <f>IF(final_data786[[#This Row],[WEATHER_CODE]]=1,"clear",IF(final_data786[[#This Row],[WEATHER_CODE]]=2,"cloudy",IF(final_data786[[#This Row],[WEATHER_CODE]]=3,"light rain",IF(final_data786[[#This Row],[WEATHER_CODE]]=4,"heavy rain",0))))</f>
        <v>clear</v>
      </c>
      <c r="N95">
        <v>0.16</v>
      </c>
      <c r="O95">
        <v>0.19700000000000001</v>
      </c>
      <c r="P95">
        <v>0.74</v>
      </c>
      <c r="Q95">
        <v>8.9599999999999999E-2</v>
      </c>
      <c r="R95">
        <v>0</v>
      </c>
      <c r="S95">
        <v>6</v>
      </c>
      <c r="T95">
        <v>6</v>
      </c>
    </row>
    <row r="96" spans="1:20" x14ac:dyDescent="0.35">
      <c r="A96">
        <v>95</v>
      </c>
      <c r="B96" s="1">
        <v>40548</v>
      </c>
      <c r="C96">
        <v>1</v>
      </c>
      <c r="D96">
        <v>0</v>
      </c>
      <c r="E96">
        <v>1</v>
      </c>
      <c r="F96" t="str">
        <f>IF(final_data786[[#This Row],[MONTH_CODE]]=1,"JANUARY",IF(final_data786[[#This Row],[MONTH_CODE]]=2,"FEBRUARY"))</f>
        <v>JANUARY</v>
      </c>
      <c r="G96">
        <v>2</v>
      </c>
      <c r="H96">
        <v>0</v>
      </c>
      <c r="I96">
        <v>3</v>
      </c>
      <c r="J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6" t="str">
        <f>IF(final_data786[[#This Row],[DAY_CODE]]=0,"weekend",IF(final_data786[[#This Row],[DAY_CODE]]=6,"weekend","weekday"))</f>
        <v>weekday</v>
      </c>
      <c r="L96">
        <v>1</v>
      </c>
      <c r="M96" t="str">
        <f>IF(final_data786[[#This Row],[WEATHER_CODE]]=1,"clear",IF(final_data786[[#This Row],[WEATHER_CODE]]=2,"cloudy",IF(final_data786[[#This Row],[WEATHER_CODE]]=3,"light rain",IF(final_data786[[#This Row],[WEATHER_CODE]]=4,"heavy rain",0))))</f>
        <v>clear</v>
      </c>
      <c r="N96">
        <v>0.16</v>
      </c>
      <c r="O96">
        <v>0.19700000000000001</v>
      </c>
      <c r="P96">
        <v>0.74</v>
      </c>
      <c r="Q96">
        <v>8.9599999999999999E-2</v>
      </c>
      <c r="R96">
        <v>0</v>
      </c>
      <c r="S96">
        <v>2</v>
      </c>
      <c r="T96">
        <v>2</v>
      </c>
    </row>
    <row r="97" spans="1:20" x14ac:dyDescent="0.35">
      <c r="A97">
        <v>96</v>
      </c>
      <c r="B97" s="1">
        <v>40548</v>
      </c>
      <c r="C97">
        <v>1</v>
      </c>
      <c r="D97">
        <v>0</v>
      </c>
      <c r="E97">
        <v>1</v>
      </c>
      <c r="F97" t="str">
        <f>IF(final_data786[[#This Row],[MONTH_CODE]]=1,"JANUARY",IF(final_data786[[#This Row],[MONTH_CODE]]=2,"FEBRUARY"))</f>
        <v>JANUARY</v>
      </c>
      <c r="G97">
        <v>4</v>
      </c>
      <c r="H97">
        <v>0</v>
      </c>
      <c r="I97">
        <v>3</v>
      </c>
      <c r="J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7" t="str">
        <f>IF(final_data786[[#This Row],[DAY_CODE]]=0,"weekend",IF(final_data786[[#This Row],[DAY_CODE]]=6,"weekend","weekday"))</f>
        <v>weekday</v>
      </c>
      <c r="L97">
        <v>1</v>
      </c>
      <c r="M97" t="str">
        <f>IF(final_data786[[#This Row],[WEATHER_CODE]]=1,"clear",IF(final_data786[[#This Row],[WEATHER_CODE]]=2,"cloudy",IF(final_data786[[#This Row],[WEATHER_CODE]]=3,"light rain",IF(final_data786[[#This Row],[WEATHER_CODE]]=4,"heavy rain",0))))</f>
        <v>clear</v>
      </c>
      <c r="N97">
        <v>0.24</v>
      </c>
      <c r="O97">
        <v>0.2273</v>
      </c>
      <c r="P97">
        <v>0.48</v>
      </c>
      <c r="Q97">
        <v>0.22389999999999999</v>
      </c>
      <c r="R97">
        <v>0</v>
      </c>
      <c r="S97">
        <v>2</v>
      </c>
      <c r="T97">
        <v>2</v>
      </c>
    </row>
    <row r="98" spans="1:20" x14ac:dyDescent="0.35">
      <c r="A98">
        <v>97</v>
      </c>
      <c r="B98" s="1">
        <v>40548</v>
      </c>
      <c r="C98">
        <v>1</v>
      </c>
      <c r="D98">
        <v>0</v>
      </c>
      <c r="E98">
        <v>1</v>
      </c>
      <c r="F98" t="str">
        <f>IF(final_data786[[#This Row],[MONTH_CODE]]=1,"JANUARY",IF(final_data786[[#This Row],[MONTH_CODE]]=2,"FEBRUARY"))</f>
        <v>JANUARY</v>
      </c>
      <c r="G98">
        <v>5</v>
      </c>
      <c r="H98">
        <v>0</v>
      </c>
      <c r="I98">
        <v>3</v>
      </c>
      <c r="J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8" t="str">
        <f>IF(final_data786[[#This Row],[DAY_CODE]]=0,"weekend",IF(final_data786[[#This Row],[DAY_CODE]]=6,"weekend","weekday"))</f>
        <v>weekday</v>
      </c>
      <c r="L98">
        <v>1</v>
      </c>
      <c r="M98" t="str">
        <f>IF(final_data786[[#This Row],[WEATHER_CODE]]=1,"clear",IF(final_data786[[#This Row],[WEATHER_CODE]]=2,"cloudy",IF(final_data786[[#This Row],[WEATHER_CODE]]=3,"light rain",IF(final_data786[[#This Row],[WEATHER_CODE]]=4,"heavy rain",0))))</f>
        <v>clear</v>
      </c>
      <c r="N98">
        <v>0.22</v>
      </c>
      <c r="O98">
        <v>0.2273</v>
      </c>
      <c r="P98">
        <v>0.47</v>
      </c>
      <c r="Q98">
        <v>0.16420000000000001</v>
      </c>
      <c r="R98">
        <v>0</v>
      </c>
      <c r="S98">
        <v>3</v>
      </c>
      <c r="T98">
        <v>3</v>
      </c>
    </row>
    <row r="99" spans="1:20" x14ac:dyDescent="0.35">
      <c r="A99">
        <v>98</v>
      </c>
      <c r="B99" s="1">
        <v>40548</v>
      </c>
      <c r="C99">
        <v>1</v>
      </c>
      <c r="D99">
        <v>0</v>
      </c>
      <c r="E99">
        <v>1</v>
      </c>
      <c r="F99" t="str">
        <f>IF(final_data786[[#This Row],[MONTH_CODE]]=1,"JANUARY",IF(final_data786[[#This Row],[MONTH_CODE]]=2,"FEBRUARY"))</f>
        <v>JANUARY</v>
      </c>
      <c r="G99">
        <v>6</v>
      </c>
      <c r="H99">
        <v>0</v>
      </c>
      <c r="I99">
        <v>3</v>
      </c>
      <c r="J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9" t="str">
        <f>IF(final_data786[[#This Row],[DAY_CODE]]=0,"weekend",IF(final_data786[[#This Row],[DAY_CODE]]=6,"weekend","weekday"))</f>
        <v>weekday</v>
      </c>
      <c r="L99">
        <v>1</v>
      </c>
      <c r="M99" t="str">
        <f>IF(final_data786[[#This Row],[WEATHER_CODE]]=1,"clear",IF(final_data786[[#This Row],[WEATHER_CODE]]=2,"cloudy",IF(final_data786[[#This Row],[WEATHER_CODE]]=3,"light rain",IF(final_data786[[#This Row],[WEATHER_CODE]]=4,"heavy rain",0))))</f>
        <v>clear</v>
      </c>
      <c r="N99">
        <v>0.2</v>
      </c>
      <c r="O99">
        <v>0.19700000000000001</v>
      </c>
      <c r="P99">
        <v>0.47</v>
      </c>
      <c r="Q99">
        <v>0.22389999999999999</v>
      </c>
      <c r="R99">
        <v>0</v>
      </c>
      <c r="S99">
        <v>33</v>
      </c>
      <c r="T99">
        <v>33</v>
      </c>
    </row>
    <row r="100" spans="1:20" x14ac:dyDescent="0.35">
      <c r="A100">
        <v>99</v>
      </c>
      <c r="B100" s="1">
        <v>40548</v>
      </c>
      <c r="C100">
        <v>1</v>
      </c>
      <c r="D100">
        <v>0</v>
      </c>
      <c r="E100">
        <v>1</v>
      </c>
      <c r="F100" t="str">
        <f>IF(final_data786[[#This Row],[MONTH_CODE]]=1,"JANUARY",IF(final_data786[[#This Row],[MONTH_CODE]]=2,"FEBRUARY"))</f>
        <v>JANUARY</v>
      </c>
      <c r="G100">
        <v>7</v>
      </c>
      <c r="H100">
        <v>0</v>
      </c>
      <c r="I100">
        <v>3</v>
      </c>
      <c r="J1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0" t="str">
        <f>IF(final_data786[[#This Row],[DAY_CODE]]=0,"weekend",IF(final_data786[[#This Row],[DAY_CODE]]=6,"weekend","weekday"))</f>
        <v>weekday</v>
      </c>
      <c r="L100">
        <v>1</v>
      </c>
      <c r="M100" t="str">
        <f>IF(final_data786[[#This Row],[WEATHER_CODE]]=1,"clear",IF(final_data786[[#This Row],[WEATHER_CODE]]=2,"cloudy",IF(final_data786[[#This Row],[WEATHER_CODE]]=3,"light rain",IF(final_data786[[#This Row],[WEATHER_CODE]]=4,"heavy rain",0))))</f>
        <v>clear</v>
      </c>
      <c r="N100">
        <v>0.18</v>
      </c>
      <c r="O100">
        <v>0.18179999999999999</v>
      </c>
      <c r="P100">
        <v>0.43</v>
      </c>
      <c r="Q100">
        <v>0.19400000000000001</v>
      </c>
      <c r="R100">
        <v>1</v>
      </c>
      <c r="S100">
        <v>87</v>
      </c>
      <c r="T100">
        <v>88</v>
      </c>
    </row>
    <row r="101" spans="1:20" x14ac:dyDescent="0.35">
      <c r="A101">
        <v>100</v>
      </c>
      <c r="B101" s="1">
        <v>40548</v>
      </c>
      <c r="C101">
        <v>1</v>
      </c>
      <c r="D101">
        <v>0</v>
      </c>
      <c r="E101">
        <v>1</v>
      </c>
      <c r="F101" t="str">
        <f>IF(final_data786[[#This Row],[MONTH_CODE]]=1,"JANUARY",IF(final_data786[[#This Row],[MONTH_CODE]]=2,"FEBRUARY"))</f>
        <v>JANUARY</v>
      </c>
      <c r="G101">
        <v>8</v>
      </c>
      <c r="H101">
        <v>0</v>
      </c>
      <c r="I101">
        <v>3</v>
      </c>
      <c r="J1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1" t="str">
        <f>IF(final_data786[[#This Row],[DAY_CODE]]=0,"weekend",IF(final_data786[[#This Row],[DAY_CODE]]=6,"weekend","weekday"))</f>
        <v>weekday</v>
      </c>
      <c r="L101">
        <v>1</v>
      </c>
      <c r="M101" t="str">
        <f>IF(final_data786[[#This Row],[WEATHER_CODE]]=1,"clear",IF(final_data786[[#This Row],[WEATHER_CODE]]=2,"cloudy",IF(final_data786[[#This Row],[WEATHER_CODE]]=3,"light rain",IF(final_data786[[#This Row],[WEATHER_CODE]]=4,"heavy rain",0))))</f>
        <v>clear</v>
      </c>
      <c r="N101">
        <v>0.2</v>
      </c>
      <c r="O101">
        <v>0.18179999999999999</v>
      </c>
      <c r="P101">
        <v>0.4</v>
      </c>
      <c r="Q101">
        <v>0.29849999999999999</v>
      </c>
      <c r="R101">
        <v>3</v>
      </c>
      <c r="S101">
        <v>192</v>
      </c>
      <c r="T101">
        <v>195</v>
      </c>
    </row>
    <row r="102" spans="1:20" x14ac:dyDescent="0.35">
      <c r="A102">
        <v>101</v>
      </c>
      <c r="B102" s="1">
        <v>40548</v>
      </c>
      <c r="C102">
        <v>1</v>
      </c>
      <c r="D102">
        <v>0</v>
      </c>
      <c r="E102">
        <v>1</v>
      </c>
      <c r="F102" t="str">
        <f>IF(final_data786[[#This Row],[MONTH_CODE]]=1,"JANUARY",IF(final_data786[[#This Row],[MONTH_CODE]]=2,"FEBRUARY"))</f>
        <v>JANUARY</v>
      </c>
      <c r="G102">
        <v>9</v>
      </c>
      <c r="H102">
        <v>0</v>
      </c>
      <c r="I102">
        <v>3</v>
      </c>
      <c r="J1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2" t="str">
        <f>IF(final_data786[[#This Row],[DAY_CODE]]=0,"weekend",IF(final_data786[[#This Row],[DAY_CODE]]=6,"weekend","weekday"))</f>
        <v>weekday</v>
      </c>
      <c r="L102">
        <v>1</v>
      </c>
      <c r="M102" t="str">
        <f>IF(final_data786[[#This Row],[WEATHER_CODE]]=1,"clear",IF(final_data786[[#This Row],[WEATHER_CODE]]=2,"cloudy",IF(final_data786[[#This Row],[WEATHER_CODE]]=3,"light rain",IF(final_data786[[#This Row],[WEATHER_CODE]]=4,"heavy rain",0))))</f>
        <v>clear</v>
      </c>
      <c r="N102">
        <v>0.22</v>
      </c>
      <c r="O102">
        <v>0.19700000000000001</v>
      </c>
      <c r="P102">
        <v>0.37</v>
      </c>
      <c r="Q102">
        <v>0.32840000000000003</v>
      </c>
      <c r="R102">
        <v>6</v>
      </c>
      <c r="S102">
        <v>109</v>
      </c>
      <c r="T102">
        <v>115</v>
      </c>
    </row>
    <row r="103" spans="1:20" x14ac:dyDescent="0.35">
      <c r="A103">
        <v>102</v>
      </c>
      <c r="B103" s="1">
        <v>40548</v>
      </c>
      <c r="C103">
        <v>1</v>
      </c>
      <c r="D103">
        <v>0</v>
      </c>
      <c r="E103">
        <v>1</v>
      </c>
      <c r="F103" t="str">
        <f>IF(final_data786[[#This Row],[MONTH_CODE]]=1,"JANUARY",IF(final_data786[[#This Row],[MONTH_CODE]]=2,"FEBRUARY"))</f>
        <v>JANUARY</v>
      </c>
      <c r="G103">
        <v>10</v>
      </c>
      <c r="H103">
        <v>0</v>
      </c>
      <c r="I103">
        <v>3</v>
      </c>
      <c r="J1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3" t="str">
        <f>IF(final_data786[[#This Row],[DAY_CODE]]=0,"weekend",IF(final_data786[[#This Row],[DAY_CODE]]=6,"weekend","weekday"))</f>
        <v>weekday</v>
      </c>
      <c r="L103">
        <v>1</v>
      </c>
      <c r="M103" t="str">
        <f>IF(final_data786[[#This Row],[WEATHER_CODE]]=1,"clear",IF(final_data786[[#This Row],[WEATHER_CODE]]=2,"cloudy",IF(final_data786[[#This Row],[WEATHER_CODE]]=3,"light rain",IF(final_data786[[#This Row],[WEATHER_CODE]]=4,"heavy rain",0))))</f>
        <v>clear</v>
      </c>
      <c r="N103">
        <v>0.22</v>
      </c>
      <c r="O103">
        <v>0.19700000000000001</v>
      </c>
      <c r="P103">
        <v>0.37</v>
      </c>
      <c r="Q103">
        <v>0.32840000000000003</v>
      </c>
      <c r="R103">
        <v>4</v>
      </c>
      <c r="S103">
        <v>53</v>
      </c>
      <c r="T103">
        <v>57</v>
      </c>
    </row>
    <row r="104" spans="1:20" x14ac:dyDescent="0.35">
      <c r="A104">
        <v>103</v>
      </c>
      <c r="B104" s="1">
        <v>40548</v>
      </c>
      <c r="C104">
        <v>1</v>
      </c>
      <c r="D104">
        <v>0</v>
      </c>
      <c r="E104">
        <v>1</v>
      </c>
      <c r="F104" t="str">
        <f>IF(final_data786[[#This Row],[MONTH_CODE]]=1,"JANUARY",IF(final_data786[[#This Row],[MONTH_CODE]]=2,"FEBRUARY"))</f>
        <v>JANUARY</v>
      </c>
      <c r="G104">
        <v>11</v>
      </c>
      <c r="H104">
        <v>0</v>
      </c>
      <c r="I104">
        <v>3</v>
      </c>
      <c r="J1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4" t="str">
        <f>IF(final_data786[[#This Row],[DAY_CODE]]=0,"weekend",IF(final_data786[[#This Row],[DAY_CODE]]=6,"weekend","weekday"))</f>
        <v>weekday</v>
      </c>
      <c r="L104">
        <v>1</v>
      </c>
      <c r="M104" t="str">
        <f>IF(final_data786[[#This Row],[WEATHER_CODE]]=1,"clear",IF(final_data786[[#This Row],[WEATHER_CODE]]=2,"cloudy",IF(final_data786[[#This Row],[WEATHER_CODE]]=3,"light rain",IF(final_data786[[#This Row],[WEATHER_CODE]]=4,"heavy rain",0))))</f>
        <v>clear</v>
      </c>
      <c r="N104">
        <v>0.26</v>
      </c>
      <c r="O104">
        <v>0.2273</v>
      </c>
      <c r="P104">
        <v>0.33</v>
      </c>
      <c r="Q104">
        <v>0.32840000000000003</v>
      </c>
      <c r="R104">
        <v>12</v>
      </c>
      <c r="S104">
        <v>34</v>
      </c>
      <c r="T104">
        <v>46</v>
      </c>
    </row>
    <row r="105" spans="1:20" x14ac:dyDescent="0.35">
      <c r="A105">
        <v>104</v>
      </c>
      <c r="B105" s="1">
        <v>40548</v>
      </c>
      <c r="C105">
        <v>1</v>
      </c>
      <c r="D105">
        <v>0</v>
      </c>
      <c r="E105">
        <v>1</v>
      </c>
      <c r="F105" t="str">
        <f>IF(final_data786[[#This Row],[MONTH_CODE]]=1,"JANUARY",IF(final_data786[[#This Row],[MONTH_CODE]]=2,"FEBRUARY"))</f>
        <v>JANUARY</v>
      </c>
      <c r="G105">
        <v>12</v>
      </c>
      <c r="H105">
        <v>0</v>
      </c>
      <c r="I105">
        <v>3</v>
      </c>
      <c r="J1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5" t="str">
        <f>IF(final_data786[[#This Row],[DAY_CODE]]=0,"weekend",IF(final_data786[[#This Row],[DAY_CODE]]=6,"weekend","weekday"))</f>
        <v>weekday</v>
      </c>
      <c r="L105">
        <v>1</v>
      </c>
      <c r="M105" t="str">
        <f>IF(final_data786[[#This Row],[WEATHER_CODE]]=1,"clear",IF(final_data786[[#This Row],[WEATHER_CODE]]=2,"cloudy",IF(final_data786[[#This Row],[WEATHER_CODE]]=3,"light rain",IF(final_data786[[#This Row],[WEATHER_CODE]]=4,"heavy rain",0))))</f>
        <v>clear</v>
      </c>
      <c r="N105">
        <v>0.26</v>
      </c>
      <c r="O105">
        <v>0.2273</v>
      </c>
      <c r="P105">
        <v>0.33</v>
      </c>
      <c r="Q105">
        <v>0.32840000000000003</v>
      </c>
      <c r="R105">
        <v>5</v>
      </c>
      <c r="S105">
        <v>74</v>
      </c>
      <c r="T105">
        <v>79</v>
      </c>
    </row>
    <row r="106" spans="1:20" x14ac:dyDescent="0.35">
      <c r="A106">
        <v>105</v>
      </c>
      <c r="B106" s="1">
        <v>40548</v>
      </c>
      <c r="C106">
        <v>1</v>
      </c>
      <c r="D106">
        <v>0</v>
      </c>
      <c r="E106">
        <v>1</v>
      </c>
      <c r="F106" t="str">
        <f>IF(final_data786[[#This Row],[MONTH_CODE]]=1,"JANUARY",IF(final_data786[[#This Row],[MONTH_CODE]]=2,"FEBRUARY"))</f>
        <v>JANUARY</v>
      </c>
      <c r="G106">
        <v>13</v>
      </c>
      <c r="H106">
        <v>0</v>
      </c>
      <c r="I106">
        <v>3</v>
      </c>
      <c r="J1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6" t="str">
        <f>IF(final_data786[[#This Row],[DAY_CODE]]=0,"weekend",IF(final_data786[[#This Row],[DAY_CODE]]=6,"weekend","weekday"))</f>
        <v>weekday</v>
      </c>
      <c r="L106">
        <v>1</v>
      </c>
      <c r="M106" t="str">
        <f>IF(final_data786[[#This Row],[WEATHER_CODE]]=1,"clear",IF(final_data786[[#This Row],[WEATHER_CODE]]=2,"cloudy",IF(final_data786[[#This Row],[WEATHER_CODE]]=3,"light rain",IF(final_data786[[#This Row],[WEATHER_CODE]]=4,"heavy rain",0))))</f>
        <v>clear</v>
      </c>
      <c r="N106">
        <v>0.28000000000000003</v>
      </c>
      <c r="O106">
        <v>0.2576</v>
      </c>
      <c r="P106">
        <v>0.3</v>
      </c>
      <c r="Q106">
        <v>0.29849999999999999</v>
      </c>
      <c r="R106">
        <v>6</v>
      </c>
      <c r="S106">
        <v>65</v>
      </c>
      <c r="T106">
        <v>71</v>
      </c>
    </row>
    <row r="107" spans="1:20" x14ac:dyDescent="0.35">
      <c r="A107">
        <v>106</v>
      </c>
      <c r="B107" s="1">
        <v>40548</v>
      </c>
      <c r="C107">
        <v>1</v>
      </c>
      <c r="D107">
        <v>0</v>
      </c>
      <c r="E107">
        <v>1</v>
      </c>
      <c r="F107" t="str">
        <f>IF(final_data786[[#This Row],[MONTH_CODE]]=1,"JANUARY",IF(final_data786[[#This Row],[MONTH_CODE]]=2,"FEBRUARY"))</f>
        <v>JANUARY</v>
      </c>
      <c r="G107">
        <v>14</v>
      </c>
      <c r="H107">
        <v>0</v>
      </c>
      <c r="I107">
        <v>3</v>
      </c>
      <c r="J1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7" t="str">
        <f>IF(final_data786[[#This Row],[DAY_CODE]]=0,"weekend",IF(final_data786[[#This Row],[DAY_CODE]]=6,"weekend","weekday"))</f>
        <v>weekday</v>
      </c>
      <c r="L107">
        <v>1</v>
      </c>
      <c r="M107" t="str">
        <f>IF(final_data786[[#This Row],[WEATHER_CODE]]=1,"clear",IF(final_data786[[#This Row],[WEATHER_CODE]]=2,"cloudy",IF(final_data786[[#This Row],[WEATHER_CODE]]=3,"light rain",IF(final_data786[[#This Row],[WEATHER_CODE]]=4,"heavy rain",0))))</f>
        <v>clear</v>
      </c>
      <c r="N107">
        <v>0.3</v>
      </c>
      <c r="O107">
        <v>0.28789999999999999</v>
      </c>
      <c r="P107">
        <v>0.28000000000000003</v>
      </c>
      <c r="Q107">
        <v>0.19400000000000001</v>
      </c>
      <c r="R107">
        <v>10</v>
      </c>
      <c r="S107">
        <v>52</v>
      </c>
      <c r="T107">
        <v>62</v>
      </c>
    </row>
    <row r="108" spans="1:20" x14ac:dyDescent="0.35">
      <c r="A108">
        <v>107</v>
      </c>
      <c r="B108" s="1">
        <v>40548</v>
      </c>
      <c r="C108">
        <v>1</v>
      </c>
      <c r="D108">
        <v>0</v>
      </c>
      <c r="E108">
        <v>1</v>
      </c>
      <c r="F108" t="str">
        <f>IF(final_data786[[#This Row],[MONTH_CODE]]=1,"JANUARY",IF(final_data786[[#This Row],[MONTH_CODE]]=2,"FEBRUARY"))</f>
        <v>JANUARY</v>
      </c>
      <c r="G108">
        <v>15</v>
      </c>
      <c r="H108">
        <v>0</v>
      </c>
      <c r="I108">
        <v>3</v>
      </c>
      <c r="J1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8" t="str">
        <f>IF(final_data786[[#This Row],[DAY_CODE]]=0,"weekend",IF(final_data786[[#This Row],[DAY_CODE]]=6,"weekend","weekday"))</f>
        <v>weekday</v>
      </c>
      <c r="L108">
        <v>1</v>
      </c>
      <c r="M108" t="str">
        <f>IF(final_data786[[#This Row],[WEATHER_CODE]]=1,"clear",IF(final_data786[[#This Row],[WEATHER_CODE]]=2,"cloudy",IF(final_data786[[#This Row],[WEATHER_CODE]]=3,"light rain",IF(final_data786[[#This Row],[WEATHER_CODE]]=4,"heavy rain",0))))</f>
        <v>clear</v>
      </c>
      <c r="N108">
        <v>0.3</v>
      </c>
      <c r="O108">
        <v>0.28789999999999999</v>
      </c>
      <c r="P108">
        <v>0.28000000000000003</v>
      </c>
      <c r="Q108">
        <v>0.19400000000000001</v>
      </c>
      <c r="R108">
        <v>7</v>
      </c>
      <c r="S108">
        <v>55</v>
      </c>
      <c r="T108">
        <v>62</v>
      </c>
    </row>
    <row r="109" spans="1:20" x14ac:dyDescent="0.35">
      <c r="A109">
        <v>108</v>
      </c>
      <c r="B109" s="1">
        <v>40548</v>
      </c>
      <c r="C109">
        <v>1</v>
      </c>
      <c r="D109">
        <v>0</v>
      </c>
      <c r="E109">
        <v>1</v>
      </c>
      <c r="F109" t="str">
        <f>IF(final_data786[[#This Row],[MONTH_CODE]]=1,"JANUARY",IF(final_data786[[#This Row],[MONTH_CODE]]=2,"FEBRUARY"))</f>
        <v>JANUARY</v>
      </c>
      <c r="G109">
        <v>16</v>
      </c>
      <c r="H109">
        <v>0</v>
      </c>
      <c r="I109">
        <v>3</v>
      </c>
      <c r="J1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09" t="str">
        <f>IF(final_data786[[#This Row],[DAY_CODE]]=0,"weekend",IF(final_data786[[#This Row],[DAY_CODE]]=6,"weekend","weekday"))</f>
        <v>weekday</v>
      </c>
      <c r="L109">
        <v>1</v>
      </c>
      <c r="M109" t="str">
        <f>IF(final_data786[[#This Row],[WEATHER_CODE]]=1,"clear",IF(final_data786[[#This Row],[WEATHER_CODE]]=2,"cloudy",IF(final_data786[[#This Row],[WEATHER_CODE]]=3,"light rain",IF(final_data786[[#This Row],[WEATHER_CODE]]=4,"heavy rain",0))))</f>
        <v>clear</v>
      </c>
      <c r="N109">
        <v>0.3</v>
      </c>
      <c r="O109">
        <v>0.31819999999999998</v>
      </c>
      <c r="P109">
        <v>0.28000000000000003</v>
      </c>
      <c r="Q109">
        <v>8.9599999999999999E-2</v>
      </c>
      <c r="R109">
        <v>4</v>
      </c>
      <c r="S109">
        <v>85</v>
      </c>
      <c r="T109">
        <v>89</v>
      </c>
    </row>
    <row r="110" spans="1:20" x14ac:dyDescent="0.35">
      <c r="A110">
        <v>109</v>
      </c>
      <c r="B110" s="1">
        <v>40548</v>
      </c>
      <c r="C110">
        <v>1</v>
      </c>
      <c r="D110">
        <v>0</v>
      </c>
      <c r="E110">
        <v>1</v>
      </c>
      <c r="F110" t="str">
        <f>IF(final_data786[[#This Row],[MONTH_CODE]]=1,"JANUARY",IF(final_data786[[#This Row],[MONTH_CODE]]=2,"FEBRUARY"))</f>
        <v>JANUARY</v>
      </c>
      <c r="G110">
        <v>17</v>
      </c>
      <c r="H110">
        <v>0</v>
      </c>
      <c r="I110">
        <v>3</v>
      </c>
      <c r="J1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0" t="str">
        <f>IF(final_data786[[#This Row],[DAY_CODE]]=0,"weekend",IF(final_data786[[#This Row],[DAY_CODE]]=6,"weekend","weekday"))</f>
        <v>weekday</v>
      </c>
      <c r="L110">
        <v>1</v>
      </c>
      <c r="M110" t="str">
        <f>IF(final_data786[[#This Row],[WEATHER_CODE]]=1,"clear",IF(final_data786[[#This Row],[WEATHER_CODE]]=2,"cloudy",IF(final_data786[[#This Row],[WEATHER_CODE]]=3,"light rain",IF(final_data786[[#This Row],[WEATHER_CODE]]=4,"heavy rain",0))))</f>
        <v>clear</v>
      </c>
      <c r="N110">
        <v>0.24</v>
      </c>
      <c r="O110">
        <v>0.2273</v>
      </c>
      <c r="P110">
        <v>0.38</v>
      </c>
      <c r="Q110">
        <v>0.19400000000000001</v>
      </c>
      <c r="R110">
        <v>4</v>
      </c>
      <c r="S110">
        <v>186</v>
      </c>
      <c r="T110">
        <v>190</v>
      </c>
    </row>
    <row r="111" spans="1:20" x14ac:dyDescent="0.35">
      <c r="A111">
        <v>110</v>
      </c>
      <c r="B111" s="1">
        <v>40548</v>
      </c>
      <c r="C111">
        <v>1</v>
      </c>
      <c r="D111">
        <v>0</v>
      </c>
      <c r="E111">
        <v>1</v>
      </c>
      <c r="F111" t="str">
        <f>IF(final_data786[[#This Row],[MONTH_CODE]]=1,"JANUARY",IF(final_data786[[#This Row],[MONTH_CODE]]=2,"FEBRUARY"))</f>
        <v>JANUARY</v>
      </c>
      <c r="G111">
        <v>18</v>
      </c>
      <c r="H111">
        <v>0</v>
      </c>
      <c r="I111">
        <v>3</v>
      </c>
      <c r="J1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1" t="str">
        <f>IF(final_data786[[#This Row],[DAY_CODE]]=0,"weekend",IF(final_data786[[#This Row],[DAY_CODE]]=6,"weekend","weekday"))</f>
        <v>weekday</v>
      </c>
      <c r="L111">
        <v>1</v>
      </c>
      <c r="M111" t="str">
        <f>IF(final_data786[[#This Row],[WEATHER_CODE]]=1,"clear",IF(final_data786[[#This Row],[WEATHER_CODE]]=2,"cloudy",IF(final_data786[[#This Row],[WEATHER_CODE]]=3,"light rain",IF(final_data786[[#This Row],[WEATHER_CODE]]=4,"heavy rain",0))))</f>
        <v>clear</v>
      </c>
      <c r="N111">
        <v>0.24</v>
      </c>
      <c r="O111">
        <v>0.2424</v>
      </c>
      <c r="P111">
        <v>0.38</v>
      </c>
      <c r="Q111">
        <v>0.1343</v>
      </c>
      <c r="R111">
        <v>3</v>
      </c>
      <c r="S111">
        <v>166</v>
      </c>
      <c r="T111">
        <v>169</v>
      </c>
    </row>
    <row r="112" spans="1:20" x14ac:dyDescent="0.35">
      <c r="A112">
        <v>111</v>
      </c>
      <c r="B112" s="1">
        <v>40548</v>
      </c>
      <c r="C112">
        <v>1</v>
      </c>
      <c r="D112">
        <v>0</v>
      </c>
      <c r="E112">
        <v>1</v>
      </c>
      <c r="F112" t="str">
        <f>IF(final_data786[[#This Row],[MONTH_CODE]]=1,"JANUARY",IF(final_data786[[#This Row],[MONTH_CODE]]=2,"FEBRUARY"))</f>
        <v>JANUARY</v>
      </c>
      <c r="G112">
        <v>19</v>
      </c>
      <c r="H112">
        <v>0</v>
      </c>
      <c r="I112">
        <v>3</v>
      </c>
      <c r="J1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2" t="str">
        <f>IF(final_data786[[#This Row],[DAY_CODE]]=0,"weekend",IF(final_data786[[#This Row],[DAY_CODE]]=6,"weekend","weekday"))</f>
        <v>weekday</v>
      </c>
      <c r="L112">
        <v>1</v>
      </c>
      <c r="M112" t="str">
        <f>IF(final_data786[[#This Row],[WEATHER_CODE]]=1,"clear",IF(final_data786[[#This Row],[WEATHER_CODE]]=2,"cloudy",IF(final_data786[[#This Row],[WEATHER_CODE]]=3,"light rain",IF(final_data786[[#This Row],[WEATHER_CODE]]=4,"heavy rain",0))))</f>
        <v>clear</v>
      </c>
      <c r="N112">
        <v>0.24</v>
      </c>
      <c r="O112">
        <v>0.2576</v>
      </c>
      <c r="P112">
        <v>0.38</v>
      </c>
      <c r="Q112">
        <v>0.1045</v>
      </c>
      <c r="R112">
        <v>5</v>
      </c>
      <c r="S112">
        <v>127</v>
      </c>
      <c r="T112">
        <v>132</v>
      </c>
    </row>
    <row r="113" spans="1:20" x14ac:dyDescent="0.35">
      <c r="A113">
        <v>112</v>
      </c>
      <c r="B113" s="1">
        <v>40548</v>
      </c>
      <c r="C113">
        <v>1</v>
      </c>
      <c r="D113">
        <v>0</v>
      </c>
      <c r="E113">
        <v>1</v>
      </c>
      <c r="F113" t="str">
        <f>IF(final_data786[[#This Row],[MONTH_CODE]]=1,"JANUARY",IF(final_data786[[#This Row],[MONTH_CODE]]=2,"FEBRUARY"))</f>
        <v>JANUARY</v>
      </c>
      <c r="G113">
        <v>20</v>
      </c>
      <c r="H113">
        <v>0</v>
      </c>
      <c r="I113">
        <v>3</v>
      </c>
      <c r="J1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3" t="str">
        <f>IF(final_data786[[#This Row],[DAY_CODE]]=0,"weekend",IF(final_data786[[#This Row],[DAY_CODE]]=6,"weekend","weekday"))</f>
        <v>weekday</v>
      </c>
      <c r="L113">
        <v>1</v>
      </c>
      <c r="M113" t="str">
        <f>IF(final_data786[[#This Row],[WEATHER_CODE]]=1,"clear",IF(final_data786[[#This Row],[WEATHER_CODE]]=2,"cloudy",IF(final_data786[[#This Row],[WEATHER_CODE]]=3,"light rain",IF(final_data786[[#This Row],[WEATHER_CODE]]=4,"heavy rain",0))))</f>
        <v>clear</v>
      </c>
      <c r="N113">
        <v>0.22</v>
      </c>
      <c r="O113">
        <v>0.2273</v>
      </c>
      <c r="P113">
        <v>0.47</v>
      </c>
      <c r="Q113">
        <v>0.16420000000000001</v>
      </c>
      <c r="R113">
        <v>7</v>
      </c>
      <c r="S113">
        <v>82</v>
      </c>
      <c r="T113">
        <v>89</v>
      </c>
    </row>
    <row r="114" spans="1:20" x14ac:dyDescent="0.35">
      <c r="A114">
        <v>113</v>
      </c>
      <c r="B114" s="1">
        <v>40548</v>
      </c>
      <c r="C114">
        <v>1</v>
      </c>
      <c r="D114">
        <v>0</v>
      </c>
      <c r="E114">
        <v>1</v>
      </c>
      <c r="F114" t="str">
        <f>IF(final_data786[[#This Row],[MONTH_CODE]]=1,"JANUARY",IF(final_data786[[#This Row],[MONTH_CODE]]=2,"FEBRUARY"))</f>
        <v>JANUARY</v>
      </c>
      <c r="G114">
        <v>21</v>
      </c>
      <c r="H114">
        <v>0</v>
      </c>
      <c r="I114">
        <v>3</v>
      </c>
      <c r="J1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4" t="str">
        <f>IF(final_data786[[#This Row],[DAY_CODE]]=0,"weekend",IF(final_data786[[#This Row],[DAY_CODE]]=6,"weekend","weekday"))</f>
        <v>weekday</v>
      </c>
      <c r="L114">
        <v>1</v>
      </c>
      <c r="M114" t="str">
        <f>IF(final_data786[[#This Row],[WEATHER_CODE]]=1,"clear",IF(final_data786[[#This Row],[WEATHER_CODE]]=2,"cloudy",IF(final_data786[[#This Row],[WEATHER_CODE]]=3,"light rain",IF(final_data786[[#This Row],[WEATHER_CODE]]=4,"heavy rain",0))))</f>
        <v>clear</v>
      </c>
      <c r="N114">
        <v>0.2</v>
      </c>
      <c r="O114">
        <v>0.19700000000000001</v>
      </c>
      <c r="P114">
        <v>0.51</v>
      </c>
      <c r="Q114">
        <v>0.19400000000000001</v>
      </c>
      <c r="R114">
        <v>3</v>
      </c>
      <c r="S114">
        <v>40</v>
      </c>
      <c r="T114">
        <v>43</v>
      </c>
    </row>
    <row r="115" spans="1:20" x14ac:dyDescent="0.35">
      <c r="A115">
        <v>114</v>
      </c>
      <c r="B115" s="1">
        <v>40548</v>
      </c>
      <c r="C115">
        <v>1</v>
      </c>
      <c r="D115">
        <v>0</v>
      </c>
      <c r="E115">
        <v>1</v>
      </c>
      <c r="F115" t="str">
        <f>IF(final_data786[[#This Row],[MONTH_CODE]]=1,"JANUARY",IF(final_data786[[#This Row],[MONTH_CODE]]=2,"FEBRUARY"))</f>
        <v>JANUARY</v>
      </c>
      <c r="G115">
        <v>22</v>
      </c>
      <c r="H115">
        <v>0</v>
      </c>
      <c r="I115">
        <v>3</v>
      </c>
      <c r="J1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5" t="str">
        <f>IF(final_data786[[#This Row],[DAY_CODE]]=0,"weekend",IF(final_data786[[#This Row],[DAY_CODE]]=6,"weekend","weekday"))</f>
        <v>weekday</v>
      </c>
      <c r="L115">
        <v>1</v>
      </c>
      <c r="M115" t="str">
        <f>IF(final_data786[[#This Row],[WEATHER_CODE]]=1,"clear",IF(final_data786[[#This Row],[WEATHER_CODE]]=2,"cloudy",IF(final_data786[[#This Row],[WEATHER_CODE]]=3,"light rain",IF(final_data786[[#This Row],[WEATHER_CODE]]=4,"heavy rain",0))))</f>
        <v>clear</v>
      </c>
      <c r="N115">
        <v>0.18</v>
      </c>
      <c r="O115">
        <v>0.19700000000000001</v>
      </c>
      <c r="P115">
        <v>0.55000000000000004</v>
      </c>
      <c r="Q115">
        <v>0.1343</v>
      </c>
      <c r="R115">
        <v>1</v>
      </c>
      <c r="S115">
        <v>41</v>
      </c>
      <c r="T115">
        <v>42</v>
      </c>
    </row>
    <row r="116" spans="1:20" x14ac:dyDescent="0.35">
      <c r="A116">
        <v>115</v>
      </c>
      <c r="B116" s="1">
        <v>40548</v>
      </c>
      <c r="C116">
        <v>1</v>
      </c>
      <c r="D116">
        <v>0</v>
      </c>
      <c r="E116">
        <v>1</v>
      </c>
      <c r="F116" t="str">
        <f>IF(final_data786[[#This Row],[MONTH_CODE]]=1,"JANUARY",IF(final_data786[[#This Row],[MONTH_CODE]]=2,"FEBRUARY"))</f>
        <v>JANUARY</v>
      </c>
      <c r="G116">
        <v>23</v>
      </c>
      <c r="H116">
        <v>0</v>
      </c>
      <c r="I116">
        <v>3</v>
      </c>
      <c r="J1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116" t="str">
        <f>IF(final_data786[[#This Row],[DAY_CODE]]=0,"weekend",IF(final_data786[[#This Row],[DAY_CODE]]=6,"weekend","weekday"))</f>
        <v>weekday</v>
      </c>
      <c r="L116">
        <v>1</v>
      </c>
      <c r="M116" t="str">
        <f>IF(final_data786[[#This Row],[WEATHER_CODE]]=1,"clear",IF(final_data786[[#This Row],[WEATHER_CODE]]=2,"cloudy",IF(final_data786[[#This Row],[WEATHER_CODE]]=3,"light rain",IF(final_data786[[#This Row],[WEATHER_CODE]]=4,"heavy rain",0))))</f>
        <v>clear</v>
      </c>
      <c r="N116">
        <v>0.2</v>
      </c>
      <c r="O116">
        <v>0.2576</v>
      </c>
      <c r="P116">
        <v>0.47</v>
      </c>
      <c r="Q116">
        <v>0</v>
      </c>
      <c r="R116">
        <v>1</v>
      </c>
      <c r="S116">
        <v>18</v>
      </c>
      <c r="T116">
        <v>19</v>
      </c>
    </row>
    <row r="117" spans="1:20" x14ac:dyDescent="0.35">
      <c r="A117">
        <v>116</v>
      </c>
      <c r="B117" s="1">
        <v>40549</v>
      </c>
      <c r="C117">
        <v>1</v>
      </c>
      <c r="D117">
        <v>0</v>
      </c>
      <c r="E117">
        <v>1</v>
      </c>
      <c r="F117" t="str">
        <f>IF(final_data786[[#This Row],[MONTH_CODE]]=1,"JANUARY",IF(final_data786[[#This Row],[MONTH_CODE]]=2,"FEBRUARY"))</f>
        <v>JANUARY</v>
      </c>
      <c r="G117">
        <v>0</v>
      </c>
      <c r="H117">
        <v>0</v>
      </c>
      <c r="I117">
        <v>4</v>
      </c>
      <c r="J1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17" t="str">
        <f>IF(final_data786[[#This Row],[DAY_CODE]]=0,"weekend",IF(final_data786[[#This Row],[DAY_CODE]]=6,"weekend","weekday"))</f>
        <v>weekday</v>
      </c>
      <c r="L117">
        <v>1</v>
      </c>
      <c r="M117" t="str">
        <f>IF(final_data786[[#This Row],[WEATHER_CODE]]=1,"clear",IF(final_data786[[#This Row],[WEATHER_CODE]]=2,"cloudy",IF(final_data786[[#This Row],[WEATHER_CODE]]=3,"light rain",IF(final_data786[[#This Row],[WEATHER_CODE]]=4,"heavy rain",0))))</f>
        <v>clear</v>
      </c>
      <c r="N117">
        <v>0.18</v>
      </c>
      <c r="O117">
        <v>0.2424</v>
      </c>
      <c r="P117">
        <v>0.55000000000000004</v>
      </c>
      <c r="Q117">
        <v>0</v>
      </c>
      <c r="R117">
        <v>0</v>
      </c>
      <c r="S117">
        <v>11</v>
      </c>
      <c r="T117">
        <v>11</v>
      </c>
    </row>
    <row r="118" spans="1:20" x14ac:dyDescent="0.35">
      <c r="A118">
        <v>117</v>
      </c>
      <c r="B118" s="1">
        <v>40549</v>
      </c>
      <c r="C118">
        <v>1</v>
      </c>
      <c r="D118">
        <v>0</v>
      </c>
      <c r="E118">
        <v>1</v>
      </c>
      <c r="F118" t="str">
        <f>IF(final_data786[[#This Row],[MONTH_CODE]]=1,"JANUARY",IF(final_data786[[#This Row],[MONTH_CODE]]=2,"FEBRUARY"))</f>
        <v>JANUARY</v>
      </c>
      <c r="G118">
        <v>1</v>
      </c>
      <c r="H118">
        <v>0</v>
      </c>
      <c r="I118">
        <v>4</v>
      </c>
      <c r="J1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18" t="str">
        <f>IF(final_data786[[#This Row],[DAY_CODE]]=0,"weekend",IF(final_data786[[#This Row],[DAY_CODE]]=6,"weekend","weekday"))</f>
        <v>weekday</v>
      </c>
      <c r="L118">
        <v>1</v>
      </c>
      <c r="M118" t="str">
        <f>IF(final_data786[[#This Row],[WEATHER_CODE]]=1,"clear",IF(final_data786[[#This Row],[WEATHER_CODE]]=2,"cloudy",IF(final_data786[[#This Row],[WEATHER_CODE]]=3,"light rain",IF(final_data786[[#This Row],[WEATHER_CODE]]=4,"heavy rain",0))))</f>
        <v>clear</v>
      </c>
      <c r="N118">
        <v>0.16</v>
      </c>
      <c r="O118">
        <v>0.2273</v>
      </c>
      <c r="P118">
        <v>0.64</v>
      </c>
      <c r="Q118">
        <v>0</v>
      </c>
      <c r="R118">
        <v>0</v>
      </c>
      <c r="S118">
        <v>4</v>
      </c>
      <c r="T118">
        <v>4</v>
      </c>
    </row>
    <row r="119" spans="1:20" x14ac:dyDescent="0.35">
      <c r="A119">
        <v>118</v>
      </c>
      <c r="B119" s="1">
        <v>40549</v>
      </c>
      <c r="C119">
        <v>1</v>
      </c>
      <c r="D119">
        <v>0</v>
      </c>
      <c r="E119">
        <v>1</v>
      </c>
      <c r="F119" t="str">
        <f>IF(final_data786[[#This Row],[MONTH_CODE]]=1,"JANUARY",IF(final_data786[[#This Row],[MONTH_CODE]]=2,"FEBRUARY"))</f>
        <v>JANUARY</v>
      </c>
      <c r="G119">
        <v>2</v>
      </c>
      <c r="H119">
        <v>0</v>
      </c>
      <c r="I119">
        <v>4</v>
      </c>
      <c r="J1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19" t="str">
        <f>IF(final_data786[[#This Row],[DAY_CODE]]=0,"weekend",IF(final_data786[[#This Row],[DAY_CODE]]=6,"weekend","weekday"))</f>
        <v>weekday</v>
      </c>
      <c r="L119">
        <v>1</v>
      </c>
      <c r="M119" t="str">
        <f>IF(final_data786[[#This Row],[WEATHER_CODE]]=1,"clear",IF(final_data786[[#This Row],[WEATHER_CODE]]=2,"cloudy",IF(final_data786[[#This Row],[WEATHER_CODE]]=3,"light rain",IF(final_data786[[#This Row],[WEATHER_CODE]]=4,"heavy rain",0))))</f>
        <v>clear</v>
      </c>
      <c r="N119">
        <v>0.16</v>
      </c>
      <c r="O119">
        <v>0.2273</v>
      </c>
      <c r="P119">
        <v>0.64</v>
      </c>
      <c r="Q119">
        <v>0</v>
      </c>
      <c r="R119">
        <v>0</v>
      </c>
      <c r="S119">
        <v>2</v>
      </c>
      <c r="T119">
        <v>2</v>
      </c>
    </row>
    <row r="120" spans="1:20" x14ac:dyDescent="0.35">
      <c r="A120">
        <v>119</v>
      </c>
      <c r="B120" s="1">
        <v>40549</v>
      </c>
      <c r="C120">
        <v>1</v>
      </c>
      <c r="D120">
        <v>0</v>
      </c>
      <c r="E120">
        <v>1</v>
      </c>
      <c r="F120" t="str">
        <f>IF(final_data786[[#This Row],[MONTH_CODE]]=1,"JANUARY",IF(final_data786[[#This Row],[MONTH_CODE]]=2,"FEBRUARY"))</f>
        <v>JANUARY</v>
      </c>
      <c r="G120">
        <v>4</v>
      </c>
      <c r="H120">
        <v>0</v>
      </c>
      <c r="I120">
        <v>4</v>
      </c>
      <c r="J1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0" t="str">
        <f>IF(final_data786[[#This Row],[DAY_CODE]]=0,"weekend",IF(final_data786[[#This Row],[DAY_CODE]]=6,"weekend","weekday"))</f>
        <v>weekday</v>
      </c>
      <c r="L120">
        <v>2</v>
      </c>
      <c r="M120" t="str">
        <f>IF(final_data786[[#This Row],[WEATHER_CODE]]=1,"clear",IF(final_data786[[#This Row],[WEATHER_CODE]]=2,"cloudy",IF(final_data786[[#This Row],[WEATHER_CODE]]=3,"light rain",IF(final_data786[[#This Row],[WEATHER_CODE]]=4,"heavy rain",0))))</f>
        <v>cloudy</v>
      </c>
      <c r="N120">
        <v>0.16</v>
      </c>
      <c r="O120">
        <v>0.19700000000000001</v>
      </c>
      <c r="P120">
        <v>0.64</v>
      </c>
      <c r="Q120">
        <v>8.9599999999999999E-2</v>
      </c>
      <c r="R120">
        <v>0</v>
      </c>
      <c r="S120">
        <v>1</v>
      </c>
      <c r="T120">
        <v>1</v>
      </c>
    </row>
    <row r="121" spans="1:20" x14ac:dyDescent="0.35">
      <c r="A121">
        <v>120</v>
      </c>
      <c r="B121" s="1">
        <v>40549</v>
      </c>
      <c r="C121">
        <v>1</v>
      </c>
      <c r="D121">
        <v>0</v>
      </c>
      <c r="E121">
        <v>1</v>
      </c>
      <c r="F121" t="str">
        <f>IF(final_data786[[#This Row],[MONTH_CODE]]=1,"JANUARY",IF(final_data786[[#This Row],[MONTH_CODE]]=2,"FEBRUARY"))</f>
        <v>JANUARY</v>
      </c>
      <c r="G121">
        <v>5</v>
      </c>
      <c r="H121">
        <v>0</v>
      </c>
      <c r="I121">
        <v>4</v>
      </c>
      <c r="J1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1" t="str">
        <f>IF(final_data786[[#This Row],[DAY_CODE]]=0,"weekend",IF(final_data786[[#This Row],[DAY_CODE]]=6,"weekend","weekday"))</f>
        <v>weekday</v>
      </c>
      <c r="L121">
        <v>2</v>
      </c>
      <c r="M121" t="str">
        <f>IF(final_data786[[#This Row],[WEATHER_CODE]]=1,"clear",IF(final_data786[[#This Row],[WEATHER_CODE]]=2,"cloudy",IF(final_data786[[#This Row],[WEATHER_CODE]]=3,"light rain",IF(final_data786[[#This Row],[WEATHER_CODE]]=4,"heavy rain",0))))</f>
        <v>cloudy</v>
      </c>
      <c r="N121">
        <v>0.14000000000000001</v>
      </c>
      <c r="O121">
        <v>0.18179999999999999</v>
      </c>
      <c r="P121">
        <v>0.69</v>
      </c>
      <c r="Q121">
        <v>8.9599999999999999E-2</v>
      </c>
      <c r="R121">
        <v>0</v>
      </c>
      <c r="S121">
        <v>4</v>
      </c>
      <c r="T121">
        <v>4</v>
      </c>
    </row>
    <row r="122" spans="1:20" x14ac:dyDescent="0.35">
      <c r="A122">
        <v>121</v>
      </c>
      <c r="B122" s="1">
        <v>40549</v>
      </c>
      <c r="C122">
        <v>1</v>
      </c>
      <c r="D122">
        <v>0</v>
      </c>
      <c r="E122">
        <v>1</v>
      </c>
      <c r="F122" t="str">
        <f>IF(final_data786[[#This Row],[MONTH_CODE]]=1,"JANUARY",IF(final_data786[[#This Row],[MONTH_CODE]]=2,"FEBRUARY"))</f>
        <v>JANUARY</v>
      </c>
      <c r="G122">
        <v>6</v>
      </c>
      <c r="H122">
        <v>0</v>
      </c>
      <c r="I122">
        <v>4</v>
      </c>
      <c r="J1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2" t="str">
        <f>IF(final_data786[[#This Row],[DAY_CODE]]=0,"weekend",IF(final_data786[[#This Row],[DAY_CODE]]=6,"weekend","weekday"))</f>
        <v>weekday</v>
      </c>
      <c r="L122">
        <v>2</v>
      </c>
      <c r="M122" t="str">
        <f>IF(final_data786[[#This Row],[WEATHER_CODE]]=1,"clear",IF(final_data786[[#This Row],[WEATHER_CODE]]=2,"cloudy",IF(final_data786[[#This Row],[WEATHER_CODE]]=3,"light rain",IF(final_data786[[#This Row],[WEATHER_CODE]]=4,"heavy rain",0))))</f>
        <v>cloudy</v>
      </c>
      <c r="N122">
        <v>0.14000000000000001</v>
      </c>
      <c r="O122">
        <v>0.16669999999999999</v>
      </c>
      <c r="P122">
        <v>0.63</v>
      </c>
      <c r="Q122">
        <v>0.1045</v>
      </c>
      <c r="R122">
        <v>0</v>
      </c>
      <c r="S122">
        <v>36</v>
      </c>
      <c r="T122">
        <v>36</v>
      </c>
    </row>
    <row r="123" spans="1:20" x14ac:dyDescent="0.35">
      <c r="A123">
        <v>122</v>
      </c>
      <c r="B123" s="1">
        <v>40549</v>
      </c>
      <c r="C123">
        <v>1</v>
      </c>
      <c r="D123">
        <v>0</v>
      </c>
      <c r="E123">
        <v>1</v>
      </c>
      <c r="F123" t="str">
        <f>IF(final_data786[[#This Row],[MONTH_CODE]]=1,"JANUARY",IF(final_data786[[#This Row],[MONTH_CODE]]=2,"FEBRUARY"))</f>
        <v>JANUARY</v>
      </c>
      <c r="G123">
        <v>7</v>
      </c>
      <c r="H123">
        <v>0</v>
      </c>
      <c r="I123">
        <v>4</v>
      </c>
      <c r="J1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3" t="str">
        <f>IF(final_data786[[#This Row],[DAY_CODE]]=0,"weekend",IF(final_data786[[#This Row],[DAY_CODE]]=6,"weekend","weekday"))</f>
        <v>weekday</v>
      </c>
      <c r="L123">
        <v>2</v>
      </c>
      <c r="M123" t="str">
        <f>IF(final_data786[[#This Row],[WEATHER_CODE]]=1,"clear",IF(final_data786[[#This Row],[WEATHER_CODE]]=2,"cloudy",IF(final_data786[[#This Row],[WEATHER_CODE]]=3,"light rain",IF(final_data786[[#This Row],[WEATHER_CODE]]=4,"heavy rain",0))))</f>
        <v>cloudy</v>
      </c>
      <c r="N123">
        <v>0.16</v>
      </c>
      <c r="O123">
        <v>0.2273</v>
      </c>
      <c r="P123">
        <v>0.59</v>
      </c>
      <c r="Q123">
        <v>0</v>
      </c>
      <c r="R123">
        <v>0</v>
      </c>
      <c r="S123">
        <v>95</v>
      </c>
      <c r="T123">
        <v>95</v>
      </c>
    </row>
    <row r="124" spans="1:20" x14ac:dyDescent="0.35">
      <c r="A124">
        <v>123</v>
      </c>
      <c r="B124" s="1">
        <v>40549</v>
      </c>
      <c r="C124">
        <v>1</v>
      </c>
      <c r="D124">
        <v>0</v>
      </c>
      <c r="E124">
        <v>1</v>
      </c>
      <c r="F124" t="str">
        <f>IF(final_data786[[#This Row],[MONTH_CODE]]=1,"JANUARY",IF(final_data786[[#This Row],[MONTH_CODE]]=2,"FEBRUARY"))</f>
        <v>JANUARY</v>
      </c>
      <c r="G124">
        <v>8</v>
      </c>
      <c r="H124">
        <v>0</v>
      </c>
      <c r="I124">
        <v>4</v>
      </c>
      <c r="J1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4" t="str">
        <f>IF(final_data786[[#This Row],[DAY_CODE]]=0,"weekend",IF(final_data786[[#This Row],[DAY_CODE]]=6,"weekend","weekday"))</f>
        <v>weekday</v>
      </c>
      <c r="L124">
        <v>1</v>
      </c>
      <c r="M124" t="str">
        <f>IF(final_data786[[#This Row],[WEATHER_CODE]]=1,"clear",IF(final_data786[[#This Row],[WEATHER_CODE]]=2,"cloudy",IF(final_data786[[#This Row],[WEATHER_CODE]]=3,"light rain",IF(final_data786[[#This Row],[WEATHER_CODE]]=4,"heavy rain",0))))</f>
        <v>clear</v>
      </c>
      <c r="N124">
        <v>0.16</v>
      </c>
      <c r="O124">
        <v>0.2273</v>
      </c>
      <c r="P124">
        <v>0.59</v>
      </c>
      <c r="Q124">
        <v>0</v>
      </c>
      <c r="R124">
        <v>3</v>
      </c>
      <c r="S124">
        <v>216</v>
      </c>
      <c r="T124">
        <v>219</v>
      </c>
    </row>
    <row r="125" spans="1:20" x14ac:dyDescent="0.35">
      <c r="A125">
        <v>124</v>
      </c>
      <c r="B125" s="1">
        <v>40549</v>
      </c>
      <c r="C125">
        <v>1</v>
      </c>
      <c r="D125">
        <v>0</v>
      </c>
      <c r="E125">
        <v>1</v>
      </c>
      <c r="F125" t="str">
        <f>IF(final_data786[[#This Row],[MONTH_CODE]]=1,"JANUARY",IF(final_data786[[#This Row],[MONTH_CODE]]=2,"FEBRUARY"))</f>
        <v>JANUARY</v>
      </c>
      <c r="G125">
        <v>9</v>
      </c>
      <c r="H125">
        <v>0</v>
      </c>
      <c r="I125">
        <v>4</v>
      </c>
      <c r="J1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5" t="str">
        <f>IF(final_data786[[#This Row],[DAY_CODE]]=0,"weekend",IF(final_data786[[#This Row],[DAY_CODE]]=6,"weekend","weekday"))</f>
        <v>weekday</v>
      </c>
      <c r="L125">
        <v>2</v>
      </c>
      <c r="M125" t="str">
        <f>IF(final_data786[[#This Row],[WEATHER_CODE]]=1,"clear",IF(final_data786[[#This Row],[WEATHER_CODE]]=2,"cloudy",IF(final_data786[[#This Row],[WEATHER_CODE]]=3,"light rain",IF(final_data786[[#This Row],[WEATHER_CODE]]=4,"heavy rain",0))))</f>
        <v>cloudy</v>
      </c>
      <c r="N125">
        <v>0.18</v>
      </c>
      <c r="O125">
        <v>0.2424</v>
      </c>
      <c r="P125">
        <v>0.51</v>
      </c>
      <c r="Q125">
        <v>0</v>
      </c>
      <c r="R125">
        <v>6</v>
      </c>
      <c r="S125">
        <v>116</v>
      </c>
      <c r="T125">
        <v>122</v>
      </c>
    </row>
    <row r="126" spans="1:20" x14ac:dyDescent="0.35">
      <c r="A126">
        <v>125</v>
      </c>
      <c r="B126" s="1">
        <v>40549</v>
      </c>
      <c r="C126">
        <v>1</v>
      </c>
      <c r="D126">
        <v>0</v>
      </c>
      <c r="E126">
        <v>1</v>
      </c>
      <c r="F126" t="str">
        <f>IF(final_data786[[#This Row],[MONTH_CODE]]=1,"JANUARY",IF(final_data786[[#This Row],[MONTH_CODE]]=2,"FEBRUARY"))</f>
        <v>JANUARY</v>
      </c>
      <c r="G126">
        <v>10</v>
      </c>
      <c r="H126">
        <v>0</v>
      </c>
      <c r="I126">
        <v>4</v>
      </c>
      <c r="J1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6" t="str">
        <f>IF(final_data786[[#This Row],[DAY_CODE]]=0,"weekend",IF(final_data786[[#This Row],[DAY_CODE]]=6,"weekend","weekday"))</f>
        <v>weekday</v>
      </c>
      <c r="L126">
        <v>1</v>
      </c>
      <c r="M126" t="str">
        <f>IF(final_data786[[#This Row],[WEATHER_CODE]]=1,"clear",IF(final_data786[[#This Row],[WEATHER_CODE]]=2,"cloudy",IF(final_data786[[#This Row],[WEATHER_CODE]]=3,"light rain",IF(final_data786[[#This Row],[WEATHER_CODE]]=4,"heavy rain",0))))</f>
        <v>clear</v>
      </c>
      <c r="N126">
        <v>0.2</v>
      </c>
      <c r="O126">
        <v>0.2576</v>
      </c>
      <c r="P126">
        <v>0.47</v>
      </c>
      <c r="Q126">
        <v>0</v>
      </c>
      <c r="R126">
        <v>3</v>
      </c>
      <c r="S126">
        <v>42</v>
      </c>
      <c r="T126">
        <v>45</v>
      </c>
    </row>
    <row r="127" spans="1:20" x14ac:dyDescent="0.35">
      <c r="A127">
        <v>126</v>
      </c>
      <c r="B127" s="1">
        <v>40549</v>
      </c>
      <c r="C127">
        <v>1</v>
      </c>
      <c r="D127">
        <v>0</v>
      </c>
      <c r="E127">
        <v>1</v>
      </c>
      <c r="F127" t="str">
        <f>IF(final_data786[[#This Row],[MONTH_CODE]]=1,"JANUARY",IF(final_data786[[#This Row],[MONTH_CODE]]=2,"FEBRUARY"))</f>
        <v>JANUARY</v>
      </c>
      <c r="G127">
        <v>11</v>
      </c>
      <c r="H127">
        <v>0</v>
      </c>
      <c r="I127">
        <v>4</v>
      </c>
      <c r="J1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7" t="str">
        <f>IF(final_data786[[#This Row],[DAY_CODE]]=0,"weekend",IF(final_data786[[#This Row],[DAY_CODE]]=6,"weekend","weekday"))</f>
        <v>weekday</v>
      </c>
      <c r="L127">
        <v>1</v>
      </c>
      <c r="M127" t="str">
        <f>IF(final_data786[[#This Row],[WEATHER_CODE]]=1,"clear",IF(final_data786[[#This Row],[WEATHER_CODE]]=2,"cloudy",IF(final_data786[[#This Row],[WEATHER_CODE]]=3,"light rain",IF(final_data786[[#This Row],[WEATHER_CODE]]=4,"heavy rain",0))))</f>
        <v>clear</v>
      </c>
      <c r="N127">
        <v>0.22</v>
      </c>
      <c r="O127">
        <v>0.2576</v>
      </c>
      <c r="P127">
        <v>0.44</v>
      </c>
      <c r="Q127">
        <v>8.9599999999999999E-2</v>
      </c>
      <c r="R127">
        <v>2</v>
      </c>
      <c r="S127">
        <v>57</v>
      </c>
      <c r="T127">
        <v>59</v>
      </c>
    </row>
    <row r="128" spans="1:20" x14ac:dyDescent="0.35">
      <c r="A128">
        <v>127</v>
      </c>
      <c r="B128" s="1">
        <v>40549</v>
      </c>
      <c r="C128">
        <v>1</v>
      </c>
      <c r="D128">
        <v>0</v>
      </c>
      <c r="E128">
        <v>1</v>
      </c>
      <c r="F128" t="str">
        <f>IF(final_data786[[#This Row],[MONTH_CODE]]=1,"JANUARY",IF(final_data786[[#This Row],[MONTH_CODE]]=2,"FEBRUARY"))</f>
        <v>JANUARY</v>
      </c>
      <c r="G128">
        <v>12</v>
      </c>
      <c r="H128">
        <v>0</v>
      </c>
      <c r="I128">
        <v>4</v>
      </c>
      <c r="J1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8" t="str">
        <f>IF(final_data786[[#This Row],[DAY_CODE]]=0,"weekend",IF(final_data786[[#This Row],[DAY_CODE]]=6,"weekend","weekday"))</f>
        <v>weekday</v>
      </c>
      <c r="L128">
        <v>1</v>
      </c>
      <c r="M128" t="str">
        <f>IF(final_data786[[#This Row],[WEATHER_CODE]]=1,"clear",IF(final_data786[[#This Row],[WEATHER_CODE]]=2,"cloudy",IF(final_data786[[#This Row],[WEATHER_CODE]]=3,"light rain",IF(final_data786[[#This Row],[WEATHER_CODE]]=4,"heavy rain",0))))</f>
        <v>clear</v>
      </c>
      <c r="N128">
        <v>0.26</v>
      </c>
      <c r="O128">
        <v>0.28789999999999999</v>
      </c>
      <c r="P128">
        <v>0.35</v>
      </c>
      <c r="Q128">
        <v>0</v>
      </c>
      <c r="R128">
        <v>6</v>
      </c>
      <c r="S128">
        <v>78</v>
      </c>
      <c r="T128">
        <v>84</v>
      </c>
    </row>
    <row r="129" spans="1:20" x14ac:dyDescent="0.35">
      <c r="A129">
        <v>128</v>
      </c>
      <c r="B129" s="1">
        <v>40549</v>
      </c>
      <c r="C129">
        <v>1</v>
      </c>
      <c r="D129">
        <v>0</v>
      </c>
      <c r="E129">
        <v>1</v>
      </c>
      <c r="F129" t="str">
        <f>IF(final_data786[[#This Row],[MONTH_CODE]]=1,"JANUARY",IF(final_data786[[#This Row],[MONTH_CODE]]=2,"FEBRUARY"))</f>
        <v>JANUARY</v>
      </c>
      <c r="G129">
        <v>13</v>
      </c>
      <c r="H129">
        <v>0</v>
      </c>
      <c r="I129">
        <v>4</v>
      </c>
      <c r="J1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29" t="str">
        <f>IF(final_data786[[#This Row],[DAY_CODE]]=0,"weekend",IF(final_data786[[#This Row],[DAY_CODE]]=6,"weekend","weekday"))</f>
        <v>weekday</v>
      </c>
      <c r="L129">
        <v>1</v>
      </c>
      <c r="M129" t="str">
        <f>IF(final_data786[[#This Row],[WEATHER_CODE]]=1,"clear",IF(final_data786[[#This Row],[WEATHER_CODE]]=2,"cloudy",IF(final_data786[[#This Row],[WEATHER_CODE]]=3,"light rain",IF(final_data786[[#This Row],[WEATHER_CODE]]=4,"heavy rain",0))))</f>
        <v>clear</v>
      </c>
      <c r="N129">
        <v>0.26</v>
      </c>
      <c r="O129">
        <v>0.2727</v>
      </c>
      <c r="P129">
        <v>0.35</v>
      </c>
      <c r="Q129">
        <v>0.1045</v>
      </c>
      <c r="R129">
        <v>12</v>
      </c>
      <c r="S129">
        <v>55</v>
      </c>
      <c r="T129">
        <v>67</v>
      </c>
    </row>
    <row r="130" spans="1:20" x14ac:dyDescent="0.35">
      <c r="A130">
        <v>129</v>
      </c>
      <c r="B130" s="1">
        <v>40549</v>
      </c>
      <c r="C130">
        <v>1</v>
      </c>
      <c r="D130">
        <v>0</v>
      </c>
      <c r="E130">
        <v>1</v>
      </c>
      <c r="F130" t="str">
        <f>IF(final_data786[[#This Row],[MONTH_CODE]]=1,"JANUARY",IF(final_data786[[#This Row],[MONTH_CODE]]=2,"FEBRUARY"))</f>
        <v>JANUARY</v>
      </c>
      <c r="G130">
        <v>14</v>
      </c>
      <c r="H130">
        <v>0</v>
      </c>
      <c r="I130">
        <v>4</v>
      </c>
      <c r="J1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0" t="str">
        <f>IF(final_data786[[#This Row],[DAY_CODE]]=0,"weekend",IF(final_data786[[#This Row],[DAY_CODE]]=6,"weekend","weekday"))</f>
        <v>weekday</v>
      </c>
      <c r="L130">
        <v>1</v>
      </c>
      <c r="M130" t="str">
        <f>IF(final_data786[[#This Row],[WEATHER_CODE]]=1,"clear",IF(final_data786[[#This Row],[WEATHER_CODE]]=2,"cloudy",IF(final_data786[[#This Row],[WEATHER_CODE]]=3,"light rain",IF(final_data786[[#This Row],[WEATHER_CODE]]=4,"heavy rain",0))))</f>
        <v>clear</v>
      </c>
      <c r="N130">
        <v>0.28000000000000003</v>
      </c>
      <c r="O130">
        <v>0.2727</v>
      </c>
      <c r="P130">
        <v>0.36</v>
      </c>
      <c r="Q130">
        <v>0.16420000000000001</v>
      </c>
      <c r="R130">
        <v>11</v>
      </c>
      <c r="S130">
        <v>59</v>
      </c>
      <c r="T130">
        <v>70</v>
      </c>
    </row>
    <row r="131" spans="1:20" x14ac:dyDescent="0.35">
      <c r="A131">
        <v>130</v>
      </c>
      <c r="B131" s="1">
        <v>40549</v>
      </c>
      <c r="C131">
        <v>1</v>
      </c>
      <c r="D131">
        <v>0</v>
      </c>
      <c r="E131">
        <v>1</v>
      </c>
      <c r="F131" t="str">
        <f>IF(final_data786[[#This Row],[MONTH_CODE]]=1,"JANUARY",IF(final_data786[[#This Row],[MONTH_CODE]]=2,"FEBRUARY"))</f>
        <v>JANUARY</v>
      </c>
      <c r="G131">
        <v>15</v>
      </c>
      <c r="H131">
        <v>0</v>
      </c>
      <c r="I131">
        <v>4</v>
      </c>
      <c r="J1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1" t="str">
        <f>IF(final_data786[[#This Row],[DAY_CODE]]=0,"weekend",IF(final_data786[[#This Row],[DAY_CODE]]=6,"weekend","weekday"))</f>
        <v>weekday</v>
      </c>
      <c r="L131">
        <v>1</v>
      </c>
      <c r="M131" t="str">
        <f>IF(final_data786[[#This Row],[WEATHER_CODE]]=1,"clear",IF(final_data786[[#This Row],[WEATHER_CODE]]=2,"cloudy",IF(final_data786[[#This Row],[WEATHER_CODE]]=3,"light rain",IF(final_data786[[#This Row],[WEATHER_CODE]]=4,"heavy rain",0))))</f>
        <v>clear</v>
      </c>
      <c r="N131">
        <v>0.28000000000000003</v>
      </c>
      <c r="O131">
        <v>0.2727</v>
      </c>
      <c r="P131">
        <v>0.36</v>
      </c>
      <c r="Q131">
        <v>0</v>
      </c>
      <c r="R131">
        <v>8</v>
      </c>
      <c r="S131">
        <v>54</v>
      </c>
      <c r="T131">
        <v>62</v>
      </c>
    </row>
    <row r="132" spans="1:20" x14ac:dyDescent="0.35">
      <c r="A132">
        <v>131</v>
      </c>
      <c r="B132" s="1">
        <v>40549</v>
      </c>
      <c r="C132">
        <v>1</v>
      </c>
      <c r="D132">
        <v>0</v>
      </c>
      <c r="E132">
        <v>1</v>
      </c>
      <c r="F132" t="str">
        <f>IF(final_data786[[#This Row],[MONTH_CODE]]=1,"JANUARY",IF(final_data786[[#This Row],[MONTH_CODE]]=2,"FEBRUARY"))</f>
        <v>JANUARY</v>
      </c>
      <c r="G132">
        <v>16</v>
      </c>
      <c r="H132">
        <v>0</v>
      </c>
      <c r="I132">
        <v>4</v>
      </c>
      <c r="J1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2" t="str">
        <f>IF(final_data786[[#This Row],[DAY_CODE]]=0,"weekend",IF(final_data786[[#This Row],[DAY_CODE]]=6,"weekend","weekday"))</f>
        <v>weekday</v>
      </c>
      <c r="L132">
        <v>1</v>
      </c>
      <c r="M132" t="str">
        <f>IF(final_data786[[#This Row],[WEATHER_CODE]]=1,"clear",IF(final_data786[[#This Row],[WEATHER_CODE]]=2,"cloudy",IF(final_data786[[#This Row],[WEATHER_CODE]]=3,"light rain",IF(final_data786[[#This Row],[WEATHER_CODE]]=4,"heavy rain",0))))</f>
        <v>clear</v>
      </c>
      <c r="N132">
        <v>0.26</v>
      </c>
      <c r="O132">
        <v>0.2576</v>
      </c>
      <c r="P132">
        <v>0.38</v>
      </c>
      <c r="Q132">
        <v>0.16420000000000001</v>
      </c>
      <c r="R132">
        <v>12</v>
      </c>
      <c r="S132">
        <v>74</v>
      </c>
      <c r="T132">
        <v>86</v>
      </c>
    </row>
    <row r="133" spans="1:20" x14ac:dyDescent="0.35">
      <c r="A133">
        <v>132</v>
      </c>
      <c r="B133" s="1">
        <v>40549</v>
      </c>
      <c r="C133">
        <v>1</v>
      </c>
      <c r="D133">
        <v>0</v>
      </c>
      <c r="E133">
        <v>1</v>
      </c>
      <c r="F133" t="str">
        <f>IF(final_data786[[#This Row],[MONTH_CODE]]=1,"JANUARY",IF(final_data786[[#This Row],[MONTH_CODE]]=2,"FEBRUARY"))</f>
        <v>JANUARY</v>
      </c>
      <c r="G133">
        <v>17</v>
      </c>
      <c r="H133">
        <v>0</v>
      </c>
      <c r="I133">
        <v>4</v>
      </c>
      <c r="J1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3" t="str">
        <f>IF(final_data786[[#This Row],[DAY_CODE]]=0,"weekend",IF(final_data786[[#This Row],[DAY_CODE]]=6,"weekend","weekday"))</f>
        <v>weekday</v>
      </c>
      <c r="L133">
        <v>1</v>
      </c>
      <c r="M133" t="str">
        <f>IF(final_data786[[#This Row],[WEATHER_CODE]]=1,"clear",IF(final_data786[[#This Row],[WEATHER_CODE]]=2,"cloudy",IF(final_data786[[#This Row],[WEATHER_CODE]]=3,"light rain",IF(final_data786[[#This Row],[WEATHER_CODE]]=4,"heavy rain",0))))</f>
        <v>clear</v>
      </c>
      <c r="N133">
        <v>0.22</v>
      </c>
      <c r="O133">
        <v>0.2273</v>
      </c>
      <c r="P133">
        <v>0.51</v>
      </c>
      <c r="Q133">
        <v>0.16420000000000001</v>
      </c>
      <c r="R133">
        <v>9</v>
      </c>
      <c r="S133">
        <v>163</v>
      </c>
      <c r="T133">
        <v>172</v>
      </c>
    </row>
    <row r="134" spans="1:20" x14ac:dyDescent="0.35">
      <c r="A134">
        <v>133</v>
      </c>
      <c r="B134" s="1">
        <v>40549</v>
      </c>
      <c r="C134">
        <v>1</v>
      </c>
      <c r="D134">
        <v>0</v>
      </c>
      <c r="E134">
        <v>1</v>
      </c>
      <c r="F134" t="str">
        <f>IF(final_data786[[#This Row],[MONTH_CODE]]=1,"JANUARY",IF(final_data786[[#This Row],[MONTH_CODE]]=2,"FEBRUARY"))</f>
        <v>JANUARY</v>
      </c>
      <c r="G134">
        <v>18</v>
      </c>
      <c r="H134">
        <v>0</v>
      </c>
      <c r="I134">
        <v>4</v>
      </c>
      <c r="J1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4" t="str">
        <f>IF(final_data786[[#This Row],[DAY_CODE]]=0,"weekend",IF(final_data786[[#This Row],[DAY_CODE]]=6,"weekend","weekday"))</f>
        <v>weekday</v>
      </c>
      <c r="L134">
        <v>1</v>
      </c>
      <c r="M134" t="str">
        <f>IF(final_data786[[#This Row],[WEATHER_CODE]]=1,"clear",IF(final_data786[[#This Row],[WEATHER_CODE]]=2,"cloudy",IF(final_data786[[#This Row],[WEATHER_CODE]]=3,"light rain",IF(final_data786[[#This Row],[WEATHER_CODE]]=4,"heavy rain",0))))</f>
        <v>clear</v>
      </c>
      <c r="N134">
        <v>0.22</v>
      </c>
      <c r="O134">
        <v>0.2273</v>
      </c>
      <c r="P134">
        <v>0.51</v>
      </c>
      <c r="Q134">
        <v>0.1343</v>
      </c>
      <c r="R134">
        <v>5</v>
      </c>
      <c r="S134">
        <v>158</v>
      </c>
      <c r="T134">
        <v>163</v>
      </c>
    </row>
    <row r="135" spans="1:20" x14ac:dyDescent="0.35">
      <c r="A135">
        <v>134</v>
      </c>
      <c r="B135" s="1">
        <v>40549</v>
      </c>
      <c r="C135">
        <v>1</v>
      </c>
      <c r="D135">
        <v>0</v>
      </c>
      <c r="E135">
        <v>1</v>
      </c>
      <c r="F135" t="str">
        <f>IF(final_data786[[#This Row],[MONTH_CODE]]=1,"JANUARY",IF(final_data786[[#This Row],[MONTH_CODE]]=2,"FEBRUARY"))</f>
        <v>JANUARY</v>
      </c>
      <c r="G135">
        <v>19</v>
      </c>
      <c r="H135">
        <v>0</v>
      </c>
      <c r="I135">
        <v>4</v>
      </c>
      <c r="J1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5" t="str">
        <f>IF(final_data786[[#This Row],[DAY_CODE]]=0,"weekend",IF(final_data786[[#This Row],[DAY_CODE]]=6,"weekend","weekday"))</f>
        <v>weekday</v>
      </c>
      <c r="L135">
        <v>1</v>
      </c>
      <c r="M135" t="str">
        <f>IF(final_data786[[#This Row],[WEATHER_CODE]]=1,"clear",IF(final_data786[[#This Row],[WEATHER_CODE]]=2,"cloudy",IF(final_data786[[#This Row],[WEATHER_CODE]]=3,"light rain",IF(final_data786[[#This Row],[WEATHER_CODE]]=4,"heavy rain",0))))</f>
        <v>clear</v>
      </c>
      <c r="N135">
        <v>0.22</v>
      </c>
      <c r="O135">
        <v>0.2576</v>
      </c>
      <c r="P135">
        <v>0.55000000000000004</v>
      </c>
      <c r="Q135">
        <v>8.9599999999999999E-2</v>
      </c>
      <c r="R135">
        <v>3</v>
      </c>
      <c r="S135">
        <v>109</v>
      </c>
      <c r="T135">
        <v>112</v>
      </c>
    </row>
    <row r="136" spans="1:20" x14ac:dyDescent="0.35">
      <c r="A136">
        <v>135</v>
      </c>
      <c r="B136" s="1">
        <v>40549</v>
      </c>
      <c r="C136">
        <v>1</v>
      </c>
      <c r="D136">
        <v>0</v>
      </c>
      <c r="E136">
        <v>1</v>
      </c>
      <c r="F136" t="str">
        <f>IF(final_data786[[#This Row],[MONTH_CODE]]=1,"JANUARY",IF(final_data786[[#This Row],[MONTH_CODE]]=2,"FEBRUARY"))</f>
        <v>JANUARY</v>
      </c>
      <c r="G136">
        <v>20</v>
      </c>
      <c r="H136">
        <v>0</v>
      </c>
      <c r="I136">
        <v>4</v>
      </c>
      <c r="J1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6" t="str">
        <f>IF(final_data786[[#This Row],[DAY_CODE]]=0,"weekend",IF(final_data786[[#This Row],[DAY_CODE]]=6,"weekend","weekday"))</f>
        <v>weekday</v>
      </c>
      <c r="L136">
        <v>1</v>
      </c>
      <c r="M136" t="str">
        <f>IF(final_data786[[#This Row],[WEATHER_CODE]]=1,"clear",IF(final_data786[[#This Row],[WEATHER_CODE]]=2,"cloudy",IF(final_data786[[#This Row],[WEATHER_CODE]]=3,"light rain",IF(final_data786[[#This Row],[WEATHER_CODE]]=4,"heavy rain",0))))</f>
        <v>clear</v>
      </c>
      <c r="N136">
        <v>0.2</v>
      </c>
      <c r="O136">
        <v>0.21210000000000001</v>
      </c>
      <c r="P136">
        <v>0.51</v>
      </c>
      <c r="Q136">
        <v>0.16420000000000001</v>
      </c>
      <c r="R136">
        <v>3</v>
      </c>
      <c r="S136">
        <v>66</v>
      </c>
      <c r="T136">
        <v>69</v>
      </c>
    </row>
    <row r="137" spans="1:20" x14ac:dyDescent="0.35">
      <c r="A137">
        <v>136</v>
      </c>
      <c r="B137" s="1">
        <v>40549</v>
      </c>
      <c r="C137">
        <v>1</v>
      </c>
      <c r="D137">
        <v>0</v>
      </c>
      <c r="E137">
        <v>1</v>
      </c>
      <c r="F137" t="str">
        <f>IF(final_data786[[#This Row],[MONTH_CODE]]=1,"JANUARY",IF(final_data786[[#This Row],[MONTH_CODE]]=2,"FEBRUARY"))</f>
        <v>JANUARY</v>
      </c>
      <c r="G137">
        <v>21</v>
      </c>
      <c r="H137">
        <v>0</v>
      </c>
      <c r="I137">
        <v>4</v>
      </c>
      <c r="J1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7" t="str">
        <f>IF(final_data786[[#This Row],[DAY_CODE]]=0,"weekend",IF(final_data786[[#This Row],[DAY_CODE]]=6,"weekend","weekday"))</f>
        <v>weekday</v>
      </c>
      <c r="L137">
        <v>2</v>
      </c>
      <c r="M137" t="str">
        <f>IF(final_data786[[#This Row],[WEATHER_CODE]]=1,"clear",IF(final_data786[[#This Row],[WEATHER_CODE]]=2,"cloudy",IF(final_data786[[#This Row],[WEATHER_CODE]]=3,"light rain",IF(final_data786[[#This Row],[WEATHER_CODE]]=4,"heavy rain",0))))</f>
        <v>cloudy</v>
      </c>
      <c r="N137">
        <v>0.22</v>
      </c>
      <c r="O137">
        <v>0.21210000000000001</v>
      </c>
      <c r="P137">
        <v>0.55000000000000004</v>
      </c>
      <c r="Q137">
        <v>0.22389999999999999</v>
      </c>
      <c r="R137">
        <v>0</v>
      </c>
      <c r="S137">
        <v>48</v>
      </c>
      <c r="T137">
        <v>48</v>
      </c>
    </row>
    <row r="138" spans="1:20" x14ac:dyDescent="0.35">
      <c r="A138">
        <v>137</v>
      </c>
      <c r="B138" s="1">
        <v>40549</v>
      </c>
      <c r="C138">
        <v>1</v>
      </c>
      <c r="D138">
        <v>0</v>
      </c>
      <c r="E138">
        <v>1</v>
      </c>
      <c r="F138" t="str">
        <f>IF(final_data786[[#This Row],[MONTH_CODE]]=1,"JANUARY",IF(final_data786[[#This Row],[MONTH_CODE]]=2,"FEBRUARY"))</f>
        <v>JANUARY</v>
      </c>
      <c r="G138">
        <v>22</v>
      </c>
      <c r="H138">
        <v>0</v>
      </c>
      <c r="I138">
        <v>4</v>
      </c>
      <c r="J1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8" t="str">
        <f>IF(final_data786[[#This Row],[DAY_CODE]]=0,"weekend",IF(final_data786[[#This Row],[DAY_CODE]]=6,"weekend","weekday"))</f>
        <v>weekday</v>
      </c>
      <c r="L138">
        <v>2</v>
      </c>
      <c r="M138" t="str">
        <f>IF(final_data786[[#This Row],[WEATHER_CODE]]=1,"clear",IF(final_data786[[#This Row],[WEATHER_CODE]]=2,"cloudy",IF(final_data786[[#This Row],[WEATHER_CODE]]=3,"light rain",IF(final_data786[[#This Row],[WEATHER_CODE]]=4,"heavy rain",0))))</f>
        <v>cloudy</v>
      </c>
      <c r="N138">
        <v>0.22</v>
      </c>
      <c r="O138">
        <v>0.21210000000000001</v>
      </c>
      <c r="P138">
        <v>0.51</v>
      </c>
      <c r="Q138">
        <v>0.28360000000000002</v>
      </c>
      <c r="R138">
        <v>1</v>
      </c>
      <c r="S138">
        <v>51</v>
      </c>
      <c r="T138">
        <v>52</v>
      </c>
    </row>
    <row r="139" spans="1:20" x14ac:dyDescent="0.35">
      <c r="A139">
        <v>138</v>
      </c>
      <c r="B139" s="1">
        <v>40549</v>
      </c>
      <c r="C139">
        <v>1</v>
      </c>
      <c r="D139">
        <v>0</v>
      </c>
      <c r="E139">
        <v>1</v>
      </c>
      <c r="F139" t="str">
        <f>IF(final_data786[[#This Row],[MONTH_CODE]]=1,"JANUARY",IF(final_data786[[#This Row],[MONTH_CODE]]=2,"FEBRUARY"))</f>
        <v>JANUARY</v>
      </c>
      <c r="G139">
        <v>23</v>
      </c>
      <c r="H139">
        <v>0</v>
      </c>
      <c r="I139">
        <v>4</v>
      </c>
      <c r="J1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139" t="str">
        <f>IF(final_data786[[#This Row],[DAY_CODE]]=0,"weekend",IF(final_data786[[#This Row],[DAY_CODE]]=6,"weekend","weekday"))</f>
        <v>weekday</v>
      </c>
      <c r="L139">
        <v>2</v>
      </c>
      <c r="M139" t="str">
        <f>IF(final_data786[[#This Row],[WEATHER_CODE]]=1,"clear",IF(final_data786[[#This Row],[WEATHER_CODE]]=2,"cloudy",IF(final_data786[[#This Row],[WEATHER_CODE]]=3,"light rain",IF(final_data786[[#This Row],[WEATHER_CODE]]=4,"heavy rain",0))))</f>
        <v>cloudy</v>
      </c>
      <c r="N139">
        <v>0.2</v>
      </c>
      <c r="O139">
        <v>0.19700000000000001</v>
      </c>
      <c r="P139">
        <v>0.59</v>
      </c>
      <c r="Q139">
        <v>0.19400000000000001</v>
      </c>
      <c r="R139">
        <v>4</v>
      </c>
      <c r="S139">
        <v>19</v>
      </c>
      <c r="T139">
        <v>23</v>
      </c>
    </row>
    <row r="140" spans="1:20" x14ac:dyDescent="0.35">
      <c r="A140">
        <v>139</v>
      </c>
      <c r="B140" s="1">
        <v>40550</v>
      </c>
      <c r="C140">
        <v>1</v>
      </c>
      <c r="D140">
        <v>0</v>
      </c>
      <c r="E140">
        <v>1</v>
      </c>
      <c r="F140" t="str">
        <f>IF(final_data786[[#This Row],[MONTH_CODE]]=1,"JANUARY",IF(final_data786[[#This Row],[MONTH_CODE]]=2,"FEBRUARY"))</f>
        <v>JANUARY</v>
      </c>
      <c r="G140">
        <v>0</v>
      </c>
      <c r="H140">
        <v>0</v>
      </c>
      <c r="I140">
        <v>5</v>
      </c>
      <c r="J1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0" t="str">
        <f>IF(final_data786[[#This Row],[DAY_CODE]]=0,"weekend",IF(final_data786[[#This Row],[DAY_CODE]]=6,"weekend","weekday"))</f>
        <v>weekday</v>
      </c>
      <c r="L140">
        <v>2</v>
      </c>
      <c r="M140" t="str">
        <f>IF(final_data786[[#This Row],[WEATHER_CODE]]=1,"clear",IF(final_data786[[#This Row],[WEATHER_CODE]]=2,"cloudy",IF(final_data786[[#This Row],[WEATHER_CODE]]=3,"light rain",IF(final_data786[[#This Row],[WEATHER_CODE]]=4,"heavy rain",0))))</f>
        <v>cloudy</v>
      </c>
      <c r="N140">
        <v>0.2</v>
      </c>
      <c r="O140">
        <v>0.19700000000000001</v>
      </c>
      <c r="P140">
        <v>0.64</v>
      </c>
      <c r="Q140">
        <v>0.19400000000000001</v>
      </c>
      <c r="R140">
        <v>4</v>
      </c>
      <c r="S140">
        <v>13</v>
      </c>
      <c r="T140">
        <v>17</v>
      </c>
    </row>
    <row r="141" spans="1:20" x14ac:dyDescent="0.35">
      <c r="A141">
        <v>140</v>
      </c>
      <c r="B141" s="1">
        <v>40550</v>
      </c>
      <c r="C141">
        <v>1</v>
      </c>
      <c r="D141">
        <v>0</v>
      </c>
      <c r="E141">
        <v>1</v>
      </c>
      <c r="F141" t="str">
        <f>IF(final_data786[[#This Row],[MONTH_CODE]]=1,"JANUARY",IF(final_data786[[#This Row],[MONTH_CODE]]=2,"FEBRUARY"))</f>
        <v>JANUARY</v>
      </c>
      <c r="G141">
        <v>1</v>
      </c>
      <c r="H141">
        <v>0</v>
      </c>
      <c r="I141">
        <v>5</v>
      </c>
      <c r="J1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1" t="str">
        <f>IF(final_data786[[#This Row],[DAY_CODE]]=0,"weekend",IF(final_data786[[#This Row],[DAY_CODE]]=6,"weekend","weekday"))</f>
        <v>weekday</v>
      </c>
      <c r="L141">
        <v>2</v>
      </c>
      <c r="M141" t="str">
        <f>IF(final_data786[[#This Row],[WEATHER_CODE]]=1,"clear",IF(final_data786[[#This Row],[WEATHER_CODE]]=2,"cloudy",IF(final_data786[[#This Row],[WEATHER_CODE]]=3,"light rain",IF(final_data786[[#This Row],[WEATHER_CODE]]=4,"heavy rain",0))))</f>
        <v>cloudy</v>
      </c>
      <c r="N141">
        <v>0.2</v>
      </c>
      <c r="O141">
        <v>0.19700000000000001</v>
      </c>
      <c r="P141">
        <v>0.69</v>
      </c>
      <c r="Q141">
        <v>0.22389999999999999</v>
      </c>
      <c r="R141">
        <v>2</v>
      </c>
      <c r="S141">
        <v>5</v>
      </c>
      <c r="T141">
        <v>7</v>
      </c>
    </row>
    <row r="142" spans="1:20" x14ac:dyDescent="0.35">
      <c r="A142">
        <v>141</v>
      </c>
      <c r="B142" s="1">
        <v>40550</v>
      </c>
      <c r="C142">
        <v>1</v>
      </c>
      <c r="D142">
        <v>0</v>
      </c>
      <c r="E142">
        <v>1</v>
      </c>
      <c r="F142" t="str">
        <f>IF(final_data786[[#This Row],[MONTH_CODE]]=1,"JANUARY",IF(final_data786[[#This Row],[MONTH_CODE]]=2,"FEBRUARY"))</f>
        <v>JANUARY</v>
      </c>
      <c r="G142">
        <v>2</v>
      </c>
      <c r="H142">
        <v>0</v>
      </c>
      <c r="I142">
        <v>5</v>
      </c>
      <c r="J1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2" t="str">
        <f>IF(final_data786[[#This Row],[DAY_CODE]]=0,"weekend",IF(final_data786[[#This Row],[DAY_CODE]]=6,"weekend","weekday"))</f>
        <v>weekday</v>
      </c>
      <c r="L142">
        <v>2</v>
      </c>
      <c r="M142" t="str">
        <f>IF(final_data786[[#This Row],[WEATHER_CODE]]=1,"clear",IF(final_data786[[#This Row],[WEATHER_CODE]]=2,"cloudy",IF(final_data786[[#This Row],[WEATHER_CODE]]=3,"light rain",IF(final_data786[[#This Row],[WEATHER_CODE]]=4,"heavy rain",0))))</f>
        <v>cloudy</v>
      </c>
      <c r="N142">
        <v>0.2</v>
      </c>
      <c r="O142">
        <v>0.19700000000000001</v>
      </c>
      <c r="P142">
        <v>0.69</v>
      </c>
      <c r="Q142">
        <v>0.22389999999999999</v>
      </c>
      <c r="R142">
        <v>0</v>
      </c>
      <c r="S142">
        <v>1</v>
      </c>
      <c r="T142">
        <v>1</v>
      </c>
    </row>
    <row r="143" spans="1:20" x14ac:dyDescent="0.35">
      <c r="A143">
        <v>142</v>
      </c>
      <c r="B143" s="1">
        <v>40550</v>
      </c>
      <c r="C143">
        <v>1</v>
      </c>
      <c r="D143">
        <v>0</v>
      </c>
      <c r="E143">
        <v>1</v>
      </c>
      <c r="F143" t="str">
        <f>IF(final_data786[[#This Row],[MONTH_CODE]]=1,"JANUARY",IF(final_data786[[#This Row],[MONTH_CODE]]=2,"FEBRUARY"))</f>
        <v>JANUARY</v>
      </c>
      <c r="G143">
        <v>4</v>
      </c>
      <c r="H143">
        <v>0</v>
      </c>
      <c r="I143">
        <v>5</v>
      </c>
      <c r="J1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3" t="str">
        <f>IF(final_data786[[#This Row],[DAY_CODE]]=0,"weekend",IF(final_data786[[#This Row],[DAY_CODE]]=6,"weekend","weekday"))</f>
        <v>weekday</v>
      </c>
      <c r="L143">
        <v>2</v>
      </c>
      <c r="M143" t="str">
        <f>IF(final_data786[[#This Row],[WEATHER_CODE]]=1,"clear",IF(final_data786[[#This Row],[WEATHER_CODE]]=2,"cloudy",IF(final_data786[[#This Row],[WEATHER_CODE]]=3,"light rain",IF(final_data786[[#This Row],[WEATHER_CODE]]=4,"heavy rain",0))))</f>
        <v>cloudy</v>
      </c>
      <c r="N143">
        <v>0.2</v>
      </c>
      <c r="O143">
        <v>0.21210000000000001</v>
      </c>
      <c r="P143">
        <v>0.69</v>
      </c>
      <c r="Q143">
        <v>0.1343</v>
      </c>
      <c r="R143">
        <v>0</v>
      </c>
      <c r="S143">
        <v>1</v>
      </c>
      <c r="T143">
        <v>1</v>
      </c>
    </row>
    <row r="144" spans="1:20" x14ac:dyDescent="0.35">
      <c r="A144">
        <v>143</v>
      </c>
      <c r="B144" s="1">
        <v>40550</v>
      </c>
      <c r="C144">
        <v>1</v>
      </c>
      <c r="D144">
        <v>0</v>
      </c>
      <c r="E144">
        <v>1</v>
      </c>
      <c r="F144" t="str">
        <f>IF(final_data786[[#This Row],[MONTH_CODE]]=1,"JANUARY",IF(final_data786[[#This Row],[MONTH_CODE]]=2,"FEBRUARY"))</f>
        <v>JANUARY</v>
      </c>
      <c r="G144">
        <v>5</v>
      </c>
      <c r="H144">
        <v>0</v>
      </c>
      <c r="I144">
        <v>5</v>
      </c>
      <c r="J1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4" t="str">
        <f>IF(final_data786[[#This Row],[DAY_CODE]]=0,"weekend",IF(final_data786[[#This Row],[DAY_CODE]]=6,"weekend","weekday"))</f>
        <v>weekday</v>
      </c>
      <c r="L144">
        <v>3</v>
      </c>
      <c r="M144" t="str">
        <f>IF(final_data786[[#This Row],[WEATHER_CODE]]=1,"clear",IF(final_data786[[#This Row],[WEATHER_CODE]]=2,"cloudy",IF(final_data786[[#This Row],[WEATHER_CODE]]=3,"light rain",IF(final_data786[[#This Row],[WEATHER_CODE]]=4,"heavy rain",0))))</f>
        <v>light rain</v>
      </c>
      <c r="N144">
        <v>0.22</v>
      </c>
      <c r="O144">
        <v>0.2727</v>
      </c>
      <c r="P144">
        <v>0.55000000000000004</v>
      </c>
      <c r="Q144">
        <v>0</v>
      </c>
      <c r="R144">
        <v>0</v>
      </c>
      <c r="S144">
        <v>5</v>
      </c>
      <c r="T144">
        <v>5</v>
      </c>
    </row>
    <row r="145" spans="1:20" x14ac:dyDescent="0.35">
      <c r="A145">
        <v>144</v>
      </c>
      <c r="B145" s="1">
        <v>40550</v>
      </c>
      <c r="C145">
        <v>1</v>
      </c>
      <c r="D145">
        <v>0</v>
      </c>
      <c r="E145">
        <v>1</v>
      </c>
      <c r="F145" t="str">
        <f>IF(final_data786[[#This Row],[MONTH_CODE]]=1,"JANUARY",IF(final_data786[[#This Row],[MONTH_CODE]]=2,"FEBRUARY"))</f>
        <v>JANUARY</v>
      </c>
      <c r="G145">
        <v>6</v>
      </c>
      <c r="H145">
        <v>0</v>
      </c>
      <c r="I145">
        <v>5</v>
      </c>
      <c r="J1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5" t="str">
        <f>IF(final_data786[[#This Row],[DAY_CODE]]=0,"weekend",IF(final_data786[[#This Row],[DAY_CODE]]=6,"weekend","weekday"))</f>
        <v>weekday</v>
      </c>
      <c r="L145">
        <v>2</v>
      </c>
      <c r="M145" t="str">
        <f>IF(final_data786[[#This Row],[WEATHER_CODE]]=1,"clear",IF(final_data786[[#This Row],[WEATHER_CODE]]=2,"cloudy",IF(final_data786[[#This Row],[WEATHER_CODE]]=3,"light rain",IF(final_data786[[#This Row],[WEATHER_CODE]]=4,"heavy rain",0))))</f>
        <v>cloudy</v>
      </c>
      <c r="N145">
        <v>0.2</v>
      </c>
      <c r="O145">
        <v>0.2576</v>
      </c>
      <c r="P145">
        <v>0.69</v>
      </c>
      <c r="Q145">
        <v>0</v>
      </c>
      <c r="R145">
        <v>8</v>
      </c>
      <c r="S145">
        <v>26</v>
      </c>
      <c r="T145">
        <v>34</v>
      </c>
    </row>
    <row r="146" spans="1:20" x14ac:dyDescent="0.35">
      <c r="A146">
        <v>145</v>
      </c>
      <c r="B146" s="1">
        <v>40550</v>
      </c>
      <c r="C146">
        <v>1</v>
      </c>
      <c r="D146">
        <v>0</v>
      </c>
      <c r="E146">
        <v>1</v>
      </c>
      <c r="F146" t="str">
        <f>IF(final_data786[[#This Row],[MONTH_CODE]]=1,"JANUARY",IF(final_data786[[#This Row],[MONTH_CODE]]=2,"FEBRUARY"))</f>
        <v>JANUARY</v>
      </c>
      <c r="G146">
        <v>7</v>
      </c>
      <c r="H146">
        <v>0</v>
      </c>
      <c r="I146">
        <v>5</v>
      </c>
      <c r="J1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6" t="str">
        <f>IF(final_data786[[#This Row],[DAY_CODE]]=0,"weekend",IF(final_data786[[#This Row],[DAY_CODE]]=6,"weekend","weekday"))</f>
        <v>weekday</v>
      </c>
      <c r="L146">
        <v>1</v>
      </c>
      <c r="M146" t="str">
        <f>IF(final_data786[[#This Row],[WEATHER_CODE]]=1,"clear",IF(final_data786[[#This Row],[WEATHER_CODE]]=2,"cloudy",IF(final_data786[[#This Row],[WEATHER_CODE]]=3,"light rain",IF(final_data786[[#This Row],[WEATHER_CODE]]=4,"heavy rain",0))))</f>
        <v>clear</v>
      </c>
      <c r="N146">
        <v>0.2</v>
      </c>
      <c r="O146">
        <v>0.21210000000000001</v>
      </c>
      <c r="P146">
        <v>0.69</v>
      </c>
      <c r="Q146">
        <v>0.1343</v>
      </c>
      <c r="R146">
        <v>8</v>
      </c>
      <c r="S146">
        <v>76</v>
      </c>
      <c r="T146">
        <v>84</v>
      </c>
    </row>
    <row r="147" spans="1:20" x14ac:dyDescent="0.35">
      <c r="A147">
        <v>146</v>
      </c>
      <c r="B147" s="1">
        <v>40550</v>
      </c>
      <c r="C147">
        <v>1</v>
      </c>
      <c r="D147">
        <v>0</v>
      </c>
      <c r="E147">
        <v>1</v>
      </c>
      <c r="F147" t="str">
        <f>IF(final_data786[[#This Row],[MONTH_CODE]]=1,"JANUARY",IF(final_data786[[#This Row],[MONTH_CODE]]=2,"FEBRUARY"))</f>
        <v>JANUARY</v>
      </c>
      <c r="G147">
        <v>8</v>
      </c>
      <c r="H147">
        <v>0</v>
      </c>
      <c r="I147">
        <v>5</v>
      </c>
      <c r="J1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7" t="str">
        <f>IF(final_data786[[#This Row],[DAY_CODE]]=0,"weekend",IF(final_data786[[#This Row],[DAY_CODE]]=6,"weekend","weekday"))</f>
        <v>weekday</v>
      </c>
      <c r="L147">
        <v>1</v>
      </c>
      <c r="M147" t="str">
        <f>IF(final_data786[[#This Row],[WEATHER_CODE]]=1,"clear",IF(final_data786[[#This Row],[WEATHER_CODE]]=2,"cloudy",IF(final_data786[[#This Row],[WEATHER_CODE]]=3,"light rain",IF(final_data786[[#This Row],[WEATHER_CODE]]=4,"heavy rain",0))))</f>
        <v>clear</v>
      </c>
      <c r="N147">
        <v>0.2</v>
      </c>
      <c r="O147">
        <v>0.19700000000000001</v>
      </c>
      <c r="P147">
        <v>0.51</v>
      </c>
      <c r="Q147">
        <v>0.25369999999999998</v>
      </c>
      <c r="R147">
        <v>20</v>
      </c>
      <c r="S147">
        <v>190</v>
      </c>
      <c r="T147">
        <v>210</v>
      </c>
    </row>
    <row r="148" spans="1:20" x14ac:dyDescent="0.35">
      <c r="A148">
        <v>147</v>
      </c>
      <c r="B148" s="1">
        <v>40550</v>
      </c>
      <c r="C148">
        <v>1</v>
      </c>
      <c r="D148">
        <v>0</v>
      </c>
      <c r="E148">
        <v>1</v>
      </c>
      <c r="F148" t="str">
        <f>IF(final_data786[[#This Row],[MONTH_CODE]]=1,"JANUARY",IF(final_data786[[#This Row],[MONTH_CODE]]=2,"FEBRUARY"))</f>
        <v>JANUARY</v>
      </c>
      <c r="G148">
        <v>9</v>
      </c>
      <c r="H148">
        <v>0</v>
      </c>
      <c r="I148">
        <v>5</v>
      </c>
      <c r="J1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8" t="str">
        <f>IF(final_data786[[#This Row],[DAY_CODE]]=0,"weekend",IF(final_data786[[#This Row],[DAY_CODE]]=6,"weekend","weekday"))</f>
        <v>weekday</v>
      </c>
      <c r="L148">
        <v>1</v>
      </c>
      <c r="M148" t="str">
        <f>IF(final_data786[[#This Row],[WEATHER_CODE]]=1,"clear",IF(final_data786[[#This Row],[WEATHER_CODE]]=2,"cloudy",IF(final_data786[[#This Row],[WEATHER_CODE]]=3,"light rain",IF(final_data786[[#This Row],[WEATHER_CODE]]=4,"heavy rain",0))))</f>
        <v>clear</v>
      </c>
      <c r="N148">
        <v>0.2</v>
      </c>
      <c r="O148">
        <v>0.18179999999999999</v>
      </c>
      <c r="P148">
        <v>0.47</v>
      </c>
      <c r="Q148">
        <v>0.29849999999999999</v>
      </c>
      <c r="R148">
        <v>9</v>
      </c>
      <c r="S148">
        <v>125</v>
      </c>
      <c r="T148">
        <v>134</v>
      </c>
    </row>
    <row r="149" spans="1:20" x14ac:dyDescent="0.35">
      <c r="A149">
        <v>148</v>
      </c>
      <c r="B149" s="1">
        <v>40550</v>
      </c>
      <c r="C149">
        <v>1</v>
      </c>
      <c r="D149">
        <v>0</v>
      </c>
      <c r="E149">
        <v>1</v>
      </c>
      <c r="F149" t="str">
        <f>IF(final_data786[[#This Row],[MONTH_CODE]]=1,"JANUARY",IF(final_data786[[#This Row],[MONTH_CODE]]=2,"FEBRUARY"))</f>
        <v>JANUARY</v>
      </c>
      <c r="G149">
        <v>10</v>
      </c>
      <c r="H149">
        <v>0</v>
      </c>
      <c r="I149">
        <v>5</v>
      </c>
      <c r="J1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49" t="str">
        <f>IF(final_data786[[#This Row],[DAY_CODE]]=0,"weekend",IF(final_data786[[#This Row],[DAY_CODE]]=6,"weekend","weekday"))</f>
        <v>weekday</v>
      </c>
      <c r="L149">
        <v>1</v>
      </c>
      <c r="M149" t="str">
        <f>IF(final_data786[[#This Row],[WEATHER_CODE]]=1,"clear",IF(final_data786[[#This Row],[WEATHER_CODE]]=2,"cloudy",IF(final_data786[[#This Row],[WEATHER_CODE]]=3,"light rain",IF(final_data786[[#This Row],[WEATHER_CODE]]=4,"heavy rain",0))))</f>
        <v>clear</v>
      </c>
      <c r="N149">
        <v>0.22</v>
      </c>
      <c r="O149">
        <v>0.19700000000000001</v>
      </c>
      <c r="P149">
        <v>0.37</v>
      </c>
      <c r="Q149">
        <v>0.32840000000000003</v>
      </c>
      <c r="R149">
        <v>16</v>
      </c>
      <c r="S149">
        <v>47</v>
      </c>
      <c r="T149">
        <v>63</v>
      </c>
    </row>
    <row r="150" spans="1:20" x14ac:dyDescent="0.35">
      <c r="A150">
        <v>149</v>
      </c>
      <c r="B150" s="1">
        <v>40550</v>
      </c>
      <c r="C150">
        <v>1</v>
      </c>
      <c r="D150">
        <v>0</v>
      </c>
      <c r="E150">
        <v>1</v>
      </c>
      <c r="F150" t="str">
        <f>IF(final_data786[[#This Row],[MONTH_CODE]]=1,"JANUARY",IF(final_data786[[#This Row],[MONTH_CODE]]=2,"FEBRUARY"))</f>
        <v>JANUARY</v>
      </c>
      <c r="G150">
        <v>11</v>
      </c>
      <c r="H150">
        <v>0</v>
      </c>
      <c r="I150">
        <v>5</v>
      </c>
      <c r="J1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0" t="str">
        <f>IF(final_data786[[#This Row],[DAY_CODE]]=0,"weekend",IF(final_data786[[#This Row],[DAY_CODE]]=6,"weekend","weekday"))</f>
        <v>weekday</v>
      </c>
      <c r="L150">
        <v>2</v>
      </c>
      <c r="M150" t="str">
        <f>IF(final_data786[[#This Row],[WEATHER_CODE]]=1,"clear",IF(final_data786[[#This Row],[WEATHER_CODE]]=2,"cloudy",IF(final_data786[[#This Row],[WEATHER_CODE]]=3,"light rain",IF(final_data786[[#This Row],[WEATHER_CODE]]=4,"heavy rain",0))))</f>
        <v>cloudy</v>
      </c>
      <c r="N150">
        <v>0.2</v>
      </c>
      <c r="O150">
        <v>0.19700000000000001</v>
      </c>
      <c r="P150">
        <v>0.4</v>
      </c>
      <c r="Q150">
        <v>0.22389999999999999</v>
      </c>
      <c r="R150">
        <v>19</v>
      </c>
      <c r="S150">
        <v>48</v>
      </c>
      <c r="T150">
        <v>67</v>
      </c>
    </row>
    <row r="151" spans="1:20" x14ac:dyDescent="0.35">
      <c r="A151">
        <v>150</v>
      </c>
      <c r="B151" s="1">
        <v>40550</v>
      </c>
      <c r="C151">
        <v>1</v>
      </c>
      <c r="D151">
        <v>0</v>
      </c>
      <c r="E151">
        <v>1</v>
      </c>
      <c r="F151" t="str">
        <f>IF(final_data786[[#This Row],[MONTH_CODE]]=1,"JANUARY",IF(final_data786[[#This Row],[MONTH_CODE]]=2,"FEBRUARY"))</f>
        <v>JANUARY</v>
      </c>
      <c r="G151">
        <v>12</v>
      </c>
      <c r="H151">
        <v>0</v>
      </c>
      <c r="I151">
        <v>5</v>
      </c>
      <c r="J1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1" t="str">
        <f>IF(final_data786[[#This Row],[DAY_CODE]]=0,"weekend",IF(final_data786[[#This Row],[DAY_CODE]]=6,"weekend","weekday"))</f>
        <v>weekday</v>
      </c>
      <c r="L151">
        <v>2</v>
      </c>
      <c r="M151" t="str">
        <f>IF(final_data786[[#This Row],[WEATHER_CODE]]=1,"clear",IF(final_data786[[#This Row],[WEATHER_CODE]]=2,"cloudy",IF(final_data786[[#This Row],[WEATHER_CODE]]=3,"light rain",IF(final_data786[[#This Row],[WEATHER_CODE]]=4,"heavy rain",0))))</f>
        <v>cloudy</v>
      </c>
      <c r="N151">
        <v>0.2</v>
      </c>
      <c r="O151">
        <v>0.19700000000000001</v>
      </c>
      <c r="P151">
        <v>0.37</v>
      </c>
      <c r="Q151">
        <v>0.25369999999999998</v>
      </c>
      <c r="R151">
        <v>9</v>
      </c>
      <c r="S151">
        <v>50</v>
      </c>
      <c r="T151">
        <v>59</v>
      </c>
    </row>
    <row r="152" spans="1:20" x14ac:dyDescent="0.35">
      <c r="A152">
        <v>151</v>
      </c>
      <c r="B152" s="1">
        <v>40550</v>
      </c>
      <c r="C152">
        <v>1</v>
      </c>
      <c r="D152">
        <v>0</v>
      </c>
      <c r="E152">
        <v>1</v>
      </c>
      <c r="F152" t="str">
        <f>IF(final_data786[[#This Row],[MONTH_CODE]]=1,"JANUARY",IF(final_data786[[#This Row],[MONTH_CODE]]=2,"FEBRUARY"))</f>
        <v>JANUARY</v>
      </c>
      <c r="G152">
        <v>13</v>
      </c>
      <c r="H152">
        <v>0</v>
      </c>
      <c r="I152">
        <v>5</v>
      </c>
      <c r="J1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2" t="str">
        <f>IF(final_data786[[#This Row],[DAY_CODE]]=0,"weekend",IF(final_data786[[#This Row],[DAY_CODE]]=6,"weekend","weekday"))</f>
        <v>weekday</v>
      </c>
      <c r="L152">
        <v>2</v>
      </c>
      <c r="M152" t="str">
        <f>IF(final_data786[[#This Row],[WEATHER_CODE]]=1,"clear",IF(final_data786[[#This Row],[WEATHER_CODE]]=2,"cloudy",IF(final_data786[[#This Row],[WEATHER_CODE]]=3,"light rain",IF(final_data786[[#This Row],[WEATHER_CODE]]=4,"heavy rain",0))))</f>
        <v>cloudy</v>
      </c>
      <c r="N152">
        <v>0.2</v>
      </c>
      <c r="O152">
        <v>0.18179999999999999</v>
      </c>
      <c r="P152">
        <v>0.37</v>
      </c>
      <c r="Q152">
        <v>0.28360000000000002</v>
      </c>
      <c r="R152">
        <v>9</v>
      </c>
      <c r="S152">
        <v>64</v>
      </c>
      <c r="T152">
        <v>73</v>
      </c>
    </row>
    <row r="153" spans="1:20" x14ac:dyDescent="0.35">
      <c r="A153">
        <v>152</v>
      </c>
      <c r="B153" s="1">
        <v>40550</v>
      </c>
      <c r="C153">
        <v>1</v>
      </c>
      <c r="D153">
        <v>0</v>
      </c>
      <c r="E153">
        <v>1</v>
      </c>
      <c r="F153" t="str">
        <f>IF(final_data786[[#This Row],[MONTH_CODE]]=1,"JANUARY",IF(final_data786[[#This Row],[MONTH_CODE]]=2,"FEBRUARY"))</f>
        <v>JANUARY</v>
      </c>
      <c r="G153">
        <v>14</v>
      </c>
      <c r="H153">
        <v>0</v>
      </c>
      <c r="I153">
        <v>5</v>
      </c>
      <c r="J1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3" t="str">
        <f>IF(final_data786[[#This Row],[DAY_CODE]]=0,"weekend",IF(final_data786[[#This Row],[DAY_CODE]]=6,"weekend","weekday"))</f>
        <v>weekday</v>
      </c>
      <c r="L153">
        <v>2</v>
      </c>
      <c r="M153" t="str">
        <f>IF(final_data786[[#This Row],[WEATHER_CODE]]=1,"clear",IF(final_data786[[#This Row],[WEATHER_CODE]]=2,"cloudy",IF(final_data786[[#This Row],[WEATHER_CODE]]=3,"light rain",IF(final_data786[[#This Row],[WEATHER_CODE]]=4,"heavy rain",0))))</f>
        <v>cloudy</v>
      </c>
      <c r="N153">
        <v>0.2</v>
      </c>
      <c r="O153">
        <v>0.19700000000000001</v>
      </c>
      <c r="P153">
        <v>0.4</v>
      </c>
      <c r="Q153">
        <v>0.25369999999999998</v>
      </c>
      <c r="R153">
        <v>7</v>
      </c>
      <c r="S153">
        <v>43</v>
      </c>
      <c r="T153">
        <v>50</v>
      </c>
    </row>
    <row r="154" spans="1:20" x14ac:dyDescent="0.35">
      <c r="A154">
        <v>153</v>
      </c>
      <c r="B154" s="1">
        <v>40550</v>
      </c>
      <c r="C154">
        <v>1</v>
      </c>
      <c r="D154">
        <v>0</v>
      </c>
      <c r="E154">
        <v>1</v>
      </c>
      <c r="F154" t="str">
        <f>IF(final_data786[[#This Row],[MONTH_CODE]]=1,"JANUARY",IF(final_data786[[#This Row],[MONTH_CODE]]=2,"FEBRUARY"))</f>
        <v>JANUARY</v>
      </c>
      <c r="G154">
        <v>15</v>
      </c>
      <c r="H154">
        <v>0</v>
      </c>
      <c r="I154">
        <v>5</v>
      </c>
      <c r="J1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4" t="str">
        <f>IF(final_data786[[#This Row],[DAY_CODE]]=0,"weekend",IF(final_data786[[#This Row],[DAY_CODE]]=6,"weekend","weekday"))</f>
        <v>weekday</v>
      </c>
      <c r="L154">
        <v>2</v>
      </c>
      <c r="M154" t="str">
        <f>IF(final_data786[[#This Row],[WEATHER_CODE]]=1,"clear",IF(final_data786[[#This Row],[WEATHER_CODE]]=2,"cloudy",IF(final_data786[[#This Row],[WEATHER_CODE]]=3,"light rain",IF(final_data786[[#This Row],[WEATHER_CODE]]=4,"heavy rain",0))))</f>
        <v>cloudy</v>
      </c>
      <c r="N154">
        <v>0.2</v>
      </c>
      <c r="O154">
        <v>0.21210000000000001</v>
      </c>
      <c r="P154">
        <v>0.37</v>
      </c>
      <c r="Q154">
        <v>0.16420000000000001</v>
      </c>
      <c r="R154">
        <v>9</v>
      </c>
      <c r="S154">
        <v>63</v>
      </c>
      <c r="T154">
        <v>72</v>
      </c>
    </row>
    <row r="155" spans="1:20" x14ac:dyDescent="0.35">
      <c r="A155">
        <v>154</v>
      </c>
      <c r="B155" s="1">
        <v>40550</v>
      </c>
      <c r="C155">
        <v>1</v>
      </c>
      <c r="D155">
        <v>0</v>
      </c>
      <c r="E155">
        <v>1</v>
      </c>
      <c r="F155" t="str">
        <f>IF(final_data786[[#This Row],[MONTH_CODE]]=1,"JANUARY",IF(final_data786[[#This Row],[MONTH_CODE]]=2,"FEBRUARY"))</f>
        <v>JANUARY</v>
      </c>
      <c r="G155">
        <v>16</v>
      </c>
      <c r="H155">
        <v>0</v>
      </c>
      <c r="I155">
        <v>5</v>
      </c>
      <c r="J1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5" t="str">
        <f>IF(final_data786[[#This Row],[DAY_CODE]]=0,"weekend",IF(final_data786[[#This Row],[DAY_CODE]]=6,"weekend","weekday"))</f>
        <v>weekday</v>
      </c>
      <c r="L155">
        <v>2</v>
      </c>
      <c r="M155" t="str">
        <f>IF(final_data786[[#This Row],[WEATHER_CODE]]=1,"clear",IF(final_data786[[#This Row],[WEATHER_CODE]]=2,"cloudy",IF(final_data786[[#This Row],[WEATHER_CODE]]=3,"light rain",IF(final_data786[[#This Row],[WEATHER_CODE]]=4,"heavy rain",0))))</f>
        <v>cloudy</v>
      </c>
      <c r="N155">
        <v>0.2</v>
      </c>
      <c r="O155">
        <v>0.21210000000000001</v>
      </c>
      <c r="P155">
        <v>0.37</v>
      </c>
      <c r="Q155">
        <v>0.16420000000000001</v>
      </c>
      <c r="R155">
        <v>5</v>
      </c>
      <c r="S155">
        <v>82</v>
      </c>
      <c r="T155">
        <v>87</v>
      </c>
    </row>
    <row r="156" spans="1:20" x14ac:dyDescent="0.35">
      <c r="A156">
        <v>155</v>
      </c>
      <c r="B156" s="1">
        <v>40550</v>
      </c>
      <c r="C156">
        <v>1</v>
      </c>
      <c r="D156">
        <v>0</v>
      </c>
      <c r="E156">
        <v>1</v>
      </c>
      <c r="F156" t="str">
        <f>IF(final_data786[[#This Row],[MONTH_CODE]]=1,"JANUARY",IF(final_data786[[#This Row],[MONTH_CODE]]=2,"FEBRUARY"))</f>
        <v>JANUARY</v>
      </c>
      <c r="G156">
        <v>17</v>
      </c>
      <c r="H156">
        <v>0</v>
      </c>
      <c r="I156">
        <v>5</v>
      </c>
      <c r="J1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6" t="str">
        <f>IF(final_data786[[#This Row],[DAY_CODE]]=0,"weekend",IF(final_data786[[#This Row],[DAY_CODE]]=6,"weekend","weekday"))</f>
        <v>weekday</v>
      </c>
      <c r="L156">
        <v>2</v>
      </c>
      <c r="M156" t="str">
        <f>IF(final_data786[[#This Row],[WEATHER_CODE]]=1,"clear",IF(final_data786[[#This Row],[WEATHER_CODE]]=2,"cloudy",IF(final_data786[[#This Row],[WEATHER_CODE]]=3,"light rain",IF(final_data786[[#This Row],[WEATHER_CODE]]=4,"heavy rain",0))))</f>
        <v>cloudy</v>
      </c>
      <c r="N156">
        <v>0.2</v>
      </c>
      <c r="O156">
        <v>0.2576</v>
      </c>
      <c r="P156">
        <v>0.37</v>
      </c>
      <c r="Q156">
        <v>0</v>
      </c>
      <c r="R156">
        <v>9</v>
      </c>
      <c r="S156">
        <v>178</v>
      </c>
      <c r="T156">
        <v>187</v>
      </c>
    </row>
    <row r="157" spans="1:20" x14ac:dyDescent="0.35">
      <c r="A157">
        <v>156</v>
      </c>
      <c r="B157" s="1">
        <v>40550</v>
      </c>
      <c r="C157">
        <v>1</v>
      </c>
      <c r="D157">
        <v>0</v>
      </c>
      <c r="E157">
        <v>1</v>
      </c>
      <c r="F157" t="str">
        <f>IF(final_data786[[#This Row],[MONTH_CODE]]=1,"JANUARY",IF(final_data786[[#This Row],[MONTH_CODE]]=2,"FEBRUARY"))</f>
        <v>JANUARY</v>
      </c>
      <c r="G157">
        <v>18</v>
      </c>
      <c r="H157">
        <v>0</v>
      </c>
      <c r="I157">
        <v>5</v>
      </c>
      <c r="J1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7" t="str">
        <f>IF(final_data786[[#This Row],[DAY_CODE]]=0,"weekend",IF(final_data786[[#This Row],[DAY_CODE]]=6,"weekend","weekday"))</f>
        <v>weekday</v>
      </c>
      <c r="L157">
        <v>1</v>
      </c>
      <c r="M157" t="str">
        <f>IF(final_data786[[#This Row],[WEATHER_CODE]]=1,"clear",IF(final_data786[[#This Row],[WEATHER_CODE]]=2,"cloudy",IF(final_data786[[#This Row],[WEATHER_CODE]]=3,"light rain",IF(final_data786[[#This Row],[WEATHER_CODE]]=4,"heavy rain",0))))</f>
        <v>clear</v>
      </c>
      <c r="N157">
        <v>0.2</v>
      </c>
      <c r="O157">
        <v>0.2273</v>
      </c>
      <c r="P157">
        <v>0.4</v>
      </c>
      <c r="Q157">
        <v>8.9599999999999999E-2</v>
      </c>
      <c r="R157">
        <v>7</v>
      </c>
      <c r="S157">
        <v>116</v>
      </c>
      <c r="T157">
        <v>123</v>
      </c>
    </row>
    <row r="158" spans="1:20" x14ac:dyDescent="0.35">
      <c r="A158">
        <v>157</v>
      </c>
      <c r="B158" s="1">
        <v>40550</v>
      </c>
      <c r="C158">
        <v>1</v>
      </c>
      <c r="D158">
        <v>0</v>
      </c>
      <c r="E158">
        <v>1</v>
      </c>
      <c r="F158" t="str">
        <f>IF(final_data786[[#This Row],[MONTH_CODE]]=1,"JANUARY",IF(final_data786[[#This Row],[MONTH_CODE]]=2,"FEBRUARY"))</f>
        <v>JANUARY</v>
      </c>
      <c r="G158">
        <v>19</v>
      </c>
      <c r="H158">
        <v>0</v>
      </c>
      <c r="I158">
        <v>5</v>
      </c>
      <c r="J1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8" t="str">
        <f>IF(final_data786[[#This Row],[DAY_CODE]]=0,"weekend",IF(final_data786[[#This Row],[DAY_CODE]]=6,"weekend","weekday"))</f>
        <v>weekday</v>
      </c>
      <c r="L158">
        <v>1</v>
      </c>
      <c r="M158" t="str">
        <f>IF(final_data786[[#This Row],[WEATHER_CODE]]=1,"clear",IF(final_data786[[#This Row],[WEATHER_CODE]]=2,"cloudy",IF(final_data786[[#This Row],[WEATHER_CODE]]=3,"light rain",IF(final_data786[[#This Row],[WEATHER_CODE]]=4,"heavy rain",0))))</f>
        <v>clear</v>
      </c>
      <c r="N158">
        <v>0.16</v>
      </c>
      <c r="O158">
        <v>0.19700000000000001</v>
      </c>
      <c r="P158">
        <v>0.55000000000000004</v>
      </c>
      <c r="Q158">
        <v>8.9599999999999999E-2</v>
      </c>
      <c r="R158">
        <v>3</v>
      </c>
      <c r="S158">
        <v>92</v>
      </c>
      <c r="T158">
        <v>95</v>
      </c>
    </row>
    <row r="159" spans="1:20" x14ac:dyDescent="0.35">
      <c r="A159">
        <v>158</v>
      </c>
      <c r="B159" s="1">
        <v>40550</v>
      </c>
      <c r="C159">
        <v>1</v>
      </c>
      <c r="D159">
        <v>0</v>
      </c>
      <c r="E159">
        <v>1</v>
      </c>
      <c r="F159" t="str">
        <f>IF(final_data786[[#This Row],[MONTH_CODE]]=1,"JANUARY",IF(final_data786[[#This Row],[MONTH_CODE]]=2,"FEBRUARY"))</f>
        <v>JANUARY</v>
      </c>
      <c r="G159">
        <v>20</v>
      </c>
      <c r="H159">
        <v>0</v>
      </c>
      <c r="I159">
        <v>5</v>
      </c>
      <c r="J1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59" t="str">
        <f>IF(final_data786[[#This Row],[DAY_CODE]]=0,"weekend",IF(final_data786[[#This Row],[DAY_CODE]]=6,"weekend","weekday"))</f>
        <v>weekday</v>
      </c>
      <c r="L159">
        <v>1</v>
      </c>
      <c r="M159" t="str">
        <f>IF(final_data786[[#This Row],[WEATHER_CODE]]=1,"clear",IF(final_data786[[#This Row],[WEATHER_CODE]]=2,"cloudy",IF(final_data786[[#This Row],[WEATHER_CODE]]=3,"light rain",IF(final_data786[[#This Row],[WEATHER_CODE]]=4,"heavy rain",0))))</f>
        <v>clear</v>
      </c>
      <c r="N159">
        <v>0.18</v>
      </c>
      <c r="O159">
        <v>0.21210000000000001</v>
      </c>
      <c r="P159">
        <v>0.47</v>
      </c>
      <c r="Q159">
        <v>0.1045</v>
      </c>
      <c r="R159">
        <v>1</v>
      </c>
      <c r="S159">
        <v>50</v>
      </c>
      <c r="T159">
        <v>51</v>
      </c>
    </row>
    <row r="160" spans="1:20" x14ac:dyDescent="0.35">
      <c r="A160">
        <v>159</v>
      </c>
      <c r="B160" s="1">
        <v>40550</v>
      </c>
      <c r="C160">
        <v>1</v>
      </c>
      <c r="D160">
        <v>0</v>
      </c>
      <c r="E160">
        <v>1</v>
      </c>
      <c r="F160" t="str">
        <f>IF(final_data786[[#This Row],[MONTH_CODE]]=1,"JANUARY",IF(final_data786[[#This Row],[MONTH_CODE]]=2,"FEBRUARY"))</f>
        <v>JANUARY</v>
      </c>
      <c r="G160">
        <v>21</v>
      </c>
      <c r="H160">
        <v>0</v>
      </c>
      <c r="I160">
        <v>5</v>
      </c>
      <c r="J1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60" t="str">
        <f>IF(final_data786[[#This Row],[DAY_CODE]]=0,"weekend",IF(final_data786[[#This Row],[DAY_CODE]]=6,"weekend","weekday"))</f>
        <v>weekday</v>
      </c>
      <c r="L160">
        <v>1</v>
      </c>
      <c r="M160" t="str">
        <f>IF(final_data786[[#This Row],[WEATHER_CODE]]=1,"clear",IF(final_data786[[#This Row],[WEATHER_CODE]]=2,"cloudy",IF(final_data786[[#This Row],[WEATHER_CODE]]=3,"light rain",IF(final_data786[[#This Row],[WEATHER_CODE]]=4,"heavy rain",0))))</f>
        <v>clear</v>
      </c>
      <c r="N160">
        <v>0.18</v>
      </c>
      <c r="O160">
        <v>0.19700000000000001</v>
      </c>
      <c r="P160">
        <v>0.47</v>
      </c>
      <c r="Q160">
        <v>0.1343</v>
      </c>
      <c r="R160">
        <v>0</v>
      </c>
      <c r="S160">
        <v>39</v>
      </c>
      <c r="T160">
        <v>39</v>
      </c>
    </row>
    <row r="161" spans="1:20" x14ac:dyDescent="0.35">
      <c r="A161">
        <v>160</v>
      </c>
      <c r="B161" s="1">
        <v>40550</v>
      </c>
      <c r="C161">
        <v>1</v>
      </c>
      <c r="D161">
        <v>0</v>
      </c>
      <c r="E161">
        <v>1</v>
      </c>
      <c r="F161" t="str">
        <f>IF(final_data786[[#This Row],[MONTH_CODE]]=1,"JANUARY",IF(final_data786[[#This Row],[MONTH_CODE]]=2,"FEBRUARY"))</f>
        <v>JANUARY</v>
      </c>
      <c r="G161">
        <v>22</v>
      </c>
      <c r="H161">
        <v>0</v>
      </c>
      <c r="I161">
        <v>5</v>
      </c>
      <c r="J1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61" t="str">
        <f>IF(final_data786[[#This Row],[DAY_CODE]]=0,"weekend",IF(final_data786[[#This Row],[DAY_CODE]]=6,"weekend","weekday"))</f>
        <v>weekday</v>
      </c>
      <c r="L161">
        <v>2</v>
      </c>
      <c r="M161" t="str">
        <f>IF(final_data786[[#This Row],[WEATHER_CODE]]=1,"clear",IF(final_data786[[#This Row],[WEATHER_CODE]]=2,"cloudy",IF(final_data786[[#This Row],[WEATHER_CODE]]=3,"light rain",IF(final_data786[[#This Row],[WEATHER_CODE]]=4,"heavy rain",0))))</f>
        <v>cloudy</v>
      </c>
      <c r="N161">
        <v>0.18</v>
      </c>
      <c r="O161">
        <v>0.19700000000000001</v>
      </c>
      <c r="P161">
        <v>0.43</v>
      </c>
      <c r="Q161">
        <v>0.16420000000000001</v>
      </c>
      <c r="R161">
        <v>2</v>
      </c>
      <c r="S161">
        <v>34</v>
      </c>
      <c r="T161">
        <v>36</v>
      </c>
    </row>
    <row r="162" spans="1:20" x14ac:dyDescent="0.35">
      <c r="A162">
        <v>161</v>
      </c>
      <c r="B162" s="1">
        <v>40550</v>
      </c>
      <c r="C162">
        <v>1</v>
      </c>
      <c r="D162">
        <v>0</v>
      </c>
      <c r="E162">
        <v>1</v>
      </c>
      <c r="F162" t="str">
        <f>IF(final_data786[[#This Row],[MONTH_CODE]]=1,"JANUARY",IF(final_data786[[#This Row],[MONTH_CODE]]=2,"FEBRUARY"))</f>
        <v>JANUARY</v>
      </c>
      <c r="G162">
        <v>23</v>
      </c>
      <c r="H162">
        <v>0</v>
      </c>
      <c r="I162">
        <v>5</v>
      </c>
      <c r="J1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162" t="str">
        <f>IF(final_data786[[#This Row],[DAY_CODE]]=0,"weekend",IF(final_data786[[#This Row],[DAY_CODE]]=6,"weekend","weekday"))</f>
        <v>weekday</v>
      </c>
      <c r="L162">
        <v>2</v>
      </c>
      <c r="M162" t="str">
        <f>IF(final_data786[[#This Row],[WEATHER_CODE]]=1,"clear",IF(final_data786[[#This Row],[WEATHER_CODE]]=2,"cloudy",IF(final_data786[[#This Row],[WEATHER_CODE]]=3,"light rain",IF(final_data786[[#This Row],[WEATHER_CODE]]=4,"heavy rain",0))))</f>
        <v>cloudy</v>
      </c>
      <c r="N162">
        <v>0.18</v>
      </c>
      <c r="O162">
        <v>0.19700000000000001</v>
      </c>
      <c r="P162">
        <v>0.51</v>
      </c>
      <c r="Q162">
        <v>0.16420000000000001</v>
      </c>
      <c r="R162">
        <v>1</v>
      </c>
      <c r="S162">
        <v>14</v>
      </c>
      <c r="T162">
        <v>15</v>
      </c>
    </row>
    <row r="163" spans="1:20" x14ac:dyDescent="0.35">
      <c r="A163">
        <v>162</v>
      </c>
      <c r="B163" s="1">
        <v>40551</v>
      </c>
      <c r="C163">
        <v>1</v>
      </c>
      <c r="D163">
        <v>0</v>
      </c>
      <c r="E163">
        <v>1</v>
      </c>
      <c r="F163" t="str">
        <f>IF(final_data786[[#This Row],[MONTH_CODE]]=1,"JANUARY",IF(final_data786[[#This Row],[MONTH_CODE]]=2,"FEBRUARY"))</f>
        <v>JANUARY</v>
      </c>
      <c r="G163">
        <v>0</v>
      </c>
      <c r="H163">
        <v>0</v>
      </c>
      <c r="I163">
        <v>6</v>
      </c>
      <c r="J1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3" t="str">
        <f>IF(final_data786[[#This Row],[DAY_CODE]]=0,"weekend",IF(final_data786[[#This Row],[DAY_CODE]]=6,"weekend","weekday"))</f>
        <v>weekend</v>
      </c>
      <c r="L163">
        <v>2</v>
      </c>
      <c r="M163" t="str">
        <f>IF(final_data786[[#This Row],[WEATHER_CODE]]=1,"clear",IF(final_data786[[#This Row],[WEATHER_CODE]]=2,"cloudy",IF(final_data786[[#This Row],[WEATHER_CODE]]=3,"light rain",IF(final_data786[[#This Row],[WEATHER_CODE]]=4,"heavy rain",0))))</f>
        <v>cloudy</v>
      </c>
      <c r="N163">
        <v>0.18</v>
      </c>
      <c r="O163">
        <v>0.19700000000000001</v>
      </c>
      <c r="P163">
        <v>0.51</v>
      </c>
      <c r="Q163">
        <v>0.16420000000000001</v>
      </c>
      <c r="R163">
        <v>1</v>
      </c>
      <c r="S163">
        <v>24</v>
      </c>
      <c r="T163">
        <v>25</v>
      </c>
    </row>
    <row r="164" spans="1:20" x14ac:dyDescent="0.35">
      <c r="A164">
        <v>163</v>
      </c>
      <c r="B164" s="1">
        <v>40551</v>
      </c>
      <c r="C164">
        <v>1</v>
      </c>
      <c r="D164">
        <v>0</v>
      </c>
      <c r="E164">
        <v>1</v>
      </c>
      <c r="F164" t="str">
        <f>IF(final_data786[[#This Row],[MONTH_CODE]]=1,"JANUARY",IF(final_data786[[#This Row],[MONTH_CODE]]=2,"FEBRUARY"))</f>
        <v>JANUARY</v>
      </c>
      <c r="G164">
        <v>1</v>
      </c>
      <c r="H164">
        <v>0</v>
      </c>
      <c r="I164">
        <v>6</v>
      </c>
      <c r="J1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4" t="str">
        <f>IF(final_data786[[#This Row],[DAY_CODE]]=0,"weekend",IF(final_data786[[#This Row],[DAY_CODE]]=6,"weekend","weekday"))</f>
        <v>weekend</v>
      </c>
      <c r="L164">
        <v>2</v>
      </c>
      <c r="M164" t="str">
        <f>IF(final_data786[[#This Row],[WEATHER_CODE]]=1,"clear",IF(final_data786[[#This Row],[WEATHER_CODE]]=2,"cloudy",IF(final_data786[[#This Row],[WEATHER_CODE]]=3,"light rain",IF(final_data786[[#This Row],[WEATHER_CODE]]=4,"heavy rain",0))))</f>
        <v>cloudy</v>
      </c>
      <c r="N164">
        <v>0.18</v>
      </c>
      <c r="O164">
        <v>0.21210000000000001</v>
      </c>
      <c r="P164">
        <v>0.55000000000000004</v>
      </c>
      <c r="Q164">
        <v>8.9599999999999999E-2</v>
      </c>
      <c r="R164">
        <v>1</v>
      </c>
      <c r="S164">
        <v>15</v>
      </c>
      <c r="T164">
        <v>16</v>
      </c>
    </row>
    <row r="165" spans="1:20" x14ac:dyDescent="0.35">
      <c r="A165">
        <v>164</v>
      </c>
      <c r="B165" s="1">
        <v>40551</v>
      </c>
      <c r="C165">
        <v>1</v>
      </c>
      <c r="D165">
        <v>0</v>
      </c>
      <c r="E165">
        <v>1</v>
      </c>
      <c r="F165" t="str">
        <f>IF(final_data786[[#This Row],[MONTH_CODE]]=1,"JANUARY",IF(final_data786[[#This Row],[MONTH_CODE]]=2,"FEBRUARY"))</f>
        <v>JANUARY</v>
      </c>
      <c r="G165">
        <v>2</v>
      </c>
      <c r="H165">
        <v>0</v>
      </c>
      <c r="I165">
        <v>6</v>
      </c>
      <c r="J1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5" t="str">
        <f>IF(final_data786[[#This Row],[DAY_CODE]]=0,"weekend",IF(final_data786[[#This Row],[DAY_CODE]]=6,"weekend","weekday"))</f>
        <v>weekend</v>
      </c>
      <c r="L165">
        <v>2</v>
      </c>
      <c r="M165" t="str">
        <f>IF(final_data786[[#This Row],[WEATHER_CODE]]=1,"clear",IF(final_data786[[#This Row],[WEATHER_CODE]]=2,"cloudy",IF(final_data786[[#This Row],[WEATHER_CODE]]=3,"light rain",IF(final_data786[[#This Row],[WEATHER_CODE]]=4,"heavy rain",0))))</f>
        <v>cloudy</v>
      </c>
      <c r="N165">
        <v>0.18</v>
      </c>
      <c r="O165">
        <v>0.2424</v>
      </c>
      <c r="P165">
        <v>0.55000000000000004</v>
      </c>
      <c r="Q165">
        <v>0</v>
      </c>
      <c r="R165">
        <v>3</v>
      </c>
      <c r="S165">
        <v>13</v>
      </c>
      <c r="T165">
        <v>16</v>
      </c>
    </row>
    <row r="166" spans="1:20" x14ac:dyDescent="0.35">
      <c r="A166">
        <v>165</v>
      </c>
      <c r="B166" s="1">
        <v>40551</v>
      </c>
      <c r="C166">
        <v>1</v>
      </c>
      <c r="D166">
        <v>0</v>
      </c>
      <c r="E166">
        <v>1</v>
      </c>
      <c r="F166" t="str">
        <f>IF(final_data786[[#This Row],[MONTH_CODE]]=1,"JANUARY",IF(final_data786[[#This Row],[MONTH_CODE]]=2,"FEBRUARY"))</f>
        <v>JANUARY</v>
      </c>
      <c r="G166">
        <v>3</v>
      </c>
      <c r="H166">
        <v>0</v>
      </c>
      <c r="I166">
        <v>6</v>
      </c>
      <c r="J1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6" t="str">
        <f>IF(final_data786[[#This Row],[DAY_CODE]]=0,"weekend",IF(final_data786[[#This Row],[DAY_CODE]]=6,"weekend","weekday"))</f>
        <v>weekend</v>
      </c>
      <c r="L166">
        <v>3</v>
      </c>
      <c r="M166" t="str">
        <f>IF(final_data786[[#This Row],[WEATHER_CODE]]=1,"clear",IF(final_data786[[#This Row],[WEATHER_CODE]]=2,"cloudy",IF(final_data786[[#This Row],[WEATHER_CODE]]=3,"light rain",IF(final_data786[[#This Row],[WEATHER_CODE]]=4,"heavy rain",0))))</f>
        <v>light rain</v>
      </c>
      <c r="N166">
        <v>0.18</v>
      </c>
      <c r="O166">
        <v>0.19700000000000001</v>
      </c>
      <c r="P166">
        <v>0.55000000000000004</v>
      </c>
      <c r="Q166">
        <v>0.16420000000000001</v>
      </c>
      <c r="R166">
        <v>0</v>
      </c>
      <c r="S166">
        <v>7</v>
      </c>
      <c r="T166">
        <v>7</v>
      </c>
    </row>
    <row r="167" spans="1:20" x14ac:dyDescent="0.35">
      <c r="A167">
        <v>166</v>
      </c>
      <c r="B167" s="1">
        <v>40551</v>
      </c>
      <c r="C167">
        <v>1</v>
      </c>
      <c r="D167">
        <v>0</v>
      </c>
      <c r="E167">
        <v>1</v>
      </c>
      <c r="F167" t="str">
        <f>IF(final_data786[[#This Row],[MONTH_CODE]]=1,"JANUARY",IF(final_data786[[#This Row],[MONTH_CODE]]=2,"FEBRUARY"))</f>
        <v>JANUARY</v>
      </c>
      <c r="G167">
        <v>4</v>
      </c>
      <c r="H167">
        <v>0</v>
      </c>
      <c r="I167">
        <v>6</v>
      </c>
      <c r="J1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7" t="str">
        <f>IF(final_data786[[#This Row],[DAY_CODE]]=0,"weekend",IF(final_data786[[#This Row],[DAY_CODE]]=6,"weekend","weekday"))</f>
        <v>weekend</v>
      </c>
      <c r="L167">
        <v>3</v>
      </c>
      <c r="M167" t="str">
        <f>IF(final_data786[[#This Row],[WEATHER_CODE]]=1,"clear",IF(final_data786[[#This Row],[WEATHER_CODE]]=2,"cloudy",IF(final_data786[[#This Row],[WEATHER_CODE]]=3,"light rain",IF(final_data786[[#This Row],[WEATHER_CODE]]=4,"heavy rain",0))))</f>
        <v>light rain</v>
      </c>
      <c r="N167">
        <v>0.18</v>
      </c>
      <c r="O167">
        <v>0.19700000000000001</v>
      </c>
      <c r="P167">
        <v>0.55000000000000004</v>
      </c>
      <c r="Q167">
        <v>0.16420000000000001</v>
      </c>
      <c r="R167">
        <v>0</v>
      </c>
      <c r="S167">
        <v>1</v>
      </c>
      <c r="T167">
        <v>1</v>
      </c>
    </row>
    <row r="168" spans="1:20" x14ac:dyDescent="0.35">
      <c r="A168">
        <v>167</v>
      </c>
      <c r="B168" s="1">
        <v>40551</v>
      </c>
      <c r="C168">
        <v>1</v>
      </c>
      <c r="D168">
        <v>0</v>
      </c>
      <c r="E168">
        <v>1</v>
      </c>
      <c r="F168" t="str">
        <f>IF(final_data786[[#This Row],[MONTH_CODE]]=1,"JANUARY",IF(final_data786[[#This Row],[MONTH_CODE]]=2,"FEBRUARY"))</f>
        <v>JANUARY</v>
      </c>
      <c r="G168">
        <v>5</v>
      </c>
      <c r="H168">
        <v>0</v>
      </c>
      <c r="I168">
        <v>6</v>
      </c>
      <c r="J1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8" t="str">
        <f>IF(final_data786[[#This Row],[DAY_CODE]]=0,"weekend",IF(final_data786[[#This Row],[DAY_CODE]]=6,"weekend","weekday"))</f>
        <v>weekend</v>
      </c>
      <c r="L168">
        <v>2</v>
      </c>
      <c r="M168" t="str">
        <f>IF(final_data786[[#This Row],[WEATHER_CODE]]=1,"clear",IF(final_data786[[#This Row],[WEATHER_CODE]]=2,"cloudy",IF(final_data786[[#This Row],[WEATHER_CODE]]=3,"light rain",IF(final_data786[[#This Row],[WEATHER_CODE]]=4,"heavy rain",0))))</f>
        <v>cloudy</v>
      </c>
      <c r="N168">
        <v>0.16</v>
      </c>
      <c r="O168">
        <v>0.16669999999999999</v>
      </c>
      <c r="P168">
        <v>0.74</v>
      </c>
      <c r="Q168">
        <v>0.16420000000000001</v>
      </c>
      <c r="R168">
        <v>0</v>
      </c>
      <c r="S168">
        <v>5</v>
      </c>
      <c r="T168">
        <v>5</v>
      </c>
    </row>
    <row r="169" spans="1:20" x14ac:dyDescent="0.35">
      <c r="A169">
        <v>168</v>
      </c>
      <c r="B169" s="1">
        <v>40551</v>
      </c>
      <c r="C169">
        <v>1</v>
      </c>
      <c r="D169">
        <v>0</v>
      </c>
      <c r="E169">
        <v>1</v>
      </c>
      <c r="F169" t="str">
        <f>IF(final_data786[[#This Row],[MONTH_CODE]]=1,"JANUARY",IF(final_data786[[#This Row],[MONTH_CODE]]=2,"FEBRUARY"))</f>
        <v>JANUARY</v>
      </c>
      <c r="G169">
        <v>6</v>
      </c>
      <c r="H169">
        <v>0</v>
      </c>
      <c r="I169">
        <v>6</v>
      </c>
      <c r="J1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69" t="str">
        <f>IF(final_data786[[#This Row],[DAY_CODE]]=0,"weekend",IF(final_data786[[#This Row],[DAY_CODE]]=6,"weekend","weekday"))</f>
        <v>weekend</v>
      </c>
      <c r="L169">
        <v>2</v>
      </c>
      <c r="M169" t="str">
        <f>IF(final_data786[[#This Row],[WEATHER_CODE]]=1,"clear",IF(final_data786[[#This Row],[WEATHER_CODE]]=2,"cloudy",IF(final_data786[[#This Row],[WEATHER_CODE]]=3,"light rain",IF(final_data786[[#This Row],[WEATHER_CODE]]=4,"heavy rain",0))))</f>
        <v>cloudy</v>
      </c>
      <c r="N169">
        <v>0.16</v>
      </c>
      <c r="O169">
        <v>0.16669999999999999</v>
      </c>
      <c r="P169">
        <v>0.74</v>
      </c>
      <c r="Q169">
        <v>0.16420000000000001</v>
      </c>
      <c r="R169">
        <v>0</v>
      </c>
      <c r="S169">
        <v>2</v>
      </c>
      <c r="T169">
        <v>2</v>
      </c>
    </row>
    <row r="170" spans="1:20" x14ac:dyDescent="0.35">
      <c r="A170">
        <v>169</v>
      </c>
      <c r="B170" s="1">
        <v>40551</v>
      </c>
      <c r="C170">
        <v>1</v>
      </c>
      <c r="D170">
        <v>0</v>
      </c>
      <c r="E170">
        <v>1</v>
      </c>
      <c r="F170" t="str">
        <f>IF(final_data786[[#This Row],[MONTH_CODE]]=1,"JANUARY",IF(final_data786[[#This Row],[MONTH_CODE]]=2,"FEBRUARY"))</f>
        <v>JANUARY</v>
      </c>
      <c r="G170">
        <v>7</v>
      </c>
      <c r="H170">
        <v>0</v>
      </c>
      <c r="I170">
        <v>6</v>
      </c>
      <c r="J1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0" t="str">
        <f>IF(final_data786[[#This Row],[DAY_CODE]]=0,"weekend",IF(final_data786[[#This Row],[DAY_CODE]]=6,"weekend","weekday"))</f>
        <v>weekend</v>
      </c>
      <c r="L170">
        <v>2</v>
      </c>
      <c r="M170" t="str">
        <f>IF(final_data786[[#This Row],[WEATHER_CODE]]=1,"clear",IF(final_data786[[#This Row],[WEATHER_CODE]]=2,"cloudy",IF(final_data786[[#This Row],[WEATHER_CODE]]=3,"light rain",IF(final_data786[[#This Row],[WEATHER_CODE]]=4,"heavy rain",0))))</f>
        <v>cloudy</v>
      </c>
      <c r="N170">
        <v>0.16</v>
      </c>
      <c r="O170">
        <v>0.18179999999999999</v>
      </c>
      <c r="P170">
        <v>0.74</v>
      </c>
      <c r="Q170">
        <v>0.1045</v>
      </c>
      <c r="R170">
        <v>1</v>
      </c>
      <c r="S170">
        <v>8</v>
      </c>
      <c r="T170">
        <v>9</v>
      </c>
    </row>
    <row r="171" spans="1:20" x14ac:dyDescent="0.35">
      <c r="A171">
        <v>170</v>
      </c>
      <c r="B171" s="1">
        <v>40551</v>
      </c>
      <c r="C171">
        <v>1</v>
      </c>
      <c r="D171">
        <v>0</v>
      </c>
      <c r="E171">
        <v>1</v>
      </c>
      <c r="F171" t="str">
        <f>IF(final_data786[[#This Row],[MONTH_CODE]]=1,"JANUARY",IF(final_data786[[#This Row],[MONTH_CODE]]=2,"FEBRUARY"))</f>
        <v>JANUARY</v>
      </c>
      <c r="G171">
        <v>8</v>
      </c>
      <c r="H171">
        <v>0</v>
      </c>
      <c r="I171">
        <v>6</v>
      </c>
      <c r="J1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1" t="str">
        <f>IF(final_data786[[#This Row],[DAY_CODE]]=0,"weekend",IF(final_data786[[#This Row],[DAY_CODE]]=6,"weekend","weekday"))</f>
        <v>weekend</v>
      </c>
      <c r="L171">
        <v>3</v>
      </c>
      <c r="M171" t="str">
        <f>IF(final_data786[[#This Row],[WEATHER_CODE]]=1,"clear",IF(final_data786[[#This Row],[WEATHER_CODE]]=2,"cloudy",IF(final_data786[[#This Row],[WEATHER_CODE]]=3,"light rain",IF(final_data786[[#This Row],[WEATHER_CODE]]=4,"heavy rain",0))))</f>
        <v>light rain</v>
      </c>
      <c r="N171">
        <v>0.16</v>
      </c>
      <c r="O171">
        <v>0.18179999999999999</v>
      </c>
      <c r="P171">
        <v>0.93</v>
      </c>
      <c r="Q171">
        <v>0.1045</v>
      </c>
      <c r="R171">
        <v>0</v>
      </c>
      <c r="S171">
        <v>15</v>
      </c>
      <c r="T171">
        <v>15</v>
      </c>
    </row>
    <row r="172" spans="1:20" x14ac:dyDescent="0.35">
      <c r="A172">
        <v>171</v>
      </c>
      <c r="B172" s="1">
        <v>40551</v>
      </c>
      <c r="C172">
        <v>1</v>
      </c>
      <c r="D172">
        <v>0</v>
      </c>
      <c r="E172">
        <v>1</v>
      </c>
      <c r="F172" t="str">
        <f>IF(final_data786[[#This Row],[MONTH_CODE]]=1,"JANUARY",IF(final_data786[[#This Row],[MONTH_CODE]]=2,"FEBRUARY"))</f>
        <v>JANUARY</v>
      </c>
      <c r="G172">
        <v>9</v>
      </c>
      <c r="H172">
        <v>0</v>
      </c>
      <c r="I172">
        <v>6</v>
      </c>
      <c r="J1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2" t="str">
        <f>IF(final_data786[[#This Row],[DAY_CODE]]=0,"weekend",IF(final_data786[[#This Row],[DAY_CODE]]=6,"weekend","weekday"))</f>
        <v>weekend</v>
      </c>
      <c r="L172">
        <v>3</v>
      </c>
      <c r="M172" t="str">
        <f>IF(final_data786[[#This Row],[WEATHER_CODE]]=1,"clear",IF(final_data786[[#This Row],[WEATHER_CODE]]=2,"cloudy",IF(final_data786[[#This Row],[WEATHER_CODE]]=3,"light rain",IF(final_data786[[#This Row],[WEATHER_CODE]]=4,"heavy rain",0))))</f>
        <v>light rain</v>
      </c>
      <c r="N172">
        <v>0.16</v>
      </c>
      <c r="O172">
        <v>0.18179999999999999</v>
      </c>
      <c r="P172">
        <v>0.93</v>
      </c>
      <c r="Q172">
        <v>0.1045</v>
      </c>
      <c r="R172">
        <v>0</v>
      </c>
      <c r="S172">
        <v>20</v>
      </c>
      <c r="T172">
        <v>20</v>
      </c>
    </row>
    <row r="173" spans="1:20" x14ac:dyDescent="0.35">
      <c r="A173">
        <v>172</v>
      </c>
      <c r="B173" s="1">
        <v>40551</v>
      </c>
      <c r="C173">
        <v>1</v>
      </c>
      <c r="D173">
        <v>0</v>
      </c>
      <c r="E173">
        <v>1</v>
      </c>
      <c r="F173" t="str">
        <f>IF(final_data786[[#This Row],[MONTH_CODE]]=1,"JANUARY",IF(final_data786[[#This Row],[MONTH_CODE]]=2,"FEBRUARY"))</f>
        <v>JANUARY</v>
      </c>
      <c r="G173">
        <v>10</v>
      </c>
      <c r="H173">
        <v>0</v>
      </c>
      <c r="I173">
        <v>6</v>
      </c>
      <c r="J1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3" t="str">
        <f>IF(final_data786[[#This Row],[DAY_CODE]]=0,"weekend",IF(final_data786[[#This Row],[DAY_CODE]]=6,"weekend","weekday"))</f>
        <v>weekend</v>
      </c>
      <c r="L173">
        <v>2</v>
      </c>
      <c r="M173" t="str">
        <f>IF(final_data786[[#This Row],[WEATHER_CODE]]=1,"clear",IF(final_data786[[#This Row],[WEATHER_CODE]]=2,"cloudy",IF(final_data786[[#This Row],[WEATHER_CODE]]=3,"light rain",IF(final_data786[[#This Row],[WEATHER_CODE]]=4,"heavy rain",0))))</f>
        <v>cloudy</v>
      </c>
      <c r="N173">
        <v>0.18</v>
      </c>
      <c r="O173">
        <v>0.19700000000000001</v>
      </c>
      <c r="P173">
        <v>0.8</v>
      </c>
      <c r="Q173">
        <v>0.16420000000000001</v>
      </c>
      <c r="R173">
        <v>5</v>
      </c>
      <c r="S173">
        <v>56</v>
      </c>
      <c r="T173">
        <v>61</v>
      </c>
    </row>
    <row r="174" spans="1:20" x14ac:dyDescent="0.35">
      <c r="A174">
        <v>173</v>
      </c>
      <c r="B174" s="1">
        <v>40551</v>
      </c>
      <c r="C174">
        <v>1</v>
      </c>
      <c r="D174">
        <v>0</v>
      </c>
      <c r="E174">
        <v>1</v>
      </c>
      <c r="F174" t="str">
        <f>IF(final_data786[[#This Row],[MONTH_CODE]]=1,"JANUARY",IF(final_data786[[#This Row],[MONTH_CODE]]=2,"FEBRUARY"))</f>
        <v>JANUARY</v>
      </c>
      <c r="G174">
        <v>11</v>
      </c>
      <c r="H174">
        <v>0</v>
      </c>
      <c r="I174">
        <v>6</v>
      </c>
      <c r="J1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4" t="str">
        <f>IF(final_data786[[#This Row],[DAY_CODE]]=0,"weekend",IF(final_data786[[#This Row],[DAY_CODE]]=6,"weekend","weekday"))</f>
        <v>weekend</v>
      </c>
      <c r="L174">
        <v>2</v>
      </c>
      <c r="M174" t="str">
        <f>IF(final_data786[[#This Row],[WEATHER_CODE]]=1,"clear",IF(final_data786[[#This Row],[WEATHER_CODE]]=2,"cloudy",IF(final_data786[[#This Row],[WEATHER_CODE]]=3,"light rain",IF(final_data786[[#This Row],[WEATHER_CODE]]=4,"heavy rain",0))))</f>
        <v>cloudy</v>
      </c>
      <c r="N174">
        <v>0.2</v>
      </c>
      <c r="O174">
        <v>0.18179999999999999</v>
      </c>
      <c r="P174">
        <v>0.69</v>
      </c>
      <c r="Q174">
        <v>0.3881</v>
      </c>
      <c r="R174">
        <v>2</v>
      </c>
      <c r="S174">
        <v>60</v>
      </c>
      <c r="T174">
        <v>62</v>
      </c>
    </row>
    <row r="175" spans="1:20" x14ac:dyDescent="0.35">
      <c r="A175">
        <v>174</v>
      </c>
      <c r="B175" s="1">
        <v>40551</v>
      </c>
      <c r="C175">
        <v>1</v>
      </c>
      <c r="D175">
        <v>0</v>
      </c>
      <c r="E175">
        <v>1</v>
      </c>
      <c r="F175" t="str">
        <f>IF(final_data786[[#This Row],[MONTH_CODE]]=1,"JANUARY",IF(final_data786[[#This Row],[MONTH_CODE]]=2,"FEBRUARY"))</f>
        <v>JANUARY</v>
      </c>
      <c r="G175">
        <v>12</v>
      </c>
      <c r="H175">
        <v>0</v>
      </c>
      <c r="I175">
        <v>6</v>
      </c>
      <c r="J1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5" t="str">
        <f>IF(final_data786[[#This Row],[DAY_CODE]]=0,"weekend",IF(final_data786[[#This Row],[DAY_CODE]]=6,"weekend","weekday"))</f>
        <v>weekend</v>
      </c>
      <c r="L175">
        <v>2</v>
      </c>
      <c r="M175" t="str">
        <f>IF(final_data786[[#This Row],[WEATHER_CODE]]=1,"clear",IF(final_data786[[#This Row],[WEATHER_CODE]]=2,"cloudy",IF(final_data786[[#This Row],[WEATHER_CODE]]=3,"light rain",IF(final_data786[[#This Row],[WEATHER_CODE]]=4,"heavy rain",0))))</f>
        <v>cloudy</v>
      </c>
      <c r="N175">
        <v>0.2</v>
      </c>
      <c r="O175">
        <v>0.18179999999999999</v>
      </c>
      <c r="P175">
        <v>0.59</v>
      </c>
      <c r="Q175">
        <v>0.35820000000000002</v>
      </c>
      <c r="R175">
        <v>8</v>
      </c>
      <c r="S175">
        <v>90</v>
      </c>
      <c r="T175">
        <v>98</v>
      </c>
    </row>
    <row r="176" spans="1:20" x14ac:dyDescent="0.35">
      <c r="A176">
        <v>175</v>
      </c>
      <c r="B176" s="1">
        <v>40551</v>
      </c>
      <c r="C176">
        <v>1</v>
      </c>
      <c r="D176">
        <v>0</v>
      </c>
      <c r="E176">
        <v>1</v>
      </c>
      <c r="F176" t="str">
        <f>IF(final_data786[[#This Row],[MONTH_CODE]]=1,"JANUARY",IF(final_data786[[#This Row],[MONTH_CODE]]=2,"FEBRUARY"))</f>
        <v>JANUARY</v>
      </c>
      <c r="G176">
        <v>13</v>
      </c>
      <c r="H176">
        <v>0</v>
      </c>
      <c r="I176">
        <v>6</v>
      </c>
      <c r="J1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6" t="str">
        <f>IF(final_data786[[#This Row],[DAY_CODE]]=0,"weekend",IF(final_data786[[#This Row],[DAY_CODE]]=6,"weekend","weekday"))</f>
        <v>weekend</v>
      </c>
      <c r="L176">
        <v>1</v>
      </c>
      <c r="M176" t="str">
        <f>IF(final_data786[[#This Row],[WEATHER_CODE]]=1,"clear",IF(final_data786[[#This Row],[WEATHER_CODE]]=2,"cloudy",IF(final_data786[[#This Row],[WEATHER_CODE]]=3,"light rain",IF(final_data786[[#This Row],[WEATHER_CODE]]=4,"heavy rain",0))))</f>
        <v>clear</v>
      </c>
      <c r="N176">
        <v>0.2</v>
      </c>
      <c r="O176">
        <v>0.18179999999999999</v>
      </c>
      <c r="P176">
        <v>0.44</v>
      </c>
      <c r="Q176">
        <v>0.32840000000000003</v>
      </c>
      <c r="R176">
        <v>7</v>
      </c>
      <c r="S176">
        <v>95</v>
      </c>
      <c r="T176">
        <v>102</v>
      </c>
    </row>
    <row r="177" spans="1:20" x14ac:dyDescent="0.35">
      <c r="A177">
        <v>176</v>
      </c>
      <c r="B177" s="1">
        <v>40551</v>
      </c>
      <c r="C177">
        <v>1</v>
      </c>
      <c r="D177">
        <v>0</v>
      </c>
      <c r="E177">
        <v>1</v>
      </c>
      <c r="F177" t="str">
        <f>IF(final_data786[[#This Row],[MONTH_CODE]]=1,"JANUARY",IF(final_data786[[#This Row],[MONTH_CODE]]=2,"FEBRUARY"))</f>
        <v>JANUARY</v>
      </c>
      <c r="G177">
        <v>14</v>
      </c>
      <c r="H177">
        <v>0</v>
      </c>
      <c r="I177">
        <v>6</v>
      </c>
      <c r="J1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7" t="str">
        <f>IF(final_data786[[#This Row],[DAY_CODE]]=0,"weekend",IF(final_data786[[#This Row],[DAY_CODE]]=6,"weekend","weekday"))</f>
        <v>weekend</v>
      </c>
      <c r="L177">
        <v>1</v>
      </c>
      <c r="M177" t="str">
        <f>IF(final_data786[[#This Row],[WEATHER_CODE]]=1,"clear",IF(final_data786[[#This Row],[WEATHER_CODE]]=2,"cloudy",IF(final_data786[[#This Row],[WEATHER_CODE]]=3,"light rain",IF(final_data786[[#This Row],[WEATHER_CODE]]=4,"heavy rain",0))))</f>
        <v>clear</v>
      </c>
      <c r="N177">
        <v>0.2</v>
      </c>
      <c r="O177">
        <v>0.16669999999999999</v>
      </c>
      <c r="P177">
        <v>0.32</v>
      </c>
      <c r="Q177">
        <v>0.49249999999999999</v>
      </c>
      <c r="R177">
        <v>12</v>
      </c>
      <c r="S177">
        <v>83</v>
      </c>
      <c r="T177">
        <v>95</v>
      </c>
    </row>
    <row r="178" spans="1:20" x14ac:dyDescent="0.35">
      <c r="A178">
        <v>177</v>
      </c>
      <c r="B178" s="1">
        <v>40551</v>
      </c>
      <c r="C178">
        <v>1</v>
      </c>
      <c r="D178">
        <v>0</v>
      </c>
      <c r="E178">
        <v>1</v>
      </c>
      <c r="F178" t="str">
        <f>IF(final_data786[[#This Row],[MONTH_CODE]]=1,"JANUARY",IF(final_data786[[#This Row],[MONTH_CODE]]=2,"FEBRUARY"))</f>
        <v>JANUARY</v>
      </c>
      <c r="G178">
        <v>15</v>
      </c>
      <c r="H178">
        <v>0</v>
      </c>
      <c r="I178">
        <v>6</v>
      </c>
      <c r="J1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8" t="str">
        <f>IF(final_data786[[#This Row],[DAY_CODE]]=0,"weekend",IF(final_data786[[#This Row],[DAY_CODE]]=6,"weekend","weekday"))</f>
        <v>weekend</v>
      </c>
      <c r="L178">
        <v>1</v>
      </c>
      <c r="M178" t="str">
        <f>IF(final_data786[[#This Row],[WEATHER_CODE]]=1,"clear",IF(final_data786[[#This Row],[WEATHER_CODE]]=2,"cloudy",IF(final_data786[[#This Row],[WEATHER_CODE]]=3,"light rain",IF(final_data786[[#This Row],[WEATHER_CODE]]=4,"heavy rain",0))))</f>
        <v>clear</v>
      </c>
      <c r="N178">
        <v>0.2</v>
      </c>
      <c r="O178">
        <v>0.16669999999999999</v>
      </c>
      <c r="P178">
        <v>0.32</v>
      </c>
      <c r="Q178">
        <v>0.44779999999999998</v>
      </c>
      <c r="R178">
        <v>5</v>
      </c>
      <c r="S178">
        <v>69</v>
      </c>
      <c r="T178">
        <v>74</v>
      </c>
    </row>
    <row r="179" spans="1:20" x14ac:dyDescent="0.35">
      <c r="A179">
        <v>178</v>
      </c>
      <c r="B179" s="1">
        <v>40551</v>
      </c>
      <c r="C179">
        <v>1</v>
      </c>
      <c r="D179">
        <v>0</v>
      </c>
      <c r="E179">
        <v>1</v>
      </c>
      <c r="F179" t="str">
        <f>IF(final_data786[[#This Row],[MONTH_CODE]]=1,"JANUARY",IF(final_data786[[#This Row],[MONTH_CODE]]=2,"FEBRUARY"))</f>
        <v>JANUARY</v>
      </c>
      <c r="G179">
        <v>16</v>
      </c>
      <c r="H179">
        <v>0</v>
      </c>
      <c r="I179">
        <v>6</v>
      </c>
      <c r="J1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79" t="str">
        <f>IF(final_data786[[#This Row],[DAY_CODE]]=0,"weekend",IF(final_data786[[#This Row],[DAY_CODE]]=6,"weekend","weekday"))</f>
        <v>weekend</v>
      </c>
      <c r="L179">
        <v>1</v>
      </c>
      <c r="M179" t="str">
        <f>IF(final_data786[[#This Row],[WEATHER_CODE]]=1,"clear",IF(final_data786[[#This Row],[WEATHER_CODE]]=2,"cloudy",IF(final_data786[[#This Row],[WEATHER_CODE]]=3,"light rain",IF(final_data786[[#This Row],[WEATHER_CODE]]=4,"heavy rain",0))))</f>
        <v>clear</v>
      </c>
      <c r="N179">
        <v>0.18</v>
      </c>
      <c r="O179">
        <v>0.13639999999999999</v>
      </c>
      <c r="P179">
        <v>0.28999999999999998</v>
      </c>
      <c r="Q179">
        <v>0.44779999999999998</v>
      </c>
      <c r="R179">
        <v>8</v>
      </c>
      <c r="S179">
        <v>68</v>
      </c>
      <c r="T179">
        <v>76</v>
      </c>
    </row>
    <row r="180" spans="1:20" x14ac:dyDescent="0.35">
      <c r="A180">
        <v>179</v>
      </c>
      <c r="B180" s="1">
        <v>40551</v>
      </c>
      <c r="C180">
        <v>1</v>
      </c>
      <c r="D180">
        <v>0</v>
      </c>
      <c r="E180">
        <v>1</v>
      </c>
      <c r="F180" t="str">
        <f>IF(final_data786[[#This Row],[MONTH_CODE]]=1,"JANUARY",IF(final_data786[[#This Row],[MONTH_CODE]]=2,"FEBRUARY"))</f>
        <v>JANUARY</v>
      </c>
      <c r="G180">
        <v>17</v>
      </c>
      <c r="H180">
        <v>0</v>
      </c>
      <c r="I180">
        <v>6</v>
      </c>
      <c r="J1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0" t="str">
        <f>IF(final_data786[[#This Row],[DAY_CODE]]=0,"weekend",IF(final_data786[[#This Row],[DAY_CODE]]=6,"weekend","weekday"))</f>
        <v>weekend</v>
      </c>
      <c r="L180">
        <v>1</v>
      </c>
      <c r="M180" t="str">
        <f>IF(final_data786[[#This Row],[WEATHER_CODE]]=1,"clear",IF(final_data786[[#This Row],[WEATHER_CODE]]=2,"cloudy",IF(final_data786[[#This Row],[WEATHER_CODE]]=3,"light rain",IF(final_data786[[#This Row],[WEATHER_CODE]]=4,"heavy rain",0))))</f>
        <v>clear</v>
      </c>
      <c r="N180">
        <v>0.16</v>
      </c>
      <c r="O180">
        <v>0.1212</v>
      </c>
      <c r="P180">
        <v>0.37</v>
      </c>
      <c r="Q180">
        <v>0.55220000000000002</v>
      </c>
      <c r="R180">
        <v>5</v>
      </c>
      <c r="S180">
        <v>64</v>
      </c>
      <c r="T180">
        <v>69</v>
      </c>
    </row>
    <row r="181" spans="1:20" x14ac:dyDescent="0.35">
      <c r="A181">
        <v>180</v>
      </c>
      <c r="B181" s="1">
        <v>40551</v>
      </c>
      <c r="C181">
        <v>1</v>
      </c>
      <c r="D181">
        <v>0</v>
      </c>
      <c r="E181">
        <v>1</v>
      </c>
      <c r="F181" t="str">
        <f>IF(final_data786[[#This Row],[MONTH_CODE]]=1,"JANUARY",IF(final_data786[[#This Row],[MONTH_CODE]]=2,"FEBRUARY"))</f>
        <v>JANUARY</v>
      </c>
      <c r="G181">
        <v>18</v>
      </c>
      <c r="H181">
        <v>0</v>
      </c>
      <c r="I181">
        <v>6</v>
      </c>
      <c r="J1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1" t="str">
        <f>IF(final_data786[[#This Row],[DAY_CODE]]=0,"weekend",IF(final_data786[[#This Row],[DAY_CODE]]=6,"weekend","weekday"))</f>
        <v>weekend</v>
      </c>
      <c r="L181">
        <v>1</v>
      </c>
      <c r="M181" t="str">
        <f>IF(final_data786[[#This Row],[WEATHER_CODE]]=1,"clear",IF(final_data786[[#This Row],[WEATHER_CODE]]=2,"cloudy",IF(final_data786[[#This Row],[WEATHER_CODE]]=3,"light rain",IF(final_data786[[#This Row],[WEATHER_CODE]]=4,"heavy rain",0))))</f>
        <v>clear</v>
      </c>
      <c r="N181">
        <v>0.14000000000000001</v>
      </c>
      <c r="O181">
        <v>0.1212</v>
      </c>
      <c r="P181">
        <v>0.39</v>
      </c>
      <c r="Q181">
        <v>0.29849999999999999</v>
      </c>
      <c r="R181">
        <v>3</v>
      </c>
      <c r="S181">
        <v>52</v>
      </c>
      <c r="T181">
        <v>55</v>
      </c>
    </row>
    <row r="182" spans="1:20" x14ac:dyDescent="0.35">
      <c r="A182">
        <v>181</v>
      </c>
      <c r="B182" s="1">
        <v>40551</v>
      </c>
      <c r="C182">
        <v>1</v>
      </c>
      <c r="D182">
        <v>0</v>
      </c>
      <c r="E182">
        <v>1</v>
      </c>
      <c r="F182" t="str">
        <f>IF(final_data786[[#This Row],[MONTH_CODE]]=1,"JANUARY",IF(final_data786[[#This Row],[MONTH_CODE]]=2,"FEBRUARY"))</f>
        <v>JANUARY</v>
      </c>
      <c r="G182">
        <v>19</v>
      </c>
      <c r="H182">
        <v>0</v>
      </c>
      <c r="I182">
        <v>6</v>
      </c>
      <c r="J1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2" t="str">
        <f>IF(final_data786[[#This Row],[DAY_CODE]]=0,"weekend",IF(final_data786[[#This Row],[DAY_CODE]]=6,"weekend","weekday"))</f>
        <v>weekend</v>
      </c>
      <c r="L182">
        <v>1</v>
      </c>
      <c r="M182" t="str">
        <f>IF(final_data786[[#This Row],[WEATHER_CODE]]=1,"clear",IF(final_data786[[#This Row],[WEATHER_CODE]]=2,"cloudy",IF(final_data786[[#This Row],[WEATHER_CODE]]=3,"light rain",IF(final_data786[[#This Row],[WEATHER_CODE]]=4,"heavy rain",0))))</f>
        <v>clear</v>
      </c>
      <c r="N182">
        <v>0.14000000000000001</v>
      </c>
      <c r="O182">
        <v>0.1212</v>
      </c>
      <c r="P182">
        <v>0.36</v>
      </c>
      <c r="Q182">
        <v>0.25369999999999998</v>
      </c>
      <c r="R182">
        <v>4</v>
      </c>
      <c r="S182">
        <v>26</v>
      </c>
      <c r="T182">
        <v>30</v>
      </c>
    </row>
    <row r="183" spans="1:20" x14ac:dyDescent="0.35">
      <c r="A183">
        <v>182</v>
      </c>
      <c r="B183" s="1">
        <v>40551</v>
      </c>
      <c r="C183">
        <v>1</v>
      </c>
      <c r="D183">
        <v>0</v>
      </c>
      <c r="E183">
        <v>1</v>
      </c>
      <c r="F183" t="str">
        <f>IF(final_data786[[#This Row],[MONTH_CODE]]=1,"JANUARY",IF(final_data786[[#This Row],[MONTH_CODE]]=2,"FEBRUARY"))</f>
        <v>JANUARY</v>
      </c>
      <c r="G183">
        <v>20</v>
      </c>
      <c r="H183">
        <v>0</v>
      </c>
      <c r="I183">
        <v>6</v>
      </c>
      <c r="J1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3" t="str">
        <f>IF(final_data786[[#This Row],[DAY_CODE]]=0,"weekend",IF(final_data786[[#This Row],[DAY_CODE]]=6,"weekend","weekday"))</f>
        <v>weekend</v>
      </c>
      <c r="L183">
        <v>1</v>
      </c>
      <c r="M183" t="str">
        <f>IF(final_data786[[#This Row],[WEATHER_CODE]]=1,"clear",IF(final_data786[[#This Row],[WEATHER_CODE]]=2,"cloudy",IF(final_data786[[#This Row],[WEATHER_CODE]]=3,"light rain",IF(final_data786[[#This Row],[WEATHER_CODE]]=4,"heavy rain",0))))</f>
        <v>clear</v>
      </c>
      <c r="N183">
        <v>0.12</v>
      </c>
      <c r="O183">
        <v>0.1212</v>
      </c>
      <c r="P183">
        <v>0.36</v>
      </c>
      <c r="Q183">
        <v>0.25369999999999998</v>
      </c>
      <c r="R183">
        <v>0</v>
      </c>
      <c r="S183">
        <v>28</v>
      </c>
      <c r="T183">
        <v>28</v>
      </c>
    </row>
    <row r="184" spans="1:20" x14ac:dyDescent="0.35">
      <c r="A184">
        <v>183</v>
      </c>
      <c r="B184" s="1">
        <v>40551</v>
      </c>
      <c r="C184">
        <v>1</v>
      </c>
      <c r="D184">
        <v>0</v>
      </c>
      <c r="E184">
        <v>1</v>
      </c>
      <c r="F184" t="str">
        <f>IF(final_data786[[#This Row],[MONTH_CODE]]=1,"JANUARY",IF(final_data786[[#This Row],[MONTH_CODE]]=2,"FEBRUARY"))</f>
        <v>JANUARY</v>
      </c>
      <c r="G184">
        <v>21</v>
      </c>
      <c r="H184">
        <v>0</v>
      </c>
      <c r="I184">
        <v>6</v>
      </c>
      <c r="J1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4" t="str">
        <f>IF(final_data786[[#This Row],[DAY_CODE]]=0,"weekend",IF(final_data786[[#This Row],[DAY_CODE]]=6,"weekend","weekday"))</f>
        <v>weekend</v>
      </c>
      <c r="L184">
        <v>1</v>
      </c>
      <c r="M184" t="str">
        <f>IF(final_data786[[#This Row],[WEATHER_CODE]]=1,"clear",IF(final_data786[[#This Row],[WEATHER_CODE]]=2,"cloudy",IF(final_data786[[#This Row],[WEATHER_CODE]]=3,"light rain",IF(final_data786[[#This Row],[WEATHER_CODE]]=4,"heavy rain",0))))</f>
        <v>clear</v>
      </c>
      <c r="N184">
        <v>0.12</v>
      </c>
      <c r="O184">
        <v>0.1061</v>
      </c>
      <c r="P184">
        <v>0.39</v>
      </c>
      <c r="Q184">
        <v>0.35820000000000002</v>
      </c>
      <c r="R184">
        <v>2</v>
      </c>
      <c r="S184">
        <v>35</v>
      </c>
      <c r="T184">
        <v>37</v>
      </c>
    </row>
    <row r="185" spans="1:20" x14ac:dyDescent="0.35">
      <c r="A185">
        <v>184</v>
      </c>
      <c r="B185" s="1">
        <v>40551</v>
      </c>
      <c r="C185">
        <v>1</v>
      </c>
      <c r="D185">
        <v>0</v>
      </c>
      <c r="E185">
        <v>1</v>
      </c>
      <c r="F185" t="str">
        <f>IF(final_data786[[#This Row],[MONTH_CODE]]=1,"JANUARY",IF(final_data786[[#This Row],[MONTH_CODE]]=2,"FEBRUARY"))</f>
        <v>JANUARY</v>
      </c>
      <c r="G185">
        <v>22</v>
      </c>
      <c r="H185">
        <v>0</v>
      </c>
      <c r="I185">
        <v>6</v>
      </c>
      <c r="J1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5" t="str">
        <f>IF(final_data786[[#This Row],[DAY_CODE]]=0,"weekend",IF(final_data786[[#This Row],[DAY_CODE]]=6,"weekend","weekday"))</f>
        <v>weekend</v>
      </c>
      <c r="L185">
        <v>1</v>
      </c>
      <c r="M185" t="str">
        <f>IF(final_data786[[#This Row],[WEATHER_CODE]]=1,"clear",IF(final_data786[[#This Row],[WEATHER_CODE]]=2,"cloudy",IF(final_data786[[#This Row],[WEATHER_CODE]]=3,"light rain",IF(final_data786[[#This Row],[WEATHER_CODE]]=4,"heavy rain",0))))</f>
        <v>clear</v>
      </c>
      <c r="N185">
        <v>0.12</v>
      </c>
      <c r="O185">
        <v>0.1061</v>
      </c>
      <c r="P185">
        <v>0.36</v>
      </c>
      <c r="Q185">
        <v>0.3881</v>
      </c>
      <c r="R185">
        <v>1</v>
      </c>
      <c r="S185">
        <v>33</v>
      </c>
      <c r="T185">
        <v>34</v>
      </c>
    </row>
    <row r="186" spans="1:20" x14ac:dyDescent="0.35">
      <c r="A186">
        <v>185</v>
      </c>
      <c r="B186" s="1">
        <v>40551</v>
      </c>
      <c r="C186">
        <v>1</v>
      </c>
      <c r="D186">
        <v>0</v>
      </c>
      <c r="E186">
        <v>1</v>
      </c>
      <c r="F186" t="str">
        <f>IF(final_data786[[#This Row],[MONTH_CODE]]=1,"JANUARY",IF(final_data786[[#This Row],[MONTH_CODE]]=2,"FEBRUARY"))</f>
        <v>JANUARY</v>
      </c>
      <c r="G186">
        <v>23</v>
      </c>
      <c r="H186">
        <v>0</v>
      </c>
      <c r="I186">
        <v>6</v>
      </c>
      <c r="J1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186" t="str">
        <f>IF(final_data786[[#This Row],[DAY_CODE]]=0,"weekend",IF(final_data786[[#This Row],[DAY_CODE]]=6,"weekend","weekday"))</f>
        <v>weekend</v>
      </c>
      <c r="L186">
        <v>1</v>
      </c>
      <c r="M186" t="str">
        <f>IF(final_data786[[#This Row],[WEATHER_CODE]]=1,"clear",IF(final_data786[[#This Row],[WEATHER_CODE]]=2,"cloudy",IF(final_data786[[#This Row],[WEATHER_CODE]]=3,"light rain",IF(final_data786[[#This Row],[WEATHER_CODE]]=4,"heavy rain",0))))</f>
        <v>clear</v>
      </c>
      <c r="N186">
        <v>0.1</v>
      </c>
      <c r="O186">
        <v>6.0600000000000001E-2</v>
      </c>
      <c r="P186">
        <v>0.39</v>
      </c>
      <c r="Q186">
        <v>0.44779999999999998</v>
      </c>
      <c r="R186">
        <v>0</v>
      </c>
      <c r="S186">
        <v>22</v>
      </c>
      <c r="T186">
        <v>22</v>
      </c>
    </row>
    <row r="187" spans="1:20" x14ac:dyDescent="0.35">
      <c r="A187">
        <v>186</v>
      </c>
      <c r="B187" s="1">
        <v>40552</v>
      </c>
      <c r="C187">
        <v>1</v>
      </c>
      <c r="D187">
        <v>0</v>
      </c>
      <c r="E187">
        <v>1</v>
      </c>
      <c r="F187" t="str">
        <f>IF(final_data786[[#This Row],[MONTH_CODE]]=1,"JANUARY",IF(final_data786[[#This Row],[MONTH_CODE]]=2,"FEBRUARY"))</f>
        <v>JANUARY</v>
      </c>
      <c r="G187">
        <v>0</v>
      </c>
      <c r="H187">
        <v>0</v>
      </c>
      <c r="I187">
        <v>0</v>
      </c>
      <c r="J1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87" t="str">
        <f>IF(final_data786[[#This Row],[DAY_CODE]]=0,"weekend",IF(final_data786[[#This Row],[DAY_CODE]]=6,"weekend","weekday"))</f>
        <v>weekend</v>
      </c>
      <c r="L187">
        <v>1</v>
      </c>
      <c r="M187" t="str">
        <f>IF(final_data786[[#This Row],[WEATHER_CODE]]=1,"clear",IF(final_data786[[#This Row],[WEATHER_CODE]]=2,"cloudy",IF(final_data786[[#This Row],[WEATHER_CODE]]=3,"light rain",IF(final_data786[[#This Row],[WEATHER_CODE]]=4,"heavy rain",0))))</f>
        <v>clear</v>
      </c>
      <c r="N187">
        <v>0.1</v>
      </c>
      <c r="O187">
        <v>7.5800000000000006E-2</v>
      </c>
      <c r="P187">
        <v>0.42</v>
      </c>
      <c r="Q187">
        <v>0.3881</v>
      </c>
      <c r="R187">
        <v>1</v>
      </c>
      <c r="S187">
        <v>24</v>
      </c>
      <c r="T187">
        <v>25</v>
      </c>
    </row>
    <row r="188" spans="1:20" x14ac:dyDescent="0.35">
      <c r="A188">
        <v>187</v>
      </c>
      <c r="B188" s="1">
        <v>40552</v>
      </c>
      <c r="C188">
        <v>1</v>
      </c>
      <c r="D188">
        <v>0</v>
      </c>
      <c r="E188">
        <v>1</v>
      </c>
      <c r="F188" t="str">
        <f>IF(final_data786[[#This Row],[MONTH_CODE]]=1,"JANUARY",IF(final_data786[[#This Row],[MONTH_CODE]]=2,"FEBRUARY"))</f>
        <v>JANUARY</v>
      </c>
      <c r="G188">
        <v>1</v>
      </c>
      <c r="H188">
        <v>0</v>
      </c>
      <c r="I188">
        <v>0</v>
      </c>
      <c r="J1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88" t="str">
        <f>IF(final_data786[[#This Row],[DAY_CODE]]=0,"weekend",IF(final_data786[[#This Row],[DAY_CODE]]=6,"weekend","weekday"))</f>
        <v>weekend</v>
      </c>
      <c r="L188">
        <v>1</v>
      </c>
      <c r="M188" t="str">
        <f>IF(final_data786[[#This Row],[WEATHER_CODE]]=1,"clear",IF(final_data786[[#This Row],[WEATHER_CODE]]=2,"cloudy",IF(final_data786[[#This Row],[WEATHER_CODE]]=3,"light rain",IF(final_data786[[#This Row],[WEATHER_CODE]]=4,"heavy rain",0))))</f>
        <v>clear</v>
      </c>
      <c r="N188">
        <v>0.1</v>
      </c>
      <c r="O188">
        <v>6.0600000000000001E-2</v>
      </c>
      <c r="P188">
        <v>0.42</v>
      </c>
      <c r="Q188">
        <v>0.4627</v>
      </c>
      <c r="R188">
        <v>0</v>
      </c>
      <c r="S188">
        <v>12</v>
      </c>
      <c r="T188">
        <v>12</v>
      </c>
    </row>
    <row r="189" spans="1:20" x14ac:dyDescent="0.35">
      <c r="A189">
        <v>188</v>
      </c>
      <c r="B189" s="1">
        <v>40552</v>
      </c>
      <c r="C189">
        <v>1</v>
      </c>
      <c r="D189">
        <v>0</v>
      </c>
      <c r="E189">
        <v>1</v>
      </c>
      <c r="F189" t="str">
        <f>IF(final_data786[[#This Row],[MONTH_CODE]]=1,"JANUARY",IF(final_data786[[#This Row],[MONTH_CODE]]=2,"FEBRUARY"))</f>
        <v>JANUARY</v>
      </c>
      <c r="G189">
        <v>2</v>
      </c>
      <c r="H189">
        <v>0</v>
      </c>
      <c r="I189">
        <v>0</v>
      </c>
      <c r="J1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89" t="str">
        <f>IF(final_data786[[#This Row],[DAY_CODE]]=0,"weekend",IF(final_data786[[#This Row],[DAY_CODE]]=6,"weekend","weekday"))</f>
        <v>weekend</v>
      </c>
      <c r="L189">
        <v>1</v>
      </c>
      <c r="M189" t="str">
        <f>IF(final_data786[[#This Row],[WEATHER_CODE]]=1,"clear",IF(final_data786[[#This Row],[WEATHER_CODE]]=2,"cloudy",IF(final_data786[[#This Row],[WEATHER_CODE]]=3,"light rain",IF(final_data786[[#This Row],[WEATHER_CODE]]=4,"heavy rain",0))))</f>
        <v>clear</v>
      </c>
      <c r="N189">
        <v>0.1</v>
      </c>
      <c r="O189">
        <v>6.0600000000000001E-2</v>
      </c>
      <c r="P189">
        <v>0.46</v>
      </c>
      <c r="Q189">
        <v>0.4627</v>
      </c>
      <c r="R189">
        <v>0</v>
      </c>
      <c r="S189">
        <v>11</v>
      </c>
      <c r="T189">
        <v>11</v>
      </c>
    </row>
    <row r="190" spans="1:20" x14ac:dyDescent="0.35">
      <c r="A190">
        <v>189</v>
      </c>
      <c r="B190" s="1">
        <v>40552</v>
      </c>
      <c r="C190">
        <v>1</v>
      </c>
      <c r="D190">
        <v>0</v>
      </c>
      <c r="E190">
        <v>1</v>
      </c>
      <c r="F190" t="str">
        <f>IF(final_data786[[#This Row],[MONTH_CODE]]=1,"JANUARY",IF(final_data786[[#This Row],[MONTH_CODE]]=2,"FEBRUARY"))</f>
        <v>JANUARY</v>
      </c>
      <c r="G190">
        <v>3</v>
      </c>
      <c r="H190">
        <v>0</v>
      </c>
      <c r="I190">
        <v>0</v>
      </c>
      <c r="J1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0" t="str">
        <f>IF(final_data786[[#This Row],[DAY_CODE]]=0,"weekend",IF(final_data786[[#This Row],[DAY_CODE]]=6,"weekend","weekday"))</f>
        <v>weekend</v>
      </c>
      <c r="L190">
        <v>1</v>
      </c>
      <c r="M190" t="str">
        <f>IF(final_data786[[#This Row],[WEATHER_CODE]]=1,"clear",IF(final_data786[[#This Row],[WEATHER_CODE]]=2,"cloudy",IF(final_data786[[#This Row],[WEATHER_CODE]]=3,"light rain",IF(final_data786[[#This Row],[WEATHER_CODE]]=4,"heavy rain",0))))</f>
        <v>clear</v>
      </c>
      <c r="N190">
        <v>0.1</v>
      </c>
      <c r="O190">
        <v>7.5800000000000006E-2</v>
      </c>
      <c r="P190">
        <v>0.46</v>
      </c>
      <c r="Q190">
        <v>0.41789999999999999</v>
      </c>
      <c r="R190">
        <v>0</v>
      </c>
      <c r="S190">
        <v>4</v>
      </c>
      <c r="T190">
        <v>4</v>
      </c>
    </row>
    <row r="191" spans="1:20" x14ac:dyDescent="0.35">
      <c r="A191">
        <v>190</v>
      </c>
      <c r="B191" s="1">
        <v>40552</v>
      </c>
      <c r="C191">
        <v>1</v>
      </c>
      <c r="D191">
        <v>0</v>
      </c>
      <c r="E191">
        <v>1</v>
      </c>
      <c r="F191" t="str">
        <f>IF(final_data786[[#This Row],[MONTH_CODE]]=1,"JANUARY",IF(final_data786[[#This Row],[MONTH_CODE]]=2,"FEBRUARY"))</f>
        <v>JANUARY</v>
      </c>
      <c r="G191">
        <v>4</v>
      </c>
      <c r="H191">
        <v>0</v>
      </c>
      <c r="I191">
        <v>0</v>
      </c>
      <c r="J1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1" t="str">
        <f>IF(final_data786[[#This Row],[DAY_CODE]]=0,"weekend",IF(final_data786[[#This Row],[DAY_CODE]]=6,"weekend","weekday"))</f>
        <v>weekend</v>
      </c>
      <c r="L191">
        <v>1</v>
      </c>
      <c r="M191" t="str">
        <f>IF(final_data786[[#This Row],[WEATHER_CODE]]=1,"clear",IF(final_data786[[#This Row],[WEATHER_CODE]]=2,"cloudy",IF(final_data786[[#This Row],[WEATHER_CODE]]=3,"light rain",IF(final_data786[[#This Row],[WEATHER_CODE]]=4,"heavy rain",0))))</f>
        <v>clear</v>
      </c>
      <c r="N191">
        <v>0.08</v>
      </c>
      <c r="O191">
        <v>9.0899999999999995E-2</v>
      </c>
      <c r="P191">
        <v>0.53</v>
      </c>
      <c r="Q191">
        <v>0.19400000000000001</v>
      </c>
      <c r="R191">
        <v>0</v>
      </c>
      <c r="S191">
        <v>1</v>
      </c>
      <c r="T191">
        <v>1</v>
      </c>
    </row>
    <row r="192" spans="1:20" x14ac:dyDescent="0.35">
      <c r="A192">
        <v>191</v>
      </c>
      <c r="B192" s="1">
        <v>40552</v>
      </c>
      <c r="C192">
        <v>1</v>
      </c>
      <c r="D192">
        <v>0</v>
      </c>
      <c r="E192">
        <v>1</v>
      </c>
      <c r="F192" t="str">
        <f>IF(final_data786[[#This Row],[MONTH_CODE]]=1,"JANUARY",IF(final_data786[[#This Row],[MONTH_CODE]]=2,"FEBRUARY"))</f>
        <v>JANUARY</v>
      </c>
      <c r="G192">
        <v>5</v>
      </c>
      <c r="H192">
        <v>0</v>
      </c>
      <c r="I192">
        <v>0</v>
      </c>
      <c r="J1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2" t="str">
        <f>IF(final_data786[[#This Row],[DAY_CODE]]=0,"weekend",IF(final_data786[[#This Row],[DAY_CODE]]=6,"weekend","weekday"))</f>
        <v>weekend</v>
      </c>
      <c r="L192">
        <v>1</v>
      </c>
      <c r="M192" t="str">
        <f>IF(final_data786[[#This Row],[WEATHER_CODE]]=1,"clear",IF(final_data786[[#This Row],[WEATHER_CODE]]=2,"cloudy",IF(final_data786[[#This Row],[WEATHER_CODE]]=3,"light rain",IF(final_data786[[#This Row],[WEATHER_CODE]]=4,"heavy rain",0))))</f>
        <v>clear</v>
      </c>
      <c r="N192">
        <v>0.08</v>
      </c>
      <c r="O192">
        <v>9.0899999999999995E-2</v>
      </c>
      <c r="P192">
        <v>0.53</v>
      </c>
      <c r="Q192">
        <v>0.19400000000000001</v>
      </c>
      <c r="R192">
        <v>0</v>
      </c>
      <c r="S192">
        <v>1</v>
      </c>
      <c r="T192">
        <v>1</v>
      </c>
    </row>
    <row r="193" spans="1:20" x14ac:dyDescent="0.35">
      <c r="A193">
        <v>192</v>
      </c>
      <c r="B193" s="1">
        <v>40552</v>
      </c>
      <c r="C193">
        <v>1</v>
      </c>
      <c r="D193">
        <v>0</v>
      </c>
      <c r="E193">
        <v>1</v>
      </c>
      <c r="F193" t="str">
        <f>IF(final_data786[[#This Row],[MONTH_CODE]]=1,"JANUARY",IF(final_data786[[#This Row],[MONTH_CODE]]=2,"FEBRUARY"))</f>
        <v>JANUARY</v>
      </c>
      <c r="G193">
        <v>6</v>
      </c>
      <c r="H193">
        <v>0</v>
      </c>
      <c r="I193">
        <v>0</v>
      </c>
      <c r="J1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3" t="str">
        <f>IF(final_data786[[#This Row],[DAY_CODE]]=0,"weekend",IF(final_data786[[#This Row],[DAY_CODE]]=6,"weekend","weekday"))</f>
        <v>weekend</v>
      </c>
      <c r="L193">
        <v>1</v>
      </c>
      <c r="M193" t="str">
        <f>IF(final_data786[[#This Row],[WEATHER_CODE]]=1,"clear",IF(final_data786[[#This Row],[WEATHER_CODE]]=2,"cloudy",IF(final_data786[[#This Row],[WEATHER_CODE]]=3,"light rain",IF(final_data786[[#This Row],[WEATHER_CODE]]=4,"heavy rain",0))))</f>
        <v>clear</v>
      </c>
      <c r="N193">
        <v>0.1</v>
      </c>
      <c r="O193">
        <v>9.0899999999999995E-2</v>
      </c>
      <c r="P193">
        <v>0.49</v>
      </c>
      <c r="Q193">
        <v>0.28360000000000002</v>
      </c>
      <c r="R193">
        <v>0</v>
      </c>
      <c r="S193">
        <v>1</v>
      </c>
      <c r="T193">
        <v>1</v>
      </c>
    </row>
    <row r="194" spans="1:20" x14ac:dyDescent="0.35">
      <c r="A194">
        <v>193</v>
      </c>
      <c r="B194" s="1">
        <v>40552</v>
      </c>
      <c r="C194">
        <v>1</v>
      </c>
      <c r="D194">
        <v>0</v>
      </c>
      <c r="E194">
        <v>1</v>
      </c>
      <c r="F194" t="str">
        <f>IF(final_data786[[#This Row],[MONTH_CODE]]=1,"JANUARY",IF(final_data786[[#This Row],[MONTH_CODE]]=2,"FEBRUARY"))</f>
        <v>JANUARY</v>
      </c>
      <c r="G194">
        <v>7</v>
      </c>
      <c r="H194">
        <v>0</v>
      </c>
      <c r="I194">
        <v>0</v>
      </c>
      <c r="J1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4" t="str">
        <f>IF(final_data786[[#This Row],[DAY_CODE]]=0,"weekend",IF(final_data786[[#This Row],[DAY_CODE]]=6,"weekend","weekday"))</f>
        <v>weekend</v>
      </c>
      <c r="L194">
        <v>1</v>
      </c>
      <c r="M194" t="str">
        <f>IF(final_data786[[#This Row],[WEATHER_CODE]]=1,"clear",IF(final_data786[[#This Row],[WEATHER_CODE]]=2,"cloudy",IF(final_data786[[#This Row],[WEATHER_CODE]]=3,"light rain",IF(final_data786[[#This Row],[WEATHER_CODE]]=4,"heavy rain",0))))</f>
        <v>clear</v>
      </c>
      <c r="N194">
        <v>0.08</v>
      </c>
      <c r="O194">
        <v>9.0899999999999995E-2</v>
      </c>
      <c r="P194">
        <v>0.53</v>
      </c>
      <c r="Q194">
        <v>0.19400000000000001</v>
      </c>
      <c r="R194">
        <v>1</v>
      </c>
      <c r="S194">
        <v>5</v>
      </c>
      <c r="T194">
        <v>6</v>
      </c>
    </row>
    <row r="195" spans="1:20" x14ac:dyDescent="0.35">
      <c r="A195">
        <v>194</v>
      </c>
      <c r="B195" s="1">
        <v>40552</v>
      </c>
      <c r="C195">
        <v>1</v>
      </c>
      <c r="D195">
        <v>0</v>
      </c>
      <c r="E195">
        <v>1</v>
      </c>
      <c r="F195" t="str">
        <f>IF(final_data786[[#This Row],[MONTH_CODE]]=1,"JANUARY",IF(final_data786[[#This Row],[MONTH_CODE]]=2,"FEBRUARY"))</f>
        <v>JANUARY</v>
      </c>
      <c r="G195">
        <v>8</v>
      </c>
      <c r="H195">
        <v>0</v>
      </c>
      <c r="I195">
        <v>0</v>
      </c>
      <c r="J1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5" t="str">
        <f>IF(final_data786[[#This Row],[DAY_CODE]]=0,"weekend",IF(final_data786[[#This Row],[DAY_CODE]]=6,"weekend","weekday"))</f>
        <v>weekend</v>
      </c>
      <c r="L195">
        <v>1</v>
      </c>
      <c r="M195" t="str">
        <f>IF(final_data786[[#This Row],[WEATHER_CODE]]=1,"clear",IF(final_data786[[#This Row],[WEATHER_CODE]]=2,"cloudy",IF(final_data786[[#This Row],[WEATHER_CODE]]=3,"light rain",IF(final_data786[[#This Row],[WEATHER_CODE]]=4,"heavy rain",0))))</f>
        <v>clear</v>
      </c>
      <c r="N195">
        <v>0.1</v>
      </c>
      <c r="O195">
        <v>9.0899999999999995E-2</v>
      </c>
      <c r="P195">
        <v>0.49</v>
      </c>
      <c r="Q195">
        <v>0.28360000000000002</v>
      </c>
      <c r="R195">
        <v>0</v>
      </c>
      <c r="S195">
        <v>10</v>
      </c>
      <c r="T195">
        <v>10</v>
      </c>
    </row>
    <row r="196" spans="1:20" x14ac:dyDescent="0.35">
      <c r="A196">
        <v>195</v>
      </c>
      <c r="B196" s="1">
        <v>40552</v>
      </c>
      <c r="C196">
        <v>1</v>
      </c>
      <c r="D196">
        <v>0</v>
      </c>
      <c r="E196">
        <v>1</v>
      </c>
      <c r="F196" t="str">
        <f>IF(final_data786[[#This Row],[MONTH_CODE]]=1,"JANUARY",IF(final_data786[[#This Row],[MONTH_CODE]]=2,"FEBRUARY"))</f>
        <v>JANUARY</v>
      </c>
      <c r="G196">
        <v>9</v>
      </c>
      <c r="H196">
        <v>0</v>
      </c>
      <c r="I196">
        <v>0</v>
      </c>
      <c r="J1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6" t="str">
        <f>IF(final_data786[[#This Row],[DAY_CODE]]=0,"weekend",IF(final_data786[[#This Row],[DAY_CODE]]=6,"weekend","weekday"))</f>
        <v>weekend</v>
      </c>
      <c r="L196">
        <v>1</v>
      </c>
      <c r="M196" t="str">
        <f>IF(final_data786[[#This Row],[WEATHER_CODE]]=1,"clear",IF(final_data786[[#This Row],[WEATHER_CODE]]=2,"cloudy",IF(final_data786[[#This Row],[WEATHER_CODE]]=3,"light rain",IF(final_data786[[#This Row],[WEATHER_CODE]]=4,"heavy rain",0))))</f>
        <v>clear</v>
      </c>
      <c r="N196">
        <v>0.12</v>
      </c>
      <c r="O196">
        <v>7.5800000000000006E-2</v>
      </c>
      <c r="P196">
        <v>0.46</v>
      </c>
      <c r="Q196">
        <v>0.52239999999999998</v>
      </c>
      <c r="R196">
        <v>0</v>
      </c>
      <c r="S196">
        <v>19</v>
      </c>
      <c r="T196">
        <v>19</v>
      </c>
    </row>
    <row r="197" spans="1:20" x14ac:dyDescent="0.35">
      <c r="A197">
        <v>196</v>
      </c>
      <c r="B197" s="1">
        <v>40552</v>
      </c>
      <c r="C197">
        <v>1</v>
      </c>
      <c r="D197">
        <v>0</v>
      </c>
      <c r="E197">
        <v>1</v>
      </c>
      <c r="F197" t="str">
        <f>IF(final_data786[[#This Row],[MONTH_CODE]]=1,"JANUARY",IF(final_data786[[#This Row],[MONTH_CODE]]=2,"FEBRUARY"))</f>
        <v>JANUARY</v>
      </c>
      <c r="G197">
        <v>10</v>
      </c>
      <c r="H197">
        <v>0</v>
      </c>
      <c r="I197">
        <v>0</v>
      </c>
      <c r="J1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7" t="str">
        <f>IF(final_data786[[#This Row],[DAY_CODE]]=0,"weekend",IF(final_data786[[#This Row],[DAY_CODE]]=6,"weekend","weekday"))</f>
        <v>weekend</v>
      </c>
      <c r="L197">
        <v>1</v>
      </c>
      <c r="M197" t="str">
        <f>IF(final_data786[[#This Row],[WEATHER_CODE]]=1,"clear",IF(final_data786[[#This Row],[WEATHER_CODE]]=2,"cloudy",IF(final_data786[[#This Row],[WEATHER_CODE]]=3,"light rain",IF(final_data786[[#This Row],[WEATHER_CODE]]=4,"heavy rain",0))))</f>
        <v>clear</v>
      </c>
      <c r="N197">
        <v>0.14000000000000001</v>
      </c>
      <c r="O197">
        <v>0.1061</v>
      </c>
      <c r="P197">
        <v>0.43</v>
      </c>
      <c r="Q197">
        <v>0.3881</v>
      </c>
      <c r="R197">
        <v>0</v>
      </c>
      <c r="S197">
        <v>49</v>
      </c>
      <c r="T197">
        <v>49</v>
      </c>
    </row>
    <row r="198" spans="1:20" x14ac:dyDescent="0.35">
      <c r="A198">
        <v>197</v>
      </c>
      <c r="B198" s="1">
        <v>40552</v>
      </c>
      <c r="C198">
        <v>1</v>
      </c>
      <c r="D198">
        <v>0</v>
      </c>
      <c r="E198">
        <v>1</v>
      </c>
      <c r="F198" t="str">
        <f>IF(final_data786[[#This Row],[MONTH_CODE]]=1,"JANUARY",IF(final_data786[[#This Row],[MONTH_CODE]]=2,"FEBRUARY"))</f>
        <v>JANUARY</v>
      </c>
      <c r="G198">
        <v>11</v>
      </c>
      <c r="H198">
        <v>0</v>
      </c>
      <c r="I198">
        <v>0</v>
      </c>
      <c r="J1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8" t="str">
        <f>IF(final_data786[[#This Row],[DAY_CODE]]=0,"weekend",IF(final_data786[[#This Row],[DAY_CODE]]=6,"weekend","weekday"))</f>
        <v>weekend</v>
      </c>
      <c r="L198">
        <v>1</v>
      </c>
      <c r="M198" t="str">
        <f>IF(final_data786[[#This Row],[WEATHER_CODE]]=1,"clear",IF(final_data786[[#This Row],[WEATHER_CODE]]=2,"cloudy",IF(final_data786[[#This Row],[WEATHER_CODE]]=3,"light rain",IF(final_data786[[#This Row],[WEATHER_CODE]]=4,"heavy rain",0))))</f>
        <v>clear</v>
      </c>
      <c r="N198">
        <v>0.16</v>
      </c>
      <c r="O198">
        <v>0.1212</v>
      </c>
      <c r="P198">
        <v>0.4</v>
      </c>
      <c r="Q198">
        <v>0.52239999999999998</v>
      </c>
      <c r="R198">
        <v>2</v>
      </c>
      <c r="S198">
        <v>47</v>
      </c>
      <c r="T198">
        <v>49</v>
      </c>
    </row>
    <row r="199" spans="1:20" x14ac:dyDescent="0.35">
      <c r="A199">
        <v>198</v>
      </c>
      <c r="B199" s="1">
        <v>40552</v>
      </c>
      <c r="C199">
        <v>1</v>
      </c>
      <c r="D199">
        <v>0</v>
      </c>
      <c r="E199">
        <v>1</v>
      </c>
      <c r="F199" t="str">
        <f>IF(final_data786[[#This Row],[MONTH_CODE]]=1,"JANUARY",IF(final_data786[[#This Row],[MONTH_CODE]]=2,"FEBRUARY"))</f>
        <v>JANUARY</v>
      </c>
      <c r="G199">
        <v>12</v>
      </c>
      <c r="H199">
        <v>0</v>
      </c>
      <c r="I199">
        <v>0</v>
      </c>
      <c r="J1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199" t="str">
        <f>IF(final_data786[[#This Row],[DAY_CODE]]=0,"weekend",IF(final_data786[[#This Row],[DAY_CODE]]=6,"weekend","weekday"))</f>
        <v>weekend</v>
      </c>
      <c r="L199">
        <v>1</v>
      </c>
      <c r="M199" t="str">
        <f>IF(final_data786[[#This Row],[WEATHER_CODE]]=1,"clear",IF(final_data786[[#This Row],[WEATHER_CODE]]=2,"cloudy",IF(final_data786[[#This Row],[WEATHER_CODE]]=3,"light rain",IF(final_data786[[#This Row],[WEATHER_CODE]]=4,"heavy rain",0))))</f>
        <v>clear</v>
      </c>
      <c r="N199">
        <v>0.18</v>
      </c>
      <c r="O199">
        <v>0.13639999999999999</v>
      </c>
      <c r="P199">
        <v>0.37</v>
      </c>
      <c r="Q199">
        <v>0.44779999999999998</v>
      </c>
      <c r="R199">
        <v>4</v>
      </c>
      <c r="S199">
        <v>79</v>
      </c>
      <c r="T199">
        <v>83</v>
      </c>
    </row>
    <row r="200" spans="1:20" x14ac:dyDescent="0.35">
      <c r="A200">
        <v>199</v>
      </c>
      <c r="B200" s="1">
        <v>40552</v>
      </c>
      <c r="C200">
        <v>1</v>
      </c>
      <c r="D200">
        <v>0</v>
      </c>
      <c r="E200">
        <v>1</v>
      </c>
      <c r="F200" t="str">
        <f>IF(final_data786[[#This Row],[MONTH_CODE]]=1,"JANUARY",IF(final_data786[[#This Row],[MONTH_CODE]]=2,"FEBRUARY"))</f>
        <v>JANUARY</v>
      </c>
      <c r="G200">
        <v>13</v>
      </c>
      <c r="H200">
        <v>0</v>
      </c>
      <c r="I200">
        <v>0</v>
      </c>
      <c r="J2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0" t="str">
        <f>IF(final_data786[[#This Row],[DAY_CODE]]=0,"weekend",IF(final_data786[[#This Row],[DAY_CODE]]=6,"weekend","weekday"))</f>
        <v>weekend</v>
      </c>
      <c r="L200">
        <v>1</v>
      </c>
      <c r="M200" t="str">
        <f>IF(final_data786[[#This Row],[WEATHER_CODE]]=1,"clear",IF(final_data786[[#This Row],[WEATHER_CODE]]=2,"cloudy",IF(final_data786[[#This Row],[WEATHER_CODE]]=3,"light rain",IF(final_data786[[#This Row],[WEATHER_CODE]]=4,"heavy rain",0))))</f>
        <v>clear</v>
      </c>
      <c r="N200">
        <v>0.2</v>
      </c>
      <c r="O200">
        <v>0.16669999999999999</v>
      </c>
      <c r="P200">
        <v>0.34</v>
      </c>
      <c r="Q200">
        <v>0.44779999999999998</v>
      </c>
      <c r="R200">
        <v>6</v>
      </c>
      <c r="S200">
        <v>69</v>
      </c>
      <c r="T200">
        <v>75</v>
      </c>
    </row>
    <row r="201" spans="1:20" x14ac:dyDescent="0.35">
      <c r="A201">
        <v>200</v>
      </c>
      <c r="B201" s="1">
        <v>40552</v>
      </c>
      <c r="C201">
        <v>1</v>
      </c>
      <c r="D201">
        <v>0</v>
      </c>
      <c r="E201">
        <v>1</v>
      </c>
      <c r="F201" t="str">
        <f>IF(final_data786[[#This Row],[MONTH_CODE]]=1,"JANUARY",IF(final_data786[[#This Row],[MONTH_CODE]]=2,"FEBRUARY"))</f>
        <v>JANUARY</v>
      </c>
      <c r="G201">
        <v>14</v>
      </c>
      <c r="H201">
        <v>0</v>
      </c>
      <c r="I201">
        <v>0</v>
      </c>
      <c r="J2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1" t="str">
        <f>IF(final_data786[[#This Row],[DAY_CODE]]=0,"weekend",IF(final_data786[[#This Row],[DAY_CODE]]=6,"weekend","weekday"))</f>
        <v>weekend</v>
      </c>
      <c r="L201">
        <v>1</v>
      </c>
      <c r="M201" t="str">
        <f>IF(final_data786[[#This Row],[WEATHER_CODE]]=1,"clear",IF(final_data786[[#This Row],[WEATHER_CODE]]=2,"cloudy",IF(final_data786[[#This Row],[WEATHER_CODE]]=3,"light rain",IF(final_data786[[#This Row],[WEATHER_CODE]]=4,"heavy rain",0))))</f>
        <v>clear</v>
      </c>
      <c r="N201">
        <v>0.22</v>
      </c>
      <c r="O201">
        <v>0.18179999999999999</v>
      </c>
      <c r="P201">
        <v>0.32</v>
      </c>
      <c r="Q201">
        <v>0.4627</v>
      </c>
      <c r="R201">
        <v>8</v>
      </c>
      <c r="S201">
        <v>64</v>
      </c>
      <c r="T201">
        <v>72</v>
      </c>
    </row>
    <row r="202" spans="1:20" x14ac:dyDescent="0.35">
      <c r="A202">
        <v>201</v>
      </c>
      <c r="B202" s="1">
        <v>40552</v>
      </c>
      <c r="C202">
        <v>1</v>
      </c>
      <c r="D202">
        <v>0</v>
      </c>
      <c r="E202">
        <v>1</v>
      </c>
      <c r="F202" t="str">
        <f>IF(final_data786[[#This Row],[MONTH_CODE]]=1,"JANUARY",IF(final_data786[[#This Row],[MONTH_CODE]]=2,"FEBRUARY"))</f>
        <v>JANUARY</v>
      </c>
      <c r="G202">
        <v>15</v>
      </c>
      <c r="H202">
        <v>0</v>
      </c>
      <c r="I202">
        <v>0</v>
      </c>
      <c r="J2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2" t="str">
        <f>IF(final_data786[[#This Row],[DAY_CODE]]=0,"weekend",IF(final_data786[[#This Row],[DAY_CODE]]=6,"weekend","weekday"))</f>
        <v>weekend</v>
      </c>
      <c r="L202">
        <v>1</v>
      </c>
      <c r="M202" t="str">
        <f>IF(final_data786[[#This Row],[WEATHER_CODE]]=1,"clear",IF(final_data786[[#This Row],[WEATHER_CODE]]=2,"cloudy",IF(final_data786[[#This Row],[WEATHER_CODE]]=3,"light rain",IF(final_data786[[#This Row],[WEATHER_CODE]]=4,"heavy rain",0))))</f>
        <v>clear</v>
      </c>
      <c r="N202">
        <v>0.22</v>
      </c>
      <c r="O202">
        <v>0.19700000000000001</v>
      </c>
      <c r="P202">
        <v>0.35</v>
      </c>
      <c r="Q202">
        <v>0.35820000000000002</v>
      </c>
      <c r="R202">
        <v>5</v>
      </c>
      <c r="S202">
        <v>77</v>
      </c>
      <c r="T202">
        <v>82</v>
      </c>
    </row>
    <row r="203" spans="1:20" x14ac:dyDescent="0.35">
      <c r="A203">
        <v>202</v>
      </c>
      <c r="B203" s="1">
        <v>40552</v>
      </c>
      <c r="C203">
        <v>1</v>
      </c>
      <c r="D203">
        <v>0</v>
      </c>
      <c r="E203">
        <v>1</v>
      </c>
      <c r="F203" t="str">
        <f>IF(final_data786[[#This Row],[MONTH_CODE]]=1,"JANUARY",IF(final_data786[[#This Row],[MONTH_CODE]]=2,"FEBRUARY"))</f>
        <v>JANUARY</v>
      </c>
      <c r="G203">
        <v>16</v>
      </c>
      <c r="H203">
        <v>0</v>
      </c>
      <c r="I203">
        <v>0</v>
      </c>
      <c r="J2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3" t="str">
        <f>IF(final_data786[[#This Row],[DAY_CODE]]=0,"weekend",IF(final_data786[[#This Row],[DAY_CODE]]=6,"weekend","weekday"))</f>
        <v>weekend</v>
      </c>
      <c r="L203">
        <v>1</v>
      </c>
      <c r="M203" t="str">
        <f>IF(final_data786[[#This Row],[WEATHER_CODE]]=1,"clear",IF(final_data786[[#This Row],[WEATHER_CODE]]=2,"cloudy",IF(final_data786[[#This Row],[WEATHER_CODE]]=3,"light rain",IF(final_data786[[#This Row],[WEATHER_CODE]]=4,"heavy rain",0))))</f>
        <v>clear</v>
      </c>
      <c r="N203">
        <v>0.2</v>
      </c>
      <c r="O203">
        <v>0.16669999999999999</v>
      </c>
      <c r="P203">
        <v>0.34</v>
      </c>
      <c r="Q203">
        <v>0.44779999999999998</v>
      </c>
      <c r="R203">
        <v>13</v>
      </c>
      <c r="S203">
        <v>79</v>
      </c>
      <c r="T203">
        <v>92</v>
      </c>
    </row>
    <row r="204" spans="1:20" x14ac:dyDescent="0.35">
      <c r="A204">
        <v>203</v>
      </c>
      <c r="B204" s="1">
        <v>40552</v>
      </c>
      <c r="C204">
        <v>1</v>
      </c>
      <c r="D204">
        <v>0</v>
      </c>
      <c r="E204">
        <v>1</v>
      </c>
      <c r="F204" t="str">
        <f>IF(final_data786[[#This Row],[MONTH_CODE]]=1,"JANUARY",IF(final_data786[[#This Row],[MONTH_CODE]]=2,"FEBRUARY"))</f>
        <v>JANUARY</v>
      </c>
      <c r="G204">
        <v>17</v>
      </c>
      <c r="H204">
        <v>0</v>
      </c>
      <c r="I204">
        <v>0</v>
      </c>
      <c r="J2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4" t="str">
        <f>IF(final_data786[[#This Row],[DAY_CODE]]=0,"weekend",IF(final_data786[[#This Row],[DAY_CODE]]=6,"weekend","weekday"))</f>
        <v>weekend</v>
      </c>
      <c r="L204">
        <v>1</v>
      </c>
      <c r="M204" t="str">
        <f>IF(final_data786[[#This Row],[WEATHER_CODE]]=1,"clear",IF(final_data786[[#This Row],[WEATHER_CODE]]=2,"cloudy",IF(final_data786[[#This Row],[WEATHER_CODE]]=3,"light rain",IF(final_data786[[#This Row],[WEATHER_CODE]]=4,"heavy rain",0))))</f>
        <v>clear</v>
      </c>
      <c r="N204">
        <v>0.18</v>
      </c>
      <c r="O204">
        <v>0.1515</v>
      </c>
      <c r="P204">
        <v>0.37</v>
      </c>
      <c r="Q204">
        <v>0.3881</v>
      </c>
      <c r="R204">
        <v>3</v>
      </c>
      <c r="S204">
        <v>59</v>
      </c>
      <c r="T204">
        <v>62</v>
      </c>
    </row>
    <row r="205" spans="1:20" x14ac:dyDescent="0.35">
      <c r="A205">
        <v>204</v>
      </c>
      <c r="B205" s="1">
        <v>40552</v>
      </c>
      <c r="C205">
        <v>1</v>
      </c>
      <c r="D205">
        <v>0</v>
      </c>
      <c r="E205">
        <v>1</v>
      </c>
      <c r="F205" t="str">
        <f>IF(final_data786[[#This Row],[MONTH_CODE]]=1,"JANUARY",IF(final_data786[[#This Row],[MONTH_CODE]]=2,"FEBRUARY"))</f>
        <v>JANUARY</v>
      </c>
      <c r="G205">
        <v>18</v>
      </c>
      <c r="H205">
        <v>0</v>
      </c>
      <c r="I205">
        <v>0</v>
      </c>
      <c r="J2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5" t="str">
        <f>IF(final_data786[[#This Row],[DAY_CODE]]=0,"weekend",IF(final_data786[[#This Row],[DAY_CODE]]=6,"weekend","weekday"))</f>
        <v>weekend</v>
      </c>
      <c r="L205">
        <v>1</v>
      </c>
      <c r="M205" t="str">
        <f>IF(final_data786[[#This Row],[WEATHER_CODE]]=1,"clear",IF(final_data786[[#This Row],[WEATHER_CODE]]=2,"cloudy",IF(final_data786[[#This Row],[WEATHER_CODE]]=3,"light rain",IF(final_data786[[#This Row],[WEATHER_CODE]]=4,"heavy rain",0))))</f>
        <v>clear</v>
      </c>
      <c r="N205">
        <v>0.16</v>
      </c>
      <c r="O205">
        <v>0.13639999999999999</v>
      </c>
      <c r="P205">
        <v>0.4</v>
      </c>
      <c r="Q205">
        <v>0.32840000000000003</v>
      </c>
      <c r="R205">
        <v>4</v>
      </c>
      <c r="S205">
        <v>44</v>
      </c>
      <c r="T205">
        <v>48</v>
      </c>
    </row>
    <row r="206" spans="1:20" x14ac:dyDescent="0.35">
      <c r="A206">
        <v>205</v>
      </c>
      <c r="B206" s="1">
        <v>40552</v>
      </c>
      <c r="C206">
        <v>1</v>
      </c>
      <c r="D206">
        <v>0</v>
      </c>
      <c r="E206">
        <v>1</v>
      </c>
      <c r="F206" t="str">
        <f>IF(final_data786[[#This Row],[MONTH_CODE]]=1,"JANUARY",IF(final_data786[[#This Row],[MONTH_CODE]]=2,"FEBRUARY"))</f>
        <v>JANUARY</v>
      </c>
      <c r="G206">
        <v>19</v>
      </c>
      <c r="H206">
        <v>0</v>
      </c>
      <c r="I206">
        <v>0</v>
      </c>
      <c r="J2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6" t="str">
        <f>IF(final_data786[[#This Row],[DAY_CODE]]=0,"weekend",IF(final_data786[[#This Row],[DAY_CODE]]=6,"weekend","weekday"))</f>
        <v>weekend</v>
      </c>
      <c r="L206">
        <v>1</v>
      </c>
      <c r="M206" t="str">
        <f>IF(final_data786[[#This Row],[WEATHER_CODE]]=1,"clear",IF(final_data786[[#This Row],[WEATHER_CODE]]=2,"cloudy",IF(final_data786[[#This Row],[WEATHER_CODE]]=3,"light rain",IF(final_data786[[#This Row],[WEATHER_CODE]]=4,"heavy rain",0))))</f>
        <v>clear</v>
      </c>
      <c r="N206">
        <v>0.16</v>
      </c>
      <c r="O206">
        <v>0.13639999999999999</v>
      </c>
      <c r="P206">
        <v>0.43</v>
      </c>
      <c r="Q206">
        <v>0.32840000000000003</v>
      </c>
      <c r="R206">
        <v>1</v>
      </c>
      <c r="S206">
        <v>40</v>
      </c>
      <c r="T206">
        <v>41</v>
      </c>
    </row>
    <row r="207" spans="1:20" x14ac:dyDescent="0.35">
      <c r="A207">
        <v>206</v>
      </c>
      <c r="B207" s="1">
        <v>40552</v>
      </c>
      <c r="C207">
        <v>1</v>
      </c>
      <c r="D207">
        <v>0</v>
      </c>
      <c r="E207">
        <v>1</v>
      </c>
      <c r="F207" t="str">
        <f>IF(final_data786[[#This Row],[MONTH_CODE]]=1,"JANUARY",IF(final_data786[[#This Row],[MONTH_CODE]]=2,"FEBRUARY"))</f>
        <v>JANUARY</v>
      </c>
      <c r="G207">
        <v>20</v>
      </c>
      <c r="H207">
        <v>0</v>
      </c>
      <c r="I207">
        <v>0</v>
      </c>
      <c r="J2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7" t="str">
        <f>IF(final_data786[[#This Row],[DAY_CODE]]=0,"weekend",IF(final_data786[[#This Row],[DAY_CODE]]=6,"weekend","weekday"))</f>
        <v>weekend</v>
      </c>
      <c r="L207">
        <v>1</v>
      </c>
      <c r="M207" t="str">
        <f>IF(final_data786[[#This Row],[WEATHER_CODE]]=1,"clear",IF(final_data786[[#This Row],[WEATHER_CODE]]=2,"cloudy",IF(final_data786[[#This Row],[WEATHER_CODE]]=3,"light rain",IF(final_data786[[#This Row],[WEATHER_CODE]]=4,"heavy rain",0))))</f>
        <v>clear</v>
      </c>
      <c r="N207">
        <v>0.14000000000000001</v>
      </c>
      <c r="O207">
        <v>0.1212</v>
      </c>
      <c r="P207">
        <v>0.46</v>
      </c>
      <c r="Q207">
        <v>0.25369999999999998</v>
      </c>
      <c r="R207">
        <v>0</v>
      </c>
      <c r="S207">
        <v>38</v>
      </c>
      <c r="T207">
        <v>38</v>
      </c>
    </row>
    <row r="208" spans="1:20" x14ac:dyDescent="0.35">
      <c r="A208">
        <v>207</v>
      </c>
      <c r="B208" s="1">
        <v>40552</v>
      </c>
      <c r="C208">
        <v>1</v>
      </c>
      <c r="D208">
        <v>0</v>
      </c>
      <c r="E208">
        <v>1</v>
      </c>
      <c r="F208" t="str">
        <f>IF(final_data786[[#This Row],[MONTH_CODE]]=1,"JANUARY",IF(final_data786[[#This Row],[MONTH_CODE]]=2,"FEBRUARY"))</f>
        <v>JANUARY</v>
      </c>
      <c r="G208">
        <v>21</v>
      </c>
      <c r="H208">
        <v>0</v>
      </c>
      <c r="I208">
        <v>0</v>
      </c>
      <c r="J2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8" t="str">
        <f>IF(final_data786[[#This Row],[DAY_CODE]]=0,"weekend",IF(final_data786[[#This Row],[DAY_CODE]]=6,"weekend","weekday"))</f>
        <v>weekend</v>
      </c>
      <c r="L208">
        <v>1</v>
      </c>
      <c r="M208" t="str">
        <f>IF(final_data786[[#This Row],[WEATHER_CODE]]=1,"clear",IF(final_data786[[#This Row],[WEATHER_CODE]]=2,"cloudy",IF(final_data786[[#This Row],[WEATHER_CODE]]=3,"light rain",IF(final_data786[[#This Row],[WEATHER_CODE]]=4,"heavy rain",0))))</f>
        <v>clear</v>
      </c>
      <c r="N208">
        <v>0.14000000000000001</v>
      </c>
      <c r="O208">
        <v>0.1061</v>
      </c>
      <c r="P208">
        <v>0.46</v>
      </c>
      <c r="Q208">
        <v>0.41789999999999999</v>
      </c>
      <c r="R208">
        <v>1</v>
      </c>
      <c r="S208">
        <v>19</v>
      </c>
      <c r="T208">
        <v>20</v>
      </c>
    </row>
    <row r="209" spans="1:20" x14ac:dyDescent="0.35">
      <c r="A209">
        <v>208</v>
      </c>
      <c r="B209" s="1">
        <v>40552</v>
      </c>
      <c r="C209">
        <v>1</v>
      </c>
      <c r="D209">
        <v>0</v>
      </c>
      <c r="E209">
        <v>1</v>
      </c>
      <c r="F209" t="str">
        <f>IF(final_data786[[#This Row],[MONTH_CODE]]=1,"JANUARY",IF(final_data786[[#This Row],[MONTH_CODE]]=2,"FEBRUARY"))</f>
        <v>JANUARY</v>
      </c>
      <c r="G209">
        <v>22</v>
      </c>
      <c r="H209">
        <v>0</v>
      </c>
      <c r="I209">
        <v>0</v>
      </c>
      <c r="J2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09" t="str">
        <f>IF(final_data786[[#This Row],[DAY_CODE]]=0,"weekend",IF(final_data786[[#This Row],[DAY_CODE]]=6,"weekend","weekday"))</f>
        <v>weekend</v>
      </c>
      <c r="L209">
        <v>1</v>
      </c>
      <c r="M209" t="str">
        <f>IF(final_data786[[#This Row],[WEATHER_CODE]]=1,"clear",IF(final_data786[[#This Row],[WEATHER_CODE]]=2,"cloudy",IF(final_data786[[#This Row],[WEATHER_CODE]]=3,"light rain",IF(final_data786[[#This Row],[WEATHER_CODE]]=4,"heavy rain",0))))</f>
        <v>clear</v>
      </c>
      <c r="N209">
        <v>0.14000000000000001</v>
      </c>
      <c r="O209">
        <v>0.1212</v>
      </c>
      <c r="P209">
        <v>0.46</v>
      </c>
      <c r="Q209">
        <v>0.29849999999999999</v>
      </c>
      <c r="R209">
        <v>5</v>
      </c>
      <c r="S209">
        <v>10</v>
      </c>
      <c r="T209">
        <v>15</v>
      </c>
    </row>
    <row r="210" spans="1:20" x14ac:dyDescent="0.35">
      <c r="A210">
        <v>209</v>
      </c>
      <c r="B210" s="1">
        <v>40552</v>
      </c>
      <c r="C210">
        <v>1</v>
      </c>
      <c r="D210">
        <v>0</v>
      </c>
      <c r="E210">
        <v>1</v>
      </c>
      <c r="F210" t="str">
        <f>IF(final_data786[[#This Row],[MONTH_CODE]]=1,"JANUARY",IF(final_data786[[#This Row],[MONTH_CODE]]=2,"FEBRUARY"))</f>
        <v>JANUARY</v>
      </c>
      <c r="G210">
        <v>23</v>
      </c>
      <c r="H210">
        <v>0</v>
      </c>
      <c r="I210">
        <v>0</v>
      </c>
      <c r="J2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210" t="str">
        <f>IF(final_data786[[#This Row],[DAY_CODE]]=0,"weekend",IF(final_data786[[#This Row],[DAY_CODE]]=6,"weekend","weekday"))</f>
        <v>weekend</v>
      </c>
      <c r="L210">
        <v>1</v>
      </c>
      <c r="M210" t="str">
        <f>IF(final_data786[[#This Row],[WEATHER_CODE]]=1,"clear",IF(final_data786[[#This Row],[WEATHER_CODE]]=2,"cloudy",IF(final_data786[[#This Row],[WEATHER_CODE]]=3,"light rain",IF(final_data786[[#This Row],[WEATHER_CODE]]=4,"heavy rain",0))))</f>
        <v>clear</v>
      </c>
      <c r="N210">
        <v>0.12</v>
      </c>
      <c r="O210">
        <v>0.13639999999999999</v>
      </c>
      <c r="P210">
        <v>0.5</v>
      </c>
      <c r="Q210">
        <v>0.19400000000000001</v>
      </c>
      <c r="R210">
        <v>0</v>
      </c>
      <c r="S210">
        <v>6</v>
      </c>
      <c r="T210">
        <v>6</v>
      </c>
    </row>
    <row r="211" spans="1:20" x14ac:dyDescent="0.35">
      <c r="A211">
        <v>210</v>
      </c>
      <c r="B211" s="1">
        <v>40553</v>
      </c>
      <c r="C211">
        <v>1</v>
      </c>
      <c r="D211">
        <v>0</v>
      </c>
      <c r="E211">
        <v>1</v>
      </c>
      <c r="F211" t="str">
        <f>IF(final_data786[[#This Row],[MONTH_CODE]]=1,"JANUARY",IF(final_data786[[#This Row],[MONTH_CODE]]=2,"FEBRUARY"))</f>
        <v>JANUARY</v>
      </c>
      <c r="G211">
        <v>0</v>
      </c>
      <c r="H211">
        <v>0</v>
      </c>
      <c r="I211">
        <v>1</v>
      </c>
      <c r="J2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1" t="str">
        <f>IF(final_data786[[#This Row],[DAY_CODE]]=0,"weekend",IF(final_data786[[#This Row],[DAY_CODE]]=6,"weekend","weekday"))</f>
        <v>weekday</v>
      </c>
      <c r="L211">
        <v>1</v>
      </c>
      <c r="M211" t="str">
        <f>IF(final_data786[[#This Row],[WEATHER_CODE]]=1,"clear",IF(final_data786[[#This Row],[WEATHER_CODE]]=2,"cloudy",IF(final_data786[[#This Row],[WEATHER_CODE]]=3,"light rain",IF(final_data786[[#This Row],[WEATHER_CODE]]=4,"heavy rain",0))))</f>
        <v>clear</v>
      </c>
      <c r="N211">
        <v>0.12</v>
      </c>
      <c r="O211">
        <v>0.1212</v>
      </c>
      <c r="P211">
        <v>0.5</v>
      </c>
      <c r="Q211">
        <v>0.28360000000000002</v>
      </c>
      <c r="R211">
        <v>2</v>
      </c>
      <c r="S211">
        <v>3</v>
      </c>
      <c r="T211">
        <v>5</v>
      </c>
    </row>
    <row r="212" spans="1:20" x14ac:dyDescent="0.35">
      <c r="A212">
        <v>211</v>
      </c>
      <c r="B212" s="1">
        <v>40553</v>
      </c>
      <c r="C212">
        <v>1</v>
      </c>
      <c r="D212">
        <v>0</v>
      </c>
      <c r="E212">
        <v>1</v>
      </c>
      <c r="F212" t="str">
        <f>IF(final_data786[[#This Row],[MONTH_CODE]]=1,"JANUARY",IF(final_data786[[#This Row],[MONTH_CODE]]=2,"FEBRUARY"))</f>
        <v>JANUARY</v>
      </c>
      <c r="G212">
        <v>1</v>
      </c>
      <c r="H212">
        <v>0</v>
      </c>
      <c r="I212">
        <v>1</v>
      </c>
      <c r="J2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2" t="str">
        <f>IF(final_data786[[#This Row],[DAY_CODE]]=0,"weekend",IF(final_data786[[#This Row],[DAY_CODE]]=6,"weekend","weekday"))</f>
        <v>weekday</v>
      </c>
      <c r="L212">
        <v>1</v>
      </c>
      <c r="M212" t="str">
        <f>IF(final_data786[[#This Row],[WEATHER_CODE]]=1,"clear",IF(final_data786[[#This Row],[WEATHER_CODE]]=2,"cloudy",IF(final_data786[[#This Row],[WEATHER_CODE]]=3,"light rain",IF(final_data786[[#This Row],[WEATHER_CODE]]=4,"heavy rain",0))))</f>
        <v>clear</v>
      </c>
      <c r="N212">
        <v>0.12</v>
      </c>
      <c r="O212">
        <v>0.1212</v>
      </c>
      <c r="P212">
        <v>0.5</v>
      </c>
      <c r="Q212">
        <v>0.28360000000000002</v>
      </c>
      <c r="R212">
        <v>1</v>
      </c>
      <c r="S212">
        <v>0</v>
      </c>
      <c r="T212">
        <v>1</v>
      </c>
    </row>
    <row r="213" spans="1:20" x14ac:dyDescent="0.35">
      <c r="A213">
        <v>212</v>
      </c>
      <c r="B213" s="1">
        <v>40553</v>
      </c>
      <c r="C213">
        <v>1</v>
      </c>
      <c r="D213">
        <v>0</v>
      </c>
      <c r="E213">
        <v>1</v>
      </c>
      <c r="F213" t="str">
        <f>IF(final_data786[[#This Row],[MONTH_CODE]]=1,"JANUARY",IF(final_data786[[#This Row],[MONTH_CODE]]=2,"FEBRUARY"))</f>
        <v>JANUARY</v>
      </c>
      <c r="G213">
        <v>2</v>
      </c>
      <c r="H213">
        <v>0</v>
      </c>
      <c r="I213">
        <v>1</v>
      </c>
      <c r="J2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3" t="str">
        <f>IF(final_data786[[#This Row],[DAY_CODE]]=0,"weekend",IF(final_data786[[#This Row],[DAY_CODE]]=6,"weekend","weekday"))</f>
        <v>weekday</v>
      </c>
      <c r="L213">
        <v>1</v>
      </c>
      <c r="M213" t="str">
        <f>IF(final_data786[[#This Row],[WEATHER_CODE]]=1,"clear",IF(final_data786[[#This Row],[WEATHER_CODE]]=2,"cloudy",IF(final_data786[[#This Row],[WEATHER_CODE]]=3,"light rain",IF(final_data786[[#This Row],[WEATHER_CODE]]=4,"heavy rain",0))))</f>
        <v>clear</v>
      </c>
      <c r="N213">
        <v>0.12</v>
      </c>
      <c r="O213">
        <v>0.1212</v>
      </c>
      <c r="P213">
        <v>0.5</v>
      </c>
      <c r="Q213">
        <v>0.22389999999999999</v>
      </c>
      <c r="R213">
        <v>0</v>
      </c>
      <c r="S213">
        <v>3</v>
      </c>
      <c r="T213">
        <v>3</v>
      </c>
    </row>
    <row r="214" spans="1:20" x14ac:dyDescent="0.35">
      <c r="A214">
        <v>213</v>
      </c>
      <c r="B214" s="1">
        <v>40553</v>
      </c>
      <c r="C214">
        <v>1</v>
      </c>
      <c r="D214">
        <v>0</v>
      </c>
      <c r="E214">
        <v>1</v>
      </c>
      <c r="F214" t="str">
        <f>IF(final_data786[[#This Row],[MONTH_CODE]]=1,"JANUARY",IF(final_data786[[#This Row],[MONTH_CODE]]=2,"FEBRUARY"))</f>
        <v>JANUARY</v>
      </c>
      <c r="G214">
        <v>3</v>
      </c>
      <c r="H214">
        <v>0</v>
      </c>
      <c r="I214">
        <v>1</v>
      </c>
      <c r="J2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4" t="str">
        <f>IF(final_data786[[#This Row],[DAY_CODE]]=0,"weekend",IF(final_data786[[#This Row],[DAY_CODE]]=6,"weekend","weekday"))</f>
        <v>weekday</v>
      </c>
      <c r="L214">
        <v>1</v>
      </c>
      <c r="M214" t="str">
        <f>IF(final_data786[[#This Row],[WEATHER_CODE]]=1,"clear",IF(final_data786[[#This Row],[WEATHER_CODE]]=2,"cloudy",IF(final_data786[[#This Row],[WEATHER_CODE]]=3,"light rain",IF(final_data786[[#This Row],[WEATHER_CODE]]=4,"heavy rain",0))))</f>
        <v>clear</v>
      </c>
      <c r="N214">
        <v>0.12</v>
      </c>
      <c r="O214">
        <v>0.1212</v>
      </c>
      <c r="P214">
        <v>0.5</v>
      </c>
      <c r="Q214">
        <v>0.22389999999999999</v>
      </c>
      <c r="R214">
        <v>0</v>
      </c>
      <c r="S214">
        <v>1</v>
      </c>
      <c r="T214">
        <v>1</v>
      </c>
    </row>
    <row r="215" spans="1:20" x14ac:dyDescent="0.35">
      <c r="A215">
        <v>214</v>
      </c>
      <c r="B215" s="1">
        <v>40553</v>
      </c>
      <c r="C215">
        <v>1</v>
      </c>
      <c r="D215">
        <v>0</v>
      </c>
      <c r="E215">
        <v>1</v>
      </c>
      <c r="F215" t="str">
        <f>IF(final_data786[[#This Row],[MONTH_CODE]]=1,"JANUARY",IF(final_data786[[#This Row],[MONTH_CODE]]=2,"FEBRUARY"))</f>
        <v>JANUARY</v>
      </c>
      <c r="G215">
        <v>4</v>
      </c>
      <c r="H215">
        <v>0</v>
      </c>
      <c r="I215">
        <v>1</v>
      </c>
      <c r="J2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5" t="str">
        <f>IF(final_data786[[#This Row],[DAY_CODE]]=0,"weekend",IF(final_data786[[#This Row],[DAY_CODE]]=6,"weekend","weekday"))</f>
        <v>weekday</v>
      </c>
      <c r="L215">
        <v>1</v>
      </c>
      <c r="M215" t="str">
        <f>IF(final_data786[[#This Row],[WEATHER_CODE]]=1,"clear",IF(final_data786[[#This Row],[WEATHER_CODE]]=2,"cloudy",IF(final_data786[[#This Row],[WEATHER_CODE]]=3,"light rain",IF(final_data786[[#This Row],[WEATHER_CODE]]=4,"heavy rain",0))))</f>
        <v>clear</v>
      </c>
      <c r="N215">
        <v>0.1</v>
      </c>
      <c r="O215">
        <v>0.1212</v>
      </c>
      <c r="P215">
        <v>0.54</v>
      </c>
      <c r="Q215">
        <v>0.1343</v>
      </c>
      <c r="R215">
        <v>1</v>
      </c>
      <c r="S215">
        <v>2</v>
      </c>
      <c r="T215">
        <v>3</v>
      </c>
    </row>
    <row r="216" spans="1:20" x14ac:dyDescent="0.35">
      <c r="A216">
        <v>215</v>
      </c>
      <c r="B216" s="1">
        <v>40553</v>
      </c>
      <c r="C216">
        <v>1</v>
      </c>
      <c r="D216">
        <v>0</v>
      </c>
      <c r="E216">
        <v>1</v>
      </c>
      <c r="F216" t="str">
        <f>IF(final_data786[[#This Row],[MONTH_CODE]]=1,"JANUARY",IF(final_data786[[#This Row],[MONTH_CODE]]=2,"FEBRUARY"))</f>
        <v>JANUARY</v>
      </c>
      <c r="G216">
        <v>5</v>
      </c>
      <c r="H216">
        <v>0</v>
      </c>
      <c r="I216">
        <v>1</v>
      </c>
      <c r="J2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6" t="str">
        <f>IF(final_data786[[#This Row],[DAY_CODE]]=0,"weekend",IF(final_data786[[#This Row],[DAY_CODE]]=6,"weekend","weekday"))</f>
        <v>weekday</v>
      </c>
      <c r="L216">
        <v>1</v>
      </c>
      <c r="M216" t="str">
        <f>IF(final_data786[[#This Row],[WEATHER_CODE]]=1,"clear",IF(final_data786[[#This Row],[WEATHER_CODE]]=2,"cloudy",IF(final_data786[[#This Row],[WEATHER_CODE]]=3,"light rain",IF(final_data786[[#This Row],[WEATHER_CODE]]=4,"heavy rain",0))))</f>
        <v>clear</v>
      </c>
      <c r="N216">
        <v>0.1</v>
      </c>
      <c r="O216">
        <v>0.1061</v>
      </c>
      <c r="P216">
        <v>0.54</v>
      </c>
      <c r="Q216">
        <v>0.25369999999999998</v>
      </c>
      <c r="R216">
        <v>0</v>
      </c>
      <c r="S216">
        <v>3</v>
      </c>
      <c r="T216">
        <v>3</v>
      </c>
    </row>
    <row r="217" spans="1:20" x14ac:dyDescent="0.35">
      <c r="A217">
        <v>216</v>
      </c>
      <c r="B217" s="1">
        <v>40553</v>
      </c>
      <c r="C217">
        <v>1</v>
      </c>
      <c r="D217">
        <v>0</v>
      </c>
      <c r="E217">
        <v>1</v>
      </c>
      <c r="F217" t="str">
        <f>IF(final_data786[[#This Row],[MONTH_CODE]]=1,"JANUARY",IF(final_data786[[#This Row],[MONTH_CODE]]=2,"FEBRUARY"))</f>
        <v>JANUARY</v>
      </c>
      <c r="G217">
        <v>6</v>
      </c>
      <c r="H217">
        <v>0</v>
      </c>
      <c r="I217">
        <v>1</v>
      </c>
      <c r="J2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7" t="str">
        <f>IF(final_data786[[#This Row],[DAY_CODE]]=0,"weekend",IF(final_data786[[#This Row],[DAY_CODE]]=6,"weekend","weekday"))</f>
        <v>weekday</v>
      </c>
      <c r="L217">
        <v>1</v>
      </c>
      <c r="M217" t="str">
        <f>IF(final_data786[[#This Row],[WEATHER_CODE]]=1,"clear",IF(final_data786[[#This Row],[WEATHER_CODE]]=2,"cloudy",IF(final_data786[[#This Row],[WEATHER_CODE]]=3,"light rain",IF(final_data786[[#This Row],[WEATHER_CODE]]=4,"heavy rain",0))))</f>
        <v>clear</v>
      </c>
      <c r="N217">
        <v>0.12</v>
      </c>
      <c r="O217">
        <v>0.1212</v>
      </c>
      <c r="P217">
        <v>0.5</v>
      </c>
      <c r="Q217">
        <v>0.28360000000000002</v>
      </c>
      <c r="R217">
        <v>0</v>
      </c>
      <c r="S217">
        <v>31</v>
      </c>
      <c r="T217">
        <v>31</v>
      </c>
    </row>
    <row r="218" spans="1:20" x14ac:dyDescent="0.35">
      <c r="A218">
        <v>217</v>
      </c>
      <c r="B218" s="1">
        <v>40553</v>
      </c>
      <c r="C218">
        <v>1</v>
      </c>
      <c r="D218">
        <v>0</v>
      </c>
      <c r="E218">
        <v>1</v>
      </c>
      <c r="F218" t="str">
        <f>IF(final_data786[[#This Row],[MONTH_CODE]]=1,"JANUARY",IF(final_data786[[#This Row],[MONTH_CODE]]=2,"FEBRUARY"))</f>
        <v>JANUARY</v>
      </c>
      <c r="G218">
        <v>7</v>
      </c>
      <c r="H218">
        <v>0</v>
      </c>
      <c r="I218">
        <v>1</v>
      </c>
      <c r="J2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8" t="str">
        <f>IF(final_data786[[#This Row],[DAY_CODE]]=0,"weekend",IF(final_data786[[#This Row],[DAY_CODE]]=6,"weekend","weekday"))</f>
        <v>weekday</v>
      </c>
      <c r="L218">
        <v>1</v>
      </c>
      <c r="M218" t="str">
        <f>IF(final_data786[[#This Row],[WEATHER_CODE]]=1,"clear",IF(final_data786[[#This Row],[WEATHER_CODE]]=2,"cloudy",IF(final_data786[[#This Row],[WEATHER_CODE]]=3,"light rain",IF(final_data786[[#This Row],[WEATHER_CODE]]=4,"heavy rain",0))))</f>
        <v>clear</v>
      </c>
      <c r="N218">
        <v>0.12</v>
      </c>
      <c r="O218">
        <v>0.1212</v>
      </c>
      <c r="P218">
        <v>0.5</v>
      </c>
      <c r="Q218">
        <v>0.22389999999999999</v>
      </c>
      <c r="R218">
        <v>2</v>
      </c>
      <c r="S218">
        <v>75</v>
      </c>
      <c r="T218">
        <v>77</v>
      </c>
    </row>
    <row r="219" spans="1:20" x14ac:dyDescent="0.35">
      <c r="A219">
        <v>218</v>
      </c>
      <c r="B219" s="1">
        <v>40553</v>
      </c>
      <c r="C219">
        <v>1</v>
      </c>
      <c r="D219">
        <v>0</v>
      </c>
      <c r="E219">
        <v>1</v>
      </c>
      <c r="F219" t="str">
        <f>IF(final_data786[[#This Row],[MONTH_CODE]]=1,"JANUARY",IF(final_data786[[#This Row],[MONTH_CODE]]=2,"FEBRUARY"))</f>
        <v>JANUARY</v>
      </c>
      <c r="G219">
        <v>8</v>
      </c>
      <c r="H219">
        <v>0</v>
      </c>
      <c r="I219">
        <v>1</v>
      </c>
      <c r="J2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19" t="str">
        <f>IF(final_data786[[#This Row],[DAY_CODE]]=0,"weekend",IF(final_data786[[#This Row],[DAY_CODE]]=6,"weekend","weekday"))</f>
        <v>weekday</v>
      </c>
      <c r="L219">
        <v>2</v>
      </c>
      <c r="M219" t="str">
        <f>IF(final_data786[[#This Row],[WEATHER_CODE]]=1,"clear",IF(final_data786[[#This Row],[WEATHER_CODE]]=2,"cloudy",IF(final_data786[[#This Row],[WEATHER_CODE]]=3,"light rain",IF(final_data786[[#This Row],[WEATHER_CODE]]=4,"heavy rain",0))))</f>
        <v>cloudy</v>
      </c>
      <c r="N219">
        <v>0.12</v>
      </c>
      <c r="O219">
        <v>0.1212</v>
      </c>
      <c r="P219">
        <v>0.5</v>
      </c>
      <c r="Q219">
        <v>0.28360000000000002</v>
      </c>
      <c r="R219">
        <v>4</v>
      </c>
      <c r="S219">
        <v>184</v>
      </c>
      <c r="T219">
        <v>188</v>
      </c>
    </row>
    <row r="220" spans="1:20" x14ac:dyDescent="0.35">
      <c r="A220">
        <v>219</v>
      </c>
      <c r="B220" s="1">
        <v>40553</v>
      </c>
      <c r="C220">
        <v>1</v>
      </c>
      <c r="D220">
        <v>0</v>
      </c>
      <c r="E220">
        <v>1</v>
      </c>
      <c r="F220" t="str">
        <f>IF(final_data786[[#This Row],[MONTH_CODE]]=1,"JANUARY",IF(final_data786[[#This Row],[MONTH_CODE]]=2,"FEBRUARY"))</f>
        <v>JANUARY</v>
      </c>
      <c r="G220">
        <v>9</v>
      </c>
      <c r="H220">
        <v>0</v>
      </c>
      <c r="I220">
        <v>1</v>
      </c>
      <c r="J2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0" t="str">
        <f>IF(final_data786[[#This Row],[DAY_CODE]]=0,"weekend",IF(final_data786[[#This Row],[DAY_CODE]]=6,"weekend","weekday"))</f>
        <v>weekday</v>
      </c>
      <c r="L220">
        <v>2</v>
      </c>
      <c r="M220" t="str">
        <f>IF(final_data786[[#This Row],[WEATHER_CODE]]=1,"clear",IF(final_data786[[#This Row],[WEATHER_CODE]]=2,"cloudy",IF(final_data786[[#This Row],[WEATHER_CODE]]=3,"light rain",IF(final_data786[[#This Row],[WEATHER_CODE]]=4,"heavy rain",0))))</f>
        <v>cloudy</v>
      </c>
      <c r="N220">
        <v>0.14000000000000001</v>
      </c>
      <c r="O220">
        <v>0.1212</v>
      </c>
      <c r="P220">
        <v>0.5</v>
      </c>
      <c r="Q220">
        <v>0.25369999999999998</v>
      </c>
      <c r="R220">
        <v>2</v>
      </c>
      <c r="S220">
        <v>92</v>
      </c>
      <c r="T220">
        <v>94</v>
      </c>
    </row>
    <row r="221" spans="1:20" x14ac:dyDescent="0.35">
      <c r="A221">
        <v>220</v>
      </c>
      <c r="B221" s="1">
        <v>40553</v>
      </c>
      <c r="C221">
        <v>1</v>
      </c>
      <c r="D221">
        <v>0</v>
      </c>
      <c r="E221">
        <v>1</v>
      </c>
      <c r="F221" t="str">
        <f>IF(final_data786[[#This Row],[MONTH_CODE]]=1,"JANUARY",IF(final_data786[[#This Row],[MONTH_CODE]]=2,"FEBRUARY"))</f>
        <v>JANUARY</v>
      </c>
      <c r="G221">
        <v>10</v>
      </c>
      <c r="H221">
        <v>0</v>
      </c>
      <c r="I221">
        <v>1</v>
      </c>
      <c r="J2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1" t="str">
        <f>IF(final_data786[[#This Row],[DAY_CODE]]=0,"weekend",IF(final_data786[[#This Row],[DAY_CODE]]=6,"weekend","weekday"))</f>
        <v>weekday</v>
      </c>
      <c r="L221">
        <v>2</v>
      </c>
      <c r="M221" t="str">
        <f>IF(final_data786[[#This Row],[WEATHER_CODE]]=1,"clear",IF(final_data786[[#This Row],[WEATHER_CODE]]=2,"cloudy",IF(final_data786[[#This Row],[WEATHER_CODE]]=3,"light rain",IF(final_data786[[#This Row],[WEATHER_CODE]]=4,"heavy rain",0))))</f>
        <v>cloudy</v>
      </c>
      <c r="N221">
        <v>0.14000000000000001</v>
      </c>
      <c r="O221">
        <v>0.1212</v>
      </c>
      <c r="P221">
        <v>0.5</v>
      </c>
      <c r="Q221">
        <v>0.29849999999999999</v>
      </c>
      <c r="R221">
        <v>0</v>
      </c>
      <c r="S221">
        <v>31</v>
      </c>
      <c r="T221">
        <v>31</v>
      </c>
    </row>
    <row r="222" spans="1:20" x14ac:dyDescent="0.35">
      <c r="A222">
        <v>221</v>
      </c>
      <c r="B222" s="1">
        <v>40553</v>
      </c>
      <c r="C222">
        <v>1</v>
      </c>
      <c r="D222">
        <v>0</v>
      </c>
      <c r="E222">
        <v>1</v>
      </c>
      <c r="F222" t="str">
        <f>IF(final_data786[[#This Row],[MONTH_CODE]]=1,"JANUARY",IF(final_data786[[#This Row],[MONTH_CODE]]=2,"FEBRUARY"))</f>
        <v>JANUARY</v>
      </c>
      <c r="G222">
        <v>11</v>
      </c>
      <c r="H222">
        <v>0</v>
      </c>
      <c r="I222">
        <v>1</v>
      </c>
      <c r="J2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2" t="str">
        <f>IF(final_data786[[#This Row],[DAY_CODE]]=0,"weekend",IF(final_data786[[#This Row],[DAY_CODE]]=6,"weekend","weekday"))</f>
        <v>weekday</v>
      </c>
      <c r="L222">
        <v>2</v>
      </c>
      <c r="M222" t="str">
        <f>IF(final_data786[[#This Row],[WEATHER_CODE]]=1,"clear",IF(final_data786[[#This Row],[WEATHER_CODE]]=2,"cloudy",IF(final_data786[[#This Row],[WEATHER_CODE]]=3,"light rain",IF(final_data786[[#This Row],[WEATHER_CODE]]=4,"heavy rain",0))))</f>
        <v>cloudy</v>
      </c>
      <c r="N222">
        <v>0.16</v>
      </c>
      <c r="O222">
        <v>0.13639999999999999</v>
      </c>
      <c r="P222">
        <v>0.47</v>
      </c>
      <c r="Q222">
        <v>0.28360000000000002</v>
      </c>
      <c r="R222">
        <v>2</v>
      </c>
      <c r="S222">
        <v>28</v>
      </c>
      <c r="T222">
        <v>30</v>
      </c>
    </row>
    <row r="223" spans="1:20" x14ac:dyDescent="0.35">
      <c r="A223">
        <v>222</v>
      </c>
      <c r="B223" s="1">
        <v>40553</v>
      </c>
      <c r="C223">
        <v>1</v>
      </c>
      <c r="D223">
        <v>0</v>
      </c>
      <c r="E223">
        <v>1</v>
      </c>
      <c r="F223" t="str">
        <f>IF(final_data786[[#This Row],[MONTH_CODE]]=1,"JANUARY",IF(final_data786[[#This Row],[MONTH_CODE]]=2,"FEBRUARY"))</f>
        <v>JANUARY</v>
      </c>
      <c r="G223">
        <v>12</v>
      </c>
      <c r="H223">
        <v>0</v>
      </c>
      <c r="I223">
        <v>1</v>
      </c>
      <c r="J2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3" t="str">
        <f>IF(final_data786[[#This Row],[DAY_CODE]]=0,"weekend",IF(final_data786[[#This Row],[DAY_CODE]]=6,"weekend","weekday"))</f>
        <v>weekday</v>
      </c>
      <c r="L223">
        <v>2</v>
      </c>
      <c r="M223" t="str">
        <f>IF(final_data786[[#This Row],[WEATHER_CODE]]=1,"clear",IF(final_data786[[#This Row],[WEATHER_CODE]]=2,"cloudy",IF(final_data786[[#This Row],[WEATHER_CODE]]=3,"light rain",IF(final_data786[[#This Row],[WEATHER_CODE]]=4,"heavy rain",0))))</f>
        <v>cloudy</v>
      </c>
      <c r="N223">
        <v>0.2</v>
      </c>
      <c r="O223">
        <v>0.18179999999999999</v>
      </c>
      <c r="P223">
        <v>0.4</v>
      </c>
      <c r="Q223">
        <v>0.28360000000000002</v>
      </c>
      <c r="R223">
        <v>5</v>
      </c>
      <c r="S223">
        <v>47</v>
      </c>
      <c r="T223">
        <v>52</v>
      </c>
    </row>
    <row r="224" spans="1:20" x14ac:dyDescent="0.35">
      <c r="A224">
        <v>223</v>
      </c>
      <c r="B224" s="1">
        <v>40553</v>
      </c>
      <c r="C224">
        <v>1</v>
      </c>
      <c r="D224">
        <v>0</v>
      </c>
      <c r="E224">
        <v>1</v>
      </c>
      <c r="F224" t="str">
        <f>IF(final_data786[[#This Row],[MONTH_CODE]]=1,"JANUARY",IF(final_data786[[#This Row],[MONTH_CODE]]=2,"FEBRUARY"))</f>
        <v>JANUARY</v>
      </c>
      <c r="G224">
        <v>13</v>
      </c>
      <c r="H224">
        <v>0</v>
      </c>
      <c r="I224">
        <v>1</v>
      </c>
      <c r="J2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4" t="str">
        <f>IF(final_data786[[#This Row],[DAY_CODE]]=0,"weekend",IF(final_data786[[#This Row],[DAY_CODE]]=6,"weekend","weekday"))</f>
        <v>weekday</v>
      </c>
      <c r="L224">
        <v>2</v>
      </c>
      <c r="M224" t="str">
        <f>IF(final_data786[[#This Row],[WEATHER_CODE]]=1,"clear",IF(final_data786[[#This Row],[WEATHER_CODE]]=2,"cloudy",IF(final_data786[[#This Row],[WEATHER_CODE]]=3,"light rain",IF(final_data786[[#This Row],[WEATHER_CODE]]=4,"heavy rain",0))))</f>
        <v>cloudy</v>
      </c>
      <c r="N224">
        <v>0.2</v>
      </c>
      <c r="O224">
        <v>0.18179999999999999</v>
      </c>
      <c r="P224">
        <v>0.4</v>
      </c>
      <c r="Q224">
        <v>0.28360000000000002</v>
      </c>
      <c r="R224">
        <v>4</v>
      </c>
      <c r="S224">
        <v>50</v>
      </c>
      <c r="T224">
        <v>54</v>
      </c>
    </row>
    <row r="225" spans="1:20" x14ac:dyDescent="0.35">
      <c r="A225">
        <v>224</v>
      </c>
      <c r="B225" s="1">
        <v>40553</v>
      </c>
      <c r="C225">
        <v>1</v>
      </c>
      <c r="D225">
        <v>0</v>
      </c>
      <c r="E225">
        <v>1</v>
      </c>
      <c r="F225" t="str">
        <f>IF(final_data786[[#This Row],[MONTH_CODE]]=1,"JANUARY",IF(final_data786[[#This Row],[MONTH_CODE]]=2,"FEBRUARY"))</f>
        <v>JANUARY</v>
      </c>
      <c r="G225">
        <v>14</v>
      </c>
      <c r="H225">
        <v>0</v>
      </c>
      <c r="I225">
        <v>1</v>
      </c>
      <c r="J2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5" t="str">
        <f>IF(final_data786[[#This Row],[DAY_CODE]]=0,"weekend",IF(final_data786[[#This Row],[DAY_CODE]]=6,"weekend","weekday"))</f>
        <v>weekday</v>
      </c>
      <c r="L225">
        <v>2</v>
      </c>
      <c r="M225" t="str">
        <f>IF(final_data786[[#This Row],[WEATHER_CODE]]=1,"clear",IF(final_data786[[#This Row],[WEATHER_CODE]]=2,"cloudy",IF(final_data786[[#This Row],[WEATHER_CODE]]=3,"light rain",IF(final_data786[[#This Row],[WEATHER_CODE]]=4,"heavy rain",0))))</f>
        <v>cloudy</v>
      </c>
      <c r="N225">
        <v>0.2</v>
      </c>
      <c r="O225">
        <v>0.19700000000000001</v>
      </c>
      <c r="P225">
        <v>0.4</v>
      </c>
      <c r="Q225">
        <v>0.22389999999999999</v>
      </c>
      <c r="R225">
        <v>0</v>
      </c>
      <c r="S225">
        <v>47</v>
      </c>
      <c r="T225">
        <v>47</v>
      </c>
    </row>
    <row r="226" spans="1:20" x14ac:dyDescent="0.35">
      <c r="A226">
        <v>225</v>
      </c>
      <c r="B226" s="1">
        <v>40553</v>
      </c>
      <c r="C226">
        <v>1</v>
      </c>
      <c r="D226">
        <v>0</v>
      </c>
      <c r="E226">
        <v>1</v>
      </c>
      <c r="F226" t="str">
        <f>IF(final_data786[[#This Row],[MONTH_CODE]]=1,"JANUARY",IF(final_data786[[#This Row],[MONTH_CODE]]=2,"FEBRUARY"))</f>
        <v>JANUARY</v>
      </c>
      <c r="G226">
        <v>15</v>
      </c>
      <c r="H226">
        <v>0</v>
      </c>
      <c r="I226">
        <v>1</v>
      </c>
      <c r="J2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6" t="str">
        <f>IF(final_data786[[#This Row],[DAY_CODE]]=0,"weekend",IF(final_data786[[#This Row],[DAY_CODE]]=6,"weekend","weekday"))</f>
        <v>weekday</v>
      </c>
      <c r="L226">
        <v>2</v>
      </c>
      <c r="M226" t="str">
        <f>IF(final_data786[[#This Row],[WEATHER_CODE]]=1,"clear",IF(final_data786[[#This Row],[WEATHER_CODE]]=2,"cloudy",IF(final_data786[[#This Row],[WEATHER_CODE]]=3,"light rain",IF(final_data786[[#This Row],[WEATHER_CODE]]=4,"heavy rain",0))))</f>
        <v>cloudy</v>
      </c>
      <c r="N226">
        <v>0.2</v>
      </c>
      <c r="O226">
        <v>0.19700000000000001</v>
      </c>
      <c r="P226">
        <v>0.4</v>
      </c>
      <c r="Q226">
        <v>0.22389999999999999</v>
      </c>
      <c r="R226">
        <v>2</v>
      </c>
      <c r="S226">
        <v>43</v>
      </c>
      <c r="T226">
        <v>45</v>
      </c>
    </row>
    <row r="227" spans="1:20" x14ac:dyDescent="0.35">
      <c r="A227">
        <v>226</v>
      </c>
      <c r="B227" s="1">
        <v>40553</v>
      </c>
      <c r="C227">
        <v>1</v>
      </c>
      <c r="D227">
        <v>0</v>
      </c>
      <c r="E227">
        <v>1</v>
      </c>
      <c r="F227" t="str">
        <f>IF(final_data786[[#This Row],[MONTH_CODE]]=1,"JANUARY",IF(final_data786[[#This Row],[MONTH_CODE]]=2,"FEBRUARY"))</f>
        <v>JANUARY</v>
      </c>
      <c r="G227">
        <v>16</v>
      </c>
      <c r="H227">
        <v>0</v>
      </c>
      <c r="I227">
        <v>1</v>
      </c>
      <c r="J2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7" t="str">
        <f>IF(final_data786[[#This Row],[DAY_CODE]]=0,"weekend",IF(final_data786[[#This Row],[DAY_CODE]]=6,"weekend","weekday"))</f>
        <v>weekday</v>
      </c>
      <c r="L227">
        <v>1</v>
      </c>
      <c r="M227" t="str">
        <f>IF(final_data786[[#This Row],[WEATHER_CODE]]=1,"clear",IF(final_data786[[#This Row],[WEATHER_CODE]]=2,"cloudy",IF(final_data786[[#This Row],[WEATHER_CODE]]=3,"light rain",IF(final_data786[[#This Row],[WEATHER_CODE]]=4,"heavy rain",0))))</f>
        <v>clear</v>
      </c>
      <c r="N227">
        <v>0.2</v>
      </c>
      <c r="O227">
        <v>0.21210000000000001</v>
      </c>
      <c r="P227">
        <v>0.4</v>
      </c>
      <c r="Q227">
        <v>0.1343</v>
      </c>
      <c r="R227">
        <v>4</v>
      </c>
      <c r="S227">
        <v>70</v>
      </c>
      <c r="T227">
        <v>74</v>
      </c>
    </row>
    <row r="228" spans="1:20" x14ac:dyDescent="0.35">
      <c r="A228">
        <v>227</v>
      </c>
      <c r="B228" s="1">
        <v>40553</v>
      </c>
      <c r="C228">
        <v>1</v>
      </c>
      <c r="D228">
        <v>0</v>
      </c>
      <c r="E228">
        <v>1</v>
      </c>
      <c r="F228" t="str">
        <f>IF(final_data786[[#This Row],[MONTH_CODE]]=1,"JANUARY",IF(final_data786[[#This Row],[MONTH_CODE]]=2,"FEBRUARY"))</f>
        <v>JANUARY</v>
      </c>
      <c r="G228">
        <v>17</v>
      </c>
      <c r="H228">
        <v>0</v>
      </c>
      <c r="I228">
        <v>1</v>
      </c>
      <c r="J2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8" t="str">
        <f>IF(final_data786[[#This Row],[DAY_CODE]]=0,"weekend",IF(final_data786[[#This Row],[DAY_CODE]]=6,"weekend","weekday"))</f>
        <v>weekday</v>
      </c>
      <c r="L228">
        <v>1</v>
      </c>
      <c r="M228" t="str">
        <f>IF(final_data786[[#This Row],[WEATHER_CODE]]=1,"clear",IF(final_data786[[#This Row],[WEATHER_CODE]]=2,"cloudy",IF(final_data786[[#This Row],[WEATHER_CODE]]=3,"light rain",IF(final_data786[[#This Row],[WEATHER_CODE]]=4,"heavy rain",0))))</f>
        <v>clear</v>
      </c>
      <c r="N228">
        <v>0.2</v>
      </c>
      <c r="O228">
        <v>0.2273</v>
      </c>
      <c r="P228">
        <v>0.4</v>
      </c>
      <c r="Q228">
        <v>0.1045</v>
      </c>
      <c r="R228">
        <v>4</v>
      </c>
      <c r="S228">
        <v>174</v>
      </c>
      <c r="T228">
        <v>178</v>
      </c>
    </row>
    <row r="229" spans="1:20" x14ac:dyDescent="0.35">
      <c r="A229">
        <v>228</v>
      </c>
      <c r="B229" s="1">
        <v>40553</v>
      </c>
      <c r="C229">
        <v>1</v>
      </c>
      <c r="D229">
        <v>0</v>
      </c>
      <c r="E229">
        <v>1</v>
      </c>
      <c r="F229" t="str">
        <f>IF(final_data786[[#This Row],[MONTH_CODE]]=1,"JANUARY",IF(final_data786[[#This Row],[MONTH_CODE]]=2,"FEBRUARY"))</f>
        <v>JANUARY</v>
      </c>
      <c r="G229">
        <v>18</v>
      </c>
      <c r="H229">
        <v>0</v>
      </c>
      <c r="I229">
        <v>1</v>
      </c>
      <c r="J2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29" t="str">
        <f>IF(final_data786[[#This Row],[DAY_CODE]]=0,"weekend",IF(final_data786[[#This Row],[DAY_CODE]]=6,"weekend","weekday"))</f>
        <v>weekday</v>
      </c>
      <c r="L229">
        <v>1</v>
      </c>
      <c r="M229" t="str">
        <f>IF(final_data786[[#This Row],[WEATHER_CODE]]=1,"clear",IF(final_data786[[#This Row],[WEATHER_CODE]]=2,"cloudy",IF(final_data786[[#This Row],[WEATHER_CODE]]=3,"light rain",IF(final_data786[[#This Row],[WEATHER_CODE]]=4,"heavy rain",0))))</f>
        <v>clear</v>
      </c>
      <c r="N229">
        <v>0.2</v>
      </c>
      <c r="O229">
        <v>0.19700000000000001</v>
      </c>
      <c r="P229">
        <v>0.4</v>
      </c>
      <c r="Q229">
        <v>0.22389999999999999</v>
      </c>
      <c r="R229">
        <v>1</v>
      </c>
      <c r="S229">
        <v>154</v>
      </c>
      <c r="T229">
        <v>155</v>
      </c>
    </row>
    <row r="230" spans="1:20" x14ac:dyDescent="0.35">
      <c r="A230">
        <v>229</v>
      </c>
      <c r="B230" s="1">
        <v>40553</v>
      </c>
      <c r="C230">
        <v>1</v>
      </c>
      <c r="D230">
        <v>0</v>
      </c>
      <c r="E230">
        <v>1</v>
      </c>
      <c r="F230" t="str">
        <f>IF(final_data786[[#This Row],[MONTH_CODE]]=1,"JANUARY",IF(final_data786[[#This Row],[MONTH_CODE]]=2,"FEBRUARY"))</f>
        <v>JANUARY</v>
      </c>
      <c r="G230">
        <v>19</v>
      </c>
      <c r="H230">
        <v>0</v>
      </c>
      <c r="I230">
        <v>1</v>
      </c>
      <c r="J2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30" t="str">
        <f>IF(final_data786[[#This Row],[DAY_CODE]]=0,"weekend",IF(final_data786[[#This Row],[DAY_CODE]]=6,"weekend","weekday"))</f>
        <v>weekday</v>
      </c>
      <c r="L230">
        <v>1</v>
      </c>
      <c r="M230" t="str">
        <f>IF(final_data786[[#This Row],[WEATHER_CODE]]=1,"clear",IF(final_data786[[#This Row],[WEATHER_CODE]]=2,"cloudy",IF(final_data786[[#This Row],[WEATHER_CODE]]=3,"light rain",IF(final_data786[[#This Row],[WEATHER_CODE]]=4,"heavy rain",0))))</f>
        <v>clear</v>
      </c>
      <c r="N230">
        <v>0.16</v>
      </c>
      <c r="O230">
        <v>0.16669999999999999</v>
      </c>
      <c r="P230">
        <v>0.47</v>
      </c>
      <c r="Q230">
        <v>0.16420000000000001</v>
      </c>
      <c r="R230">
        <v>3</v>
      </c>
      <c r="S230">
        <v>92</v>
      </c>
      <c r="T230">
        <v>95</v>
      </c>
    </row>
    <row r="231" spans="1:20" x14ac:dyDescent="0.35">
      <c r="A231">
        <v>230</v>
      </c>
      <c r="B231" s="1">
        <v>40553</v>
      </c>
      <c r="C231">
        <v>1</v>
      </c>
      <c r="D231">
        <v>0</v>
      </c>
      <c r="E231">
        <v>1</v>
      </c>
      <c r="F231" t="str">
        <f>IF(final_data786[[#This Row],[MONTH_CODE]]=1,"JANUARY",IF(final_data786[[#This Row],[MONTH_CODE]]=2,"FEBRUARY"))</f>
        <v>JANUARY</v>
      </c>
      <c r="G231">
        <v>20</v>
      </c>
      <c r="H231">
        <v>0</v>
      </c>
      <c r="I231">
        <v>1</v>
      </c>
      <c r="J2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31" t="str">
        <f>IF(final_data786[[#This Row],[DAY_CODE]]=0,"weekend",IF(final_data786[[#This Row],[DAY_CODE]]=6,"weekend","weekday"))</f>
        <v>weekday</v>
      </c>
      <c r="L231">
        <v>1</v>
      </c>
      <c r="M231" t="str">
        <f>IF(final_data786[[#This Row],[WEATHER_CODE]]=1,"clear",IF(final_data786[[#This Row],[WEATHER_CODE]]=2,"cloudy",IF(final_data786[[#This Row],[WEATHER_CODE]]=3,"light rain",IF(final_data786[[#This Row],[WEATHER_CODE]]=4,"heavy rain",0))))</f>
        <v>clear</v>
      </c>
      <c r="N231">
        <v>0.16</v>
      </c>
      <c r="O231">
        <v>0.16669999999999999</v>
      </c>
      <c r="P231">
        <v>0.5</v>
      </c>
      <c r="Q231">
        <v>0.16420000000000001</v>
      </c>
      <c r="R231">
        <v>1</v>
      </c>
      <c r="S231">
        <v>73</v>
      </c>
      <c r="T231">
        <v>74</v>
      </c>
    </row>
    <row r="232" spans="1:20" x14ac:dyDescent="0.35">
      <c r="A232">
        <v>231</v>
      </c>
      <c r="B232" s="1">
        <v>40553</v>
      </c>
      <c r="C232">
        <v>1</v>
      </c>
      <c r="D232">
        <v>0</v>
      </c>
      <c r="E232">
        <v>1</v>
      </c>
      <c r="F232" t="str">
        <f>IF(final_data786[[#This Row],[MONTH_CODE]]=1,"JANUARY",IF(final_data786[[#This Row],[MONTH_CODE]]=2,"FEBRUARY"))</f>
        <v>JANUARY</v>
      </c>
      <c r="G232">
        <v>21</v>
      </c>
      <c r="H232">
        <v>0</v>
      </c>
      <c r="I232">
        <v>1</v>
      </c>
      <c r="J2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32" t="str">
        <f>IF(final_data786[[#This Row],[DAY_CODE]]=0,"weekend",IF(final_data786[[#This Row],[DAY_CODE]]=6,"weekend","weekday"))</f>
        <v>weekday</v>
      </c>
      <c r="L232">
        <v>1</v>
      </c>
      <c r="M232" t="str">
        <f>IF(final_data786[[#This Row],[WEATHER_CODE]]=1,"clear",IF(final_data786[[#This Row],[WEATHER_CODE]]=2,"cloudy",IF(final_data786[[#This Row],[WEATHER_CODE]]=3,"light rain",IF(final_data786[[#This Row],[WEATHER_CODE]]=4,"heavy rain",0))))</f>
        <v>clear</v>
      </c>
      <c r="N232">
        <v>0.14000000000000001</v>
      </c>
      <c r="O232">
        <v>0.13639999999999999</v>
      </c>
      <c r="P232">
        <v>0.59</v>
      </c>
      <c r="Q232">
        <v>0.19400000000000001</v>
      </c>
      <c r="R232">
        <v>1</v>
      </c>
      <c r="S232">
        <v>37</v>
      </c>
      <c r="T232">
        <v>38</v>
      </c>
    </row>
    <row r="233" spans="1:20" x14ac:dyDescent="0.35">
      <c r="A233">
        <v>232</v>
      </c>
      <c r="B233" s="1">
        <v>40553</v>
      </c>
      <c r="C233">
        <v>1</v>
      </c>
      <c r="D233">
        <v>0</v>
      </c>
      <c r="E233">
        <v>1</v>
      </c>
      <c r="F233" t="str">
        <f>IF(final_data786[[#This Row],[MONTH_CODE]]=1,"JANUARY",IF(final_data786[[#This Row],[MONTH_CODE]]=2,"FEBRUARY"))</f>
        <v>JANUARY</v>
      </c>
      <c r="G233">
        <v>22</v>
      </c>
      <c r="H233">
        <v>0</v>
      </c>
      <c r="I233">
        <v>1</v>
      </c>
      <c r="J2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33" t="str">
        <f>IF(final_data786[[#This Row],[DAY_CODE]]=0,"weekend",IF(final_data786[[#This Row],[DAY_CODE]]=6,"weekend","weekday"))</f>
        <v>weekday</v>
      </c>
      <c r="L233">
        <v>1</v>
      </c>
      <c r="M233" t="str">
        <f>IF(final_data786[[#This Row],[WEATHER_CODE]]=1,"clear",IF(final_data786[[#This Row],[WEATHER_CODE]]=2,"cloudy",IF(final_data786[[#This Row],[WEATHER_CODE]]=3,"light rain",IF(final_data786[[#This Row],[WEATHER_CODE]]=4,"heavy rain",0))))</f>
        <v>clear</v>
      </c>
      <c r="N233">
        <v>0.14000000000000001</v>
      </c>
      <c r="O233">
        <v>0.1515</v>
      </c>
      <c r="P233">
        <v>0.59</v>
      </c>
      <c r="Q233">
        <v>0.16420000000000001</v>
      </c>
      <c r="R233">
        <v>2</v>
      </c>
      <c r="S233">
        <v>22</v>
      </c>
      <c r="T233">
        <v>24</v>
      </c>
    </row>
    <row r="234" spans="1:20" x14ac:dyDescent="0.35">
      <c r="A234">
        <v>233</v>
      </c>
      <c r="B234" s="1">
        <v>40553</v>
      </c>
      <c r="C234">
        <v>1</v>
      </c>
      <c r="D234">
        <v>0</v>
      </c>
      <c r="E234">
        <v>1</v>
      </c>
      <c r="F234" t="str">
        <f>IF(final_data786[[#This Row],[MONTH_CODE]]=1,"JANUARY",IF(final_data786[[#This Row],[MONTH_CODE]]=2,"FEBRUARY"))</f>
        <v>JANUARY</v>
      </c>
      <c r="G234">
        <v>23</v>
      </c>
      <c r="H234">
        <v>0</v>
      </c>
      <c r="I234">
        <v>1</v>
      </c>
      <c r="J2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234" t="str">
        <f>IF(final_data786[[#This Row],[DAY_CODE]]=0,"weekend",IF(final_data786[[#This Row],[DAY_CODE]]=6,"weekend","weekday"))</f>
        <v>weekday</v>
      </c>
      <c r="L234">
        <v>1</v>
      </c>
      <c r="M234" t="str">
        <f>IF(final_data786[[#This Row],[WEATHER_CODE]]=1,"clear",IF(final_data786[[#This Row],[WEATHER_CODE]]=2,"cloudy",IF(final_data786[[#This Row],[WEATHER_CODE]]=3,"light rain",IF(final_data786[[#This Row],[WEATHER_CODE]]=4,"heavy rain",0))))</f>
        <v>clear</v>
      </c>
      <c r="N234">
        <v>0.14000000000000001</v>
      </c>
      <c r="O234">
        <v>0.1515</v>
      </c>
      <c r="P234">
        <v>0.59</v>
      </c>
      <c r="Q234">
        <v>0.16420000000000001</v>
      </c>
      <c r="R234">
        <v>0</v>
      </c>
      <c r="S234">
        <v>18</v>
      </c>
      <c r="T234">
        <v>18</v>
      </c>
    </row>
    <row r="235" spans="1:20" x14ac:dyDescent="0.35">
      <c r="A235">
        <v>234</v>
      </c>
      <c r="B235" s="1">
        <v>40554</v>
      </c>
      <c r="C235">
        <v>1</v>
      </c>
      <c r="D235">
        <v>0</v>
      </c>
      <c r="E235">
        <v>1</v>
      </c>
      <c r="F235" t="str">
        <f>IF(final_data786[[#This Row],[MONTH_CODE]]=1,"JANUARY",IF(final_data786[[#This Row],[MONTH_CODE]]=2,"FEBRUARY"))</f>
        <v>JANUARY</v>
      </c>
      <c r="G235">
        <v>0</v>
      </c>
      <c r="H235">
        <v>0</v>
      </c>
      <c r="I235">
        <v>2</v>
      </c>
      <c r="J2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35" t="str">
        <f>IF(final_data786[[#This Row],[DAY_CODE]]=0,"weekend",IF(final_data786[[#This Row],[DAY_CODE]]=6,"weekend","weekday"))</f>
        <v>weekday</v>
      </c>
      <c r="L235">
        <v>1</v>
      </c>
      <c r="M235" t="str">
        <f>IF(final_data786[[#This Row],[WEATHER_CODE]]=1,"clear",IF(final_data786[[#This Row],[WEATHER_CODE]]=2,"cloudy",IF(final_data786[[#This Row],[WEATHER_CODE]]=3,"light rain",IF(final_data786[[#This Row],[WEATHER_CODE]]=4,"heavy rain",0))))</f>
        <v>clear</v>
      </c>
      <c r="N235">
        <v>0.14000000000000001</v>
      </c>
      <c r="O235">
        <v>0.16669999999999999</v>
      </c>
      <c r="P235">
        <v>0.59</v>
      </c>
      <c r="Q235">
        <v>0.1045</v>
      </c>
      <c r="R235">
        <v>2</v>
      </c>
      <c r="S235">
        <v>10</v>
      </c>
      <c r="T235">
        <v>12</v>
      </c>
    </row>
    <row r="236" spans="1:20" x14ac:dyDescent="0.35">
      <c r="A236">
        <v>235</v>
      </c>
      <c r="B236" s="1">
        <v>40554</v>
      </c>
      <c r="C236">
        <v>1</v>
      </c>
      <c r="D236">
        <v>0</v>
      </c>
      <c r="E236">
        <v>1</v>
      </c>
      <c r="F236" t="str">
        <f>IF(final_data786[[#This Row],[MONTH_CODE]]=1,"JANUARY",IF(final_data786[[#This Row],[MONTH_CODE]]=2,"FEBRUARY"))</f>
        <v>JANUARY</v>
      </c>
      <c r="G236">
        <v>1</v>
      </c>
      <c r="H236">
        <v>0</v>
      </c>
      <c r="I236">
        <v>2</v>
      </c>
      <c r="J2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36" t="str">
        <f>IF(final_data786[[#This Row],[DAY_CODE]]=0,"weekend",IF(final_data786[[#This Row],[DAY_CODE]]=6,"weekend","weekday"))</f>
        <v>weekday</v>
      </c>
      <c r="L236">
        <v>1</v>
      </c>
      <c r="M236" t="str">
        <f>IF(final_data786[[#This Row],[WEATHER_CODE]]=1,"clear",IF(final_data786[[#This Row],[WEATHER_CODE]]=2,"cloudy",IF(final_data786[[#This Row],[WEATHER_CODE]]=3,"light rain",IF(final_data786[[#This Row],[WEATHER_CODE]]=4,"heavy rain",0))))</f>
        <v>clear</v>
      </c>
      <c r="N236">
        <v>0.14000000000000001</v>
      </c>
      <c r="O236">
        <v>0.1515</v>
      </c>
      <c r="P236">
        <v>0.59</v>
      </c>
      <c r="Q236">
        <v>0.16420000000000001</v>
      </c>
      <c r="R236">
        <v>0</v>
      </c>
      <c r="S236">
        <v>3</v>
      </c>
      <c r="T236">
        <v>3</v>
      </c>
    </row>
    <row r="237" spans="1:20" x14ac:dyDescent="0.35">
      <c r="A237">
        <v>236</v>
      </c>
      <c r="B237" s="1">
        <v>40554</v>
      </c>
      <c r="C237">
        <v>1</v>
      </c>
      <c r="D237">
        <v>0</v>
      </c>
      <c r="E237">
        <v>1</v>
      </c>
      <c r="F237" t="str">
        <f>IF(final_data786[[#This Row],[MONTH_CODE]]=1,"JANUARY",IF(final_data786[[#This Row],[MONTH_CODE]]=2,"FEBRUARY"))</f>
        <v>JANUARY</v>
      </c>
      <c r="G237">
        <v>2</v>
      </c>
      <c r="H237">
        <v>0</v>
      </c>
      <c r="I237">
        <v>2</v>
      </c>
      <c r="J2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37" t="str">
        <f>IF(final_data786[[#This Row],[DAY_CODE]]=0,"weekend",IF(final_data786[[#This Row],[DAY_CODE]]=6,"weekend","weekday"))</f>
        <v>weekday</v>
      </c>
      <c r="L237">
        <v>2</v>
      </c>
      <c r="M237" t="str">
        <f>IF(final_data786[[#This Row],[WEATHER_CODE]]=1,"clear",IF(final_data786[[#This Row],[WEATHER_CODE]]=2,"cloudy",IF(final_data786[[#This Row],[WEATHER_CODE]]=3,"light rain",IF(final_data786[[#This Row],[WEATHER_CODE]]=4,"heavy rain",0))))</f>
        <v>cloudy</v>
      </c>
      <c r="N237">
        <v>0.16</v>
      </c>
      <c r="O237">
        <v>0.1515</v>
      </c>
      <c r="P237">
        <v>0.55000000000000004</v>
      </c>
      <c r="Q237">
        <v>0.19400000000000001</v>
      </c>
      <c r="R237">
        <v>0</v>
      </c>
      <c r="S237">
        <v>3</v>
      </c>
      <c r="T237">
        <v>3</v>
      </c>
    </row>
    <row r="238" spans="1:20" x14ac:dyDescent="0.35">
      <c r="A238">
        <v>237</v>
      </c>
      <c r="B238" s="1">
        <v>40554</v>
      </c>
      <c r="C238">
        <v>1</v>
      </c>
      <c r="D238">
        <v>0</v>
      </c>
      <c r="E238">
        <v>1</v>
      </c>
      <c r="F238" t="str">
        <f>IF(final_data786[[#This Row],[MONTH_CODE]]=1,"JANUARY",IF(final_data786[[#This Row],[MONTH_CODE]]=2,"FEBRUARY"))</f>
        <v>JANUARY</v>
      </c>
      <c r="G238">
        <v>5</v>
      </c>
      <c r="H238">
        <v>0</v>
      </c>
      <c r="I238">
        <v>2</v>
      </c>
      <c r="J2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38" t="str">
        <f>IF(final_data786[[#This Row],[DAY_CODE]]=0,"weekend",IF(final_data786[[#This Row],[DAY_CODE]]=6,"weekend","weekday"))</f>
        <v>weekday</v>
      </c>
      <c r="L238">
        <v>2</v>
      </c>
      <c r="M238" t="str">
        <f>IF(final_data786[[#This Row],[WEATHER_CODE]]=1,"clear",IF(final_data786[[#This Row],[WEATHER_CODE]]=2,"cloudy",IF(final_data786[[#This Row],[WEATHER_CODE]]=3,"light rain",IF(final_data786[[#This Row],[WEATHER_CODE]]=4,"heavy rain",0))))</f>
        <v>cloudy</v>
      </c>
      <c r="N238">
        <v>0.16</v>
      </c>
      <c r="O238">
        <v>0.18179999999999999</v>
      </c>
      <c r="P238">
        <v>0.55000000000000004</v>
      </c>
      <c r="Q238">
        <v>0.1343</v>
      </c>
      <c r="R238">
        <v>0</v>
      </c>
      <c r="S238">
        <v>6</v>
      </c>
      <c r="T238">
        <v>6</v>
      </c>
    </row>
    <row r="239" spans="1:20" x14ac:dyDescent="0.35">
      <c r="A239">
        <v>238</v>
      </c>
      <c r="B239" s="1">
        <v>40554</v>
      </c>
      <c r="C239">
        <v>1</v>
      </c>
      <c r="D239">
        <v>0</v>
      </c>
      <c r="E239">
        <v>1</v>
      </c>
      <c r="F239" t="str">
        <f>IF(final_data786[[#This Row],[MONTH_CODE]]=1,"JANUARY",IF(final_data786[[#This Row],[MONTH_CODE]]=2,"FEBRUARY"))</f>
        <v>JANUARY</v>
      </c>
      <c r="G239">
        <v>6</v>
      </c>
      <c r="H239">
        <v>0</v>
      </c>
      <c r="I239">
        <v>2</v>
      </c>
      <c r="J2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39" t="str">
        <f>IF(final_data786[[#This Row],[DAY_CODE]]=0,"weekend",IF(final_data786[[#This Row],[DAY_CODE]]=6,"weekend","weekday"))</f>
        <v>weekday</v>
      </c>
      <c r="L239">
        <v>2</v>
      </c>
      <c r="M239" t="str">
        <f>IF(final_data786[[#This Row],[WEATHER_CODE]]=1,"clear",IF(final_data786[[#This Row],[WEATHER_CODE]]=2,"cloudy",IF(final_data786[[#This Row],[WEATHER_CODE]]=3,"light rain",IF(final_data786[[#This Row],[WEATHER_CODE]]=4,"heavy rain",0))))</f>
        <v>cloudy</v>
      </c>
      <c r="N239">
        <v>0.16</v>
      </c>
      <c r="O239">
        <v>0.18179999999999999</v>
      </c>
      <c r="P239">
        <v>0.55000000000000004</v>
      </c>
      <c r="Q239">
        <v>0.1343</v>
      </c>
      <c r="R239">
        <v>0</v>
      </c>
      <c r="S239">
        <v>27</v>
      </c>
      <c r="T239">
        <v>27</v>
      </c>
    </row>
    <row r="240" spans="1:20" x14ac:dyDescent="0.35">
      <c r="A240">
        <v>239</v>
      </c>
      <c r="B240" s="1">
        <v>40554</v>
      </c>
      <c r="C240">
        <v>1</v>
      </c>
      <c r="D240">
        <v>0</v>
      </c>
      <c r="E240">
        <v>1</v>
      </c>
      <c r="F240" t="str">
        <f>IF(final_data786[[#This Row],[MONTH_CODE]]=1,"JANUARY",IF(final_data786[[#This Row],[MONTH_CODE]]=2,"FEBRUARY"))</f>
        <v>JANUARY</v>
      </c>
      <c r="G240">
        <v>7</v>
      </c>
      <c r="H240">
        <v>0</v>
      </c>
      <c r="I240">
        <v>2</v>
      </c>
      <c r="J2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0" t="str">
        <f>IF(final_data786[[#This Row],[DAY_CODE]]=0,"weekend",IF(final_data786[[#This Row],[DAY_CODE]]=6,"weekend","weekday"))</f>
        <v>weekday</v>
      </c>
      <c r="L240">
        <v>2</v>
      </c>
      <c r="M240" t="str">
        <f>IF(final_data786[[#This Row],[WEATHER_CODE]]=1,"clear",IF(final_data786[[#This Row],[WEATHER_CODE]]=2,"cloudy",IF(final_data786[[#This Row],[WEATHER_CODE]]=3,"light rain",IF(final_data786[[#This Row],[WEATHER_CODE]]=4,"heavy rain",0))))</f>
        <v>cloudy</v>
      </c>
      <c r="N240">
        <v>0.16</v>
      </c>
      <c r="O240">
        <v>0.2273</v>
      </c>
      <c r="P240">
        <v>0.55000000000000004</v>
      </c>
      <c r="Q240">
        <v>0</v>
      </c>
      <c r="R240">
        <v>2</v>
      </c>
      <c r="S240">
        <v>97</v>
      </c>
      <c r="T240">
        <v>99</v>
      </c>
    </row>
    <row r="241" spans="1:20" x14ac:dyDescent="0.35">
      <c r="A241">
        <v>240</v>
      </c>
      <c r="B241" s="1">
        <v>40554</v>
      </c>
      <c r="C241">
        <v>1</v>
      </c>
      <c r="D241">
        <v>0</v>
      </c>
      <c r="E241">
        <v>1</v>
      </c>
      <c r="F241" t="str">
        <f>IF(final_data786[[#This Row],[MONTH_CODE]]=1,"JANUARY",IF(final_data786[[#This Row],[MONTH_CODE]]=2,"FEBRUARY"))</f>
        <v>JANUARY</v>
      </c>
      <c r="G241">
        <v>8</v>
      </c>
      <c r="H241">
        <v>0</v>
      </c>
      <c r="I241">
        <v>2</v>
      </c>
      <c r="J2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1" t="str">
        <f>IF(final_data786[[#This Row],[DAY_CODE]]=0,"weekend",IF(final_data786[[#This Row],[DAY_CODE]]=6,"weekend","weekday"))</f>
        <v>weekday</v>
      </c>
      <c r="L241">
        <v>2</v>
      </c>
      <c r="M241" t="str">
        <f>IF(final_data786[[#This Row],[WEATHER_CODE]]=1,"clear",IF(final_data786[[#This Row],[WEATHER_CODE]]=2,"cloudy",IF(final_data786[[#This Row],[WEATHER_CODE]]=3,"light rain",IF(final_data786[[#This Row],[WEATHER_CODE]]=4,"heavy rain",0))))</f>
        <v>cloudy</v>
      </c>
      <c r="N241">
        <v>0.18</v>
      </c>
      <c r="O241">
        <v>0.21210000000000001</v>
      </c>
      <c r="P241">
        <v>0.51</v>
      </c>
      <c r="Q241">
        <v>8.9599999999999999E-2</v>
      </c>
      <c r="R241">
        <v>3</v>
      </c>
      <c r="S241">
        <v>214</v>
      </c>
      <c r="T241">
        <v>217</v>
      </c>
    </row>
    <row r="242" spans="1:20" x14ac:dyDescent="0.35">
      <c r="A242">
        <v>241</v>
      </c>
      <c r="B242" s="1">
        <v>40554</v>
      </c>
      <c r="C242">
        <v>1</v>
      </c>
      <c r="D242">
        <v>0</v>
      </c>
      <c r="E242">
        <v>1</v>
      </c>
      <c r="F242" t="str">
        <f>IF(final_data786[[#This Row],[MONTH_CODE]]=1,"JANUARY",IF(final_data786[[#This Row],[MONTH_CODE]]=2,"FEBRUARY"))</f>
        <v>JANUARY</v>
      </c>
      <c r="G242">
        <v>9</v>
      </c>
      <c r="H242">
        <v>0</v>
      </c>
      <c r="I242">
        <v>2</v>
      </c>
      <c r="J2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2" t="str">
        <f>IF(final_data786[[#This Row],[DAY_CODE]]=0,"weekend",IF(final_data786[[#This Row],[DAY_CODE]]=6,"weekend","weekday"))</f>
        <v>weekday</v>
      </c>
      <c r="L242">
        <v>2</v>
      </c>
      <c r="M242" t="str">
        <f>IF(final_data786[[#This Row],[WEATHER_CODE]]=1,"clear",IF(final_data786[[#This Row],[WEATHER_CODE]]=2,"cloudy",IF(final_data786[[#This Row],[WEATHER_CODE]]=3,"light rain",IF(final_data786[[#This Row],[WEATHER_CODE]]=4,"heavy rain",0))))</f>
        <v>cloudy</v>
      </c>
      <c r="N242">
        <v>0.18</v>
      </c>
      <c r="O242">
        <v>0.19700000000000001</v>
      </c>
      <c r="P242">
        <v>0.51</v>
      </c>
      <c r="Q242">
        <v>0.16420000000000001</v>
      </c>
      <c r="R242">
        <v>3</v>
      </c>
      <c r="S242">
        <v>127</v>
      </c>
      <c r="T242">
        <v>130</v>
      </c>
    </row>
    <row r="243" spans="1:20" x14ac:dyDescent="0.35">
      <c r="A243">
        <v>242</v>
      </c>
      <c r="B243" s="1">
        <v>40554</v>
      </c>
      <c r="C243">
        <v>1</v>
      </c>
      <c r="D243">
        <v>0</v>
      </c>
      <c r="E243">
        <v>1</v>
      </c>
      <c r="F243" t="str">
        <f>IF(final_data786[[#This Row],[MONTH_CODE]]=1,"JANUARY",IF(final_data786[[#This Row],[MONTH_CODE]]=2,"FEBRUARY"))</f>
        <v>JANUARY</v>
      </c>
      <c r="G243">
        <v>10</v>
      </c>
      <c r="H243">
        <v>0</v>
      </c>
      <c r="I243">
        <v>2</v>
      </c>
      <c r="J2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3" t="str">
        <f>IF(final_data786[[#This Row],[DAY_CODE]]=0,"weekend",IF(final_data786[[#This Row],[DAY_CODE]]=6,"weekend","weekday"))</f>
        <v>weekday</v>
      </c>
      <c r="L243">
        <v>2</v>
      </c>
      <c r="M243" t="str">
        <f>IF(final_data786[[#This Row],[WEATHER_CODE]]=1,"clear",IF(final_data786[[#This Row],[WEATHER_CODE]]=2,"cloudy",IF(final_data786[[#This Row],[WEATHER_CODE]]=3,"light rain",IF(final_data786[[#This Row],[WEATHER_CODE]]=4,"heavy rain",0))))</f>
        <v>cloudy</v>
      </c>
      <c r="N243">
        <v>0.2</v>
      </c>
      <c r="O243">
        <v>0.21210000000000001</v>
      </c>
      <c r="P243">
        <v>0.51</v>
      </c>
      <c r="Q243">
        <v>0.16420000000000001</v>
      </c>
      <c r="R243">
        <v>3</v>
      </c>
      <c r="S243">
        <v>51</v>
      </c>
      <c r="T243">
        <v>54</v>
      </c>
    </row>
    <row r="244" spans="1:20" x14ac:dyDescent="0.35">
      <c r="A244">
        <v>243</v>
      </c>
      <c r="B244" s="1">
        <v>40554</v>
      </c>
      <c r="C244">
        <v>1</v>
      </c>
      <c r="D244">
        <v>0</v>
      </c>
      <c r="E244">
        <v>1</v>
      </c>
      <c r="F244" t="str">
        <f>IF(final_data786[[#This Row],[MONTH_CODE]]=1,"JANUARY",IF(final_data786[[#This Row],[MONTH_CODE]]=2,"FEBRUARY"))</f>
        <v>JANUARY</v>
      </c>
      <c r="G244">
        <v>11</v>
      </c>
      <c r="H244">
        <v>0</v>
      </c>
      <c r="I244">
        <v>2</v>
      </c>
      <c r="J2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4" t="str">
        <f>IF(final_data786[[#This Row],[DAY_CODE]]=0,"weekend",IF(final_data786[[#This Row],[DAY_CODE]]=6,"weekend","weekday"))</f>
        <v>weekday</v>
      </c>
      <c r="L244">
        <v>2</v>
      </c>
      <c r="M244" t="str">
        <f>IF(final_data786[[#This Row],[WEATHER_CODE]]=1,"clear",IF(final_data786[[#This Row],[WEATHER_CODE]]=2,"cloudy",IF(final_data786[[#This Row],[WEATHER_CODE]]=3,"light rain",IF(final_data786[[#This Row],[WEATHER_CODE]]=4,"heavy rain",0))))</f>
        <v>cloudy</v>
      </c>
      <c r="N244">
        <v>0.2</v>
      </c>
      <c r="O244">
        <v>0.21210000000000001</v>
      </c>
      <c r="P244">
        <v>0.47</v>
      </c>
      <c r="Q244">
        <v>0.1343</v>
      </c>
      <c r="R244">
        <v>4</v>
      </c>
      <c r="S244">
        <v>31</v>
      </c>
      <c r="T244">
        <v>35</v>
      </c>
    </row>
    <row r="245" spans="1:20" x14ac:dyDescent="0.35">
      <c r="A245">
        <v>244</v>
      </c>
      <c r="B245" s="1">
        <v>40554</v>
      </c>
      <c r="C245">
        <v>1</v>
      </c>
      <c r="D245">
        <v>0</v>
      </c>
      <c r="E245">
        <v>1</v>
      </c>
      <c r="F245" t="str">
        <f>IF(final_data786[[#This Row],[MONTH_CODE]]=1,"JANUARY",IF(final_data786[[#This Row],[MONTH_CODE]]=2,"FEBRUARY"))</f>
        <v>JANUARY</v>
      </c>
      <c r="G245">
        <v>12</v>
      </c>
      <c r="H245">
        <v>0</v>
      </c>
      <c r="I245">
        <v>2</v>
      </c>
      <c r="J2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5" t="str">
        <f>IF(final_data786[[#This Row],[DAY_CODE]]=0,"weekend",IF(final_data786[[#This Row],[DAY_CODE]]=6,"weekend","weekday"))</f>
        <v>weekday</v>
      </c>
      <c r="L245">
        <v>2</v>
      </c>
      <c r="M245" t="str">
        <f>IF(final_data786[[#This Row],[WEATHER_CODE]]=1,"clear",IF(final_data786[[#This Row],[WEATHER_CODE]]=2,"cloudy",IF(final_data786[[#This Row],[WEATHER_CODE]]=3,"light rain",IF(final_data786[[#This Row],[WEATHER_CODE]]=4,"heavy rain",0))))</f>
        <v>cloudy</v>
      </c>
      <c r="N245">
        <v>0.2</v>
      </c>
      <c r="O245">
        <v>0.2273</v>
      </c>
      <c r="P245">
        <v>0.51</v>
      </c>
      <c r="Q245">
        <v>0.1045</v>
      </c>
      <c r="R245">
        <v>2</v>
      </c>
      <c r="S245">
        <v>55</v>
      </c>
      <c r="T245">
        <v>57</v>
      </c>
    </row>
    <row r="246" spans="1:20" x14ac:dyDescent="0.35">
      <c r="A246">
        <v>245</v>
      </c>
      <c r="B246" s="1">
        <v>40554</v>
      </c>
      <c r="C246">
        <v>1</v>
      </c>
      <c r="D246">
        <v>0</v>
      </c>
      <c r="E246">
        <v>1</v>
      </c>
      <c r="F246" t="str">
        <f>IF(final_data786[[#This Row],[MONTH_CODE]]=1,"JANUARY",IF(final_data786[[#This Row],[MONTH_CODE]]=2,"FEBRUARY"))</f>
        <v>JANUARY</v>
      </c>
      <c r="G246">
        <v>13</v>
      </c>
      <c r="H246">
        <v>0</v>
      </c>
      <c r="I246">
        <v>2</v>
      </c>
      <c r="J2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6" t="str">
        <f>IF(final_data786[[#This Row],[DAY_CODE]]=0,"weekend",IF(final_data786[[#This Row],[DAY_CODE]]=6,"weekend","weekday"))</f>
        <v>weekday</v>
      </c>
      <c r="L246">
        <v>2</v>
      </c>
      <c r="M246" t="str">
        <f>IF(final_data786[[#This Row],[WEATHER_CODE]]=1,"clear",IF(final_data786[[#This Row],[WEATHER_CODE]]=2,"cloudy",IF(final_data786[[#This Row],[WEATHER_CODE]]=3,"light rain",IF(final_data786[[#This Row],[WEATHER_CODE]]=4,"heavy rain",0))))</f>
        <v>cloudy</v>
      </c>
      <c r="N246">
        <v>0.2</v>
      </c>
      <c r="O246">
        <v>0.2273</v>
      </c>
      <c r="P246">
        <v>0.59</v>
      </c>
      <c r="Q246">
        <v>8.9599999999999999E-2</v>
      </c>
      <c r="R246">
        <v>6</v>
      </c>
      <c r="S246">
        <v>46</v>
      </c>
      <c r="T246">
        <v>52</v>
      </c>
    </row>
    <row r="247" spans="1:20" x14ac:dyDescent="0.35">
      <c r="A247">
        <v>246</v>
      </c>
      <c r="B247" s="1">
        <v>40554</v>
      </c>
      <c r="C247">
        <v>1</v>
      </c>
      <c r="D247">
        <v>0</v>
      </c>
      <c r="E247">
        <v>1</v>
      </c>
      <c r="F247" t="str">
        <f>IF(final_data786[[#This Row],[MONTH_CODE]]=1,"JANUARY",IF(final_data786[[#This Row],[MONTH_CODE]]=2,"FEBRUARY"))</f>
        <v>JANUARY</v>
      </c>
      <c r="G247">
        <v>14</v>
      </c>
      <c r="H247">
        <v>0</v>
      </c>
      <c r="I247">
        <v>2</v>
      </c>
      <c r="J2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7" t="str">
        <f>IF(final_data786[[#This Row],[DAY_CODE]]=0,"weekend",IF(final_data786[[#This Row],[DAY_CODE]]=6,"weekend","weekday"))</f>
        <v>weekday</v>
      </c>
      <c r="L247">
        <v>2</v>
      </c>
      <c r="M247" t="str">
        <f>IF(final_data786[[#This Row],[WEATHER_CODE]]=1,"clear",IF(final_data786[[#This Row],[WEATHER_CODE]]=2,"cloudy",IF(final_data786[[#This Row],[WEATHER_CODE]]=3,"light rain",IF(final_data786[[#This Row],[WEATHER_CODE]]=4,"heavy rain",0))))</f>
        <v>cloudy</v>
      </c>
      <c r="N247">
        <v>0.2</v>
      </c>
      <c r="O247">
        <v>0.2273</v>
      </c>
      <c r="P247">
        <v>0.59</v>
      </c>
      <c r="Q247">
        <v>8.9599999999999999E-2</v>
      </c>
      <c r="R247">
        <v>3</v>
      </c>
      <c r="S247">
        <v>60</v>
      </c>
      <c r="T247">
        <v>63</v>
      </c>
    </row>
    <row r="248" spans="1:20" x14ac:dyDescent="0.35">
      <c r="A248">
        <v>247</v>
      </c>
      <c r="B248" s="1">
        <v>40554</v>
      </c>
      <c r="C248">
        <v>1</v>
      </c>
      <c r="D248">
        <v>0</v>
      </c>
      <c r="E248">
        <v>1</v>
      </c>
      <c r="F248" t="str">
        <f>IF(final_data786[[#This Row],[MONTH_CODE]]=1,"JANUARY",IF(final_data786[[#This Row],[MONTH_CODE]]=2,"FEBRUARY"))</f>
        <v>JANUARY</v>
      </c>
      <c r="G248">
        <v>15</v>
      </c>
      <c r="H248">
        <v>0</v>
      </c>
      <c r="I248">
        <v>2</v>
      </c>
      <c r="J2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8" t="str">
        <f>IF(final_data786[[#This Row],[DAY_CODE]]=0,"weekend",IF(final_data786[[#This Row],[DAY_CODE]]=6,"weekend","weekday"))</f>
        <v>weekday</v>
      </c>
      <c r="L248">
        <v>2</v>
      </c>
      <c r="M248" t="str">
        <f>IF(final_data786[[#This Row],[WEATHER_CODE]]=1,"clear",IF(final_data786[[#This Row],[WEATHER_CODE]]=2,"cloudy",IF(final_data786[[#This Row],[WEATHER_CODE]]=3,"light rain",IF(final_data786[[#This Row],[WEATHER_CODE]]=4,"heavy rain",0))))</f>
        <v>cloudy</v>
      </c>
      <c r="N248">
        <v>0.16</v>
      </c>
      <c r="O248">
        <v>0.19700000000000001</v>
      </c>
      <c r="P248">
        <v>0.8</v>
      </c>
      <c r="Q248">
        <v>8.9599999999999999E-2</v>
      </c>
      <c r="R248">
        <v>2</v>
      </c>
      <c r="S248">
        <v>45</v>
      </c>
      <c r="T248">
        <v>47</v>
      </c>
    </row>
    <row r="249" spans="1:20" x14ac:dyDescent="0.35">
      <c r="A249">
        <v>248</v>
      </c>
      <c r="B249" s="1">
        <v>40554</v>
      </c>
      <c r="C249">
        <v>1</v>
      </c>
      <c r="D249">
        <v>0</v>
      </c>
      <c r="E249">
        <v>1</v>
      </c>
      <c r="F249" t="str">
        <f>IF(final_data786[[#This Row],[MONTH_CODE]]=1,"JANUARY",IF(final_data786[[#This Row],[MONTH_CODE]]=2,"FEBRUARY"))</f>
        <v>JANUARY</v>
      </c>
      <c r="G249">
        <v>16</v>
      </c>
      <c r="H249">
        <v>0</v>
      </c>
      <c r="I249">
        <v>2</v>
      </c>
      <c r="J2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49" t="str">
        <f>IF(final_data786[[#This Row],[DAY_CODE]]=0,"weekend",IF(final_data786[[#This Row],[DAY_CODE]]=6,"weekend","weekday"))</f>
        <v>weekday</v>
      </c>
      <c r="L249">
        <v>2</v>
      </c>
      <c r="M249" t="str">
        <f>IF(final_data786[[#This Row],[WEATHER_CODE]]=1,"clear",IF(final_data786[[#This Row],[WEATHER_CODE]]=2,"cloudy",IF(final_data786[[#This Row],[WEATHER_CODE]]=3,"light rain",IF(final_data786[[#This Row],[WEATHER_CODE]]=4,"heavy rain",0))))</f>
        <v>cloudy</v>
      </c>
      <c r="N249">
        <v>0.16</v>
      </c>
      <c r="O249">
        <v>0.1515</v>
      </c>
      <c r="P249">
        <v>0.86</v>
      </c>
      <c r="Q249">
        <v>0.22389999999999999</v>
      </c>
      <c r="R249">
        <v>4</v>
      </c>
      <c r="S249">
        <v>72</v>
      </c>
      <c r="T249">
        <v>76</v>
      </c>
    </row>
    <row r="250" spans="1:20" x14ac:dyDescent="0.35">
      <c r="A250">
        <v>249</v>
      </c>
      <c r="B250" s="1">
        <v>40554</v>
      </c>
      <c r="C250">
        <v>1</v>
      </c>
      <c r="D250">
        <v>0</v>
      </c>
      <c r="E250">
        <v>1</v>
      </c>
      <c r="F250" t="str">
        <f>IF(final_data786[[#This Row],[MONTH_CODE]]=1,"JANUARY",IF(final_data786[[#This Row],[MONTH_CODE]]=2,"FEBRUARY"))</f>
        <v>JANUARY</v>
      </c>
      <c r="G250">
        <v>17</v>
      </c>
      <c r="H250">
        <v>0</v>
      </c>
      <c r="I250">
        <v>2</v>
      </c>
      <c r="J2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0" t="str">
        <f>IF(final_data786[[#This Row],[DAY_CODE]]=0,"weekend",IF(final_data786[[#This Row],[DAY_CODE]]=6,"weekend","weekday"))</f>
        <v>weekday</v>
      </c>
      <c r="L250">
        <v>2</v>
      </c>
      <c r="M250" t="str">
        <f>IF(final_data786[[#This Row],[WEATHER_CODE]]=1,"clear",IF(final_data786[[#This Row],[WEATHER_CODE]]=2,"cloudy",IF(final_data786[[#This Row],[WEATHER_CODE]]=3,"light rain",IF(final_data786[[#This Row],[WEATHER_CODE]]=4,"heavy rain",0))))</f>
        <v>cloudy</v>
      </c>
      <c r="N250">
        <v>0.16</v>
      </c>
      <c r="O250">
        <v>0.1515</v>
      </c>
      <c r="P250">
        <v>0.86</v>
      </c>
      <c r="Q250">
        <v>0.22389999999999999</v>
      </c>
      <c r="R250">
        <v>6</v>
      </c>
      <c r="S250">
        <v>130</v>
      </c>
      <c r="T250">
        <v>136</v>
      </c>
    </row>
    <row r="251" spans="1:20" x14ac:dyDescent="0.35">
      <c r="A251">
        <v>250</v>
      </c>
      <c r="B251" s="1">
        <v>40554</v>
      </c>
      <c r="C251">
        <v>1</v>
      </c>
      <c r="D251">
        <v>0</v>
      </c>
      <c r="E251">
        <v>1</v>
      </c>
      <c r="F251" t="str">
        <f>IF(final_data786[[#This Row],[MONTH_CODE]]=1,"JANUARY",IF(final_data786[[#This Row],[MONTH_CODE]]=2,"FEBRUARY"))</f>
        <v>JANUARY</v>
      </c>
      <c r="G251">
        <v>18</v>
      </c>
      <c r="H251">
        <v>0</v>
      </c>
      <c r="I251">
        <v>2</v>
      </c>
      <c r="J2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1" t="str">
        <f>IF(final_data786[[#This Row],[DAY_CODE]]=0,"weekend",IF(final_data786[[#This Row],[DAY_CODE]]=6,"weekend","weekday"))</f>
        <v>weekday</v>
      </c>
      <c r="L251">
        <v>3</v>
      </c>
      <c r="M251" t="str">
        <f>IF(final_data786[[#This Row],[WEATHER_CODE]]=1,"clear",IF(final_data786[[#This Row],[WEATHER_CODE]]=2,"cloudy",IF(final_data786[[#This Row],[WEATHER_CODE]]=3,"light rain",IF(final_data786[[#This Row],[WEATHER_CODE]]=4,"heavy rain",0))))</f>
        <v>light rain</v>
      </c>
      <c r="N251">
        <v>0.16</v>
      </c>
      <c r="O251">
        <v>0.18179999999999999</v>
      </c>
      <c r="P251">
        <v>0.93</v>
      </c>
      <c r="Q251">
        <v>0.1045</v>
      </c>
      <c r="R251">
        <v>1</v>
      </c>
      <c r="S251">
        <v>94</v>
      </c>
      <c r="T251">
        <v>95</v>
      </c>
    </row>
    <row r="252" spans="1:20" x14ac:dyDescent="0.35">
      <c r="A252">
        <v>251</v>
      </c>
      <c r="B252" s="1">
        <v>40554</v>
      </c>
      <c r="C252">
        <v>1</v>
      </c>
      <c r="D252">
        <v>0</v>
      </c>
      <c r="E252">
        <v>1</v>
      </c>
      <c r="F252" t="str">
        <f>IF(final_data786[[#This Row],[MONTH_CODE]]=1,"JANUARY",IF(final_data786[[#This Row],[MONTH_CODE]]=2,"FEBRUARY"))</f>
        <v>JANUARY</v>
      </c>
      <c r="G252">
        <v>19</v>
      </c>
      <c r="H252">
        <v>0</v>
      </c>
      <c r="I252">
        <v>2</v>
      </c>
      <c r="J2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2" t="str">
        <f>IF(final_data786[[#This Row],[DAY_CODE]]=0,"weekend",IF(final_data786[[#This Row],[DAY_CODE]]=6,"weekend","weekday"))</f>
        <v>weekday</v>
      </c>
      <c r="L252">
        <v>3</v>
      </c>
      <c r="M252" t="str">
        <f>IF(final_data786[[#This Row],[WEATHER_CODE]]=1,"clear",IF(final_data786[[#This Row],[WEATHER_CODE]]=2,"cloudy",IF(final_data786[[#This Row],[WEATHER_CODE]]=3,"light rain",IF(final_data786[[#This Row],[WEATHER_CODE]]=4,"heavy rain",0))))</f>
        <v>light rain</v>
      </c>
      <c r="N252">
        <v>0.16</v>
      </c>
      <c r="O252">
        <v>0.2273</v>
      </c>
      <c r="P252">
        <v>0.93</v>
      </c>
      <c r="Q252">
        <v>0</v>
      </c>
      <c r="R252">
        <v>0</v>
      </c>
      <c r="S252">
        <v>51</v>
      </c>
      <c r="T252">
        <v>51</v>
      </c>
    </row>
    <row r="253" spans="1:20" x14ac:dyDescent="0.35">
      <c r="A253">
        <v>252</v>
      </c>
      <c r="B253" s="1">
        <v>40554</v>
      </c>
      <c r="C253">
        <v>1</v>
      </c>
      <c r="D253">
        <v>0</v>
      </c>
      <c r="E253">
        <v>1</v>
      </c>
      <c r="F253" t="str">
        <f>IF(final_data786[[#This Row],[MONTH_CODE]]=1,"JANUARY",IF(final_data786[[#This Row],[MONTH_CODE]]=2,"FEBRUARY"))</f>
        <v>JANUARY</v>
      </c>
      <c r="G253">
        <v>20</v>
      </c>
      <c r="H253">
        <v>0</v>
      </c>
      <c r="I253">
        <v>2</v>
      </c>
      <c r="J2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3" t="str">
        <f>IF(final_data786[[#This Row],[DAY_CODE]]=0,"weekend",IF(final_data786[[#This Row],[DAY_CODE]]=6,"weekend","weekday"))</f>
        <v>weekday</v>
      </c>
      <c r="L253">
        <v>3</v>
      </c>
      <c r="M253" t="str">
        <f>IF(final_data786[[#This Row],[WEATHER_CODE]]=1,"clear",IF(final_data786[[#This Row],[WEATHER_CODE]]=2,"cloudy",IF(final_data786[[#This Row],[WEATHER_CODE]]=3,"light rain",IF(final_data786[[#This Row],[WEATHER_CODE]]=4,"heavy rain",0))))</f>
        <v>light rain</v>
      </c>
      <c r="N253">
        <v>0.16</v>
      </c>
      <c r="O253">
        <v>0.1515</v>
      </c>
      <c r="P253">
        <v>0.93</v>
      </c>
      <c r="Q253">
        <v>0.19400000000000001</v>
      </c>
      <c r="R253">
        <v>0</v>
      </c>
      <c r="S253">
        <v>32</v>
      </c>
      <c r="T253">
        <v>32</v>
      </c>
    </row>
    <row r="254" spans="1:20" x14ac:dyDescent="0.35">
      <c r="A254">
        <v>253</v>
      </c>
      <c r="B254" s="1">
        <v>40554</v>
      </c>
      <c r="C254">
        <v>1</v>
      </c>
      <c r="D254">
        <v>0</v>
      </c>
      <c r="E254">
        <v>1</v>
      </c>
      <c r="F254" t="str">
        <f>IF(final_data786[[#This Row],[MONTH_CODE]]=1,"JANUARY",IF(final_data786[[#This Row],[MONTH_CODE]]=2,"FEBRUARY"))</f>
        <v>JANUARY</v>
      </c>
      <c r="G254">
        <v>21</v>
      </c>
      <c r="H254">
        <v>0</v>
      </c>
      <c r="I254">
        <v>2</v>
      </c>
      <c r="J2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4" t="str">
        <f>IF(final_data786[[#This Row],[DAY_CODE]]=0,"weekend",IF(final_data786[[#This Row],[DAY_CODE]]=6,"weekend","weekday"))</f>
        <v>weekday</v>
      </c>
      <c r="L254">
        <v>3</v>
      </c>
      <c r="M254" t="str">
        <f>IF(final_data786[[#This Row],[WEATHER_CODE]]=1,"clear",IF(final_data786[[#This Row],[WEATHER_CODE]]=2,"cloudy",IF(final_data786[[#This Row],[WEATHER_CODE]]=3,"light rain",IF(final_data786[[#This Row],[WEATHER_CODE]]=4,"heavy rain",0))))</f>
        <v>light rain</v>
      </c>
      <c r="N254">
        <v>0.16</v>
      </c>
      <c r="O254">
        <v>0.19700000000000001</v>
      </c>
      <c r="P254">
        <v>0.86</v>
      </c>
      <c r="Q254">
        <v>8.9599999999999999E-2</v>
      </c>
      <c r="R254">
        <v>0</v>
      </c>
      <c r="S254">
        <v>20</v>
      </c>
      <c r="T254">
        <v>20</v>
      </c>
    </row>
    <row r="255" spans="1:20" x14ac:dyDescent="0.35">
      <c r="A255">
        <v>254</v>
      </c>
      <c r="B255" s="1">
        <v>40554</v>
      </c>
      <c r="C255">
        <v>1</v>
      </c>
      <c r="D255">
        <v>0</v>
      </c>
      <c r="E255">
        <v>1</v>
      </c>
      <c r="F255" t="str">
        <f>IF(final_data786[[#This Row],[MONTH_CODE]]=1,"JANUARY",IF(final_data786[[#This Row],[MONTH_CODE]]=2,"FEBRUARY"))</f>
        <v>JANUARY</v>
      </c>
      <c r="G255">
        <v>22</v>
      </c>
      <c r="H255">
        <v>0</v>
      </c>
      <c r="I255">
        <v>2</v>
      </c>
      <c r="J2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5" t="str">
        <f>IF(final_data786[[#This Row],[DAY_CODE]]=0,"weekend",IF(final_data786[[#This Row],[DAY_CODE]]=6,"weekend","weekday"))</f>
        <v>weekday</v>
      </c>
      <c r="L255">
        <v>3</v>
      </c>
      <c r="M255" t="str">
        <f>IF(final_data786[[#This Row],[WEATHER_CODE]]=1,"clear",IF(final_data786[[#This Row],[WEATHER_CODE]]=2,"cloudy",IF(final_data786[[#This Row],[WEATHER_CODE]]=3,"light rain",IF(final_data786[[#This Row],[WEATHER_CODE]]=4,"heavy rain",0))))</f>
        <v>light rain</v>
      </c>
      <c r="N255">
        <v>0.16</v>
      </c>
      <c r="O255">
        <v>0.18179999999999999</v>
      </c>
      <c r="P255">
        <v>0.93</v>
      </c>
      <c r="Q255">
        <v>0.1045</v>
      </c>
      <c r="R255">
        <v>1</v>
      </c>
      <c r="S255">
        <v>28</v>
      </c>
      <c r="T255">
        <v>29</v>
      </c>
    </row>
    <row r="256" spans="1:20" x14ac:dyDescent="0.35">
      <c r="A256">
        <v>255</v>
      </c>
      <c r="B256" s="1">
        <v>40554</v>
      </c>
      <c r="C256">
        <v>1</v>
      </c>
      <c r="D256">
        <v>0</v>
      </c>
      <c r="E256">
        <v>1</v>
      </c>
      <c r="F256" t="str">
        <f>IF(final_data786[[#This Row],[MONTH_CODE]]=1,"JANUARY",IF(final_data786[[#This Row],[MONTH_CODE]]=2,"FEBRUARY"))</f>
        <v>JANUARY</v>
      </c>
      <c r="G256">
        <v>23</v>
      </c>
      <c r="H256">
        <v>0</v>
      </c>
      <c r="I256">
        <v>2</v>
      </c>
      <c r="J2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256" t="str">
        <f>IF(final_data786[[#This Row],[DAY_CODE]]=0,"weekend",IF(final_data786[[#This Row],[DAY_CODE]]=6,"weekend","weekday"))</f>
        <v>weekday</v>
      </c>
      <c r="L256">
        <v>3</v>
      </c>
      <c r="M256" t="str">
        <f>IF(final_data786[[#This Row],[WEATHER_CODE]]=1,"clear",IF(final_data786[[#This Row],[WEATHER_CODE]]=2,"cloudy",IF(final_data786[[#This Row],[WEATHER_CODE]]=3,"light rain",IF(final_data786[[#This Row],[WEATHER_CODE]]=4,"heavy rain",0))))</f>
        <v>light rain</v>
      </c>
      <c r="N256">
        <v>0.16</v>
      </c>
      <c r="O256">
        <v>0.19700000000000001</v>
      </c>
      <c r="P256">
        <v>0.93</v>
      </c>
      <c r="Q256">
        <v>8.9599999999999999E-2</v>
      </c>
      <c r="R256">
        <v>1</v>
      </c>
      <c r="S256">
        <v>18</v>
      </c>
      <c r="T256">
        <v>19</v>
      </c>
    </row>
    <row r="257" spans="1:20" x14ac:dyDescent="0.35">
      <c r="A257">
        <v>256</v>
      </c>
      <c r="B257" s="1">
        <v>40555</v>
      </c>
      <c r="C257">
        <v>1</v>
      </c>
      <c r="D257">
        <v>0</v>
      </c>
      <c r="E257">
        <v>1</v>
      </c>
      <c r="F257" t="str">
        <f>IF(final_data786[[#This Row],[MONTH_CODE]]=1,"JANUARY",IF(final_data786[[#This Row],[MONTH_CODE]]=2,"FEBRUARY"))</f>
        <v>JANUARY</v>
      </c>
      <c r="G257">
        <v>0</v>
      </c>
      <c r="H257">
        <v>0</v>
      </c>
      <c r="I257">
        <v>3</v>
      </c>
      <c r="J2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57" t="str">
        <f>IF(final_data786[[#This Row],[DAY_CODE]]=0,"weekend",IF(final_data786[[#This Row],[DAY_CODE]]=6,"weekend","weekday"))</f>
        <v>weekday</v>
      </c>
      <c r="L257">
        <v>2</v>
      </c>
      <c r="M257" t="str">
        <f>IF(final_data786[[#This Row],[WEATHER_CODE]]=1,"clear",IF(final_data786[[#This Row],[WEATHER_CODE]]=2,"cloudy",IF(final_data786[[#This Row],[WEATHER_CODE]]=3,"light rain",IF(final_data786[[#This Row],[WEATHER_CODE]]=4,"heavy rain",0))))</f>
        <v>cloudy</v>
      </c>
      <c r="N257">
        <v>0.16</v>
      </c>
      <c r="O257">
        <v>0.19700000000000001</v>
      </c>
      <c r="P257">
        <v>0.86</v>
      </c>
      <c r="Q257">
        <v>8.9599999999999999E-2</v>
      </c>
      <c r="R257">
        <v>0</v>
      </c>
      <c r="S257">
        <v>7</v>
      </c>
      <c r="T257">
        <v>7</v>
      </c>
    </row>
    <row r="258" spans="1:20" x14ac:dyDescent="0.35">
      <c r="A258">
        <v>257</v>
      </c>
      <c r="B258" s="1">
        <v>40555</v>
      </c>
      <c r="C258">
        <v>1</v>
      </c>
      <c r="D258">
        <v>0</v>
      </c>
      <c r="E258">
        <v>1</v>
      </c>
      <c r="F258" t="str">
        <f>IF(final_data786[[#This Row],[MONTH_CODE]]=1,"JANUARY",IF(final_data786[[#This Row],[MONTH_CODE]]=2,"FEBRUARY"))</f>
        <v>JANUARY</v>
      </c>
      <c r="G258">
        <v>1</v>
      </c>
      <c r="H258">
        <v>0</v>
      </c>
      <c r="I258">
        <v>3</v>
      </c>
      <c r="J2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58" t="str">
        <f>IF(final_data786[[#This Row],[DAY_CODE]]=0,"weekend",IF(final_data786[[#This Row],[DAY_CODE]]=6,"weekend","weekday"))</f>
        <v>weekday</v>
      </c>
      <c r="L258">
        <v>2</v>
      </c>
      <c r="M258" t="str">
        <f>IF(final_data786[[#This Row],[WEATHER_CODE]]=1,"clear",IF(final_data786[[#This Row],[WEATHER_CODE]]=2,"cloudy",IF(final_data786[[#This Row],[WEATHER_CODE]]=3,"light rain",IF(final_data786[[#This Row],[WEATHER_CODE]]=4,"heavy rain",0))))</f>
        <v>cloudy</v>
      </c>
      <c r="N258">
        <v>0.16</v>
      </c>
      <c r="O258">
        <v>0.18179999999999999</v>
      </c>
      <c r="P258">
        <v>0.86</v>
      </c>
      <c r="Q258">
        <v>0.1045</v>
      </c>
      <c r="R258">
        <v>0</v>
      </c>
      <c r="S258">
        <v>6</v>
      </c>
      <c r="T258">
        <v>6</v>
      </c>
    </row>
    <row r="259" spans="1:20" x14ac:dyDescent="0.35">
      <c r="A259">
        <v>258</v>
      </c>
      <c r="B259" s="1">
        <v>40555</v>
      </c>
      <c r="C259">
        <v>1</v>
      </c>
      <c r="D259">
        <v>0</v>
      </c>
      <c r="E259">
        <v>1</v>
      </c>
      <c r="F259" t="str">
        <f>IF(final_data786[[#This Row],[MONTH_CODE]]=1,"JANUARY",IF(final_data786[[#This Row],[MONTH_CODE]]=2,"FEBRUARY"))</f>
        <v>JANUARY</v>
      </c>
      <c r="G259">
        <v>2</v>
      </c>
      <c r="H259">
        <v>0</v>
      </c>
      <c r="I259">
        <v>3</v>
      </c>
      <c r="J2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59" t="str">
        <f>IF(final_data786[[#This Row],[DAY_CODE]]=0,"weekend",IF(final_data786[[#This Row],[DAY_CODE]]=6,"weekend","weekday"))</f>
        <v>weekday</v>
      </c>
      <c r="L259">
        <v>1</v>
      </c>
      <c r="M259" t="str">
        <f>IF(final_data786[[#This Row],[WEATHER_CODE]]=1,"clear",IF(final_data786[[#This Row],[WEATHER_CODE]]=2,"cloudy",IF(final_data786[[#This Row],[WEATHER_CODE]]=3,"light rain",IF(final_data786[[#This Row],[WEATHER_CODE]]=4,"heavy rain",0))))</f>
        <v>clear</v>
      </c>
      <c r="N259">
        <v>0.14000000000000001</v>
      </c>
      <c r="O259">
        <v>0.1515</v>
      </c>
      <c r="P259">
        <v>0.86</v>
      </c>
      <c r="Q259">
        <v>0.1343</v>
      </c>
      <c r="R259">
        <v>0</v>
      </c>
      <c r="S259">
        <v>1</v>
      </c>
      <c r="T259">
        <v>1</v>
      </c>
    </row>
    <row r="260" spans="1:20" x14ac:dyDescent="0.35">
      <c r="A260">
        <v>259</v>
      </c>
      <c r="B260" s="1">
        <v>40555</v>
      </c>
      <c r="C260">
        <v>1</v>
      </c>
      <c r="D260">
        <v>0</v>
      </c>
      <c r="E260">
        <v>1</v>
      </c>
      <c r="F260" t="str">
        <f>IF(final_data786[[#This Row],[MONTH_CODE]]=1,"JANUARY",IF(final_data786[[#This Row],[MONTH_CODE]]=2,"FEBRUARY"))</f>
        <v>JANUARY</v>
      </c>
      <c r="G260">
        <v>5</v>
      </c>
      <c r="H260">
        <v>0</v>
      </c>
      <c r="I260">
        <v>3</v>
      </c>
      <c r="J2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0" t="str">
        <f>IF(final_data786[[#This Row],[DAY_CODE]]=0,"weekend",IF(final_data786[[#This Row],[DAY_CODE]]=6,"weekend","weekday"))</f>
        <v>weekday</v>
      </c>
      <c r="L260">
        <v>1</v>
      </c>
      <c r="M260" t="str">
        <f>IF(final_data786[[#This Row],[WEATHER_CODE]]=1,"clear",IF(final_data786[[#This Row],[WEATHER_CODE]]=2,"cloudy",IF(final_data786[[#This Row],[WEATHER_CODE]]=3,"light rain",IF(final_data786[[#This Row],[WEATHER_CODE]]=4,"heavy rain",0))))</f>
        <v>clear</v>
      </c>
      <c r="N260">
        <v>0.14000000000000001</v>
      </c>
      <c r="O260">
        <v>0.1515</v>
      </c>
      <c r="P260">
        <v>0.86</v>
      </c>
      <c r="Q260">
        <v>0.16420000000000001</v>
      </c>
      <c r="R260">
        <v>0</v>
      </c>
      <c r="S260">
        <v>5</v>
      </c>
      <c r="T260">
        <v>5</v>
      </c>
    </row>
    <row r="261" spans="1:20" x14ac:dyDescent="0.35">
      <c r="A261">
        <v>260</v>
      </c>
      <c r="B261" s="1">
        <v>40555</v>
      </c>
      <c r="C261">
        <v>1</v>
      </c>
      <c r="D261">
        <v>0</v>
      </c>
      <c r="E261">
        <v>1</v>
      </c>
      <c r="F261" t="str">
        <f>IF(final_data786[[#This Row],[MONTH_CODE]]=1,"JANUARY",IF(final_data786[[#This Row],[MONTH_CODE]]=2,"FEBRUARY"))</f>
        <v>JANUARY</v>
      </c>
      <c r="G261">
        <v>6</v>
      </c>
      <c r="H261">
        <v>0</v>
      </c>
      <c r="I261">
        <v>3</v>
      </c>
      <c r="J2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1" t="str">
        <f>IF(final_data786[[#This Row],[DAY_CODE]]=0,"weekend",IF(final_data786[[#This Row],[DAY_CODE]]=6,"weekend","weekday"))</f>
        <v>weekday</v>
      </c>
      <c r="L261">
        <v>1</v>
      </c>
      <c r="M261" t="str">
        <f>IF(final_data786[[#This Row],[WEATHER_CODE]]=1,"clear",IF(final_data786[[#This Row],[WEATHER_CODE]]=2,"cloudy",IF(final_data786[[#This Row],[WEATHER_CODE]]=3,"light rain",IF(final_data786[[#This Row],[WEATHER_CODE]]=4,"heavy rain",0))))</f>
        <v>clear</v>
      </c>
      <c r="N261">
        <v>0.12</v>
      </c>
      <c r="O261">
        <v>0.1515</v>
      </c>
      <c r="P261">
        <v>0.93</v>
      </c>
      <c r="Q261">
        <v>0.1343</v>
      </c>
      <c r="R261">
        <v>0</v>
      </c>
      <c r="S261">
        <v>16</v>
      </c>
      <c r="T261">
        <v>16</v>
      </c>
    </row>
    <row r="262" spans="1:20" x14ac:dyDescent="0.35">
      <c r="A262">
        <v>261</v>
      </c>
      <c r="B262" s="1">
        <v>40555</v>
      </c>
      <c r="C262">
        <v>1</v>
      </c>
      <c r="D262">
        <v>0</v>
      </c>
      <c r="E262">
        <v>1</v>
      </c>
      <c r="F262" t="str">
        <f>IF(final_data786[[#This Row],[MONTH_CODE]]=1,"JANUARY",IF(final_data786[[#This Row],[MONTH_CODE]]=2,"FEBRUARY"))</f>
        <v>JANUARY</v>
      </c>
      <c r="G262">
        <v>7</v>
      </c>
      <c r="H262">
        <v>0</v>
      </c>
      <c r="I262">
        <v>3</v>
      </c>
      <c r="J2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2" t="str">
        <f>IF(final_data786[[#This Row],[DAY_CODE]]=0,"weekend",IF(final_data786[[#This Row],[DAY_CODE]]=6,"weekend","weekday"))</f>
        <v>weekday</v>
      </c>
      <c r="L262">
        <v>1</v>
      </c>
      <c r="M262" t="str">
        <f>IF(final_data786[[#This Row],[WEATHER_CODE]]=1,"clear",IF(final_data786[[#This Row],[WEATHER_CODE]]=2,"cloudy",IF(final_data786[[#This Row],[WEATHER_CODE]]=3,"light rain",IF(final_data786[[#This Row],[WEATHER_CODE]]=4,"heavy rain",0))))</f>
        <v>clear</v>
      </c>
      <c r="N262">
        <v>0.14000000000000001</v>
      </c>
      <c r="O262">
        <v>0.1515</v>
      </c>
      <c r="P262">
        <v>0.69</v>
      </c>
      <c r="Q262">
        <v>0.1343</v>
      </c>
      <c r="R262">
        <v>0</v>
      </c>
      <c r="S262">
        <v>54</v>
      </c>
      <c r="T262">
        <v>54</v>
      </c>
    </row>
    <row r="263" spans="1:20" x14ac:dyDescent="0.35">
      <c r="A263">
        <v>262</v>
      </c>
      <c r="B263" s="1">
        <v>40555</v>
      </c>
      <c r="C263">
        <v>1</v>
      </c>
      <c r="D263">
        <v>0</v>
      </c>
      <c r="E263">
        <v>1</v>
      </c>
      <c r="F263" t="str">
        <f>IF(final_data786[[#This Row],[MONTH_CODE]]=1,"JANUARY",IF(final_data786[[#This Row],[MONTH_CODE]]=2,"FEBRUARY"))</f>
        <v>JANUARY</v>
      </c>
      <c r="G263">
        <v>8</v>
      </c>
      <c r="H263">
        <v>0</v>
      </c>
      <c r="I263">
        <v>3</v>
      </c>
      <c r="J2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3" t="str">
        <f>IF(final_data786[[#This Row],[DAY_CODE]]=0,"weekend",IF(final_data786[[#This Row],[DAY_CODE]]=6,"weekend","weekday"))</f>
        <v>weekday</v>
      </c>
      <c r="L263">
        <v>1</v>
      </c>
      <c r="M263" t="str">
        <f>IF(final_data786[[#This Row],[WEATHER_CODE]]=1,"clear",IF(final_data786[[#This Row],[WEATHER_CODE]]=2,"cloudy",IF(final_data786[[#This Row],[WEATHER_CODE]]=3,"light rain",IF(final_data786[[#This Row],[WEATHER_CODE]]=4,"heavy rain",0))))</f>
        <v>clear</v>
      </c>
      <c r="N263">
        <v>0.16</v>
      </c>
      <c r="O263">
        <v>0.16669999999999999</v>
      </c>
      <c r="P263">
        <v>0.59</v>
      </c>
      <c r="Q263">
        <v>0.16420000000000001</v>
      </c>
      <c r="R263">
        <v>3</v>
      </c>
      <c r="S263">
        <v>125</v>
      </c>
      <c r="T263">
        <v>128</v>
      </c>
    </row>
    <row r="264" spans="1:20" x14ac:dyDescent="0.35">
      <c r="A264">
        <v>263</v>
      </c>
      <c r="B264" s="1">
        <v>40555</v>
      </c>
      <c r="C264">
        <v>1</v>
      </c>
      <c r="D264">
        <v>0</v>
      </c>
      <c r="E264">
        <v>1</v>
      </c>
      <c r="F264" t="str">
        <f>IF(final_data786[[#This Row],[MONTH_CODE]]=1,"JANUARY",IF(final_data786[[#This Row],[MONTH_CODE]]=2,"FEBRUARY"))</f>
        <v>JANUARY</v>
      </c>
      <c r="G264">
        <v>9</v>
      </c>
      <c r="H264">
        <v>0</v>
      </c>
      <c r="I264">
        <v>3</v>
      </c>
      <c r="J2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4" t="str">
        <f>IF(final_data786[[#This Row],[DAY_CODE]]=0,"weekend",IF(final_data786[[#This Row],[DAY_CODE]]=6,"weekend","weekday"))</f>
        <v>weekday</v>
      </c>
      <c r="L264">
        <v>1</v>
      </c>
      <c r="M264" t="str">
        <f>IF(final_data786[[#This Row],[WEATHER_CODE]]=1,"clear",IF(final_data786[[#This Row],[WEATHER_CODE]]=2,"cloudy",IF(final_data786[[#This Row],[WEATHER_CODE]]=3,"light rain",IF(final_data786[[#This Row],[WEATHER_CODE]]=4,"heavy rain",0))))</f>
        <v>clear</v>
      </c>
      <c r="N264">
        <v>0.16</v>
      </c>
      <c r="O264">
        <v>0.13639999999999999</v>
      </c>
      <c r="P264">
        <v>0.59</v>
      </c>
      <c r="Q264">
        <v>0.32840000000000003</v>
      </c>
      <c r="R264">
        <v>3</v>
      </c>
      <c r="S264">
        <v>78</v>
      </c>
      <c r="T264">
        <v>81</v>
      </c>
    </row>
    <row r="265" spans="1:20" x14ac:dyDescent="0.35">
      <c r="A265">
        <v>264</v>
      </c>
      <c r="B265" s="1">
        <v>40555</v>
      </c>
      <c r="C265">
        <v>1</v>
      </c>
      <c r="D265">
        <v>0</v>
      </c>
      <c r="E265">
        <v>1</v>
      </c>
      <c r="F265" t="str">
        <f>IF(final_data786[[#This Row],[MONTH_CODE]]=1,"JANUARY",IF(final_data786[[#This Row],[MONTH_CODE]]=2,"FEBRUARY"))</f>
        <v>JANUARY</v>
      </c>
      <c r="G265">
        <v>10</v>
      </c>
      <c r="H265">
        <v>0</v>
      </c>
      <c r="I265">
        <v>3</v>
      </c>
      <c r="J2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5" t="str">
        <f>IF(final_data786[[#This Row],[DAY_CODE]]=0,"weekend",IF(final_data786[[#This Row],[DAY_CODE]]=6,"weekend","weekday"))</f>
        <v>weekday</v>
      </c>
      <c r="L265">
        <v>1</v>
      </c>
      <c r="M265" t="str">
        <f>IF(final_data786[[#This Row],[WEATHER_CODE]]=1,"clear",IF(final_data786[[#This Row],[WEATHER_CODE]]=2,"cloudy",IF(final_data786[[#This Row],[WEATHER_CODE]]=3,"light rain",IF(final_data786[[#This Row],[WEATHER_CODE]]=4,"heavy rain",0))))</f>
        <v>clear</v>
      </c>
      <c r="N265">
        <v>0.18</v>
      </c>
      <c r="O265">
        <v>0.18179999999999999</v>
      </c>
      <c r="P265">
        <v>0.55000000000000004</v>
      </c>
      <c r="Q265">
        <v>0.22389999999999999</v>
      </c>
      <c r="R265">
        <v>0</v>
      </c>
      <c r="S265">
        <v>39</v>
      </c>
      <c r="T265">
        <v>39</v>
      </c>
    </row>
    <row r="266" spans="1:20" x14ac:dyDescent="0.35">
      <c r="A266">
        <v>265</v>
      </c>
      <c r="B266" s="1">
        <v>40555</v>
      </c>
      <c r="C266">
        <v>1</v>
      </c>
      <c r="D266">
        <v>0</v>
      </c>
      <c r="E266">
        <v>1</v>
      </c>
      <c r="F266" t="str">
        <f>IF(final_data786[[#This Row],[MONTH_CODE]]=1,"JANUARY",IF(final_data786[[#This Row],[MONTH_CODE]]=2,"FEBRUARY"))</f>
        <v>JANUARY</v>
      </c>
      <c r="G266">
        <v>11</v>
      </c>
      <c r="H266">
        <v>0</v>
      </c>
      <c r="I266">
        <v>3</v>
      </c>
      <c r="J2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6" t="str">
        <f>IF(final_data786[[#This Row],[DAY_CODE]]=0,"weekend",IF(final_data786[[#This Row],[DAY_CODE]]=6,"weekend","weekday"))</f>
        <v>weekday</v>
      </c>
      <c r="L266">
        <v>1</v>
      </c>
      <c r="M266" t="str">
        <f>IF(final_data786[[#This Row],[WEATHER_CODE]]=1,"clear",IF(final_data786[[#This Row],[WEATHER_CODE]]=2,"cloudy",IF(final_data786[[#This Row],[WEATHER_CODE]]=3,"light rain",IF(final_data786[[#This Row],[WEATHER_CODE]]=4,"heavy rain",0))))</f>
        <v>clear</v>
      </c>
      <c r="N266">
        <v>0.2</v>
      </c>
      <c r="O266">
        <v>0.18179999999999999</v>
      </c>
      <c r="P266">
        <v>0.51</v>
      </c>
      <c r="Q266">
        <v>0.3881</v>
      </c>
      <c r="R266">
        <v>3</v>
      </c>
      <c r="S266">
        <v>32</v>
      </c>
      <c r="T266">
        <v>35</v>
      </c>
    </row>
    <row r="267" spans="1:20" x14ac:dyDescent="0.35">
      <c r="A267">
        <v>266</v>
      </c>
      <c r="B267" s="1">
        <v>40555</v>
      </c>
      <c r="C267">
        <v>1</v>
      </c>
      <c r="D267">
        <v>0</v>
      </c>
      <c r="E267">
        <v>1</v>
      </c>
      <c r="F267" t="str">
        <f>IF(final_data786[[#This Row],[MONTH_CODE]]=1,"JANUARY",IF(final_data786[[#This Row],[MONTH_CODE]]=2,"FEBRUARY"))</f>
        <v>JANUARY</v>
      </c>
      <c r="G267">
        <v>12</v>
      </c>
      <c r="H267">
        <v>0</v>
      </c>
      <c r="I267">
        <v>3</v>
      </c>
      <c r="J2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7" t="str">
        <f>IF(final_data786[[#This Row],[DAY_CODE]]=0,"weekend",IF(final_data786[[#This Row],[DAY_CODE]]=6,"weekend","weekday"))</f>
        <v>weekday</v>
      </c>
      <c r="L267">
        <v>1</v>
      </c>
      <c r="M267" t="str">
        <f>IF(final_data786[[#This Row],[WEATHER_CODE]]=1,"clear",IF(final_data786[[#This Row],[WEATHER_CODE]]=2,"cloudy",IF(final_data786[[#This Row],[WEATHER_CODE]]=3,"light rain",IF(final_data786[[#This Row],[WEATHER_CODE]]=4,"heavy rain",0))))</f>
        <v>clear</v>
      </c>
      <c r="N267">
        <v>0.2</v>
      </c>
      <c r="O267">
        <v>0.1515</v>
      </c>
      <c r="P267">
        <v>0.47</v>
      </c>
      <c r="Q267">
        <v>0.58209999999999995</v>
      </c>
      <c r="R267">
        <v>3</v>
      </c>
      <c r="S267">
        <v>52</v>
      </c>
      <c r="T267">
        <v>55</v>
      </c>
    </row>
    <row r="268" spans="1:20" x14ac:dyDescent="0.35">
      <c r="A268">
        <v>267</v>
      </c>
      <c r="B268" s="1">
        <v>40555</v>
      </c>
      <c r="C268">
        <v>1</v>
      </c>
      <c r="D268">
        <v>0</v>
      </c>
      <c r="E268">
        <v>1</v>
      </c>
      <c r="F268" t="str">
        <f>IF(final_data786[[#This Row],[MONTH_CODE]]=1,"JANUARY",IF(final_data786[[#This Row],[MONTH_CODE]]=2,"FEBRUARY"))</f>
        <v>JANUARY</v>
      </c>
      <c r="G268">
        <v>13</v>
      </c>
      <c r="H268">
        <v>0</v>
      </c>
      <c r="I268">
        <v>3</v>
      </c>
      <c r="J2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8" t="str">
        <f>IF(final_data786[[#This Row],[DAY_CODE]]=0,"weekend",IF(final_data786[[#This Row],[DAY_CODE]]=6,"weekend","weekday"))</f>
        <v>weekday</v>
      </c>
      <c r="L268">
        <v>1</v>
      </c>
      <c r="M268" t="str">
        <f>IF(final_data786[[#This Row],[WEATHER_CODE]]=1,"clear",IF(final_data786[[#This Row],[WEATHER_CODE]]=2,"cloudy",IF(final_data786[[#This Row],[WEATHER_CODE]]=3,"light rain",IF(final_data786[[#This Row],[WEATHER_CODE]]=4,"heavy rain",0))))</f>
        <v>clear</v>
      </c>
      <c r="N268">
        <v>0.22</v>
      </c>
      <c r="O268">
        <v>0.19700000000000001</v>
      </c>
      <c r="P268">
        <v>0.44</v>
      </c>
      <c r="Q268">
        <v>0.35820000000000002</v>
      </c>
      <c r="R268">
        <v>0</v>
      </c>
      <c r="S268">
        <v>49</v>
      </c>
      <c r="T268">
        <v>49</v>
      </c>
    </row>
    <row r="269" spans="1:20" x14ac:dyDescent="0.35">
      <c r="A269">
        <v>268</v>
      </c>
      <c r="B269" s="1">
        <v>40555</v>
      </c>
      <c r="C269">
        <v>1</v>
      </c>
      <c r="D269">
        <v>0</v>
      </c>
      <c r="E269">
        <v>1</v>
      </c>
      <c r="F269" t="str">
        <f>IF(final_data786[[#This Row],[MONTH_CODE]]=1,"JANUARY",IF(final_data786[[#This Row],[MONTH_CODE]]=2,"FEBRUARY"))</f>
        <v>JANUARY</v>
      </c>
      <c r="G269">
        <v>14</v>
      </c>
      <c r="H269">
        <v>0</v>
      </c>
      <c r="I269">
        <v>3</v>
      </c>
      <c r="J2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69" t="str">
        <f>IF(final_data786[[#This Row],[DAY_CODE]]=0,"weekend",IF(final_data786[[#This Row],[DAY_CODE]]=6,"weekend","weekday"))</f>
        <v>weekday</v>
      </c>
      <c r="L269">
        <v>1</v>
      </c>
      <c r="M269" t="str">
        <f>IF(final_data786[[#This Row],[WEATHER_CODE]]=1,"clear",IF(final_data786[[#This Row],[WEATHER_CODE]]=2,"cloudy",IF(final_data786[[#This Row],[WEATHER_CODE]]=3,"light rain",IF(final_data786[[#This Row],[WEATHER_CODE]]=4,"heavy rain",0))))</f>
        <v>clear</v>
      </c>
      <c r="N269">
        <v>0.2</v>
      </c>
      <c r="O269">
        <v>0.18179999999999999</v>
      </c>
      <c r="P269">
        <v>0.47</v>
      </c>
      <c r="Q269">
        <v>0.32840000000000003</v>
      </c>
      <c r="R269">
        <v>0</v>
      </c>
      <c r="S269">
        <v>44</v>
      </c>
      <c r="T269">
        <v>44</v>
      </c>
    </row>
    <row r="270" spans="1:20" x14ac:dyDescent="0.35">
      <c r="A270">
        <v>269</v>
      </c>
      <c r="B270" s="1">
        <v>40555</v>
      </c>
      <c r="C270">
        <v>1</v>
      </c>
      <c r="D270">
        <v>0</v>
      </c>
      <c r="E270">
        <v>1</v>
      </c>
      <c r="F270" t="str">
        <f>IF(final_data786[[#This Row],[MONTH_CODE]]=1,"JANUARY",IF(final_data786[[#This Row],[MONTH_CODE]]=2,"FEBRUARY"))</f>
        <v>JANUARY</v>
      </c>
      <c r="G270">
        <v>15</v>
      </c>
      <c r="H270">
        <v>0</v>
      </c>
      <c r="I270">
        <v>3</v>
      </c>
      <c r="J2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0" t="str">
        <f>IF(final_data786[[#This Row],[DAY_CODE]]=0,"weekend",IF(final_data786[[#This Row],[DAY_CODE]]=6,"weekend","weekday"))</f>
        <v>weekday</v>
      </c>
      <c r="L270">
        <v>1</v>
      </c>
      <c r="M270" t="str">
        <f>IF(final_data786[[#This Row],[WEATHER_CODE]]=1,"clear",IF(final_data786[[#This Row],[WEATHER_CODE]]=2,"cloudy",IF(final_data786[[#This Row],[WEATHER_CODE]]=3,"light rain",IF(final_data786[[#This Row],[WEATHER_CODE]]=4,"heavy rain",0))))</f>
        <v>clear</v>
      </c>
      <c r="N270">
        <v>0.2</v>
      </c>
      <c r="O270">
        <v>0.16669999999999999</v>
      </c>
      <c r="P270">
        <v>0.47</v>
      </c>
      <c r="Q270">
        <v>0.41789999999999999</v>
      </c>
      <c r="R270">
        <v>1</v>
      </c>
      <c r="S270">
        <v>48</v>
      </c>
      <c r="T270">
        <v>49</v>
      </c>
    </row>
    <row r="271" spans="1:20" x14ac:dyDescent="0.35">
      <c r="A271">
        <v>270</v>
      </c>
      <c r="B271" s="1">
        <v>40555</v>
      </c>
      <c r="C271">
        <v>1</v>
      </c>
      <c r="D271">
        <v>0</v>
      </c>
      <c r="E271">
        <v>1</v>
      </c>
      <c r="F271" t="str">
        <f>IF(final_data786[[#This Row],[MONTH_CODE]]=1,"JANUARY",IF(final_data786[[#This Row],[MONTH_CODE]]=2,"FEBRUARY"))</f>
        <v>JANUARY</v>
      </c>
      <c r="G271">
        <v>16</v>
      </c>
      <c r="H271">
        <v>0</v>
      </c>
      <c r="I271">
        <v>3</v>
      </c>
      <c r="J2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1" t="str">
        <f>IF(final_data786[[#This Row],[DAY_CODE]]=0,"weekend",IF(final_data786[[#This Row],[DAY_CODE]]=6,"weekend","weekday"))</f>
        <v>weekday</v>
      </c>
      <c r="L271">
        <v>1</v>
      </c>
      <c r="M271" t="str">
        <f>IF(final_data786[[#This Row],[WEATHER_CODE]]=1,"clear",IF(final_data786[[#This Row],[WEATHER_CODE]]=2,"cloudy",IF(final_data786[[#This Row],[WEATHER_CODE]]=3,"light rain",IF(final_data786[[#This Row],[WEATHER_CODE]]=4,"heavy rain",0))))</f>
        <v>clear</v>
      </c>
      <c r="N271">
        <v>0.22</v>
      </c>
      <c r="O271">
        <v>0.19700000000000001</v>
      </c>
      <c r="P271">
        <v>0.44</v>
      </c>
      <c r="Q271">
        <v>0.32840000000000003</v>
      </c>
      <c r="R271">
        <v>5</v>
      </c>
      <c r="S271">
        <v>63</v>
      </c>
      <c r="T271">
        <v>68</v>
      </c>
    </row>
    <row r="272" spans="1:20" x14ac:dyDescent="0.35">
      <c r="A272">
        <v>271</v>
      </c>
      <c r="B272" s="1">
        <v>40555</v>
      </c>
      <c r="C272">
        <v>1</v>
      </c>
      <c r="D272">
        <v>0</v>
      </c>
      <c r="E272">
        <v>1</v>
      </c>
      <c r="F272" t="str">
        <f>IF(final_data786[[#This Row],[MONTH_CODE]]=1,"JANUARY",IF(final_data786[[#This Row],[MONTH_CODE]]=2,"FEBRUARY"))</f>
        <v>JANUARY</v>
      </c>
      <c r="G272">
        <v>17</v>
      </c>
      <c r="H272">
        <v>0</v>
      </c>
      <c r="I272">
        <v>3</v>
      </c>
      <c r="J2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2" t="str">
        <f>IF(final_data786[[#This Row],[DAY_CODE]]=0,"weekend",IF(final_data786[[#This Row],[DAY_CODE]]=6,"weekend","weekday"))</f>
        <v>weekday</v>
      </c>
      <c r="L272">
        <v>1</v>
      </c>
      <c r="M272" t="str">
        <f>IF(final_data786[[#This Row],[WEATHER_CODE]]=1,"clear",IF(final_data786[[#This Row],[WEATHER_CODE]]=2,"cloudy",IF(final_data786[[#This Row],[WEATHER_CODE]]=3,"light rain",IF(final_data786[[#This Row],[WEATHER_CODE]]=4,"heavy rain",0))))</f>
        <v>clear</v>
      </c>
      <c r="N272">
        <v>0.2</v>
      </c>
      <c r="O272">
        <v>0.18179999999999999</v>
      </c>
      <c r="P272">
        <v>0.47</v>
      </c>
      <c r="Q272">
        <v>0.35820000000000002</v>
      </c>
      <c r="R272">
        <v>0</v>
      </c>
      <c r="S272">
        <v>139</v>
      </c>
      <c r="T272">
        <v>139</v>
      </c>
    </row>
    <row r="273" spans="1:20" x14ac:dyDescent="0.35">
      <c r="A273">
        <v>272</v>
      </c>
      <c r="B273" s="1">
        <v>40555</v>
      </c>
      <c r="C273">
        <v>1</v>
      </c>
      <c r="D273">
        <v>0</v>
      </c>
      <c r="E273">
        <v>1</v>
      </c>
      <c r="F273" t="str">
        <f>IF(final_data786[[#This Row],[MONTH_CODE]]=1,"JANUARY",IF(final_data786[[#This Row],[MONTH_CODE]]=2,"FEBRUARY"))</f>
        <v>JANUARY</v>
      </c>
      <c r="G273">
        <v>18</v>
      </c>
      <c r="H273">
        <v>0</v>
      </c>
      <c r="I273">
        <v>3</v>
      </c>
      <c r="J2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3" t="str">
        <f>IF(final_data786[[#This Row],[DAY_CODE]]=0,"weekend",IF(final_data786[[#This Row],[DAY_CODE]]=6,"weekend","weekday"))</f>
        <v>weekday</v>
      </c>
      <c r="L273">
        <v>1</v>
      </c>
      <c r="M273" t="str">
        <f>IF(final_data786[[#This Row],[WEATHER_CODE]]=1,"clear",IF(final_data786[[#This Row],[WEATHER_CODE]]=2,"cloudy",IF(final_data786[[#This Row],[WEATHER_CODE]]=3,"light rain",IF(final_data786[[#This Row],[WEATHER_CODE]]=4,"heavy rain",0))))</f>
        <v>clear</v>
      </c>
      <c r="N273">
        <v>0.2</v>
      </c>
      <c r="O273">
        <v>0.1515</v>
      </c>
      <c r="P273">
        <v>0.47</v>
      </c>
      <c r="Q273">
        <v>0.52239999999999998</v>
      </c>
      <c r="R273">
        <v>2</v>
      </c>
      <c r="S273">
        <v>135</v>
      </c>
      <c r="T273">
        <v>137</v>
      </c>
    </row>
    <row r="274" spans="1:20" x14ac:dyDescent="0.35">
      <c r="A274">
        <v>273</v>
      </c>
      <c r="B274" s="1">
        <v>40555</v>
      </c>
      <c r="C274">
        <v>1</v>
      </c>
      <c r="D274">
        <v>0</v>
      </c>
      <c r="E274">
        <v>1</v>
      </c>
      <c r="F274" t="str">
        <f>IF(final_data786[[#This Row],[MONTH_CODE]]=1,"JANUARY",IF(final_data786[[#This Row],[MONTH_CODE]]=2,"FEBRUARY"))</f>
        <v>JANUARY</v>
      </c>
      <c r="G274">
        <v>19</v>
      </c>
      <c r="H274">
        <v>0</v>
      </c>
      <c r="I274">
        <v>3</v>
      </c>
      <c r="J2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4" t="str">
        <f>IF(final_data786[[#This Row],[DAY_CODE]]=0,"weekend",IF(final_data786[[#This Row],[DAY_CODE]]=6,"weekend","weekday"))</f>
        <v>weekday</v>
      </c>
      <c r="L274">
        <v>1</v>
      </c>
      <c r="M274" t="str">
        <f>IF(final_data786[[#This Row],[WEATHER_CODE]]=1,"clear",IF(final_data786[[#This Row],[WEATHER_CODE]]=2,"cloudy",IF(final_data786[[#This Row],[WEATHER_CODE]]=3,"light rain",IF(final_data786[[#This Row],[WEATHER_CODE]]=4,"heavy rain",0))))</f>
        <v>clear</v>
      </c>
      <c r="N274">
        <v>0.18</v>
      </c>
      <c r="O274">
        <v>0.1515</v>
      </c>
      <c r="P274">
        <v>0.47</v>
      </c>
      <c r="Q274">
        <v>0.41789999999999999</v>
      </c>
      <c r="R274">
        <v>1</v>
      </c>
      <c r="S274">
        <v>82</v>
      </c>
      <c r="T274">
        <v>83</v>
      </c>
    </row>
    <row r="275" spans="1:20" x14ac:dyDescent="0.35">
      <c r="A275">
        <v>274</v>
      </c>
      <c r="B275" s="1">
        <v>40555</v>
      </c>
      <c r="C275">
        <v>1</v>
      </c>
      <c r="D275">
        <v>0</v>
      </c>
      <c r="E275">
        <v>1</v>
      </c>
      <c r="F275" t="str">
        <f>IF(final_data786[[#This Row],[MONTH_CODE]]=1,"JANUARY",IF(final_data786[[#This Row],[MONTH_CODE]]=2,"FEBRUARY"))</f>
        <v>JANUARY</v>
      </c>
      <c r="G275">
        <v>20</v>
      </c>
      <c r="H275">
        <v>0</v>
      </c>
      <c r="I275">
        <v>3</v>
      </c>
      <c r="J2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5" t="str">
        <f>IF(final_data786[[#This Row],[DAY_CODE]]=0,"weekend",IF(final_data786[[#This Row],[DAY_CODE]]=6,"weekend","weekday"))</f>
        <v>weekday</v>
      </c>
      <c r="L275">
        <v>1</v>
      </c>
      <c r="M275" t="str">
        <f>IF(final_data786[[#This Row],[WEATHER_CODE]]=1,"clear",IF(final_data786[[#This Row],[WEATHER_CODE]]=2,"cloudy",IF(final_data786[[#This Row],[WEATHER_CODE]]=3,"light rain",IF(final_data786[[#This Row],[WEATHER_CODE]]=4,"heavy rain",0))))</f>
        <v>clear</v>
      </c>
      <c r="N275">
        <v>0.16</v>
      </c>
      <c r="O275">
        <v>0.13639999999999999</v>
      </c>
      <c r="P275">
        <v>0.5</v>
      </c>
      <c r="Q275">
        <v>0.32840000000000003</v>
      </c>
      <c r="R275">
        <v>2</v>
      </c>
      <c r="S275">
        <v>54</v>
      </c>
      <c r="T275">
        <v>56</v>
      </c>
    </row>
    <row r="276" spans="1:20" x14ac:dyDescent="0.35">
      <c r="A276">
        <v>275</v>
      </c>
      <c r="B276" s="1">
        <v>40555</v>
      </c>
      <c r="C276">
        <v>1</v>
      </c>
      <c r="D276">
        <v>0</v>
      </c>
      <c r="E276">
        <v>1</v>
      </c>
      <c r="F276" t="str">
        <f>IF(final_data786[[#This Row],[MONTH_CODE]]=1,"JANUARY",IF(final_data786[[#This Row],[MONTH_CODE]]=2,"FEBRUARY"))</f>
        <v>JANUARY</v>
      </c>
      <c r="G276">
        <v>21</v>
      </c>
      <c r="H276">
        <v>0</v>
      </c>
      <c r="I276">
        <v>3</v>
      </c>
      <c r="J2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6" t="str">
        <f>IF(final_data786[[#This Row],[DAY_CODE]]=0,"weekend",IF(final_data786[[#This Row],[DAY_CODE]]=6,"weekend","weekday"))</f>
        <v>weekday</v>
      </c>
      <c r="L276">
        <v>1</v>
      </c>
      <c r="M276" t="str">
        <f>IF(final_data786[[#This Row],[WEATHER_CODE]]=1,"clear",IF(final_data786[[#This Row],[WEATHER_CODE]]=2,"cloudy",IF(final_data786[[#This Row],[WEATHER_CODE]]=3,"light rain",IF(final_data786[[#This Row],[WEATHER_CODE]]=4,"heavy rain",0))))</f>
        <v>clear</v>
      </c>
      <c r="N276">
        <v>0.16</v>
      </c>
      <c r="O276">
        <v>0.13639999999999999</v>
      </c>
      <c r="P276">
        <v>0.55000000000000004</v>
      </c>
      <c r="Q276">
        <v>0.32840000000000003</v>
      </c>
      <c r="R276">
        <v>0</v>
      </c>
      <c r="S276">
        <v>57</v>
      </c>
      <c r="T276">
        <v>57</v>
      </c>
    </row>
    <row r="277" spans="1:20" x14ac:dyDescent="0.35">
      <c r="A277">
        <v>276</v>
      </c>
      <c r="B277" s="1">
        <v>40555</v>
      </c>
      <c r="C277">
        <v>1</v>
      </c>
      <c r="D277">
        <v>0</v>
      </c>
      <c r="E277">
        <v>1</v>
      </c>
      <c r="F277" t="str">
        <f>IF(final_data786[[#This Row],[MONTH_CODE]]=1,"JANUARY",IF(final_data786[[#This Row],[MONTH_CODE]]=2,"FEBRUARY"))</f>
        <v>JANUARY</v>
      </c>
      <c r="G277">
        <v>22</v>
      </c>
      <c r="H277">
        <v>0</v>
      </c>
      <c r="I277">
        <v>3</v>
      </c>
      <c r="J2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7" t="str">
        <f>IF(final_data786[[#This Row],[DAY_CODE]]=0,"weekend",IF(final_data786[[#This Row],[DAY_CODE]]=6,"weekend","weekday"))</f>
        <v>weekday</v>
      </c>
      <c r="L277">
        <v>1</v>
      </c>
      <c r="M277" t="str">
        <f>IF(final_data786[[#This Row],[WEATHER_CODE]]=1,"clear",IF(final_data786[[#This Row],[WEATHER_CODE]]=2,"cloudy",IF(final_data786[[#This Row],[WEATHER_CODE]]=3,"light rain",IF(final_data786[[#This Row],[WEATHER_CODE]]=4,"heavy rain",0))))</f>
        <v>clear</v>
      </c>
      <c r="N277">
        <v>0.16</v>
      </c>
      <c r="O277">
        <v>0.1212</v>
      </c>
      <c r="P277">
        <v>0.55000000000000004</v>
      </c>
      <c r="Q277">
        <v>0.44779999999999998</v>
      </c>
      <c r="R277">
        <v>1</v>
      </c>
      <c r="S277">
        <v>32</v>
      </c>
      <c r="T277">
        <v>33</v>
      </c>
    </row>
    <row r="278" spans="1:20" x14ac:dyDescent="0.35">
      <c r="A278">
        <v>277</v>
      </c>
      <c r="B278" s="1">
        <v>40555</v>
      </c>
      <c r="C278">
        <v>1</v>
      </c>
      <c r="D278">
        <v>0</v>
      </c>
      <c r="E278">
        <v>1</v>
      </c>
      <c r="F278" t="str">
        <f>IF(final_data786[[#This Row],[MONTH_CODE]]=1,"JANUARY",IF(final_data786[[#This Row],[MONTH_CODE]]=2,"FEBRUARY"))</f>
        <v>JANUARY</v>
      </c>
      <c r="G278">
        <v>23</v>
      </c>
      <c r="H278">
        <v>0</v>
      </c>
      <c r="I278">
        <v>3</v>
      </c>
      <c r="J2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278" t="str">
        <f>IF(final_data786[[#This Row],[DAY_CODE]]=0,"weekend",IF(final_data786[[#This Row],[DAY_CODE]]=6,"weekend","weekday"))</f>
        <v>weekday</v>
      </c>
      <c r="L278">
        <v>1</v>
      </c>
      <c r="M278" t="str">
        <f>IF(final_data786[[#This Row],[WEATHER_CODE]]=1,"clear",IF(final_data786[[#This Row],[WEATHER_CODE]]=2,"cloudy",IF(final_data786[[#This Row],[WEATHER_CODE]]=3,"light rain",IF(final_data786[[#This Row],[WEATHER_CODE]]=4,"heavy rain",0))))</f>
        <v>clear</v>
      </c>
      <c r="N278">
        <v>0.14000000000000001</v>
      </c>
      <c r="O278">
        <v>0.1061</v>
      </c>
      <c r="P278">
        <v>0.59</v>
      </c>
      <c r="Q278">
        <v>0.41789999999999999</v>
      </c>
      <c r="R278">
        <v>1</v>
      </c>
      <c r="S278">
        <v>19</v>
      </c>
      <c r="T278">
        <v>20</v>
      </c>
    </row>
    <row r="279" spans="1:20" x14ac:dyDescent="0.35">
      <c r="A279">
        <v>278</v>
      </c>
      <c r="B279" s="1">
        <v>40556</v>
      </c>
      <c r="C279">
        <v>1</v>
      </c>
      <c r="D279">
        <v>0</v>
      </c>
      <c r="E279">
        <v>1</v>
      </c>
      <c r="F279" t="str">
        <f>IF(final_data786[[#This Row],[MONTH_CODE]]=1,"JANUARY",IF(final_data786[[#This Row],[MONTH_CODE]]=2,"FEBRUARY"))</f>
        <v>JANUARY</v>
      </c>
      <c r="G279">
        <v>0</v>
      </c>
      <c r="H279">
        <v>0</v>
      </c>
      <c r="I279">
        <v>4</v>
      </c>
      <c r="J2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79" t="str">
        <f>IF(final_data786[[#This Row],[DAY_CODE]]=0,"weekend",IF(final_data786[[#This Row],[DAY_CODE]]=6,"weekend","weekday"))</f>
        <v>weekday</v>
      </c>
      <c r="L279">
        <v>1</v>
      </c>
      <c r="M279" t="str">
        <f>IF(final_data786[[#This Row],[WEATHER_CODE]]=1,"clear",IF(final_data786[[#This Row],[WEATHER_CODE]]=2,"cloudy",IF(final_data786[[#This Row],[WEATHER_CODE]]=3,"light rain",IF(final_data786[[#This Row],[WEATHER_CODE]]=4,"heavy rain",0))))</f>
        <v>clear</v>
      </c>
      <c r="N279">
        <v>0.14000000000000001</v>
      </c>
      <c r="O279">
        <v>0.1212</v>
      </c>
      <c r="P279">
        <v>0.59</v>
      </c>
      <c r="Q279">
        <v>0.28360000000000002</v>
      </c>
      <c r="R279">
        <v>1</v>
      </c>
      <c r="S279">
        <v>6</v>
      </c>
      <c r="T279">
        <v>7</v>
      </c>
    </row>
    <row r="280" spans="1:20" x14ac:dyDescent="0.35">
      <c r="A280">
        <v>279</v>
      </c>
      <c r="B280" s="1">
        <v>40556</v>
      </c>
      <c r="C280">
        <v>1</v>
      </c>
      <c r="D280">
        <v>0</v>
      </c>
      <c r="E280">
        <v>1</v>
      </c>
      <c r="F280" t="str">
        <f>IF(final_data786[[#This Row],[MONTH_CODE]]=1,"JANUARY",IF(final_data786[[#This Row],[MONTH_CODE]]=2,"FEBRUARY"))</f>
        <v>JANUARY</v>
      </c>
      <c r="G280">
        <v>1</v>
      </c>
      <c r="H280">
        <v>0</v>
      </c>
      <c r="I280">
        <v>4</v>
      </c>
      <c r="J2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0" t="str">
        <f>IF(final_data786[[#This Row],[DAY_CODE]]=0,"weekend",IF(final_data786[[#This Row],[DAY_CODE]]=6,"weekend","weekday"))</f>
        <v>weekday</v>
      </c>
      <c r="L280">
        <v>1</v>
      </c>
      <c r="M280" t="str">
        <f>IF(final_data786[[#This Row],[WEATHER_CODE]]=1,"clear",IF(final_data786[[#This Row],[WEATHER_CODE]]=2,"cloudy",IF(final_data786[[#This Row],[WEATHER_CODE]]=3,"light rain",IF(final_data786[[#This Row],[WEATHER_CODE]]=4,"heavy rain",0))))</f>
        <v>clear</v>
      </c>
      <c r="N280">
        <v>0.14000000000000001</v>
      </c>
      <c r="O280">
        <v>0.1212</v>
      </c>
      <c r="P280">
        <v>0.5</v>
      </c>
      <c r="Q280">
        <v>0.28360000000000002</v>
      </c>
      <c r="R280">
        <v>0</v>
      </c>
      <c r="S280">
        <v>2</v>
      </c>
      <c r="T280">
        <v>2</v>
      </c>
    </row>
    <row r="281" spans="1:20" x14ac:dyDescent="0.35">
      <c r="A281">
        <v>280</v>
      </c>
      <c r="B281" s="1">
        <v>40556</v>
      </c>
      <c r="C281">
        <v>1</v>
      </c>
      <c r="D281">
        <v>0</v>
      </c>
      <c r="E281">
        <v>1</v>
      </c>
      <c r="F281" t="str">
        <f>IF(final_data786[[#This Row],[MONTH_CODE]]=1,"JANUARY",IF(final_data786[[#This Row],[MONTH_CODE]]=2,"FEBRUARY"))</f>
        <v>JANUARY</v>
      </c>
      <c r="G281">
        <v>2</v>
      </c>
      <c r="H281">
        <v>0</v>
      </c>
      <c r="I281">
        <v>4</v>
      </c>
      <c r="J2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1" t="str">
        <f>IF(final_data786[[#This Row],[DAY_CODE]]=0,"weekend",IF(final_data786[[#This Row],[DAY_CODE]]=6,"weekend","weekday"))</f>
        <v>weekday</v>
      </c>
      <c r="L281">
        <v>1</v>
      </c>
      <c r="M281" t="str">
        <f>IF(final_data786[[#This Row],[WEATHER_CODE]]=1,"clear",IF(final_data786[[#This Row],[WEATHER_CODE]]=2,"cloudy",IF(final_data786[[#This Row],[WEATHER_CODE]]=3,"light rain",IF(final_data786[[#This Row],[WEATHER_CODE]]=4,"heavy rain",0))))</f>
        <v>clear</v>
      </c>
      <c r="N281">
        <v>0.14000000000000001</v>
      </c>
      <c r="O281">
        <v>0.1212</v>
      </c>
      <c r="P281">
        <v>0.5</v>
      </c>
      <c r="Q281">
        <v>0.35820000000000002</v>
      </c>
      <c r="R281">
        <v>0</v>
      </c>
      <c r="S281">
        <v>2</v>
      </c>
      <c r="T281">
        <v>2</v>
      </c>
    </row>
    <row r="282" spans="1:20" x14ac:dyDescent="0.35">
      <c r="A282">
        <v>281</v>
      </c>
      <c r="B282" s="1">
        <v>40556</v>
      </c>
      <c r="C282">
        <v>1</v>
      </c>
      <c r="D282">
        <v>0</v>
      </c>
      <c r="E282">
        <v>1</v>
      </c>
      <c r="F282" t="str">
        <f>IF(final_data786[[#This Row],[MONTH_CODE]]=1,"JANUARY",IF(final_data786[[#This Row],[MONTH_CODE]]=2,"FEBRUARY"))</f>
        <v>JANUARY</v>
      </c>
      <c r="G282">
        <v>3</v>
      </c>
      <c r="H282">
        <v>0</v>
      </c>
      <c r="I282">
        <v>4</v>
      </c>
      <c r="J2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2" t="str">
        <f>IF(final_data786[[#This Row],[DAY_CODE]]=0,"weekend",IF(final_data786[[#This Row],[DAY_CODE]]=6,"weekend","weekday"))</f>
        <v>weekday</v>
      </c>
      <c r="L282">
        <v>1</v>
      </c>
      <c r="M282" t="str">
        <f>IF(final_data786[[#This Row],[WEATHER_CODE]]=1,"clear",IF(final_data786[[#This Row],[WEATHER_CODE]]=2,"cloudy",IF(final_data786[[#This Row],[WEATHER_CODE]]=3,"light rain",IF(final_data786[[#This Row],[WEATHER_CODE]]=4,"heavy rain",0))))</f>
        <v>clear</v>
      </c>
      <c r="N282">
        <v>0.14000000000000001</v>
      </c>
      <c r="O282">
        <v>0.1212</v>
      </c>
      <c r="P282">
        <v>0.5</v>
      </c>
      <c r="Q282">
        <v>0.32840000000000003</v>
      </c>
      <c r="R282">
        <v>0</v>
      </c>
      <c r="S282">
        <v>3</v>
      </c>
      <c r="T282">
        <v>3</v>
      </c>
    </row>
    <row r="283" spans="1:20" x14ac:dyDescent="0.35">
      <c r="A283">
        <v>282</v>
      </c>
      <c r="B283" s="1">
        <v>40556</v>
      </c>
      <c r="C283">
        <v>1</v>
      </c>
      <c r="D283">
        <v>0</v>
      </c>
      <c r="E283">
        <v>1</v>
      </c>
      <c r="F283" t="str">
        <f>IF(final_data786[[#This Row],[MONTH_CODE]]=1,"JANUARY",IF(final_data786[[#This Row],[MONTH_CODE]]=2,"FEBRUARY"))</f>
        <v>JANUARY</v>
      </c>
      <c r="G283">
        <v>4</v>
      </c>
      <c r="H283">
        <v>0</v>
      </c>
      <c r="I283">
        <v>4</v>
      </c>
      <c r="J2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3" t="str">
        <f>IF(final_data786[[#This Row],[DAY_CODE]]=0,"weekend",IF(final_data786[[#This Row],[DAY_CODE]]=6,"weekend","weekday"))</f>
        <v>weekday</v>
      </c>
      <c r="L283">
        <v>1</v>
      </c>
      <c r="M283" t="str">
        <f>IF(final_data786[[#This Row],[WEATHER_CODE]]=1,"clear",IF(final_data786[[#This Row],[WEATHER_CODE]]=2,"cloudy",IF(final_data786[[#This Row],[WEATHER_CODE]]=3,"light rain",IF(final_data786[[#This Row],[WEATHER_CODE]]=4,"heavy rain",0))))</f>
        <v>clear</v>
      </c>
      <c r="N283">
        <v>0.14000000000000001</v>
      </c>
      <c r="O283">
        <v>0.1212</v>
      </c>
      <c r="P283">
        <v>0.5</v>
      </c>
      <c r="Q283">
        <v>0.25369999999999998</v>
      </c>
      <c r="R283">
        <v>0</v>
      </c>
      <c r="S283">
        <v>4</v>
      </c>
      <c r="T283">
        <v>4</v>
      </c>
    </row>
    <row r="284" spans="1:20" x14ac:dyDescent="0.35">
      <c r="A284">
        <v>283</v>
      </c>
      <c r="B284" s="1">
        <v>40556</v>
      </c>
      <c r="C284">
        <v>1</v>
      </c>
      <c r="D284">
        <v>0</v>
      </c>
      <c r="E284">
        <v>1</v>
      </c>
      <c r="F284" t="str">
        <f>IF(final_data786[[#This Row],[MONTH_CODE]]=1,"JANUARY",IF(final_data786[[#This Row],[MONTH_CODE]]=2,"FEBRUARY"))</f>
        <v>JANUARY</v>
      </c>
      <c r="G284">
        <v>5</v>
      </c>
      <c r="H284">
        <v>0</v>
      </c>
      <c r="I284">
        <v>4</v>
      </c>
      <c r="J2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4" t="str">
        <f>IF(final_data786[[#This Row],[DAY_CODE]]=0,"weekend",IF(final_data786[[#This Row],[DAY_CODE]]=6,"weekend","weekday"))</f>
        <v>weekday</v>
      </c>
      <c r="L284">
        <v>1</v>
      </c>
      <c r="M284" t="str">
        <f>IF(final_data786[[#This Row],[WEATHER_CODE]]=1,"clear",IF(final_data786[[#This Row],[WEATHER_CODE]]=2,"cloudy",IF(final_data786[[#This Row],[WEATHER_CODE]]=3,"light rain",IF(final_data786[[#This Row],[WEATHER_CODE]]=4,"heavy rain",0))))</f>
        <v>clear</v>
      </c>
      <c r="N284">
        <v>0.14000000000000001</v>
      </c>
      <c r="O284">
        <v>0.1212</v>
      </c>
      <c r="P284">
        <v>0.5</v>
      </c>
      <c r="Q284">
        <v>0.29849999999999999</v>
      </c>
      <c r="R284">
        <v>0</v>
      </c>
      <c r="S284">
        <v>3</v>
      </c>
      <c r="T284">
        <v>3</v>
      </c>
    </row>
    <row r="285" spans="1:20" x14ac:dyDescent="0.35">
      <c r="A285">
        <v>284</v>
      </c>
      <c r="B285" s="1">
        <v>40556</v>
      </c>
      <c r="C285">
        <v>1</v>
      </c>
      <c r="D285">
        <v>0</v>
      </c>
      <c r="E285">
        <v>1</v>
      </c>
      <c r="F285" t="str">
        <f>IF(final_data786[[#This Row],[MONTH_CODE]]=1,"JANUARY",IF(final_data786[[#This Row],[MONTH_CODE]]=2,"FEBRUARY"))</f>
        <v>JANUARY</v>
      </c>
      <c r="G285">
        <v>6</v>
      </c>
      <c r="H285">
        <v>0</v>
      </c>
      <c r="I285">
        <v>4</v>
      </c>
      <c r="J2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5" t="str">
        <f>IF(final_data786[[#This Row],[DAY_CODE]]=0,"weekend",IF(final_data786[[#This Row],[DAY_CODE]]=6,"weekend","weekday"))</f>
        <v>weekday</v>
      </c>
      <c r="L285">
        <v>1</v>
      </c>
      <c r="M285" t="str">
        <f>IF(final_data786[[#This Row],[WEATHER_CODE]]=1,"clear",IF(final_data786[[#This Row],[WEATHER_CODE]]=2,"cloudy",IF(final_data786[[#This Row],[WEATHER_CODE]]=3,"light rain",IF(final_data786[[#This Row],[WEATHER_CODE]]=4,"heavy rain",0))))</f>
        <v>clear</v>
      </c>
      <c r="N285">
        <v>0.12</v>
      </c>
      <c r="O285">
        <v>0.1515</v>
      </c>
      <c r="P285">
        <v>0.54</v>
      </c>
      <c r="Q285">
        <v>0.1343</v>
      </c>
      <c r="R285">
        <v>0</v>
      </c>
      <c r="S285">
        <v>28</v>
      </c>
      <c r="T285">
        <v>28</v>
      </c>
    </row>
    <row r="286" spans="1:20" x14ac:dyDescent="0.35">
      <c r="A286">
        <v>285</v>
      </c>
      <c r="B286" s="1">
        <v>40556</v>
      </c>
      <c r="C286">
        <v>1</v>
      </c>
      <c r="D286">
        <v>0</v>
      </c>
      <c r="E286">
        <v>1</v>
      </c>
      <c r="F286" t="str">
        <f>IF(final_data786[[#This Row],[MONTH_CODE]]=1,"JANUARY",IF(final_data786[[#This Row],[MONTH_CODE]]=2,"FEBRUARY"))</f>
        <v>JANUARY</v>
      </c>
      <c r="G286">
        <v>7</v>
      </c>
      <c r="H286">
        <v>0</v>
      </c>
      <c r="I286">
        <v>4</v>
      </c>
      <c r="J2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6" t="str">
        <f>IF(final_data786[[#This Row],[DAY_CODE]]=0,"weekend",IF(final_data786[[#This Row],[DAY_CODE]]=6,"weekend","weekday"))</f>
        <v>weekday</v>
      </c>
      <c r="L286">
        <v>1</v>
      </c>
      <c r="M286" t="str">
        <f>IF(final_data786[[#This Row],[WEATHER_CODE]]=1,"clear",IF(final_data786[[#This Row],[WEATHER_CODE]]=2,"cloudy",IF(final_data786[[#This Row],[WEATHER_CODE]]=3,"light rain",IF(final_data786[[#This Row],[WEATHER_CODE]]=4,"heavy rain",0))))</f>
        <v>clear</v>
      </c>
      <c r="N286">
        <v>0.12</v>
      </c>
      <c r="O286">
        <v>0.1515</v>
      </c>
      <c r="P286">
        <v>0.54</v>
      </c>
      <c r="Q286">
        <v>0.1343</v>
      </c>
      <c r="R286">
        <v>0</v>
      </c>
      <c r="S286">
        <v>72</v>
      </c>
      <c r="T286">
        <v>72</v>
      </c>
    </row>
    <row r="287" spans="1:20" x14ac:dyDescent="0.35">
      <c r="A287">
        <v>286</v>
      </c>
      <c r="B287" s="1">
        <v>40556</v>
      </c>
      <c r="C287">
        <v>1</v>
      </c>
      <c r="D287">
        <v>0</v>
      </c>
      <c r="E287">
        <v>1</v>
      </c>
      <c r="F287" t="str">
        <f>IF(final_data786[[#This Row],[MONTH_CODE]]=1,"JANUARY",IF(final_data786[[#This Row],[MONTH_CODE]]=2,"FEBRUARY"))</f>
        <v>JANUARY</v>
      </c>
      <c r="G287">
        <v>8</v>
      </c>
      <c r="H287">
        <v>0</v>
      </c>
      <c r="I287">
        <v>4</v>
      </c>
      <c r="J2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7" t="str">
        <f>IF(final_data786[[#This Row],[DAY_CODE]]=0,"weekend",IF(final_data786[[#This Row],[DAY_CODE]]=6,"weekend","weekday"))</f>
        <v>weekday</v>
      </c>
      <c r="L287">
        <v>1</v>
      </c>
      <c r="M287" t="str">
        <f>IF(final_data786[[#This Row],[WEATHER_CODE]]=1,"clear",IF(final_data786[[#This Row],[WEATHER_CODE]]=2,"cloudy",IF(final_data786[[#This Row],[WEATHER_CODE]]=3,"light rain",IF(final_data786[[#This Row],[WEATHER_CODE]]=4,"heavy rain",0))))</f>
        <v>clear</v>
      </c>
      <c r="N287">
        <v>0.14000000000000001</v>
      </c>
      <c r="O287">
        <v>0.13639999999999999</v>
      </c>
      <c r="P287">
        <v>0.5</v>
      </c>
      <c r="Q287">
        <v>0.19400000000000001</v>
      </c>
      <c r="R287">
        <v>5</v>
      </c>
      <c r="S287">
        <v>197</v>
      </c>
      <c r="T287">
        <v>202</v>
      </c>
    </row>
    <row r="288" spans="1:20" x14ac:dyDescent="0.35">
      <c r="A288">
        <v>287</v>
      </c>
      <c r="B288" s="1">
        <v>40556</v>
      </c>
      <c r="C288">
        <v>1</v>
      </c>
      <c r="D288">
        <v>0</v>
      </c>
      <c r="E288">
        <v>1</v>
      </c>
      <c r="F288" t="str">
        <f>IF(final_data786[[#This Row],[MONTH_CODE]]=1,"JANUARY",IF(final_data786[[#This Row],[MONTH_CODE]]=2,"FEBRUARY"))</f>
        <v>JANUARY</v>
      </c>
      <c r="G288">
        <v>9</v>
      </c>
      <c r="H288">
        <v>0</v>
      </c>
      <c r="I288">
        <v>4</v>
      </c>
      <c r="J2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8" t="str">
        <f>IF(final_data786[[#This Row],[DAY_CODE]]=0,"weekend",IF(final_data786[[#This Row],[DAY_CODE]]=6,"weekend","weekday"))</f>
        <v>weekday</v>
      </c>
      <c r="L288">
        <v>1</v>
      </c>
      <c r="M288" t="str">
        <f>IF(final_data786[[#This Row],[WEATHER_CODE]]=1,"clear",IF(final_data786[[#This Row],[WEATHER_CODE]]=2,"cloudy",IF(final_data786[[#This Row],[WEATHER_CODE]]=3,"light rain",IF(final_data786[[#This Row],[WEATHER_CODE]]=4,"heavy rain",0))))</f>
        <v>clear</v>
      </c>
      <c r="N288">
        <v>0.14000000000000001</v>
      </c>
      <c r="O288">
        <v>0.1212</v>
      </c>
      <c r="P288">
        <v>0.5</v>
      </c>
      <c r="Q288">
        <v>0.32840000000000003</v>
      </c>
      <c r="R288">
        <v>2</v>
      </c>
      <c r="S288">
        <v>137</v>
      </c>
      <c r="T288">
        <v>139</v>
      </c>
    </row>
    <row r="289" spans="1:20" x14ac:dyDescent="0.35">
      <c r="A289">
        <v>288</v>
      </c>
      <c r="B289" s="1">
        <v>40556</v>
      </c>
      <c r="C289">
        <v>1</v>
      </c>
      <c r="D289">
        <v>0</v>
      </c>
      <c r="E289">
        <v>1</v>
      </c>
      <c r="F289" t="str">
        <f>IF(final_data786[[#This Row],[MONTH_CODE]]=1,"JANUARY",IF(final_data786[[#This Row],[MONTH_CODE]]=2,"FEBRUARY"))</f>
        <v>JANUARY</v>
      </c>
      <c r="G289">
        <v>10</v>
      </c>
      <c r="H289">
        <v>0</v>
      </c>
      <c r="I289">
        <v>4</v>
      </c>
      <c r="J2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89" t="str">
        <f>IF(final_data786[[#This Row],[DAY_CODE]]=0,"weekend",IF(final_data786[[#This Row],[DAY_CODE]]=6,"weekend","weekday"))</f>
        <v>weekday</v>
      </c>
      <c r="L289">
        <v>2</v>
      </c>
      <c r="M289" t="str">
        <f>IF(final_data786[[#This Row],[WEATHER_CODE]]=1,"clear",IF(final_data786[[#This Row],[WEATHER_CODE]]=2,"cloudy",IF(final_data786[[#This Row],[WEATHER_CODE]]=3,"light rain",IF(final_data786[[#This Row],[WEATHER_CODE]]=4,"heavy rain",0))))</f>
        <v>cloudy</v>
      </c>
      <c r="N289">
        <v>0.16</v>
      </c>
      <c r="O289">
        <v>0.13639999999999999</v>
      </c>
      <c r="P289">
        <v>0.5</v>
      </c>
      <c r="Q289">
        <v>0.35820000000000002</v>
      </c>
      <c r="R289">
        <v>2</v>
      </c>
      <c r="S289">
        <v>36</v>
      </c>
      <c r="T289">
        <v>38</v>
      </c>
    </row>
    <row r="290" spans="1:20" x14ac:dyDescent="0.35">
      <c r="A290">
        <v>289</v>
      </c>
      <c r="B290" s="1">
        <v>40556</v>
      </c>
      <c r="C290">
        <v>1</v>
      </c>
      <c r="D290">
        <v>0</v>
      </c>
      <c r="E290">
        <v>1</v>
      </c>
      <c r="F290" t="str">
        <f>IF(final_data786[[#This Row],[MONTH_CODE]]=1,"JANUARY",IF(final_data786[[#This Row],[MONTH_CODE]]=2,"FEBRUARY"))</f>
        <v>JANUARY</v>
      </c>
      <c r="G290">
        <v>11</v>
      </c>
      <c r="H290">
        <v>0</v>
      </c>
      <c r="I290">
        <v>4</v>
      </c>
      <c r="J2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0" t="str">
        <f>IF(final_data786[[#This Row],[DAY_CODE]]=0,"weekend",IF(final_data786[[#This Row],[DAY_CODE]]=6,"weekend","weekday"))</f>
        <v>weekday</v>
      </c>
      <c r="L290">
        <v>2</v>
      </c>
      <c r="M290" t="str">
        <f>IF(final_data786[[#This Row],[WEATHER_CODE]]=1,"clear",IF(final_data786[[#This Row],[WEATHER_CODE]]=2,"cloudy",IF(final_data786[[#This Row],[WEATHER_CODE]]=3,"light rain",IF(final_data786[[#This Row],[WEATHER_CODE]]=4,"heavy rain",0))))</f>
        <v>cloudy</v>
      </c>
      <c r="N290">
        <v>0.2</v>
      </c>
      <c r="O290">
        <v>0.16669999999999999</v>
      </c>
      <c r="P290">
        <v>0.44</v>
      </c>
      <c r="Q290">
        <v>0.44779999999999998</v>
      </c>
      <c r="R290">
        <v>4</v>
      </c>
      <c r="S290">
        <v>33</v>
      </c>
      <c r="T290">
        <v>37</v>
      </c>
    </row>
    <row r="291" spans="1:20" x14ac:dyDescent="0.35">
      <c r="A291">
        <v>290</v>
      </c>
      <c r="B291" s="1">
        <v>40556</v>
      </c>
      <c r="C291">
        <v>1</v>
      </c>
      <c r="D291">
        <v>0</v>
      </c>
      <c r="E291">
        <v>1</v>
      </c>
      <c r="F291" t="str">
        <f>IF(final_data786[[#This Row],[MONTH_CODE]]=1,"JANUARY",IF(final_data786[[#This Row],[MONTH_CODE]]=2,"FEBRUARY"))</f>
        <v>JANUARY</v>
      </c>
      <c r="G291">
        <v>12</v>
      </c>
      <c r="H291">
        <v>0</v>
      </c>
      <c r="I291">
        <v>4</v>
      </c>
      <c r="J2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1" t="str">
        <f>IF(final_data786[[#This Row],[DAY_CODE]]=0,"weekend",IF(final_data786[[#This Row],[DAY_CODE]]=6,"weekend","weekday"))</f>
        <v>weekday</v>
      </c>
      <c r="L291">
        <v>1</v>
      </c>
      <c r="M291" t="str">
        <f>IF(final_data786[[#This Row],[WEATHER_CODE]]=1,"clear",IF(final_data786[[#This Row],[WEATHER_CODE]]=2,"cloudy",IF(final_data786[[#This Row],[WEATHER_CODE]]=3,"light rain",IF(final_data786[[#This Row],[WEATHER_CODE]]=4,"heavy rain",0))))</f>
        <v>clear</v>
      </c>
      <c r="N291">
        <v>0.2</v>
      </c>
      <c r="O291">
        <v>0.16669999999999999</v>
      </c>
      <c r="P291">
        <v>0.44</v>
      </c>
      <c r="Q291">
        <v>0.41789999999999999</v>
      </c>
      <c r="R291">
        <v>3</v>
      </c>
      <c r="S291">
        <v>49</v>
      </c>
      <c r="T291">
        <v>52</v>
      </c>
    </row>
    <row r="292" spans="1:20" x14ac:dyDescent="0.35">
      <c r="A292">
        <v>291</v>
      </c>
      <c r="B292" s="1">
        <v>40556</v>
      </c>
      <c r="C292">
        <v>1</v>
      </c>
      <c r="D292">
        <v>0</v>
      </c>
      <c r="E292">
        <v>1</v>
      </c>
      <c r="F292" t="str">
        <f>IF(final_data786[[#This Row],[MONTH_CODE]]=1,"JANUARY",IF(final_data786[[#This Row],[MONTH_CODE]]=2,"FEBRUARY"))</f>
        <v>JANUARY</v>
      </c>
      <c r="G292">
        <v>13</v>
      </c>
      <c r="H292">
        <v>0</v>
      </c>
      <c r="I292">
        <v>4</v>
      </c>
      <c r="J2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2" t="str">
        <f>IF(final_data786[[#This Row],[DAY_CODE]]=0,"weekend",IF(final_data786[[#This Row],[DAY_CODE]]=6,"weekend","weekday"))</f>
        <v>weekday</v>
      </c>
      <c r="L292">
        <v>1</v>
      </c>
      <c r="M292" t="str">
        <f>IF(final_data786[[#This Row],[WEATHER_CODE]]=1,"clear",IF(final_data786[[#This Row],[WEATHER_CODE]]=2,"cloudy",IF(final_data786[[#This Row],[WEATHER_CODE]]=3,"light rain",IF(final_data786[[#This Row],[WEATHER_CODE]]=4,"heavy rain",0))))</f>
        <v>clear</v>
      </c>
      <c r="N292">
        <v>0.22</v>
      </c>
      <c r="O292">
        <v>0.19700000000000001</v>
      </c>
      <c r="P292">
        <v>0.41</v>
      </c>
      <c r="Q292">
        <v>0.44779999999999998</v>
      </c>
      <c r="R292">
        <v>2</v>
      </c>
      <c r="S292">
        <v>81</v>
      </c>
      <c r="T292">
        <v>83</v>
      </c>
    </row>
    <row r="293" spans="1:20" x14ac:dyDescent="0.35">
      <c r="A293">
        <v>292</v>
      </c>
      <c r="B293" s="1">
        <v>40556</v>
      </c>
      <c r="C293">
        <v>1</v>
      </c>
      <c r="D293">
        <v>0</v>
      </c>
      <c r="E293">
        <v>1</v>
      </c>
      <c r="F293" t="str">
        <f>IF(final_data786[[#This Row],[MONTH_CODE]]=1,"JANUARY",IF(final_data786[[#This Row],[MONTH_CODE]]=2,"FEBRUARY"))</f>
        <v>JANUARY</v>
      </c>
      <c r="G293">
        <v>14</v>
      </c>
      <c r="H293">
        <v>0</v>
      </c>
      <c r="I293">
        <v>4</v>
      </c>
      <c r="J2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3" t="str">
        <f>IF(final_data786[[#This Row],[DAY_CODE]]=0,"weekend",IF(final_data786[[#This Row],[DAY_CODE]]=6,"weekend","weekday"))</f>
        <v>weekday</v>
      </c>
      <c r="L293">
        <v>1</v>
      </c>
      <c r="M293" t="str">
        <f>IF(final_data786[[#This Row],[WEATHER_CODE]]=1,"clear",IF(final_data786[[#This Row],[WEATHER_CODE]]=2,"cloudy",IF(final_data786[[#This Row],[WEATHER_CODE]]=3,"light rain",IF(final_data786[[#This Row],[WEATHER_CODE]]=4,"heavy rain",0))))</f>
        <v>clear</v>
      </c>
      <c r="N293">
        <v>0.22</v>
      </c>
      <c r="O293">
        <v>0.19700000000000001</v>
      </c>
      <c r="P293">
        <v>0.41</v>
      </c>
      <c r="Q293">
        <v>0.3881</v>
      </c>
      <c r="R293">
        <v>3</v>
      </c>
      <c r="S293">
        <v>39</v>
      </c>
      <c r="T293">
        <v>42</v>
      </c>
    </row>
    <row r="294" spans="1:20" x14ac:dyDescent="0.35">
      <c r="A294">
        <v>293</v>
      </c>
      <c r="B294" s="1">
        <v>40556</v>
      </c>
      <c r="C294">
        <v>1</v>
      </c>
      <c r="D294">
        <v>0</v>
      </c>
      <c r="E294">
        <v>1</v>
      </c>
      <c r="F294" t="str">
        <f>IF(final_data786[[#This Row],[MONTH_CODE]]=1,"JANUARY",IF(final_data786[[#This Row],[MONTH_CODE]]=2,"FEBRUARY"))</f>
        <v>JANUARY</v>
      </c>
      <c r="G294">
        <v>15</v>
      </c>
      <c r="H294">
        <v>0</v>
      </c>
      <c r="I294">
        <v>4</v>
      </c>
      <c r="J2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4" t="str">
        <f>IF(final_data786[[#This Row],[DAY_CODE]]=0,"weekend",IF(final_data786[[#This Row],[DAY_CODE]]=6,"weekend","weekday"))</f>
        <v>weekday</v>
      </c>
      <c r="L294">
        <v>1</v>
      </c>
      <c r="M294" t="str">
        <f>IF(final_data786[[#This Row],[WEATHER_CODE]]=1,"clear",IF(final_data786[[#This Row],[WEATHER_CODE]]=2,"cloudy",IF(final_data786[[#This Row],[WEATHER_CODE]]=3,"light rain",IF(final_data786[[#This Row],[WEATHER_CODE]]=4,"heavy rain",0))))</f>
        <v>clear</v>
      </c>
      <c r="N294">
        <v>0.24</v>
      </c>
      <c r="O294">
        <v>0.21210000000000001</v>
      </c>
      <c r="P294">
        <v>0.38</v>
      </c>
      <c r="Q294">
        <v>0.29849999999999999</v>
      </c>
      <c r="R294">
        <v>5</v>
      </c>
      <c r="S294">
        <v>55</v>
      </c>
      <c r="T294">
        <v>60</v>
      </c>
    </row>
    <row r="295" spans="1:20" x14ac:dyDescent="0.35">
      <c r="A295">
        <v>294</v>
      </c>
      <c r="B295" s="1">
        <v>40556</v>
      </c>
      <c r="C295">
        <v>1</v>
      </c>
      <c r="D295">
        <v>0</v>
      </c>
      <c r="E295">
        <v>1</v>
      </c>
      <c r="F295" t="str">
        <f>IF(final_data786[[#This Row],[MONTH_CODE]]=1,"JANUARY",IF(final_data786[[#This Row],[MONTH_CODE]]=2,"FEBRUARY"))</f>
        <v>JANUARY</v>
      </c>
      <c r="G295">
        <v>16</v>
      </c>
      <c r="H295">
        <v>0</v>
      </c>
      <c r="I295">
        <v>4</v>
      </c>
      <c r="J2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5" t="str">
        <f>IF(final_data786[[#This Row],[DAY_CODE]]=0,"weekend",IF(final_data786[[#This Row],[DAY_CODE]]=6,"weekend","weekday"))</f>
        <v>weekday</v>
      </c>
      <c r="L295">
        <v>1</v>
      </c>
      <c r="M295" t="str">
        <f>IF(final_data786[[#This Row],[WEATHER_CODE]]=1,"clear",IF(final_data786[[#This Row],[WEATHER_CODE]]=2,"cloudy",IF(final_data786[[#This Row],[WEATHER_CODE]]=3,"light rain",IF(final_data786[[#This Row],[WEATHER_CODE]]=4,"heavy rain",0))))</f>
        <v>clear</v>
      </c>
      <c r="N295">
        <v>0.24</v>
      </c>
      <c r="O295">
        <v>0.21210000000000001</v>
      </c>
      <c r="P295">
        <v>0.38</v>
      </c>
      <c r="Q295">
        <v>0.35820000000000002</v>
      </c>
      <c r="R295">
        <v>2</v>
      </c>
      <c r="S295">
        <v>76</v>
      </c>
      <c r="T295">
        <v>78</v>
      </c>
    </row>
    <row r="296" spans="1:20" x14ac:dyDescent="0.35">
      <c r="A296">
        <v>295</v>
      </c>
      <c r="B296" s="1">
        <v>40556</v>
      </c>
      <c r="C296">
        <v>1</v>
      </c>
      <c r="D296">
        <v>0</v>
      </c>
      <c r="E296">
        <v>1</v>
      </c>
      <c r="F296" t="str">
        <f>IF(final_data786[[#This Row],[MONTH_CODE]]=1,"JANUARY",IF(final_data786[[#This Row],[MONTH_CODE]]=2,"FEBRUARY"))</f>
        <v>JANUARY</v>
      </c>
      <c r="G296">
        <v>17</v>
      </c>
      <c r="H296">
        <v>0</v>
      </c>
      <c r="I296">
        <v>4</v>
      </c>
      <c r="J2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6" t="str">
        <f>IF(final_data786[[#This Row],[DAY_CODE]]=0,"weekend",IF(final_data786[[#This Row],[DAY_CODE]]=6,"weekend","weekday"))</f>
        <v>weekday</v>
      </c>
      <c r="L296">
        <v>1</v>
      </c>
      <c r="M296" t="str">
        <f>IF(final_data786[[#This Row],[WEATHER_CODE]]=1,"clear",IF(final_data786[[#This Row],[WEATHER_CODE]]=2,"cloudy",IF(final_data786[[#This Row],[WEATHER_CODE]]=3,"light rain",IF(final_data786[[#This Row],[WEATHER_CODE]]=4,"heavy rain",0))))</f>
        <v>clear</v>
      </c>
      <c r="N296">
        <v>0.2</v>
      </c>
      <c r="O296">
        <v>0.18179999999999999</v>
      </c>
      <c r="P296">
        <v>0.4</v>
      </c>
      <c r="Q296">
        <v>0.28360000000000002</v>
      </c>
      <c r="R296">
        <v>4</v>
      </c>
      <c r="S296">
        <v>158</v>
      </c>
      <c r="T296">
        <v>162</v>
      </c>
    </row>
    <row r="297" spans="1:20" x14ac:dyDescent="0.35">
      <c r="A297">
        <v>296</v>
      </c>
      <c r="B297" s="1">
        <v>40556</v>
      </c>
      <c r="C297">
        <v>1</v>
      </c>
      <c r="D297">
        <v>0</v>
      </c>
      <c r="E297">
        <v>1</v>
      </c>
      <c r="F297" t="str">
        <f>IF(final_data786[[#This Row],[MONTH_CODE]]=1,"JANUARY",IF(final_data786[[#This Row],[MONTH_CODE]]=2,"FEBRUARY"))</f>
        <v>JANUARY</v>
      </c>
      <c r="G297">
        <v>18</v>
      </c>
      <c r="H297">
        <v>0</v>
      </c>
      <c r="I297">
        <v>4</v>
      </c>
      <c r="J2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7" t="str">
        <f>IF(final_data786[[#This Row],[DAY_CODE]]=0,"weekend",IF(final_data786[[#This Row],[DAY_CODE]]=6,"weekend","weekday"))</f>
        <v>weekday</v>
      </c>
      <c r="L297">
        <v>1</v>
      </c>
      <c r="M297" t="str">
        <f>IF(final_data786[[#This Row],[WEATHER_CODE]]=1,"clear",IF(final_data786[[#This Row],[WEATHER_CODE]]=2,"cloudy",IF(final_data786[[#This Row],[WEATHER_CODE]]=3,"light rain",IF(final_data786[[#This Row],[WEATHER_CODE]]=4,"heavy rain",0))))</f>
        <v>clear</v>
      </c>
      <c r="N297">
        <v>0.2</v>
      </c>
      <c r="O297">
        <v>0.18179999999999999</v>
      </c>
      <c r="P297">
        <v>0.4</v>
      </c>
      <c r="Q297">
        <v>0.32840000000000003</v>
      </c>
      <c r="R297">
        <v>3</v>
      </c>
      <c r="S297">
        <v>141</v>
      </c>
      <c r="T297">
        <v>144</v>
      </c>
    </row>
    <row r="298" spans="1:20" x14ac:dyDescent="0.35">
      <c r="A298">
        <v>297</v>
      </c>
      <c r="B298" s="1">
        <v>40556</v>
      </c>
      <c r="C298">
        <v>1</v>
      </c>
      <c r="D298">
        <v>0</v>
      </c>
      <c r="E298">
        <v>1</v>
      </c>
      <c r="F298" t="str">
        <f>IF(final_data786[[#This Row],[MONTH_CODE]]=1,"JANUARY",IF(final_data786[[#This Row],[MONTH_CODE]]=2,"FEBRUARY"))</f>
        <v>JANUARY</v>
      </c>
      <c r="G298">
        <v>19</v>
      </c>
      <c r="H298">
        <v>0</v>
      </c>
      <c r="I298">
        <v>4</v>
      </c>
      <c r="J2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8" t="str">
        <f>IF(final_data786[[#This Row],[DAY_CODE]]=0,"weekend",IF(final_data786[[#This Row],[DAY_CODE]]=6,"weekend","weekday"))</f>
        <v>weekday</v>
      </c>
      <c r="L298">
        <v>1</v>
      </c>
      <c r="M298" t="str">
        <f>IF(final_data786[[#This Row],[WEATHER_CODE]]=1,"clear",IF(final_data786[[#This Row],[WEATHER_CODE]]=2,"cloudy",IF(final_data786[[#This Row],[WEATHER_CODE]]=3,"light rain",IF(final_data786[[#This Row],[WEATHER_CODE]]=4,"heavy rain",0))))</f>
        <v>clear</v>
      </c>
      <c r="N298">
        <v>0.16</v>
      </c>
      <c r="O298">
        <v>0.1515</v>
      </c>
      <c r="P298">
        <v>0.47</v>
      </c>
      <c r="Q298">
        <v>0.25369999999999998</v>
      </c>
      <c r="R298">
        <v>1</v>
      </c>
      <c r="S298">
        <v>98</v>
      </c>
      <c r="T298">
        <v>99</v>
      </c>
    </row>
    <row r="299" spans="1:20" x14ac:dyDescent="0.35">
      <c r="A299">
        <v>298</v>
      </c>
      <c r="B299" s="1">
        <v>40556</v>
      </c>
      <c r="C299">
        <v>1</v>
      </c>
      <c r="D299">
        <v>0</v>
      </c>
      <c r="E299">
        <v>1</v>
      </c>
      <c r="F299" t="str">
        <f>IF(final_data786[[#This Row],[MONTH_CODE]]=1,"JANUARY",IF(final_data786[[#This Row],[MONTH_CODE]]=2,"FEBRUARY"))</f>
        <v>JANUARY</v>
      </c>
      <c r="G299">
        <v>20</v>
      </c>
      <c r="H299">
        <v>0</v>
      </c>
      <c r="I299">
        <v>4</v>
      </c>
      <c r="J2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299" t="str">
        <f>IF(final_data786[[#This Row],[DAY_CODE]]=0,"weekend",IF(final_data786[[#This Row],[DAY_CODE]]=6,"weekend","weekday"))</f>
        <v>weekday</v>
      </c>
      <c r="L299">
        <v>1</v>
      </c>
      <c r="M299" t="str">
        <f>IF(final_data786[[#This Row],[WEATHER_CODE]]=1,"clear",IF(final_data786[[#This Row],[WEATHER_CODE]]=2,"cloudy",IF(final_data786[[#This Row],[WEATHER_CODE]]=3,"light rain",IF(final_data786[[#This Row],[WEATHER_CODE]]=4,"heavy rain",0))))</f>
        <v>clear</v>
      </c>
      <c r="N299">
        <v>0.16</v>
      </c>
      <c r="O299">
        <v>0.1515</v>
      </c>
      <c r="P299">
        <v>0.47</v>
      </c>
      <c r="Q299">
        <v>0.22389999999999999</v>
      </c>
      <c r="R299">
        <v>0</v>
      </c>
      <c r="S299">
        <v>64</v>
      </c>
      <c r="T299">
        <v>64</v>
      </c>
    </row>
    <row r="300" spans="1:20" x14ac:dyDescent="0.35">
      <c r="A300">
        <v>299</v>
      </c>
      <c r="B300" s="1">
        <v>40556</v>
      </c>
      <c r="C300">
        <v>1</v>
      </c>
      <c r="D300">
        <v>0</v>
      </c>
      <c r="E300">
        <v>1</v>
      </c>
      <c r="F300" t="str">
        <f>IF(final_data786[[#This Row],[MONTH_CODE]]=1,"JANUARY",IF(final_data786[[#This Row],[MONTH_CODE]]=2,"FEBRUARY"))</f>
        <v>JANUARY</v>
      </c>
      <c r="G300">
        <v>21</v>
      </c>
      <c r="H300">
        <v>0</v>
      </c>
      <c r="I300">
        <v>4</v>
      </c>
      <c r="J3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300" t="str">
        <f>IF(final_data786[[#This Row],[DAY_CODE]]=0,"weekend",IF(final_data786[[#This Row],[DAY_CODE]]=6,"weekend","weekday"))</f>
        <v>weekday</v>
      </c>
      <c r="L300">
        <v>1</v>
      </c>
      <c r="M300" t="str">
        <f>IF(final_data786[[#This Row],[WEATHER_CODE]]=1,"clear",IF(final_data786[[#This Row],[WEATHER_CODE]]=2,"cloudy",IF(final_data786[[#This Row],[WEATHER_CODE]]=3,"light rain",IF(final_data786[[#This Row],[WEATHER_CODE]]=4,"heavy rain",0))))</f>
        <v>clear</v>
      </c>
      <c r="N300">
        <v>0.14000000000000001</v>
      </c>
      <c r="O300">
        <v>0.1212</v>
      </c>
      <c r="P300">
        <v>0.46</v>
      </c>
      <c r="Q300">
        <v>0.29849999999999999</v>
      </c>
      <c r="R300">
        <v>0</v>
      </c>
      <c r="S300">
        <v>40</v>
      </c>
      <c r="T300">
        <v>40</v>
      </c>
    </row>
    <row r="301" spans="1:20" x14ac:dyDescent="0.35">
      <c r="A301">
        <v>300</v>
      </c>
      <c r="B301" s="1">
        <v>40556</v>
      </c>
      <c r="C301">
        <v>1</v>
      </c>
      <c r="D301">
        <v>0</v>
      </c>
      <c r="E301">
        <v>1</v>
      </c>
      <c r="F301" t="str">
        <f>IF(final_data786[[#This Row],[MONTH_CODE]]=1,"JANUARY",IF(final_data786[[#This Row],[MONTH_CODE]]=2,"FEBRUARY"))</f>
        <v>JANUARY</v>
      </c>
      <c r="G301">
        <v>22</v>
      </c>
      <c r="H301">
        <v>0</v>
      </c>
      <c r="I301">
        <v>4</v>
      </c>
      <c r="J3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301" t="str">
        <f>IF(final_data786[[#This Row],[DAY_CODE]]=0,"weekend",IF(final_data786[[#This Row],[DAY_CODE]]=6,"weekend","weekday"))</f>
        <v>weekday</v>
      </c>
      <c r="L301">
        <v>1</v>
      </c>
      <c r="M301" t="str">
        <f>IF(final_data786[[#This Row],[WEATHER_CODE]]=1,"clear",IF(final_data786[[#This Row],[WEATHER_CODE]]=2,"cloudy",IF(final_data786[[#This Row],[WEATHER_CODE]]=3,"light rain",IF(final_data786[[#This Row],[WEATHER_CODE]]=4,"heavy rain",0))))</f>
        <v>clear</v>
      </c>
      <c r="N301">
        <v>0.14000000000000001</v>
      </c>
      <c r="O301">
        <v>0.1212</v>
      </c>
      <c r="P301">
        <v>0.46</v>
      </c>
      <c r="Q301">
        <v>0.32840000000000003</v>
      </c>
      <c r="R301">
        <v>0</v>
      </c>
      <c r="S301">
        <v>30</v>
      </c>
      <c r="T301">
        <v>30</v>
      </c>
    </row>
    <row r="302" spans="1:20" x14ac:dyDescent="0.35">
      <c r="A302">
        <v>301</v>
      </c>
      <c r="B302" s="1">
        <v>40556</v>
      </c>
      <c r="C302">
        <v>1</v>
      </c>
      <c r="D302">
        <v>0</v>
      </c>
      <c r="E302">
        <v>1</v>
      </c>
      <c r="F302" t="str">
        <f>IF(final_data786[[#This Row],[MONTH_CODE]]=1,"JANUARY",IF(final_data786[[#This Row],[MONTH_CODE]]=2,"FEBRUARY"))</f>
        <v>JANUARY</v>
      </c>
      <c r="G302">
        <v>23</v>
      </c>
      <c r="H302">
        <v>0</v>
      </c>
      <c r="I302">
        <v>4</v>
      </c>
      <c r="J3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302" t="str">
        <f>IF(final_data786[[#This Row],[DAY_CODE]]=0,"weekend",IF(final_data786[[#This Row],[DAY_CODE]]=6,"weekend","weekday"))</f>
        <v>weekday</v>
      </c>
      <c r="L302">
        <v>1</v>
      </c>
      <c r="M302" t="str">
        <f>IF(final_data786[[#This Row],[WEATHER_CODE]]=1,"clear",IF(final_data786[[#This Row],[WEATHER_CODE]]=2,"cloudy",IF(final_data786[[#This Row],[WEATHER_CODE]]=3,"light rain",IF(final_data786[[#This Row],[WEATHER_CODE]]=4,"heavy rain",0))))</f>
        <v>clear</v>
      </c>
      <c r="N302">
        <v>0.12</v>
      </c>
      <c r="O302">
        <v>0.13639999999999999</v>
      </c>
      <c r="P302">
        <v>0.5</v>
      </c>
      <c r="Q302">
        <v>0.19400000000000001</v>
      </c>
      <c r="R302">
        <v>1</v>
      </c>
      <c r="S302">
        <v>14</v>
      </c>
      <c r="T302">
        <v>15</v>
      </c>
    </row>
    <row r="303" spans="1:20" x14ac:dyDescent="0.35">
      <c r="A303">
        <v>302</v>
      </c>
      <c r="B303" s="1">
        <v>40557</v>
      </c>
      <c r="C303">
        <v>1</v>
      </c>
      <c r="D303">
        <v>0</v>
      </c>
      <c r="E303">
        <v>1</v>
      </c>
      <c r="F303" t="str">
        <f>IF(final_data786[[#This Row],[MONTH_CODE]]=1,"JANUARY",IF(final_data786[[#This Row],[MONTH_CODE]]=2,"FEBRUARY"))</f>
        <v>JANUARY</v>
      </c>
      <c r="G303">
        <v>0</v>
      </c>
      <c r="H303">
        <v>0</v>
      </c>
      <c r="I303">
        <v>5</v>
      </c>
      <c r="J3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3" t="str">
        <f>IF(final_data786[[#This Row],[DAY_CODE]]=0,"weekend",IF(final_data786[[#This Row],[DAY_CODE]]=6,"weekend","weekday"))</f>
        <v>weekday</v>
      </c>
      <c r="L303">
        <v>1</v>
      </c>
      <c r="M303" t="str">
        <f>IF(final_data786[[#This Row],[WEATHER_CODE]]=1,"clear",IF(final_data786[[#This Row],[WEATHER_CODE]]=2,"cloudy",IF(final_data786[[#This Row],[WEATHER_CODE]]=3,"light rain",IF(final_data786[[#This Row],[WEATHER_CODE]]=4,"heavy rain",0))))</f>
        <v>clear</v>
      </c>
      <c r="N303">
        <v>0.12</v>
      </c>
      <c r="O303">
        <v>0.13639999999999999</v>
      </c>
      <c r="P303">
        <v>0.5</v>
      </c>
      <c r="Q303">
        <v>0.19400000000000001</v>
      </c>
      <c r="R303">
        <v>0</v>
      </c>
      <c r="S303">
        <v>14</v>
      </c>
      <c r="T303">
        <v>14</v>
      </c>
    </row>
    <row r="304" spans="1:20" x14ac:dyDescent="0.35">
      <c r="A304">
        <v>303</v>
      </c>
      <c r="B304" s="1">
        <v>40557</v>
      </c>
      <c r="C304">
        <v>1</v>
      </c>
      <c r="D304">
        <v>0</v>
      </c>
      <c r="E304">
        <v>1</v>
      </c>
      <c r="F304" t="str">
        <f>IF(final_data786[[#This Row],[MONTH_CODE]]=1,"JANUARY",IF(final_data786[[#This Row],[MONTH_CODE]]=2,"FEBRUARY"))</f>
        <v>JANUARY</v>
      </c>
      <c r="G304">
        <v>1</v>
      </c>
      <c r="H304">
        <v>0</v>
      </c>
      <c r="I304">
        <v>5</v>
      </c>
      <c r="J3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4" t="str">
        <f>IF(final_data786[[#This Row],[DAY_CODE]]=0,"weekend",IF(final_data786[[#This Row],[DAY_CODE]]=6,"weekend","weekday"))</f>
        <v>weekday</v>
      </c>
      <c r="L304">
        <v>1</v>
      </c>
      <c r="M304" t="str">
        <f>IF(final_data786[[#This Row],[WEATHER_CODE]]=1,"clear",IF(final_data786[[#This Row],[WEATHER_CODE]]=2,"cloudy",IF(final_data786[[#This Row],[WEATHER_CODE]]=3,"light rain",IF(final_data786[[#This Row],[WEATHER_CODE]]=4,"heavy rain",0))))</f>
        <v>clear</v>
      </c>
      <c r="N304">
        <v>0.1</v>
      </c>
      <c r="O304">
        <v>0.1212</v>
      </c>
      <c r="P304">
        <v>0.54</v>
      </c>
      <c r="Q304">
        <v>0.16420000000000001</v>
      </c>
      <c r="R304">
        <v>0</v>
      </c>
      <c r="S304">
        <v>5</v>
      </c>
      <c r="T304">
        <v>5</v>
      </c>
    </row>
    <row r="305" spans="1:20" x14ac:dyDescent="0.35">
      <c r="A305">
        <v>304</v>
      </c>
      <c r="B305" s="1">
        <v>40557</v>
      </c>
      <c r="C305">
        <v>1</v>
      </c>
      <c r="D305">
        <v>0</v>
      </c>
      <c r="E305">
        <v>1</v>
      </c>
      <c r="F305" t="str">
        <f>IF(final_data786[[#This Row],[MONTH_CODE]]=1,"JANUARY",IF(final_data786[[#This Row],[MONTH_CODE]]=2,"FEBRUARY"))</f>
        <v>JANUARY</v>
      </c>
      <c r="G305">
        <v>2</v>
      </c>
      <c r="H305">
        <v>0</v>
      </c>
      <c r="I305">
        <v>5</v>
      </c>
      <c r="J3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5" t="str">
        <f>IF(final_data786[[#This Row],[DAY_CODE]]=0,"weekend",IF(final_data786[[#This Row],[DAY_CODE]]=6,"weekend","weekday"))</f>
        <v>weekday</v>
      </c>
      <c r="L305">
        <v>1</v>
      </c>
      <c r="M305" t="str">
        <f>IF(final_data786[[#This Row],[WEATHER_CODE]]=1,"clear",IF(final_data786[[#This Row],[WEATHER_CODE]]=2,"cloudy",IF(final_data786[[#This Row],[WEATHER_CODE]]=3,"light rain",IF(final_data786[[#This Row],[WEATHER_CODE]]=4,"heavy rain",0))))</f>
        <v>clear</v>
      </c>
      <c r="N305">
        <v>0.1</v>
      </c>
      <c r="O305">
        <v>0.1212</v>
      </c>
      <c r="P305">
        <v>0.54</v>
      </c>
      <c r="Q305">
        <v>0.1343</v>
      </c>
      <c r="R305">
        <v>0</v>
      </c>
      <c r="S305">
        <v>1</v>
      </c>
      <c r="T305">
        <v>1</v>
      </c>
    </row>
    <row r="306" spans="1:20" x14ac:dyDescent="0.35">
      <c r="A306">
        <v>305</v>
      </c>
      <c r="B306" s="1">
        <v>40557</v>
      </c>
      <c r="C306">
        <v>1</v>
      </c>
      <c r="D306">
        <v>0</v>
      </c>
      <c r="E306">
        <v>1</v>
      </c>
      <c r="F306" t="str">
        <f>IF(final_data786[[#This Row],[MONTH_CODE]]=1,"JANUARY",IF(final_data786[[#This Row],[MONTH_CODE]]=2,"FEBRUARY"))</f>
        <v>JANUARY</v>
      </c>
      <c r="G306">
        <v>3</v>
      </c>
      <c r="H306">
        <v>0</v>
      </c>
      <c r="I306">
        <v>5</v>
      </c>
      <c r="J3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6" t="str">
        <f>IF(final_data786[[#This Row],[DAY_CODE]]=0,"weekend",IF(final_data786[[#This Row],[DAY_CODE]]=6,"weekend","weekday"))</f>
        <v>weekday</v>
      </c>
      <c r="L306">
        <v>1</v>
      </c>
      <c r="M306" t="str">
        <f>IF(final_data786[[#This Row],[WEATHER_CODE]]=1,"clear",IF(final_data786[[#This Row],[WEATHER_CODE]]=2,"cloudy",IF(final_data786[[#This Row],[WEATHER_CODE]]=3,"light rain",IF(final_data786[[#This Row],[WEATHER_CODE]]=4,"heavy rain",0))))</f>
        <v>clear</v>
      </c>
      <c r="N306">
        <v>0.1</v>
      </c>
      <c r="O306">
        <v>0.13639999999999999</v>
      </c>
      <c r="P306">
        <v>0.54</v>
      </c>
      <c r="Q306">
        <v>0.1045</v>
      </c>
      <c r="R306">
        <v>0</v>
      </c>
      <c r="S306">
        <v>1</v>
      </c>
      <c r="T306">
        <v>1</v>
      </c>
    </row>
    <row r="307" spans="1:20" x14ac:dyDescent="0.35">
      <c r="A307">
        <v>306</v>
      </c>
      <c r="B307" s="1">
        <v>40557</v>
      </c>
      <c r="C307">
        <v>1</v>
      </c>
      <c r="D307">
        <v>0</v>
      </c>
      <c r="E307">
        <v>1</v>
      </c>
      <c r="F307" t="str">
        <f>IF(final_data786[[#This Row],[MONTH_CODE]]=1,"JANUARY",IF(final_data786[[#This Row],[MONTH_CODE]]=2,"FEBRUARY"))</f>
        <v>JANUARY</v>
      </c>
      <c r="G307">
        <v>5</v>
      </c>
      <c r="H307">
        <v>0</v>
      </c>
      <c r="I307">
        <v>5</v>
      </c>
      <c r="J3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7" t="str">
        <f>IF(final_data786[[#This Row],[DAY_CODE]]=0,"weekend",IF(final_data786[[#This Row],[DAY_CODE]]=6,"weekend","weekday"))</f>
        <v>weekday</v>
      </c>
      <c r="L307">
        <v>1</v>
      </c>
      <c r="M307" t="str">
        <f>IF(final_data786[[#This Row],[WEATHER_CODE]]=1,"clear",IF(final_data786[[#This Row],[WEATHER_CODE]]=2,"cloudy",IF(final_data786[[#This Row],[WEATHER_CODE]]=3,"light rain",IF(final_data786[[#This Row],[WEATHER_CODE]]=4,"heavy rain",0))))</f>
        <v>clear</v>
      </c>
      <c r="N307">
        <v>0.1</v>
      </c>
      <c r="O307">
        <v>0.13639999999999999</v>
      </c>
      <c r="P307">
        <v>0.54</v>
      </c>
      <c r="Q307">
        <v>8.9599999999999999E-2</v>
      </c>
      <c r="R307">
        <v>0</v>
      </c>
      <c r="S307">
        <v>8</v>
      </c>
      <c r="T307">
        <v>8</v>
      </c>
    </row>
    <row r="308" spans="1:20" x14ac:dyDescent="0.35">
      <c r="A308">
        <v>307</v>
      </c>
      <c r="B308" s="1">
        <v>40557</v>
      </c>
      <c r="C308">
        <v>1</v>
      </c>
      <c r="D308">
        <v>0</v>
      </c>
      <c r="E308">
        <v>1</v>
      </c>
      <c r="F308" t="str">
        <f>IF(final_data786[[#This Row],[MONTH_CODE]]=1,"JANUARY",IF(final_data786[[#This Row],[MONTH_CODE]]=2,"FEBRUARY"))</f>
        <v>JANUARY</v>
      </c>
      <c r="G308">
        <v>6</v>
      </c>
      <c r="H308">
        <v>0</v>
      </c>
      <c r="I308">
        <v>5</v>
      </c>
      <c r="J3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8" t="str">
        <f>IF(final_data786[[#This Row],[DAY_CODE]]=0,"weekend",IF(final_data786[[#This Row],[DAY_CODE]]=6,"weekend","weekday"))</f>
        <v>weekday</v>
      </c>
      <c r="L308">
        <v>1</v>
      </c>
      <c r="M308" t="str">
        <f>IF(final_data786[[#This Row],[WEATHER_CODE]]=1,"clear",IF(final_data786[[#This Row],[WEATHER_CODE]]=2,"cloudy",IF(final_data786[[#This Row],[WEATHER_CODE]]=3,"light rain",IF(final_data786[[#This Row],[WEATHER_CODE]]=4,"heavy rain",0))))</f>
        <v>clear</v>
      </c>
      <c r="N308">
        <v>0.1</v>
      </c>
      <c r="O308">
        <v>0.18179999999999999</v>
      </c>
      <c r="P308">
        <v>0.54</v>
      </c>
      <c r="Q308">
        <v>0</v>
      </c>
      <c r="R308">
        <v>0</v>
      </c>
      <c r="S308">
        <v>17</v>
      </c>
      <c r="T308">
        <v>17</v>
      </c>
    </row>
    <row r="309" spans="1:20" x14ac:dyDescent="0.35">
      <c r="A309">
        <v>308</v>
      </c>
      <c r="B309" s="1">
        <v>40557</v>
      </c>
      <c r="C309">
        <v>1</v>
      </c>
      <c r="D309">
        <v>0</v>
      </c>
      <c r="E309">
        <v>1</v>
      </c>
      <c r="F309" t="str">
        <f>IF(final_data786[[#This Row],[MONTH_CODE]]=1,"JANUARY",IF(final_data786[[#This Row],[MONTH_CODE]]=2,"FEBRUARY"))</f>
        <v>JANUARY</v>
      </c>
      <c r="G309">
        <v>7</v>
      </c>
      <c r="H309">
        <v>0</v>
      </c>
      <c r="I309">
        <v>5</v>
      </c>
      <c r="J3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09" t="str">
        <f>IF(final_data786[[#This Row],[DAY_CODE]]=0,"weekend",IF(final_data786[[#This Row],[DAY_CODE]]=6,"weekend","weekday"))</f>
        <v>weekday</v>
      </c>
      <c r="L309">
        <v>1</v>
      </c>
      <c r="M309" t="str">
        <f>IF(final_data786[[#This Row],[WEATHER_CODE]]=1,"clear",IF(final_data786[[#This Row],[WEATHER_CODE]]=2,"cloudy",IF(final_data786[[#This Row],[WEATHER_CODE]]=3,"light rain",IF(final_data786[[#This Row],[WEATHER_CODE]]=4,"heavy rain",0))))</f>
        <v>clear</v>
      </c>
      <c r="N309">
        <v>0.1</v>
      </c>
      <c r="O309">
        <v>0.1212</v>
      </c>
      <c r="P309">
        <v>0.74</v>
      </c>
      <c r="Q309">
        <v>0.16420000000000001</v>
      </c>
      <c r="R309">
        <v>0</v>
      </c>
      <c r="S309">
        <v>70</v>
      </c>
      <c r="T309">
        <v>70</v>
      </c>
    </row>
    <row r="310" spans="1:20" x14ac:dyDescent="0.35">
      <c r="A310">
        <v>309</v>
      </c>
      <c r="B310" s="1">
        <v>40557</v>
      </c>
      <c r="C310">
        <v>1</v>
      </c>
      <c r="D310">
        <v>0</v>
      </c>
      <c r="E310">
        <v>1</v>
      </c>
      <c r="F310" t="str">
        <f>IF(final_data786[[#This Row],[MONTH_CODE]]=1,"JANUARY",IF(final_data786[[#This Row],[MONTH_CODE]]=2,"FEBRUARY"))</f>
        <v>JANUARY</v>
      </c>
      <c r="G310">
        <v>8</v>
      </c>
      <c r="H310">
        <v>0</v>
      </c>
      <c r="I310">
        <v>5</v>
      </c>
      <c r="J3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0" t="str">
        <f>IF(final_data786[[#This Row],[DAY_CODE]]=0,"weekend",IF(final_data786[[#This Row],[DAY_CODE]]=6,"weekend","weekday"))</f>
        <v>weekday</v>
      </c>
      <c r="L310">
        <v>1</v>
      </c>
      <c r="M310" t="str">
        <f>IF(final_data786[[#This Row],[WEATHER_CODE]]=1,"clear",IF(final_data786[[#This Row],[WEATHER_CODE]]=2,"cloudy",IF(final_data786[[#This Row],[WEATHER_CODE]]=3,"light rain",IF(final_data786[[#This Row],[WEATHER_CODE]]=4,"heavy rain",0))))</f>
        <v>clear</v>
      </c>
      <c r="N310">
        <v>0.12</v>
      </c>
      <c r="O310">
        <v>0.16669999999999999</v>
      </c>
      <c r="P310">
        <v>0.68</v>
      </c>
      <c r="Q310">
        <v>0</v>
      </c>
      <c r="R310">
        <v>2</v>
      </c>
      <c r="S310">
        <v>156</v>
      </c>
      <c r="T310">
        <v>158</v>
      </c>
    </row>
    <row r="311" spans="1:20" x14ac:dyDescent="0.35">
      <c r="A311">
        <v>310</v>
      </c>
      <c r="B311" s="1">
        <v>40557</v>
      </c>
      <c r="C311">
        <v>1</v>
      </c>
      <c r="D311">
        <v>0</v>
      </c>
      <c r="E311">
        <v>1</v>
      </c>
      <c r="F311" t="str">
        <f>IF(final_data786[[#This Row],[MONTH_CODE]]=1,"JANUARY",IF(final_data786[[#This Row],[MONTH_CODE]]=2,"FEBRUARY"))</f>
        <v>JANUARY</v>
      </c>
      <c r="G311">
        <v>9</v>
      </c>
      <c r="H311">
        <v>0</v>
      </c>
      <c r="I311">
        <v>5</v>
      </c>
      <c r="J3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1" t="str">
        <f>IF(final_data786[[#This Row],[DAY_CODE]]=0,"weekend",IF(final_data786[[#This Row],[DAY_CODE]]=6,"weekend","weekday"))</f>
        <v>weekday</v>
      </c>
      <c r="L311">
        <v>1</v>
      </c>
      <c r="M311" t="str">
        <f>IF(final_data786[[#This Row],[WEATHER_CODE]]=1,"clear",IF(final_data786[[#This Row],[WEATHER_CODE]]=2,"cloudy",IF(final_data786[[#This Row],[WEATHER_CODE]]=3,"light rain",IF(final_data786[[#This Row],[WEATHER_CODE]]=4,"heavy rain",0))))</f>
        <v>clear</v>
      </c>
      <c r="N311">
        <v>0.14000000000000001</v>
      </c>
      <c r="O311">
        <v>0.1515</v>
      </c>
      <c r="P311">
        <v>0.69</v>
      </c>
      <c r="Q311">
        <v>0.1343</v>
      </c>
      <c r="R311">
        <v>0</v>
      </c>
      <c r="S311">
        <v>117</v>
      </c>
      <c r="T311">
        <v>117</v>
      </c>
    </row>
    <row r="312" spans="1:20" x14ac:dyDescent="0.35">
      <c r="A312">
        <v>311</v>
      </c>
      <c r="B312" s="1">
        <v>40557</v>
      </c>
      <c r="C312">
        <v>1</v>
      </c>
      <c r="D312">
        <v>0</v>
      </c>
      <c r="E312">
        <v>1</v>
      </c>
      <c r="F312" t="str">
        <f>IF(final_data786[[#This Row],[MONTH_CODE]]=1,"JANUARY",IF(final_data786[[#This Row],[MONTH_CODE]]=2,"FEBRUARY"))</f>
        <v>JANUARY</v>
      </c>
      <c r="G312">
        <v>10</v>
      </c>
      <c r="H312">
        <v>0</v>
      </c>
      <c r="I312">
        <v>5</v>
      </c>
      <c r="J3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2" t="str">
        <f>IF(final_data786[[#This Row],[DAY_CODE]]=0,"weekend",IF(final_data786[[#This Row],[DAY_CODE]]=6,"weekend","weekday"))</f>
        <v>weekday</v>
      </c>
      <c r="L312">
        <v>1</v>
      </c>
      <c r="M312" t="str">
        <f>IF(final_data786[[#This Row],[WEATHER_CODE]]=1,"clear",IF(final_data786[[#This Row],[WEATHER_CODE]]=2,"cloudy",IF(final_data786[[#This Row],[WEATHER_CODE]]=3,"light rain",IF(final_data786[[#This Row],[WEATHER_CODE]]=4,"heavy rain",0))))</f>
        <v>clear</v>
      </c>
      <c r="N312">
        <v>0.18</v>
      </c>
      <c r="O312">
        <v>0.18179999999999999</v>
      </c>
      <c r="P312">
        <v>0.55000000000000004</v>
      </c>
      <c r="Q312">
        <v>0.19400000000000001</v>
      </c>
      <c r="R312">
        <v>4</v>
      </c>
      <c r="S312">
        <v>40</v>
      </c>
      <c r="T312">
        <v>44</v>
      </c>
    </row>
    <row r="313" spans="1:20" x14ac:dyDescent="0.35">
      <c r="A313">
        <v>312</v>
      </c>
      <c r="B313" s="1">
        <v>40557</v>
      </c>
      <c r="C313">
        <v>1</v>
      </c>
      <c r="D313">
        <v>0</v>
      </c>
      <c r="E313">
        <v>1</v>
      </c>
      <c r="F313" t="str">
        <f>IF(final_data786[[#This Row],[MONTH_CODE]]=1,"JANUARY",IF(final_data786[[#This Row],[MONTH_CODE]]=2,"FEBRUARY"))</f>
        <v>JANUARY</v>
      </c>
      <c r="G313">
        <v>11</v>
      </c>
      <c r="H313">
        <v>0</v>
      </c>
      <c r="I313">
        <v>5</v>
      </c>
      <c r="J3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3" t="str">
        <f>IF(final_data786[[#This Row],[DAY_CODE]]=0,"weekend",IF(final_data786[[#This Row],[DAY_CODE]]=6,"weekend","weekday"))</f>
        <v>weekday</v>
      </c>
      <c r="L313">
        <v>1</v>
      </c>
      <c r="M313" t="str">
        <f>IF(final_data786[[#This Row],[WEATHER_CODE]]=1,"clear",IF(final_data786[[#This Row],[WEATHER_CODE]]=2,"cloudy",IF(final_data786[[#This Row],[WEATHER_CODE]]=3,"light rain",IF(final_data786[[#This Row],[WEATHER_CODE]]=4,"heavy rain",0))))</f>
        <v>clear</v>
      </c>
      <c r="N313">
        <v>0.18</v>
      </c>
      <c r="O313">
        <v>0.16669999999999999</v>
      </c>
      <c r="P313">
        <v>0.51</v>
      </c>
      <c r="Q313">
        <v>0.28360000000000002</v>
      </c>
      <c r="R313">
        <v>6</v>
      </c>
      <c r="S313">
        <v>47</v>
      </c>
      <c r="T313">
        <v>53</v>
      </c>
    </row>
    <row r="314" spans="1:20" x14ac:dyDescent="0.35">
      <c r="A314">
        <v>313</v>
      </c>
      <c r="B314" s="1">
        <v>40557</v>
      </c>
      <c r="C314">
        <v>1</v>
      </c>
      <c r="D314">
        <v>0</v>
      </c>
      <c r="E314">
        <v>1</v>
      </c>
      <c r="F314" t="str">
        <f>IF(final_data786[[#This Row],[MONTH_CODE]]=1,"JANUARY",IF(final_data786[[#This Row],[MONTH_CODE]]=2,"FEBRUARY"))</f>
        <v>JANUARY</v>
      </c>
      <c r="G314">
        <v>12</v>
      </c>
      <c r="H314">
        <v>0</v>
      </c>
      <c r="I314">
        <v>5</v>
      </c>
      <c r="J3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4" t="str">
        <f>IF(final_data786[[#This Row],[DAY_CODE]]=0,"weekend",IF(final_data786[[#This Row],[DAY_CODE]]=6,"weekend","weekday"))</f>
        <v>weekday</v>
      </c>
      <c r="L314">
        <v>1</v>
      </c>
      <c r="M314" t="str">
        <f>IF(final_data786[[#This Row],[WEATHER_CODE]]=1,"clear",IF(final_data786[[#This Row],[WEATHER_CODE]]=2,"cloudy",IF(final_data786[[#This Row],[WEATHER_CODE]]=3,"light rain",IF(final_data786[[#This Row],[WEATHER_CODE]]=4,"heavy rain",0))))</f>
        <v>clear</v>
      </c>
      <c r="N314">
        <v>0.2</v>
      </c>
      <c r="O314">
        <v>0.19700000000000001</v>
      </c>
      <c r="P314">
        <v>0.44</v>
      </c>
      <c r="Q314">
        <v>0.25369999999999998</v>
      </c>
      <c r="R314">
        <v>2</v>
      </c>
      <c r="S314">
        <v>59</v>
      </c>
      <c r="T314">
        <v>61</v>
      </c>
    </row>
    <row r="315" spans="1:20" x14ac:dyDescent="0.35">
      <c r="A315">
        <v>314</v>
      </c>
      <c r="B315" s="1">
        <v>40557</v>
      </c>
      <c r="C315">
        <v>1</v>
      </c>
      <c r="D315">
        <v>0</v>
      </c>
      <c r="E315">
        <v>1</v>
      </c>
      <c r="F315" t="str">
        <f>IF(final_data786[[#This Row],[MONTH_CODE]]=1,"JANUARY",IF(final_data786[[#This Row],[MONTH_CODE]]=2,"FEBRUARY"))</f>
        <v>JANUARY</v>
      </c>
      <c r="G315">
        <v>13</v>
      </c>
      <c r="H315">
        <v>0</v>
      </c>
      <c r="I315">
        <v>5</v>
      </c>
      <c r="J3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5" t="str">
        <f>IF(final_data786[[#This Row],[DAY_CODE]]=0,"weekend",IF(final_data786[[#This Row],[DAY_CODE]]=6,"weekend","weekday"))</f>
        <v>weekday</v>
      </c>
      <c r="L315">
        <v>1</v>
      </c>
      <c r="M315" t="str">
        <f>IF(final_data786[[#This Row],[WEATHER_CODE]]=1,"clear",IF(final_data786[[#This Row],[WEATHER_CODE]]=2,"cloudy",IF(final_data786[[#This Row],[WEATHER_CODE]]=3,"light rain",IF(final_data786[[#This Row],[WEATHER_CODE]]=4,"heavy rain",0))))</f>
        <v>clear</v>
      </c>
      <c r="N315">
        <v>0.22</v>
      </c>
      <c r="O315">
        <v>0.19700000000000001</v>
      </c>
      <c r="P315">
        <v>0.37</v>
      </c>
      <c r="Q315">
        <v>0.3881</v>
      </c>
      <c r="R315">
        <v>4</v>
      </c>
      <c r="S315">
        <v>73</v>
      </c>
      <c r="T315">
        <v>77</v>
      </c>
    </row>
    <row r="316" spans="1:20" x14ac:dyDescent="0.35">
      <c r="A316">
        <v>315</v>
      </c>
      <c r="B316" s="1">
        <v>40557</v>
      </c>
      <c r="C316">
        <v>1</v>
      </c>
      <c r="D316">
        <v>0</v>
      </c>
      <c r="E316">
        <v>1</v>
      </c>
      <c r="F316" t="str">
        <f>IF(final_data786[[#This Row],[MONTH_CODE]]=1,"JANUARY",IF(final_data786[[#This Row],[MONTH_CODE]]=2,"FEBRUARY"))</f>
        <v>JANUARY</v>
      </c>
      <c r="G316">
        <v>14</v>
      </c>
      <c r="H316">
        <v>0</v>
      </c>
      <c r="I316">
        <v>5</v>
      </c>
      <c r="J3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6" t="str">
        <f>IF(final_data786[[#This Row],[DAY_CODE]]=0,"weekend",IF(final_data786[[#This Row],[DAY_CODE]]=6,"weekend","weekday"))</f>
        <v>weekday</v>
      </c>
      <c r="L316">
        <v>1</v>
      </c>
      <c r="M316" t="str">
        <f>IF(final_data786[[#This Row],[WEATHER_CODE]]=1,"clear",IF(final_data786[[#This Row],[WEATHER_CODE]]=2,"cloudy",IF(final_data786[[#This Row],[WEATHER_CODE]]=3,"light rain",IF(final_data786[[#This Row],[WEATHER_CODE]]=4,"heavy rain",0))))</f>
        <v>clear</v>
      </c>
      <c r="N316">
        <v>0.22</v>
      </c>
      <c r="O316">
        <v>0.21210000000000001</v>
      </c>
      <c r="P316">
        <v>0.41</v>
      </c>
      <c r="Q316">
        <v>0.28360000000000002</v>
      </c>
      <c r="R316">
        <v>5</v>
      </c>
      <c r="S316">
        <v>59</v>
      </c>
      <c r="T316">
        <v>64</v>
      </c>
    </row>
    <row r="317" spans="1:20" x14ac:dyDescent="0.35">
      <c r="A317">
        <v>316</v>
      </c>
      <c r="B317" s="1">
        <v>40557</v>
      </c>
      <c r="C317">
        <v>1</v>
      </c>
      <c r="D317">
        <v>0</v>
      </c>
      <c r="E317">
        <v>1</v>
      </c>
      <c r="F317" t="str">
        <f>IF(final_data786[[#This Row],[MONTH_CODE]]=1,"JANUARY",IF(final_data786[[#This Row],[MONTH_CODE]]=2,"FEBRUARY"))</f>
        <v>JANUARY</v>
      </c>
      <c r="G317">
        <v>15</v>
      </c>
      <c r="H317">
        <v>0</v>
      </c>
      <c r="I317">
        <v>5</v>
      </c>
      <c r="J3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7" t="str">
        <f>IF(final_data786[[#This Row],[DAY_CODE]]=0,"weekend",IF(final_data786[[#This Row],[DAY_CODE]]=6,"weekend","weekday"))</f>
        <v>weekday</v>
      </c>
      <c r="L317">
        <v>1</v>
      </c>
      <c r="M317" t="str">
        <f>IF(final_data786[[#This Row],[WEATHER_CODE]]=1,"clear",IF(final_data786[[#This Row],[WEATHER_CODE]]=2,"cloudy",IF(final_data786[[#This Row],[WEATHER_CODE]]=3,"light rain",IF(final_data786[[#This Row],[WEATHER_CODE]]=4,"heavy rain",0))))</f>
        <v>clear</v>
      </c>
      <c r="N317">
        <v>0.24</v>
      </c>
      <c r="O317">
        <v>0.2424</v>
      </c>
      <c r="P317">
        <v>0.38</v>
      </c>
      <c r="Q317">
        <v>0.16420000000000001</v>
      </c>
      <c r="R317">
        <v>9</v>
      </c>
      <c r="S317">
        <v>59</v>
      </c>
      <c r="T317">
        <v>68</v>
      </c>
    </row>
    <row r="318" spans="1:20" x14ac:dyDescent="0.35">
      <c r="A318">
        <v>317</v>
      </c>
      <c r="B318" s="1">
        <v>40557</v>
      </c>
      <c r="C318">
        <v>1</v>
      </c>
      <c r="D318">
        <v>0</v>
      </c>
      <c r="E318">
        <v>1</v>
      </c>
      <c r="F318" t="str">
        <f>IF(final_data786[[#This Row],[MONTH_CODE]]=1,"JANUARY",IF(final_data786[[#This Row],[MONTH_CODE]]=2,"FEBRUARY"))</f>
        <v>JANUARY</v>
      </c>
      <c r="G318">
        <v>16</v>
      </c>
      <c r="H318">
        <v>0</v>
      </c>
      <c r="I318">
        <v>5</v>
      </c>
      <c r="J3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8" t="str">
        <f>IF(final_data786[[#This Row],[DAY_CODE]]=0,"weekend",IF(final_data786[[#This Row],[DAY_CODE]]=6,"weekend","weekday"))</f>
        <v>weekday</v>
      </c>
      <c r="L318">
        <v>1</v>
      </c>
      <c r="M318" t="str">
        <f>IF(final_data786[[#This Row],[WEATHER_CODE]]=1,"clear",IF(final_data786[[#This Row],[WEATHER_CODE]]=2,"cloudy",IF(final_data786[[#This Row],[WEATHER_CODE]]=3,"light rain",IF(final_data786[[#This Row],[WEATHER_CODE]]=4,"heavy rain",0))))</f>
        <v>clear</v>
      </c>
      <c r="N318">
        <v>0.22</v>
      </c>
      <c r="O318">
        <v>0.2424</v>
      </c>
      <c r="P318">
        <v>0.41</v>
      </c>
      <c r="Q318">
        <v>0.1045</v>
      </c>
      <c r="R318">
        <v>3</v>
      </c>
      <c r="S318">
        <v>87</v>
      </c>
      <c r="T318">
        <v>90</v>
      </c>
    </row>
    <row r="319" spans="1:20" x14ac:dyDescent="0.35">
      <c r="A319">
        <v>318</v>
      </c>
      <c r="B319" s="1">
        <v>40557</v>
      </c>
      <c r="C319">
        <v>1</v>
      </c>
      <c r="D319">
        <v>0</v>
      </c>
      <c r="E319">
        <v>1</v>
      </c>
      <c r="F319" t="str">
        <f>IF(final_data786[[#This Row],[MONTH_CODE]]=1,"JANUARY",IF(final_data786[[#This Row],[MONTH_CODE]]=2,"FEBRUARY"))</f>
        <v>JANUARY</v>
      </c>
      <c r="G319">
        <v>17</v>
      </c>
      <c r="H319">
        <v>0</v>
      </c>
      <c r="I319">
        <v>5</v>
      </c>
      <c r="J3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19" t="str">
        <f>IF(final_data786[[#This Row],[DAY_CODE]]=0,"weekend",IF(final_data786[[#This Row],[DAY_CODE]]=6,"weekend","weekday"))</f>
        <v>weekday</v>
      </c>
      <c r="L319">
        <v>1</v>
      </c>
      <c r="M319" t="str">
        <f>IF(final_data786[[#This Row],[WEATHER_CODE]]=1,"clear",IF(final_data786[[#This Row],[WEATHER_CODE]]=2,"cloudy",IF(final_data786[[#This Row],[WEATHER_CODE]]=3,"light rain",IF(final_data786[[#This Row],[WEATHER_CODE]]=4,"heavy rain",0))))</f>
        <v>clear</v>
      </c>
      <c r="N319">
        <v>0.22</v>
      </c>
      <c r="O319">
        <v>0.2273</v>
      </c>
      <c r="P319">
        <v>0.41</v>
      </c>
      <c r="Q319">
        <v>0.16420000000000001</v>
      </c>
      <c r="R319">
        <v>4</v>
      </c>
      <c r="S319">
        <v>155</v>
      </c>
      <c r="T319">
        <v>159</v>
      </c>
    </row>
    <row r="320" spans="1:20" x14ac:dyDescent="0.35">
      <c r="A320">
        <v>319</v>
      </c>
      <c r="B320" s="1">
        <v>40557</v>
      </c>
      <c r="C320">
        <v>1</v>
      </c>
      <c r="D320">
        <v>0</v>
      </c>
      <c r="E320">
        <v>1</v>
      </c>
      <c r="F320" t="str">
        <f>IF(final_data786[[#This Row],[MONTH_CODE]]=1,"JANUARY",IF(final_data786[[#This Row],[MONTH_CODE]]=2,"FEBRUARY"))</f>
        <v>JANUARY</v>
      </c>
      <c r="G320">
        <v>18</v>
      </c>
      <c r="H320">
        <v>0</v>
      </c>
      <c r="I320">
        <v>5</v>
      </c>
      <c r="J3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0" t="str">
        <f>IF(final_data786[[#This Row],[DAY_CODE]]=0,"weekend",IF(final_data786[[#This Row],[DAY_CODE]]=6,"weekend","weekday"))</f>
        <v>weekday</v>
      </c>
      <c r="L320">
        <v>1</v>
      </c>
      <c r="M320" t="str">
        <f>IF(final_data786[[#This Row],[WEATHER_CODE]]=1,"clear",IF(final_data786[[#This Row],[WEATHER_CODE]]=2,"cloudy",IF(final_data786[[#This Row],[WEATHER_CODE]]=3,"light rain",IF(final_data786[[#This Row],[WEATHER_CODE]]=4,"heavy rain",0))))</f>
        <v>clear</v>
      </c>
      <c r="N320">
        <v>0.2</v>
      </c>
      <c r="O320">
        <v>0.2576</v>
      </c>
      <c r="P320">
        <v>0.47</v>
      </c>
      <c r="Q320">
        <v>0</v>
      </c>
      <c r="R320">
        <v>5</v>
      </c>
      <c r="S320">
        <v>134</v>
      </c>
      <c r="T320">
        <v>139</v>
      </c>
    </row>
    <row r="321" spans="1:20" x14ac:dyDescent="0.35">
      <c r="A321">
        <v>320</v>
      </c>
      <c r="B321" s="1">
        <v>40557</v>
      </c>
      <c r="C321">
        <v>1</v>
      </c>
      <c r="D321">
        <v>0</v>
      </c>
      <c r="E321">
        <v>1</v>
      </c>
      <c r="F321" t="str">
        <f>IF(final_data786[[#This Row],[MONTH_CODE]]=1,"JANUARY",IF(final_data786[[#This Row],[MONTH_CODE]]=2,"FEBRUARY"))</f>
        <v>JANUARY</v>
      </c>
      <c r="G321">
        <v>19</v>
      </c>
      <c r="H321">
        <v>0</v>
      </c>
      <c r="I321">
        <v>5</v>
      </c>
      <c r="J3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1" t="str">
        <f>IF(final_data786[[#This Row],[DAY_CODE]]=0,"weekend",IF(final_data786[[#This Row],[DAY_CODE]]=6,"weekend","weekday"))</f>
        <v>weekday</v>
      </c>
      <c r="L321">
        <v>1</v>
      </c>
      <c r="M321" t="str">
        <f>IF(final_data786[[#This Row],[WEATHER_CODE]]=1,"clear",IF(final_data786[[#This Row],[WEATHER_CODE]]=2,"cloudy",IF(final_data786[[#This Row],[WEATHER_CODE]]=3,"light rain",IF(final_data786[[#This Row],[WEATHER_CODE]]=4,"heavy rain",0))))</f>
        <v>clear</v>
      </c>
      <c r="N321">
        <v>0.16</v>
      </c>
      <c r="O321">
        <v>0.19700000000000001</v>
      </c>
      <c r="P321">
        <v>0.59</v>
      </c>
      <c r="Q321">
        <v>8.9599999999999999E-2</v>
      </c>
      <c r="R321">
        <v>3</v>
      </c>
      <c r="S321">
        <v>89</v>
      </c>
      <c r="T321">
        <v>92</v>
      </c>
    </row>
    <row r="322" spans="1:20" x14ac:dyDescent="0.35">
      <c r="A322">
        <v>321</v>
      </c>
      <c r="B322" s="1">
        <v>40557</v>
      </c>
      <c r="C322">
        <v>1</v>
      </c>
      <c r="D322">
        <v>0</v>
      </c>
      <c r="E322">
        <v>1</v>
      </c>
      <c r="F322" t="str">
        <f>IF(final_data786[[#This Row],[MONTH_CODE]]=1,"JANUARY",IF(final_data786[[#This Row],[MONTH_CODE]]=2,"FEBRUARY"))</f>
        <v>JANUARY</v>
      </c>
      <c r="G322">
        <v>20</v>
      </c>
      <c r="H322">
        <v>0</v>
      </c>
      <c r="I322">
        <v>5</v>
      </c>
      <c r="J3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2" t="str">
        <f>IF(final_data786[[#This Row],[DAY_CODE]]=0,"weekend",IF(final_data786[[#This Row],[DAY_CODE]]=6,"weekend","weekday"))</f>
        <v>weekday</v>
      </c>
      <c r="L322">
        <v>1</v>
      </c>
      <c r="M322" t="str">
        <f>IF(final_data786[[#This Row],[WEATHER_CODE]]=1,"clear",IF(final_data786[[#This Row],[WEATHER_CODE]]=2,"cloudy",IF(final_data786[[#This Row],[WEATHER_CODE]]=3,"light rain",IF(final_data786[[#This Row],[WEATHER_CODE]]=4,"heavy rain",0))))</f>
        <v>clear</v>
      </c>
      <c r="N322">
        <v>0.18</v>
      </c>
      <c r="O322">
        <v>0.2424</v>
      </c>
      <c r="P322">
        <v>0.59</v>
      </c>
      <c r="Q322">
        <v>0</v>
      </c>
      <c r="R322">
        <v>0</v>
      </c>
      <c r="S322">
        <v>68</v>
      </c>
      <c r="T322">
        <v>68</v>
      </c>
    </row>
    <row r="323" spans="1:20" x14ac:dyDescent="0.35">
      <c r="A323">
        <v>322</v>
      </c>
      <c r="B323" s="1">
        <v>40557</v>
      </c>
      <c r="C323">
        <v>1</v>
      </c>
      <c r="D323">
        <v>0</v>
      </c>
      <c r="E323">
        <v>1</v>
      </c>
      <c r="F323" t="str">
        <f>IF(final_data786[[#This Row],[MONTH_CODE]]=1,"JANUARY",IF(final_data786[[#This Row],[MONTH_CODE]]=2,"FEBRUARY"))</f>
        <v>JANUARY</v>
      </c>
      <c r="G323">
        <v>21</v>
      </c>
      <c r="H323">
        <v>0</v>
      </c>
      <c r="I323">
        <v>5</v>
      </c>
      <c r="J3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3" t="str">
        <f>IF(final_data786[[#This Row],[DAY_CODE]]=0,"weekend",IF(final_data786[[#This Row],[DAY_CODE]]=6,"weekend","weekday"))</f>
        <v>weekday</v>
      </c>
      <c r="L323">
        <v>1</v>
      </c>
      <c r="M323" t="str">
        <f>IF(final_data786[[#This Row],[WEATHER_CODE]]=1,"clear",IF(final_data786[[#This Row],[WEATHER_CODE]]=2,"cloudy",IF(final_data786[[#This Row],[WEATHER_CODE]]=3,"light rain",IF(final_data786[[#This Row],[WEATHER_CODE]]=4,"heavy rain",0))))</f>
        <v>clear</v>
      </c>
      <c r="N323">
        <v>0.16</v>
      </c>
      <c r="O323">
        <v>0.2273</v>
      </c>
      <c r="P323">
        <v>0.69</v>
      </c>
      <c r="Q323">
        <v>0</v>
      </c>
      <c r="R323">
        <v>4</v>
      </c>
      <c r="S323">
        <v>48</v>
      </c>
      <c r="T323">
        <v>52</v>
      </c>
    </row>
    <row r="324" spans="1:20" x14ac:dyDescent="0.35">
      <c r="A324">
        <v>323</v>
      </c>
      <c r="B324" s="1">
        <v>40557</v>
      </c>
      <c r="C324">
        <v>1</v>
      </c>
      <c r="D324">
        <v>0</v>
      </c>
      <c r="E324">
        <v>1</v>
      </c>
      <c r="F324" t="str">
        <f>IF(final_data786[[#This Row],[MONTH_CODE]]=1,"JANUARY",IF(final_data786[[#This Row],[MONTH_CODE]]=2,"FEBRUARY"))</f>
        <v>JANUARY</v>
      </c>
      <c r="G324">
        <v>22</v>
      </c>
      <c r="H324">
        <v>0</v>
      </c>
      <c r="I324">
        <v>5</v>
      </c>
      <c r="J3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4" t="str">
        <f>IF(final_data786[[#This Row],[DAY_CODE]]=0,"weekend",IF(final_data786[[#This Row],[DAY_CODE]]=6,"weekend","weekday"))</f>
        <v>weekday</v>
      </c>
      <c r="L324">
        <v>2</v>
      </c>
      <c r="M324" t="str">
        <f>IF(final_data786[[#This Row],[WEATHER_CODE]]=1,"clear",IF(final_data786[[#This Row],[WEATHER_CODE]]=2,"cloudy",IF(final_data786[[#This Row],[WEATHER_CODE]]=3,"light rain",IF(final_data786[[#This Row],[WEATHER_CODE]]=4,"heavy rain",0))))</f>
        <v>cloudy</v>
      </c>
      <c r="N324">
        <v>0.16</v>
      </c>
      <c r="O324">
        <v>0.2273</v>
      </c>
      <c r="P324">
        <v>0.69</v>
      </c>
      <c r="Q324">
        <v>0</v>
      </c>
      <c r="R324">
        <v>2</v>
      </c>
      <c r="S324">
        <v>34</v>
      </c>
      <c r="T324">
        <v>36</v>
      </c>
    </row>
    <row r="325" spans="1:20" x14ac:dyDescent="0.35">
      <c r="A325">
        <v>324</v>
      </c>
      <c r="B325" s="1">
        <v>40557</v>
      </c>
      <c r="C325">
        <v>1</v>
      </c>
      <c r="D325">
        <v>0</v>
      </c>
      <c r="E325">
        <v>1</v>
      </c>
      <c r="F325" t="str">
        <f>IF(final_data786[[#This Row],[MONTH_CODE]]=1,"JANUARY",IF(final_data786[[#This Row],[MONTH_CODE]]=2,"FEBRUARY"))</f>
        <v>JANUARY</v>
      </c>
      <c r="G325">
        <v>23</v>
      </c>
      <c r="H325">
        <v>0</v>
      </c>
      <c r="I325">
        <v>5</v>
      </c>
      <c r="J3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325" t="str">
        <f>IF(final_data786[[#This Row],[DAY_CODE]]=0,"weekend",IF(final_data786[[#This Row],[DAY_CODE]]=6,"weekend","weekday"))</f>
        <v>weekday</v>
      </c>
      <c r="L325">
        <v>2</v>
      </c>
      <c r="M325" t="str">
        <f>IF(final_data786[[#This Row],[WEATHER_CODE]]=1,"clear",IF(final_data786[[#This Row],[WEATHER_CODE]]=2,"cloudy",IF(final_data786[[#This Row],[WEATHER_CODE]]=3,"light rain",IF(final_data786[[#This Row],[WEATHER_CODE]]=4,"heavy rain",0))))</f>
        <v>cloudy</v>
      </c>
      <c r="N325">
        <v>0.18</v>
      </c>
      <c r="O325">
        <v>0.2424</v>
      </c>
      <c r="P325">
        <v>0.55000000000000004</v>
      </c>
      <c r="Q325">
        <v>0</v>
      </c>
      <c r="R325">
        <v>1</v>
      </c>
      <c r="S325">
        <v>26</v>
      </c>
      <c r="T325">
        <v>27</v>
      </c>
    </row>
    <row r="326" spans="1:20" x14ac:dyDescent="0.35">
      <c r="A326">
        <v>325</v>
      </c>
      <c r="B326" s="1">
        <v>40558</v>
      </c>
      <c r="C326">
        <v>1</v>
      </c>
      <c r="D326">
        <v>0</v>
      </c>
      <c r="E326">
        <v>1</v>
      </c>
      <c r="F326" t="str">
        <f>IF(final_data786[[#This Row],[MONTH_CODE]]=1,"JANUARY",IF(final_data786[[#This Row],[MONTH_CODE]]=2,"FEBRUARY"))</f>
        <v>JANUARY</v>
      </c>
      <c r="G326">
        <v>0</v>
      </c>
      <c r="H326">
        <v>0</v>
      </c>
      <c r="I326">
        <v>6</v>
      </c>
      <c r="J3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26" t="str">
        <f>IF(final_data786[[#This Row],[DAY_CODE]]=0,"weekend",IF(final_data786[[#This Row],[DAY_CODE]]=6,"weekend","weekday"))</f>
        <v>weekend</v>
      </c>
      <c r="L326">
        <v>1</v>
      </c>
      <c r="M326" t="str">
        <f>IF(final_data786[[#This Row],[WEATHER_CODE]]=1,"clear",IF(final_data786[[#This Row],[WEATHER_CODE]]=2,"cloudy",IF(final_data786[[#This Row],[WEATHER_CODE]]=3,"light rain",IF(final_data786[[#This Row],[WEATHER_CODE]]=4,"heavy rain",0))))</f>
        <v>clear</v>
      </c>
      <c r="N326">
        <v>0.18</v>
      </c>
      <c r="O326">
        <v>0.2424</v>
      </c>
      <c r="P326">
        <v>0.55000000000000004</v>
      </c>
      <c r="Q326">
        <v>0</v>
      </c>
      <c r="R326">
        <v>3</v>
      </c>
      <c r="S326">
        <v>25</v>
      </c>
      <c r="T326">
        <v>28</v>
      </c>
    </row>
    <row r="327" spans="1:20" x14ac:dyDescent="0.35">
      <c r="A327">
        <v>326</v>
      </c>
      <c r="B327" s="1">
        <v>40558</v>
      </c>
      <c r="C327">
        <v>1</v>
      </c>
      <c r="D327">
        <v>0</v>
      </c>
      <c r="E327">
        <v>1</v>
      </c>
      <c r="F327" t="str">
        <f>IF(final_data786[[#This Row],[MONTH_CODE]]=1,"JANUARY",IF(final_data786[[#This Row],[MONTH_CODE]]=2,"FEBRUARY"))</f>
        <v>JANUARY</v>
      </c>
      <c r="G327">
        <v>1</v>
      </c>
      <c r="H327">
        <v>0</v>
      </c>
      <c r="I327">
        <v>6</v>
      </c>
      <c r="J3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27" t="str">
        <f>IF(final_data786[[#This Row],[DAY_CODE]]=0,"weekend",IF(final_data786[[#This Row],[DAY_CODE]]=6,"weekend","weekday"))</f>
        <v>weekend</v>
      </c>
      <c r="L327">
        <v>2</v>
      </c>
      <c r="M327" t="str">
        <f>IF(final_data786[[#This Row],[WEATHER_CODE]]=1,"clear",IF(final_data786[[#This Row],[WEATHER_CODE]]=2,"cloudy",IF(final_data786[[#This Row],[WEATHER_CODE]]=3,"light rain",IF(final_data786[[#This Row],[WEATHER_CODE]]=4,"heavy rain",0))))</f>
        <v>cloudy</v>
      </c>
      <c r="N327">
        <v>0.16</v>
      </c>
      <c r="O327">
        <v>0.19700000000000001</v>
      </c>
      <c r="P327">
        <v>0.59</v>
      </c>
      <c r="Q327">
        <v>8.9599999999999999E-2</v>
      </c>
      <c r="R327">
        <v>2</v>
      </c>
      <c r="S327">
        <v>18</v>
      </c>
      <c r="T327">
        <v>20</v>
      </c>
    </row>
    <row r="328" spans="1:20" x14ac:dyDescent="0.35">
      <c r="A328">
        <v>327</v>
      </c>
      <c r="B328" s="1">
        <v>40558</v>
      </c>
      <c r="C328">
        <v>1</v>
      </c>
      <c r="D328">
        <v>0</v>
      </c>
      <c r="E328">
        <v>1</v>
      </c>
      <c r="F328" t="str">
        <f>IF(final_data786[[#This Row],[MONTH_CODE]]=1,"JANUARY",IF(final_data786[[#This Row],[MONTH_CODE]]=2,"FEBRUARY"))</f>
        <v>JANUARY</v>
      </c>
      <c r="G328">
        <v>2</v>
      </c>
      <c r="H328">
        <v>0</v>
      </c>
      <c r="I328">
        <v>6</v>
      </c>
      <c r="J3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28" t="str">
        <f>IF(final_data786[[#This Row],[DAY_CODE]]=0,"weekend",IF(final_data786[[#This Row],[DAY_CODE]]=6,"weekend","weekday"))</f>
        <v>weekend</v>
      </c>
      <c r="L328">
        <v>2</v>
      </c>
      <c r="M328" t="str">
        <f>IF(final_data786[[#This Row],[WEATHER_CODE]]=1,"clear",IF(final_data786[[#This Row],[WEATHER_CODE]]=2,"cloudy",IF(final_data786[[#This Row],[WEATHER_CODE]]=3,"light rain",IF(final_data786[[#This Row],[WEATHER_CODE]]=4,"heavy rain",0))))</f>
        <v>cloudy</v>
      </c>
      <c r="N328">
        <v>0.16</v>
      </c>
      <c r="O328">
        <v>0.19700000000000001</v>
      </c>
      <c r="P328">
        <v>0.59</v>
      </c>
      <c r="Q328">
        <v>8.9599999999999999E-2</v>
      </c>
      <c r="R328">
        <v>0</v>
      </c>
      <c r="S328">
        <v>12</v>
      </c>
      <c r="T328">
        <v>12</v>
      </c>
    </row>
    <row r="329" spans="1:20" x14ac:dyDescent="0.35">
      <c r="A329">
        <v>328</v>
      </c>
      <c r="B329" s="1">
        <v>40558</v>
      </c>
      <c r="C329">
        <v>1</v>
      </c>
      <c r="D329">
        <v>0</v>
      </c>
      <c r="E329">
        <v>1</v>
      </c>
      <c r="F329" t="str">
        <f>IF(final_data786[[#This Row],[MONTH_CODE]]=1,"JANUARY",IF(final_data786[[#This Row],[MONTH_CODE]]=2,"FEBRUARY"))</f>
        <v>JANUARY</v>
      </c>
      <c r="G329">
        <v>3</v>
      </c>
      <c r="H329">
        <v>0</v>
      </c>
      <c r="I329">
        <v>6</v>
      </c>
      <c r="J3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29" t="str">
        <f>IF(final_data786[[#This Row],[DAY_CODE]]=0,"weekend",IF(final_data786[[#This Row],[DAY_CODE]]=6,"weekend","weekday"))</f>
        <v>weekend</v>
      </c>
      <c r="L329">
        <v>2</v>
      </c>
      <c r="M329" t="str">
        <f>IF(final_data786[[#This Row],[WEATHER_CODE]]=1,"clear",IF(final_data786[[#This Row],[WEATHER_CODE]]=2,"cloudy",IF(final_data786[[#This Row],[WEATHER_CODE]]=3,"light rain",IF(final_data786[[#This Row],[WEATHER_CODE]]=4,"heavy rain",0))))</f>
        <v>cloudy</v>
      </c>
      <c r="N329">
        <v>0.16</v>
      </c>
      <c r="O329">
        <v>0.2273</v>
      </c>
      <c r="P329">
        <v>0.59</v>
      </c>
      <c r="Q329">
        <v>0</v>
      </c>
      <c r="R329">
        <v>1</v>
      </c>
      <c r="S329">
        <v>7</v>
      </c>
      <c r="T329">
        <v>8</v>
      </c>
    </row>
    <row r="330" spans="1:20" x14ac:dyDescent="0.35">
      <c r="A330">
        <v>329</v>
      </c>
      <c r="B330" s="1">
        <v>40558</v>
      </c>
      <c r="C330">
        <v>1</v>
      </c>
      <c r="D330">
        <v>0</v>
      </c>
      <c r="E330">
        <v>1</v>
      </c>
      <c r="F330" t="str">
        <f>IF(final_data786[[#This Row],[MONTH_CODE]]=1,"JANUARY",IF(final_data786[[#This Row],[MONTH_CODE]]=2,"FEBRUARY"))</f>
        <v>JANUARY</v>
      </c>
      <c r="G330">
        <v>4</v>
      </c>
      <c r="H330">
        <v>0</v>
      </c>
      <c r="I330">
        <v>6</v>
      </c>
      <c r="J3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0" t="str">
        <f>IF(final_data786[[#This Row],[DAY_CODE]]=0,"weekend",IF(final_data786[[#This Row],[DAY_CODE]]=6,"weekend","weekday"))</f>
        <v>weekend</v>
      </c>
      <c r="L330">
        <v>2</v>
      </c>
      <c r="M330" t="str">
        <f>IF(final_data786[[#This Row],[WEATHER_CODE]]=1,"clear",IF(final_data786[[#This Row],[WEATHER_CODE]]=2,"cloudy",IF(final_data786[[#This Row],[WEATHER_CODE]]=3,"light rain",IF(final_data786[[#This Row],[WEATHER_CODE]]=4,"heavy rain",0))))</f>
        <v>cloudy</v>
      </c>
      <c r="N330">
        <v>0.16</v>
      </c>
      <c r="O330">
        <v>0.2273</v>
      </c>
      <c r="P330">
        <v>0.59</v>
      </c>
      <c r="Q330">
        <v>0</v>
      </c>
      <c r="R330">
        <v>0</v>
      </c>
      <c r="S330">
        <v>5</v>
      </c>
      <c r="T330">
        <v>5</v>
      </c>
    </row>
    <row r="331" spans="1:20" x14ac:dyDescent="0.35">
      <c r="A331">
        <v>330</v>
      </c>
      <c r="B331" s="1">
        <v>40558</v>
      </c>
      <c r="C331">
        <v>1</v>
      </c>
      <c r="D331">
        <v>0</v>
      </c>
      <c r="E331">
        <v>1</v>
      </c>
      <c r="F331" t="str">
        <f>IF(final_data786[[#This Row],[MONTH_CODE]]=1,"JANUARY",IF(final_data786[[#This Row],[MONTH_CODE]]=2,"FEBRUARY"))</f>
        <v>JANUARY</v>
      </c>
      <c r="G331">
        <v>5</v>
      </c>
      <c r="H331">
        <v>0</v>
      </c>
      <c r="I331">
        <v>6</v>
      </c>
      <c r="J3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1" t="str">
        <f>IF(final_data786[[#This Row],[DAY_CODE]]=0,"weekend",IF(final_data786[[#This Row],[DAY_CODE]]=6,"weekend","weekday"))</f>
        <v>weekend</v>
      </c>
      <c r="L331">
        <v>1</v>
      </c>
      <c r="M331" t="str">
        <f>IF(final_data786[[#This Row],[WEATHER_CODE]]=1,"clear",IF(final_data786[[#This Row],[WEATHER_CODE]]=2,"cloudy",IF(final_data786[[#This Row],[WEATHER_CODE]]=3,"light rain",IF(final_data786[[#This Row],[WEATHER_CODE]]=4,"heavy rain",0))))</f>
        <v>clear</v>
      </c>
      <c r="N331">
        <v>0.16</v>
      </c>
      <c r="O331">
        <v>0.2273</v>
      </c>
      <c r="P331">
        <v>0.59</v>
      </c>
      <c r="Q331">
        <v>0</v>
      </c>
      <c r="R331">
        <v>0</v>
      </c>
      <c r="S331">
        <v>1</v>
      </c>
      <c r="T331">
        <v>1</v>
      </c>
    </row>
    <row r="332" spans="1:20" x14ac:dyDescent="0.35">
      <c r="A332">
        <v>331</v>
      </c>
      <c r="B332" s="1">
        <v>40558</v>
      </c>
      <c r="C332">
        <v>1</v>
      </c>
      <c r="D332">
        <v>0</v>
      </c>
      <c r="E332">
        <v>1</v>
      </c>
      <c r="F332" t="str">
        <f>IF(final_data786[[#This Row],[MONTH_CODE]]=1,"JANUARY",IF(final_data786[[#This Row],[MONTH_CODE]]=2,"FEBRUARY"))</f>
        <v>JANUARY</v>
      </c>
      <c r="G332">
        <v>6</v>
      </c>
      <c r="H332">
        <v>0</v>
      </c>
      <c r="I332">
        <v>6</v>
      </c>
      <c r="J3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2" t="str">
        <f>IF(final_data786[[#This Row],[DAY_CODE]]=0,"weekend",IF(final_data786[[#This Row],[DAY_CODE]]=6,"weekend","weekday"))</f>
        <v>weekend</v>
      </c>
      <c r="L332">
        <v>1</v>
      </c>
      <c r="M332" t="str">
        <f>IF(final_data786[[#This Row],[WEATHER_CODE]]=1,"clear",IF(final_data786[[#This Row],[WEATHER_CODE]]=2,"cloudy",IF(final_data786[[#This Row],[WEATHER_CODE]]=3,"light rain",IF(final_data786[[#This Row],[WEATHER_CODE]]=4,"heavy rain",0))))</f>
        <v>clear</v>
      </c>
      <c r="N332">
        <v>0.14000000000000001</v>
      </c>
      <c r="O332">
        <v>0.16669999999999999</v>
      </c>
      <c r="P332">
        <v>0.63</v>
      </c>
      <c r="Q332">
        <v>0.1045</v>
      </c>
      <c r="R332">
        <v>1</v>
      </c>
      <c r="S332">
        <v>2</v>
      </c>
      <c r="T332">
        <v>3</v>
      </c>
    </row>
    <row r="333" spans="1:20" x14ac:dyDescent="0.35">
      <c r="A333">
        <v>332</v>
      </c>
      <c r="B333" s="1">
        <v>40558</v>
      </c>
      <c r="C333">
        <v>1</v>
      </c>
      <c r="D333">
        <v>0</v>
      </c>
      <c r="E333">
        <v>1</v>
      </c>
      <c r="F333" t="str">
        <f>IF(final_data786[[#This Row],[MONTH_CODE]]=1,"JANUARY",IF(final_data786[[#This Row],[MONTH_CODE]]=2,"FEBRUARY"))</f>
        <v>JANUARY</v>
      </c>
      <c r="G333">
        <v>7</v>
      </c>
      <c r="H333">
        <v>0</v>
      </c>
      <c r="I333">
        <v>6</v>
      </c>
      <c r="J3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3" t="str">
        <f>IF(final_data786[[#This Row],[DAY_CODE]]=0,"weekend",IF(final_data786[[#This Row],[DAY_CODE]]=6,"weekend","weekday"))</f>
        <v>weekend</v>
      </c>
      <c r="L333">
        <v>1</v>
      </c>
      <c r="M333" t="str">
        <f>IF(final_data786[[#This Row],[WEATHER_CODE]]=1,"clear",IF(final_data786[[#This Row],[WEATHER_CODE]]=2,"cloudy",IF(final_data786[[#This Row],[WEATHER_CODE]]=3,"light rain",IF(final_data786[[#This Row],[WEATHER_CODE]]=4,"heavy rain",0))))</f>
        <v>clear</v>
      </c>
      <c r="N333">
        <v>0.14000000000000001</v>
      </c>
      <c r="O333">
        <v>0.21210000000000001</v>
      </c>
      <c r="P333">
        <v>0.63</v>
      </c>
      <c r="Q333">
        <v>0</v>
      </c>
      <c r="R333">
        <v>1</v>
      </c>
      <c r="S333">
        <v>9</v>
      </c>
      <c r="T333">
        <v>10</v>
      </c>
    </row>
    <row r="334" spans="1:20" x14ac:dyDescent="0.35">
      <c r="A334">
        <v>333</v>
      </c>
      <c r="B334" s="1">
        <v>40558</v>
      </c>
      <c r="C334">
        <v>1</v>
      </c>
      <c r="D334">
        <v>0</v>
      </c>
      <c r="E334">
        <v>1</v>
      </c>
      <c r="F334" t="str">
        <f>IF(final_data786[[#This Row],[MONTH_CODE]]=1,"JANUARY",IF(final_data786[[#This Row],[MONTH_CODE]]=2,"FEBRUARY"))</f>
        <v>JANUARY</v>
      </c>
      <c r="G334">
        <v>8</v>
      </c>
      <c r="H334">
        <v>0</v>
      </c>
      <c r="I334">
        <v>6</v>
      </c>
      <c r="J3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4" t="str">
        <f>IF(final_data786[[#This Row],[DAY_CODE]]=0,"weekend",IF(final_data786[[#This Row],[DAY_CODE]]=6,"weekend","weekday"))</f>
        <v>weekend</v>
      </c>
      <c r="L334">
        <v>1</v>
      </c>
      <c r="M334" t="str">
        <f>IF(final_data786[[#This Row],[WEATHER_CODE]]=1,"clear",IF(final_data786[[#This Row],[WEATHER_CODE]]=2,"cloudy",IF(final_data786[[#This Row],[WEATHER_CODE]]=3,"light rain",IF(final_data786[[#This Row],[WEATHER_CODE]]=4,"heavy rain",0))))</f>
        <v>clear</v>
      </c>
      <c r="N334">
        <v>0.14000000000000001</v>
      </c>
      <c r="O334">
        <v>0.1515</v>
      </c>
      <c r="P334">
        <v>0.63</v>
      </c>
      <c r="Q334">
        <v>0.1343</v>
      </c>
      <c r="R334">
        <v>1</v>
      </c>
      <c r="S334">
        <v>22</v>
      </c>
      <c r="T334">
        <v>23</v>
      </c>
    </row>
    <row r="335" spans="1:20" x14ac:dyDescent="0.35">
      <c r="A335">
        <v>334</v>
      </c>
      <c r="B335" s="1">
        <v>40558</v>
      </c>
      <c r="C335">
        <v>1</v>
      </c>
      <c r="D335">
        <v>0</v>
      </c>
      <c r="E335">
        <v>1</v>
      </c>
      <c r="F335" t="str">
        <f>IF(final_data786[[#This Row],[MONTH_CODE]]=1,"JANUARY",IF(final_data786[[#This Row],[MONTH_CODE]]=2,"FEBRUARY"))</f>
        <v>JANUARY</v>
      </c>
      <c r="G335">
        <v>9</v>
      </c>
      <c r="H335">
        <v>0</v>
      </c>
      <c r="I335">
        <v>6</v>
      </c>
      <c r="J3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5" t="str">
        <f>IF(final_data786[[#This Row],[DAY_CODE]]=0,"weekend",IF(final_data786[[#This Row],[DAY_CODE]]=6,"weekend","weekday"))</f>
        <v>weekend</v>
      </c>
      <c r="L335">
        <v>1</v>
      </c>
      <c r="M335" t="str">
        <f>IF(final_data786[[#This Row],[WEATHER_CODE]]=1,"clear",IF(final_data786[[#This Row],[WEATHER_CODE]]=2,"cloudy",IF(final_data786[[#This Row],[WEATHER_CODE]]=3,"light rain",IF(final_data786[[#This Row],[WEATHER_CODE]]=4,"heavy rain",0))))</f>
        <v>clear</v>
      </c>
      <c r="N335">
        <v>0.16</v>
      </c>
      <c r="O335">
        <v>0.18179999999999999</v>
      </c>
      <c r="P335">
        <v>0.64</v>
      </c>
      <c r="Q335">
        <v>0.1343</v>
      </c>
      <c r="R335">
        <v>2</v>
      </c>
      <c r="S335">
        <v>31</v>
      </c>
      <c r="T335">
        <v>33</v>
      </c>
    </row>
    <row r="336" spans="1:20" x14ac:dyDescent="0.35">
      <c r="A336">
        <v>335</v>
      </c>
      <c r="B336" s="1">
        <v>40558</v>
      </c>
      <c r="C336">
        <v>1</v>
      </c>
      <c r="D336">
        <v>0</v>
      </c>
      <c r="E336">
        <v>1</v>
      </c>
      <c r="F336" t="str">
        <f>IF(final_data786[[#This Row],[MONTH_CODE]]=1,"JANUARY",IF(final_data786[[#This Row],[MONTH_CODE]]=2,"FEBRUARY"))</f>
        <v>JANUARY</v>
      </c>
      <c r="G336">
        <v>10</v>
      </c>
      <c r="H336">
        <v>0</v>
      </c>
      <c r="I336">
        <v>6</v>
      </c>
      <c r="J3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6" t="str">
        <f>IF(final_data786[[#This Row],[DAY_CODE]]=0,"weekend",IF(final_data786[[#This Row],[DAY_CODE]]=6,"weekend","weekday"))</f>
        <v>weekend</v>
      </c>
      <c r="L336">
        <v>1</v>
      </c>
      <c r="M336" t="str">
        <f>IF(final_data786[[#This Row],[WEATHER_CODE]]=1,"clear",IF(final_data786[[#This Row],[WEATHER_CODE]]=2,"cloudy",IF(final_data786[[#This Row],[WEATHER_CODE]]=3,"light rain",IF(final_data786[[#This Row],[WEATHER_CODE]]=4,"heavy rain",0))))</f>
        <v>clear</v>
      </c>
      <c r="N336">
        <v>0.18</v>
      </c>
      <c r="O336">
        <v>0.19700000000000001</v>
      </c>
      <c r="P336">
        <v>0.59</v>
      </c>
      <c r="Q336">
        <v>0.16420000000000001</v>
      </c>
      <c r="R336">
        <v>2</v>
      </c>
      <c r="S336">
        <v>57</v>
      </c>
      <c r="T336">
        <v>59</v>
      </c>
    </row>
    <row r="337" spans="1:20" x14ac:dyDescent="0.35">
      <c r="A337">
        <v>336</v>
      </c>
      <c r="B337" s="1">
        <v>40558</v>
      </c>
      <c r="C337">
        <v>1</v>
      </c>
      <c r="D337">
        <v>0</v>
      </c>
      <c r="E337">
        <v>1</v>
      </c>
      <c r="F337" t="str">
        <f>IF(final_data786[[#This Row],[MONTH_CODE]]=1,"JANUARY",IF(final_data786[[#This Row],[MONTH_CODE]]=2,"FEBRUARY"))</f>
        <v>JANUARY</v>
      </c>
      <c r="G337">
        <v>11</v>
      </c>
      <c r="H337">
        <v>0</v>
      </c>
      <c r="I337">
        <v>6</v>
      </c>
      <c r="J3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7" t="str">
        <f>IF(final_data786[[#This Row],[DAY_CODE]]=0,"weekend",IF(final_data786[[#This Row],[DAY_CODE]]=6,"weekend","weekday"))</f>
        <v>weekend</v>
      </c>
      <c r="L337">
        <v>1</v>
      </c>
      <c r="M337" t="str">
        <f>IF(final_data786[[#This Row],[WEATHER_CODE]]=1,"clear",IF(final_data786[[#This Row],[WEATHER_CODE]]=2,"cloudy",IF(final_data786[[#This Row],[WEATHER_CODE]]=3,"light rain",IF(final_data786[[#This Row],[WEATHER_CODE]]=4,"heavy rain",0))))</f>
        <v>clear</v>
      </c>
      <c r="N337">
        <v>0.2</v>
      </c>
      <c r="O337">
        <v>0.19700000000000001</v>
      </c>
      <c r="P337">
        <v>0.55000000000000004</v>
      </c>
      <c r="Q337">
        <v>0.22389999999999999</v>
      </c>
      <c r="R337">
        <v>18</v>
      </c>
      <c r="S337">
        <v>54</v>
      </c>
      <c r="T337">
        <v>72</v>
      </c>
    </row>
    <row r="338" spans="1:20" x14ac:dyDescent="0.35">
      <c r="A338">
        <v>337</v>
      </c>
      <c r="B338" s="1">
        <v>40558</v>
      </c>
      <c r="C338">
        <v>1</v>
      </c>
      <c r="D338">
        <v>0</v>
      </c>
      <c r="E338">
        <v>1</v>
      </c>
      <c r="F338" t="str">
        <f>IF(final_data786[[#This Row],[MONTH_CODE]]=1,"JANUARY",IF(final_data786[[#This Row],[MONTH_CODE]]=2,"FEBRUARY"))</f>
        <v>JANUARY</v>
      </c>
      <c r="G338">
        <v>12</v>
      </c>
      <c r="H338">
        <v>0</v>
      </c>
      <c r="I338">
        <v>6</v>
      </c>
      <c r="J3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8" t="str">
        <f>IF(final_data786[[#This Row],[DAY_CODE]]=0,"weekend",IF(final_data786[[#This Row],[DAY_CODE]]=6,"weekend","weekday"))</f>
        <v>weekend</v>
      </c>
      <c r="L338">
        <v>1</v>
      </c>
      <c r="M338" t="str">
        <f>IF(final_data786[[#This Row],[WEATHER_CODE]]=1,"clear",IF(final_data786[[#This Row],[WEATHER_CODE]]=2,"cloudy",IF(final_data786[[#This Row],[WEATHER_CODE]]=3,"light rain",IF(final_data786[[#This Row],[WEATHER_CODE]]=4,"heavy rain",0))))</f>
        <v>clear</v>
      </c>
      <c r="N338">
        <v>0.24</v>
      </c>
      <c r="O338">
        <v>0.2273</v>
      </c>
      <c r="P338">
        <v>0.48</v>
      </c>
      <c r="Q338">
        <v>0.22389999999999999</v>
      </c>
      <c r="R338">
        <v>15</v>
      </c>
      <c r="S338">
        <v>74</v>
      </c>
      <c r="T338">
        <v>89</v>
      </c>
    </row>
    <row r="339" spans="1:20" x14ac:dyDescent="0.35">
      <c r="A339">
        <v>338</v>
      </c>
      <c r="B339" s="1">
        <v>40558</v>
      </c>
      <c r="C339">
        <v>1</v>
      </c>
      <c r="D339">
        <v>0</v>
      </c>
      <c r="E339">
        <v>1</v>
      </c>
      <c r="F339" t="str">
        <f>IF(final_data786[[#This Row],[MONTH_CODE]]=1,"JANUARY",IF(final_data786[[#This Row],[MONTH_CODE]]=2,"FEBRUARY"))</f>
        <v>JANUARY</v>
      </c>
      <c r="G339">
        <v>13</v>
      </c>
      <c r="H339">
        <v>0</v>
      </c>
      <c r="I339">
        <v>6</v>
      </c>
      <c r="J3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39" t="str">
        <f>IF(final_data786[[#This Row],[DAY_CODE]]=0,"weekend",IF(final_data786[[#This Row],[DAY_CODE]]=6,"weekend","weekday"))</f>
        <v>weekend</v>
      </c>
      <c r="L339">
        <v>1</v>
      </c>
      <c r="M339" t="str">
        <f>IF(final_data786[[#This Row],[WEATHER_CODE]]=1,"clear",IF(final_data786[[#This Row],[WEATHER_CODE]]=2,"cloudy",IF(final_data786[[#This Row],[WEATHER_CODE]]=3,"light rain",IF(final_data786[[#This Row],[WEATHER_CODE]]=4,"heavy rain",0))))</f>
        <v>clear</v>
      </c>
      <c r="N339">
        <v>0.28000000000000003</v>
      </c>
      <c r="O339">
        <v>0.2576</v>
      </c>
      <c r="P339">
        <v>0.38</v>
      </c>
      <c r="Q339">
        <v>0.29849999999999999</v>
      </c>
      <c r="R339">
        <v>21</v>
      </c>
      <c r="S339">
        <v>80</v>
      </c>
      <c r="T339">
        <v>101</v>
      </c>
    </row>
    <row r="340" spans="1:20" x14ac:dyDescent="0.35">
      <c r="A340">
        <v>339</v>
      </c>
      <c r="B340" s="1">
        <v>40558</v>
      </c>
      <c r="C340">
        <v>1</v>
      </c>
      <c r="D340">
        <v>0</v>
      </c>
      <c r="E340">
        <v>1</v>
      </c>
      <c r="F340" t="str">
        <f>IF(final_data786[[#This Row],[MONTH_CODE]]=1,"JANUARY",IF(final_data786[[#This Row],[MONTH_CODE]]=2,"FEBRUARY"))</f>
        <v>JANUARY</v>
      </c>
      <c r="G340">
        <v>14</v>
      </c>
      <c r="H340">
        <v>0</v>
      </c>
      <c r="I340">
        <v>6</v>
      </c>
      <c r="J3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0" t="str">
        <f>IF(final_data786[[#This Row],[DAY_CODE]]=0,"weekend",IF(final_data786[[#This Row],[DAY_CODE]]=6,"weekend","weekday"))</f>
        <v>weekend</v>
      </c>
      <c r="L340">
        <v>1</v>
      </c>
      <c r="M340" t="str">
        <f>IF(final_data786[[#This Row],[WEATHER_CODE]]=1,"clear",IF(final_data786[[#This Row],[WEATHER_CODE]]=2,"cloudy",IF(final_data786[[#This Row],[WEATHER_CODE]]=3,"light rain",IF(final_data786[[#This Row],[WEATHER_CODE]]=4,"heavy rain",0))))</f>
        <v>clear</v>
      </c>
      <c r="N340">
        <v>0.3</v>
      </c>
      <c r="O340">
        <v>0.28789999999999999</v>
      </c>
      <c r="P340">
        <v>0.39</v>
      </c>
      <c r="Q340">
        <v>0.28360000000000002</v>
      </c>
      <c r="R340">
        <v>26</v>
      </c>
      <c r="S340">
        <v>92</v>
      </c>
      <c r="T340">
        <v>118</v>
      </c>
    </row>
    <row r="341" spans="1:20" x14ac:dyDescent="0.35">
      <c r="A341">
        <v>340</v>
      </c>
      <c r="B341" s="1">
        <v>40558</v>
      </c>
      <c r="C341">
        <v>1</v>
      </c>
      <c r="D341">
        <v>0</v>
      </c>
      <c r="E341">
        <v>1</v>
      </c>
      <c r="F341" t="str">
        <f>IF(final_data786[[#This Row],[MONTH_CODE]]=1,"JANUARY",IF(final_data786[[#This Row],[MONTH_CODE]]=2,"FEBRUARY"))</f>
        <v>JANUARY</v>
      </c>
      <c r="G341">
        <v>15</v>
      </c>
      <c r="H341">
        <v>0</v>
      </c>
      <c r="I341">
        <v>6</v>
      </c>
      <c r="J3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1" t="str">
        <f>IF(final_data786[[#This Row],[DAY_CODE]]=0,"weekend",IF(final_data786[[#This Row],[DAY_CODE]]=6,"weekend","weekday"))</f>
        <v>weekend</v>
      </c>
      <c r="L341">
        <v>2</v>
      </c>
      <c r="M341" t="str">
        <f>IF(final_data786[[#This Row],[WEATHER_CODE]]=1,"clear",IF(final_data786[[#This Row],[WEATHER_CODE]]=2,"cloudy",IF(final_data786[[#This Row],[WEATHER_CODE]]=3,"light rain",IF(final_data786[[#This Row],[WEATHER_CODE]]=4,"heavy rain",0))))</f>
        <v>cloudy</v>
      </c>
      <c r="N341">
        <v>0.32</v>
      </c>
      <c r="O341">
        <v>0.31819999999999998</v>
      </c>
      <c r="P341">
        <v>0.36</v>
      </c>
      <c r="Q341">
        <v>0.19400000000000001</v>
      </c>
      <c r="R341">
        <v>21</v>
      </c>
      <c r="S341">
        <v>108</v>
      </c>
      <c r="T341">
        <v>129</v>
      </c>
    </row>
    <row r="342" spans="1:20" x14ac:dyDescent="0.35">
      <c r="A342">
        <v>341</v>
      </c>
      <c r="B342" s="1">
        <v>40558</v>
      </c>
      <c r="C342">
        <v>1</v>
      </c>
      <c r="D342">
        <v>0</v>
      </c>
      <c r="E342">
        <v>1</v>
      </c>
      <c r="F342" t="str">
        <f>IF(final_data786[[#This Row],[MONTH_CODE]]=1,"JANUARY",IF(final_data786[[#This Row],[MONTH_CODE]]=2,"FEBRUARY"))</f>
        <v>JANUARY</v>
      </c>
      <c r="G342">
        <v>16</v>
      </c>
      <c r="H342">
        <v>0</v>
      </c>
      <c r="I342">
        <v>6</v>
      </c>
      <c r="J3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2" t="str">
        <f>IF(final_data786[[#This Row],[DAY_CODE]]=0,"weekend",IF(final_data786[[#This Row],[DAY_CODE]]=6,"weekend","weekday"))</f>
        <v>weekend</v>
      </c>
      <c r="L342">
        <v>2</v>
      </c>
      <c r="M342" t="str">
        <f>IF(final_data786[[#This Row],[WEATHER_CODE]]=1,"clear",IF(final_data786[[#This Row],[WEATHER_CODE]]=2,"cloudy",IF(final_data786[[#This Row],[WEATHER_CODE]]=3,"light rain",IF(final_data786[[#This Row],[WEATHER_CODE]]=4,"heavy rain",0))))</f>
        <v>cloudy</v>
      </c>
      <c r="N342">
        <v>0.34</v>
      </c>
      <c r="O342">
        <v>0.33329999999999999</v>
      </c>
      <c r="P342">
        <v>0.34</v>
      </c>
      <c r="Q342">
        <v>0.19400000000000001</v>
      </c>
      <c r="R342">
        <v>33</v>
      </c>
      <c r="S342">
        <v>95</v>
      </c>
      <c r="T342">
        <v>128</v>
      </c>
    </row>
    <row r="343" spans="1:20" x14ac:dyDescent="0.35">
      <c r="A343">
        <v>342</v>
      </c>
      <c r="B343" s="1">
        <v>40558</v>
      </c>
      <c r="C343">
        <v>1</v>
      </c>
      <c r="D343">
        <v>0</v>
      </c>
      <c r="E343">
        <v>1</v>
      </c>
      <c r="F343" t="str">
        <f>IF(final_data786[[#This Row],[MONTH_CODE]]=1,"JANUARY",IF(final_data786[[#This Row],[MONTH_CODE]]=2,"FEBRUARY"))</f>
        <v>JANUARY</v>
      </c>
      <c r="G343">
        <v>17</v>
      </c>
      <c r="H343">
        <v>0</v>
      </c>
      <c r="I343">
        <v>6</v>
      </c>
      <c r="J3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3" t="str">
        <f>IF(final_data786[[#This Row],[DAY_CODE]]=0,"weekend",IF(final_data786[[#This Row],[DAY_CODE]]=6,"weekend","weekday"))</f>
        <v>weekend</v>
      </c>
      <c r="L343">
        <v>2</v>
      </c>
      <c r="M343" t="str">
        <f>IF(final_data786[[#This Row],[WEATHER_CODE]]=1,"clear",IF(final_data786[[#This Row],[WEATHER_CODE]]=2,"cloudy",IF(final_data786[[#This Row],[WEATHER_CODE]]=3,"light rain",IF(final_data786[[#This Row],[WEATHER_CODE]]=4,"heavy rain",0))))</f>
        <v>cloudy</v>
      </c>
      <c r="N343">
        <v>0.32</v>
      </c>
      <c r="O343">
        <v>0.30299999999999999</v>
      </c>
      <c r="P343">
        <v>0.36</v>
      </c>
      <c r="Q343">
        <v>0.28360000000000002</v>
      </c>
      <c r="R343">
        <v>29</v>
      </c>
      <c r="S343">
        <v>54</v>
      </c>
      <c r="T343">
        <v>83</v>
      </c>
    </row>
    <row r="344" spans="1:20" x14ac:dyDescent="0.35">
      <c r="A344">
        <v>343</v>
      </c>
      <c r="B344" s="1">
        <v>40558</v>
      </c>
      <c r="C344">
        <v>1</v>
      </c>
      <c r="D344">
        <v>0</v>
      </c>
      <c r="E344">
        <v>1</v>
      </c>
      <c r="F344" t="str">
        <f>IF(final_data786[[#This Row],[MONTH_CODE]]=1,"JANUARY",IF(final_data786[[#This Row],[MONTH_CODE]]=2,"FEBRUARY"))</f>
        <v>JANUARY</v>
      </c>
      <c r="G344">
        <v>18</v>
      </c>
      <c r="H344">
        <v>0</v>
      </c>
      <c r="I344">
        <v>6</v>
      </c>
      <c r="J3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4" t="str">
        <f>IF(final_data786[[#This Row],[DAY_CODE]]=0,"weekend",IF(final_data786[[#This Row],[DAY_CODE]]=6,"weekend","weekday"))</f>
        <v>weekend</v>
      </c>
      <c r="L344">
        <v>2</v>
      </c>
      <c r="M344" t="str">
        <f>IF(final_data786[[#This Row],[WEATHER_CODE]]=1,"clear",IF(final_data786[[#This Row],[WEATHER_CODE]]=2,"cloudy",IF(final_data786[[#This Row],[WEATHER_CODE]]=3,"light rain",IF(final_data786[[#This Row],[WEATHER_CODE]]=4,"heavy rain",0))))</f>
        <v>cloudy</v>
      </c>
      <c r="N344">
        <v>0.3</v>
      </c>
      <c r="O344">
        <v>0.28789999999999999</v>
      </c>
      <c r="P344">
        <v>0.45</v>
      </c>
      <c r="Q344">
        <v>0.25369999999999998</v>
      </c>
      <c r="R344">
        <v>15</v>
      </c>
      <c r="S344">
        <v>69</v>
      </c>
      <c r="T344">
        <v>84</v>
      </c>
    </row>
    <row r="345" spans="1:20" x14ac:dyDescent="0.35">
      <c r="A345">
        <v>344</v>
      </c>
      <c r="B345" s="1">
        <v>40558</v>
      </c>
      <c r="C345">
        <v>1</v>
      </c>
      <c r="D345">
        <v>0</v>
      </c>
      <c r="E345">
        <v>1</v>
      </c>
      <c r="F345" t="str">
        <f>IF(final_data786[[#This Row],[MONTH_CODE]]=1,"JANUARY",IF(final_data786[[#This Row],[MONTH_CODE]]=2,"FEBRUARY"))</f>
        <v>JANUARY</v>
      </c>
      <c r="G345">
        <v>19</v>
      </c>
      <c r="H345">
        <v>0</v>
      </c>
      <c r="I345">
        <v>6</v>
      </c>
      <c r="J3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5" t="str">
        <f>IF(final_data786[[#This Row],[DAY_CODE]]=0,"weekend",IF(final_data786[[#This Row],[DAY_CODE]]=6,"weekend","weekday"))</f>
        <v>weekend</v>
      </c>
      <c r="L345">
        <v>2</v>
      </c>
      <c r="M345" t="str">
        <f>IF(final_data786[[#This Row],[WEATHER_CODE]]=1,"clear",IF(final_data786[[#This Row],[WEATHER_CODE]]=2,"cloudy",IF(final_data786[[#This Row],[WEATHER_CODE]]=3,"light rain",IF(final_data786[[#This Row],[WEATHER_CODE]]=4,"heavy rain",0))))</f>
        <v>cloudy</v>
      </c>
      <c r="N345">
        <v>0.32</v>
      </c>
      <c r="O345">
        <v>0.30299999999999999</v>
      </c>
      <c r="P345">
        <v>0.39</v>
      </c>
      <c r="Q345">
        <v>0.25369999999999998</v>
      </c>
      <c r="R345">
        <v>14</v>
      </c>
      <c r="S345">
        <v>60</v>
      </c>
      <c r="T345">
        <v>74</v>
      </c>
    </row>
    <row r="346" spans="1:20" x14ac:dyDescent="0.35">
      <c r="A346">
        <v>345</v>
      </c>
      <c r="B346" s="1">
        <v>40558</v>
      </c>
      <c r="C346">
        <v>1</v>
      </c>
      <c r="D346">
        <v>0</v>
      </c>
      <c r="E346">
        <v>1</v>
      </c>
      <c r="F346" t="str">
        <f>IF(final_data786[[#This Row],[MONTH_CODE]]=1,"JANUARY",IF(final_data786[[#This Row],[MONTH_CODE]]=2,"FEBRUARY"))</f>
        <v>JANUARY</v>
      </c>
      <c r="G346">
        <v>20</v>
      </c>
      <c r="H346">
        <v>0</v>
      </c>
      <c r="I346">
        <v>6</v>
      </c>
      <c r="J3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6" t="str">
        <f>IF(final_data786[[#This Row],[DAY_CODE]]=0,"weekend",IF(final_data786[[#This Row],[DAY_CODE]]=6,"weekend","weekday"))</f>
        <v>weekend</v>
      </c>
      <c r="L346">
        <v>2</v>
      </c>
      <c r="M346" t="str">
        <f>IF(final_data786[[#This Row],[WEATHER_CODE]]=1,"clear",IF(final_data786[[#This Row],[WEATHER_CODE]]=2,"cloudy",IF(final_data786[[#This Row],[WEATHER_CODE]]=3,"light rain",IF(final_data786[[#This Row],[WEATHER_CODE]]=4,"heavy rain",0))))</f>
        <v>cloudy</v>
      </c>
      <c r="N346">
        <v>0.32</v>
      </c>
      <c r="O346">
        <v>0.30299999999999999</v>
      </c>
      <c r="P346">
        <v>0.39</v>
      </c>
      <c r="Q346">
        <v>0.25369999999999998</v>
      </c>
      <c r="R346">
        <v>6</v>
      </c>
      <c r="S346">
        <v>35</v>
      </c>
      <c r="T346">
        <v>41</v>
      </c>
    </row>
    <row r="347" spans="1:20" x14ac:dyDescent="0.35">
      <c r="A347">
        <v>346</v>
      </c>
      <c r="B347" s="1">
        <v>40558</v>
      </c>
      <c r="C347">
        <v>1</v>
      </c>
      <c r="D347">
        <v>0</v>
      </c>
      <c r="E347">
        <v>1</v>
      </c>
      <c r="F347" t="str">
        <f>IF(final_data786[[#This Row],[MONTH_CODE]]=1,"JANUARY",IF(final_data786[[#This Row],[MONTH_CODE]]=2,"FEBRUARY"))</f>
        <v>JANUARY</v>
      </c>
      <c r="G347">
        <v>21</v>
      </c>
      <c r="H347">
        <v>0</v>
      </c>
      <c r="I347">
        <v>6</v>
      </c>
      <c r="J3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7" t="str">
        <f>IF(final_data786[[#This Row],[DAY_CODE]]=0,"weekend",IF(final_data786[[#This Row],[DAY_CODE]]=6,"weekend","weekday"))</f>
        <v>weekend</v>
      </c>
      <c r="L347">
        <v>2</v>
      </c>
      <c r="M347" t="str">
        <f>IF(final_data786[[#This Row],[WEATHER_CODE]]=1,"clear",IF(final_data786[[#This Row],[WEATHER_CODE]]=2,"cloudy",IF(final_data786[[#This Row],[WEATHER_CODE]]=3,"light rain",IF(final_data786[[#This Row],[WEATHER_CODE]]=4,"heavy rain",0))))</f>
        <v>cloudy</v>
      </c>
      <c r="N347">
        <v>0.32</v>
      </c>
      <c r="O347">
        <v>0.30299999999999999</v>
      </c>
      <c r="P347">
        <v>0.39</v>
      </c>
      <c r="Q347">
        <v>0.22389999999999999</v>
      </c>
      <c r="R347">
        <v>6</v>
      </c>
      <c r="S347">
        <v>51</v>
      </c>
      <c r="T347">
        <v>57</v>
      </c>
    </row>
    <row r="348" spans="1:20" x14ac:dyDescent="0.35">
      <c r="A348">
        <v>347</v>
      </c>
      <c r="B348" s="1">
        <v>40558</v>
      </c>
      <c r="C348">
        <v>1</v>
      </c>
      <c r="D348">
        <v>0</v>
      </c>
      <c r="E348">
        <v>1</v>
      </c>
      <c r="F348" t="str">
        <f>IF(final_data786[[#This Row],[MONTH_CODE]]=1,"JANUARY",IF(final_data786[[#This Row],[MONTH_CODE]]=2,"FEBRUARY"))</f>
        <v>JANUARY</v>
      </c>
      <c r="G348">
        <v>22</v>
      </c>
      <c r="H348">
        <v>0</v>
      </c>
      <c r="I348">
        <v>6</v>
      </c>
      <c r="J3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8" t="str">
        <f>IF(final_data786[[#This Row],[DAY_CODE]]=0,"weekend",IF(final_data786[[#This Row],[DAY_CODE]]=6,"weekend","weekday"))</f>
        <v>weekend</v>
      </c>
      <c r="L348">
        <v>2</v>
      </c>
      <c r="M348" t="str">
        <f>IF(final_data786[[#This Row],[WEATHER_CODE]]=1,"clear",IF(final_data786[[#This Row],[WEATHER_CODE]]=2,"cloudy",IF(final_data786[[#This Row],[WEATHER_CODE]]=3,"light rain",IF(final_data786[[#This Row],[WEATHER_CODE]]=4,"heavy rain",0))))</f>
        <v>cloudy</v>
      </c>
      <c r="N348">
        <v>0.3</v>
      </c>
      <c r="O348">
        <v>0.31819999999999998</v>
      </c>
      <c r="P348">
        <v>0.42</v>
      </c>
      <c r="Q348">
        <v>0.1045</v>
      </c>
      <c r="R348">
        <v>0</v>
      </c>
      <c r="S348">
        <v>26</v>
      </c>
      <c r="T348">
        <v>26</v>
      </c>
    </row>
    <row r="349" spans="1:20" x14ac:dyDescent="0.35">
      <c r="A349">
        <v>348</v>
      </c>
      <c r="B349" s="1">
        <v>40558</v>
      </c>
      <c r="C349">
        <v>1</v>
      </c>
      <c r="D349">
        <v>0</v>
      </c>
      <c r="E349">
        <v>1</v>
      </c>
      <c r="F349" t="str">
        <f>IF(final_data786[[#This Row],[MONTH_CODE]]=1,"JANUARY",IF(final_data786[[#This Row],[MONTH_CODE]]=2,"FEBRUARY"))</f>
        <v>JANUARY</v>
      </c>
      <c r="G349">
        <v>23</v>
      </c>
      <c r="H349">
        <v>0</v>
      </c>
      <c r="I349">
        <v>6</v>
      </c>
      <c r="J3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349" t="str">
        <f>IF(final_data786[[#This Row],[DAY_CODE]]=0,"weekend",IF(final_data786[[#This Row],[DAY_CODE]]=6,"weekend","weekday"))</f>
        <v>weekend</v>
      </c>
      <c r="L349">
        <v>1</v>
      </c>
      <c r="M349" t="str">
        <f>IF(final_data786[[#This Row],[WEATHER_CODE]]=1,"clear",IF(final_data786[[#This Row],[WEATHER_CODE]]=2,"cloudy",IF(final_data786[[#This Row],[WEATHER_CODE]]=3,"light rain",IF(final_data786[[#This Row],[WEATHER_CODE]]=4,"heavy rain",0))))</f>
        <v>clear</v>
      </c>
      <c r="N349">
        <v>0.3</v>
      </c>
      <c r="O349">
        <v>0.28789999999999999</v>
      </c>
      <c r="P349">
        <v>0.45</v>
      </c>
      <c r="Q349">
        <v>0.28360000000000002</v>
      </c>
      <c r="R349">
        <v>5</v>
      </c>
      <c r="S349">
        <v>39</v>
      </c>
      <c r="T349">
        <v>44</v>
      </c>
    </row>
    <row r="350" spans="1:20" x14ac:dyDescent="0.35">
      <c r="A350">
        <v>349</v>
      </c>
      <c r="B350" s="1">
        <v>40559</v>
      </c>
      <c r="C350">
        <v>1</v>
      </c>
      <c r="D350">
        <v>0</v>
      </c>
      <c r="E350">
        <v>1</v>
      </c>
      <c r="F350" t="str">
        <f>IF(final_data786[[#This Row],[MONTH_CODE]]=1,"JANUARY",IF(final_data786[[#This Row],[MONTH_CODE]]=2,"FEBRUARY"))</f>
        <v>JANUARY</v>
      </c>
      <c r="G350">
        <v>0</v>
      </c>
      <c r="H350">
        <v>0</v>
      </c>
      <c r="I350">
        <v>0</v>
      </c>
      <c r="J3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0" t="str">
        <f>IF(final_data786[[#This Row],[DAY_CODE]]=0,"weekend",IF(final_data786[[#This Row],[DAY_CODE]]=6,"weekend","weekday"))</f>
        <v>weekend</v>
      </c>
      <c r="L350">
        <v>1</v>
      </c>
      <c r="M350" t="str">
        <f>IF(final_data786[[#This Row],[WEATHER_CODE]]=1,"clear",IF(final_data786[[#This Row],[WEATHER_CODE]]=2,"cloudy",IF(final_data786[[#This Row],[WEATHER_CODE]]=3,"light rain",IF(final_data786[[#This Row],[WEATHER_CODE]]=4,"heavy rain",0))))</f>
        <v>clear</v>
      </c>
      <c r="N350">
        <v>0.26</v>
      </c>
      <c r="O350">
        <v>0.30299999999999999</v>
      </c>
      <c r="P350">
        <v>0.56000000000000005</v>
      </c>
      <c r="Q350">
        <v>0</v>
      </c>
      <c r="R350">
        <v>6</v>
      </c>
      <c r="S350">
        <v>33</v>
      </c>
      <c r="T350">
        <v>39</v>
      </c>
    </row>
    <row r="351" spans="1:20" x14ac:dyDescent="0.35">
      <c r="A351">
        <v>350</v>
      </c>
      <c r="B351" s="1">
        <v>40559</v>
      </c>
      <c r="C351">
        <v>1</v>
      </c>
      <c r="D351">
        <v>0</v>
      </c>
      <c r="E351">
        <v>1</v>
      </c>
      <c r="F351" t="str">
        <f>IF(final_data786[[#This Row],[MONTH_CODE]]=1,"JANUARY",IF(final_data786[[#This Row],[MONTH_CODE]]=2,"FEBRUARY"))</f>
        <v>JANUARY</v>
      </c>
      <c r="G351">
        <v>1</v>
      </c>
      <c r="H351">
        <v>0</v>
      </c>
      <c r="I351">
        <v>0</v>
      </c>
      <c r="J3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1" t="str">
        <f>IF(final_data786[[#This Row],[DAY_CODE]]=0,"weekend",IF(final_data786[[#This Row],[DAY_CODE]]=6,"weekend","weekday"))</f>
        <v>weekend</v>
      </c>
      <c r="L351">
        <v>1</v>
      </c>
      <c r="M351" t="str">
        <f>IF(final_data786[[#This Row],[WEATHER_CODE]]=1,"clear",IF(final_data786[[#This Row],[WEATHER_CODE]]=2,"cloudy",IF(final_data786[[#This Row],[WEATHER_CODE]]=3,"light rain",IF(final_data786[[#This Row],[WEATHER_CODE]]=4,"heavy rain",0))))</f>
        <v>clear</v>
      </c>
      <c r="N351">
        <v>0.26</v>
      </c>
      <c r="O351">
        <v>0.2727</v>
      </c>
      <c r="P351">
        <v>0.56000000000000005</v>
      </c>
      <c r="Q351">
        <v>0.1343</v>
      </c>
      <c r="R351">
        <v>4</v>
      </c>
      <c r="S351">
        <v>19</v>
      </c>
      <c r="T351">
        <v>23</v>
      </c>
    </row>
    <row r="352" spans="1:20" x14ac:dyDescent="0.35">
      <c r="A352">
        <v>351</v>
      </c>
      <c r="B352" s="1">
        <v>40559</v>
      </c>
      <c r="C352">
        <v>1</v>
      </c>
      <c r="D352">
        <v>0</v>
      </c>
      <c r="E352">
        <v>1</v>
      </c>
      <c r="F352" t="str">
        <f>IF(final_data786[[#This Row],[MONTH_CODE]]=1,"JANUARY",IF(final_data786[[#This Row],[MONTH_CODE]]=2,"FEBRUARY"))</f>
        <v>JANUARY</v>
      </c>
      <c r="G352">
        <v>2</v>
      </c>
      <c r="H352">
        <v>0</v>
      </c>
      <c r="I352">
        <v>0</v>
      </c>
      <c r="J3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2" t="str">
        <f>IF(final_data786[[#This Row],[DAY_CODE]]=0,"weekend",IF(final_data786[[#This Row],[DAY_CODE]]=6,"weekend","weekday"))</f>
        <v>weekend</v>
      </c>
      <c r="L352">
        <v>1</v>
      </c>
      <c r="M352" t="str">
        <f>IF(final_data786[[#This Row],[WEATHER_CODE]]=1,"clear",IF(final_data786[[#This Row],[WEATHER_CODE]]=2,"cloudy",IF(final_data786[[#This Row],[WEATHER_CODE]]=3,"light rain",IF(final_data786[[#This Row],[WEATHER_CODE]]=4,"heavy rain",0))))</f>
        <v>clear</v>
      </c>
      <c r="N352">
        <v>0.26</v>
      </c>
      <c r="O352">
        <v>0.28789999999999999</v>
      </c>
      <c r="P352">
        <v>0.56000000000000005</v>
      </c>
      <c r="Q352">
        <v>8.9599999999999999E-2</v>
      </c>
      <c r="R352">
        <v>3</v>
      </c>
      <c r="S352">
        <v>13</v>
      </c>
      <c r="T352">
        <v>16</v>
      </c>
    </row>
    <row r="353" spans="1:20" x14ac:dyDescent="0.35">
      <c r="A353">
        <v>352</v>
      </c>
      <c r="B353" s="1">
        <v>40559</v>
      </c>
      <c r="C353">
        <v>1</v>
      </c>
      <c r="D353">
        <v>0</v>
      </c>
      <c r="E353">
        <v>1</v>
      </c>
      <c r="F353" t="str">
        <f>IF(final_data786[[#This Row],[MONTH_CODE]]=1,"JANUARY",IF(final_data786[[#This Row],[MONTH_CODE]]=2,"FEBRUARY"))</f>
        <v>JANUARY</v>
      </c>
      <c r="G353">
        <v>3</v>
      </c>
      <c r="H353">
        <v>0</v>
      </c>
      <c r="I353">
        <v>0</v>
      </c>
      <c r="J3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3" t="str">
        <f>IF(final_data786[[#This Row],[DAY_CODE]]=0,"weekend",IF(final_data786[[#This Row],[DAY_CODE]]=6,"weekend","weekday"))</f>
        <v>weekend</v>
      </c>
      <c r="L353">
        <v>1</v>
      </c>
      <c r="M353" t="str">
        <f>IF(final_data786[[#This Row],[WEATHER_CODE]]=1,"clear",IF(final_data786[[#This Row],[WEATHER_CODE]]=2,"cloudy",IF(final_data786[[#This Row],[WEATHER_CODE]]=3,"light rain",IF(final_data786[[#This Row],[WEATHER_CODE]]=4,"heavy rain",0))))</f>
        <v>clear</v>
      </c>
      <c r="N353">
        <v>0.22</v>
      </c>
      <c r="O353">
        <v>0.2727</v>
      </c>
      <c r="P353">
        <v>0.69</v>
      </c>
      <c r="Q353">
        <v>0</v>
      </c>
      <c r="R353">
        <v>9</v>
      </c>
      <c r="S353">
        <v>6</v>
      </c>
      <c r="T353">
        <v>15</v>
      </c>
    </row>
    <row r="354" spans="1:20" x14ac:dyDescent="0.35">
      <c r="A354">
        <v>353</v>
      </c>
      <c r="B354" s="1">
        <v>40559</v>
      </c>
      <c r="C354">
        <v>1</v>
      </c>
      <c r="D354">
        <v>0</v>
      </c>
      <c r="E354">
        <v>1</v>
      </c>
      <c r="F354" t="str">
        <f>IF(final_data786[[#This Row],[MONTH_CODE]]=1,"JANUARY",IF(final_data786[[#This Row],[MONTH_CODE]]=2,"FEBRUARY"))</f>
        <v>JANUARY</v>
      </c>
      <c r="G354">
        <v>4</v>
      </c>
      <c r="H354">
        <v>0</v>
      </c>
      <c r="I354">
        <v>0</v>
      </c>
      <c r="J3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4" t="str">
        <f>IF(final_data786[[#This Row],[DAY_CODE]]=0,"weekend",IF(final_data786[[#This Row],[DAY_CODE]]=6,"weekend","weekday"))</f>
        <v>weekend</v>
      </c>
      <c r="L354">
        <v>1</v>
      </c>
      <c r="M354" t="str">
        <f>IF(final_data786[[#This Row],[WEATHER_CODE]]=1,"clear",IF(final_data786[[#This Row],[WEATHER_CODE]]=2,"cloudy",IF(final_data786[[#This Row],[WEATHER_CODE]]=3,"light rain",IF(final_data786[[#This Row],[WEATHER_CODE]]=4,"heavy rain",0))))</f>
        <v>clear</v>
      </c>
      <c r="N354">
        <v>0.26</v>
      </c>
      <c r="O354">
        <v>0.2576</v>
      </c>
      <c r="P354">
        <v>0.56000000000000005</v>
      </c>
      <c r="Q354">
        <v>0.16420000000000001</v>
      </c>
      <c r="R354">
        <v>0</v>
      </c>
      <c r="S354">
        <v>1</v>
      </c>
      <c r="T354">
        <v>1</v>
      </c>
    </row>
    <row r="355" spans="1:20" x14ac:dyDescent="0.35">
      <c r="A355">
        <v>354</v>
      </c>
      <c r="B355" s="1">
        <v>40559</v>
      </c>
      <c r="C355">
        <v>1</v>
      </c>
      <c r="D355">
        <v>0</v>
      </c>
      <c r="E355">
        <v>1</v>
      </c>
      <c r="F355" t="str">
        <f>IF(final_data786[[#This Row],[MONTH_CODE]]=1,"JANUARY",IF(final_data786[[#This Row],[MONTH_CODE]]=2,"FEBRUARY"))</f>
        <v>JANUARY</v>
      </c>
      <c r="G355">
        <v>5</v>
      </c>
      <c r="H355">
        <v>0</v>
      </c>
      <c r="I355">
        <v>0</v>
      </c>
      <c r="J3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5" t="str">
        <f>IF(final_data786[[#This Row],[DAY_CODE]]=0,"weekend",IF(final_data786[[#This Row],[DAY_CODE]]=6,"weekend","weekday"))</f>
        <v>weekend</v>
      </c>
      <c r="L355">
        <v>2</v>
      </c>
      <c r="M355" t="str">
        <f>IF(final_data786[[#This Row],[WEATHER_CODE]]=1,"clear",IF(final_data786[[#This Row],[WEATHER_CODE]]=2,"cloudy",IF(final_data786[[#This Row],[WEATHER_CODE]]=3,"light rain",IF(final_data786[[#This Row],[WEATHER_CODE]]=4,"heavy rain",0))))</f>
        <v>cloudy</v>
      </c>
      <c r="N355">
        <v>0.26</v>
      </c>
      <c r="O355">
        <v>0.2576</v>
      </c>
      <c r="P355">
        <v>0.56000000000000005</v>
      </c>
      <c r="Q355">
        <v>0.16420000000000001</v>
      </c>
      <c r="R355">
        <v>1</v>
      </c>
      <c r="S355">
        <v>1</v>
      </c>
      <c r="T355">
        <v>2</v>
      </c>
    </row>
    <row r="356" spans="1:20" x14ac:dyDescent="0.35">
      <c r="A356">
        <v>355</v>
      </c>
      <c r="B356" s="1">
        <v>40559</v>
      </c>
      <c r="C356">
        <v>1</v>
      </c>
      <c r="D356">
        <v>0</v>
      </c>
      <c r="E356">
        <v>1</v>
      </c>
      <c r="F356" t="str">
        <f>IF(final_data786[[#This Row],[MONTH_CODE]]=1,"JANUARY",IF(final_data786[[#This Row],[MONTH_CODE]]=2,"FEBRUARY"))</f>
        <v>JANUARY</v>
      </c>
      <c r="G356">
        <v>6</v>
      </c>
      <c r="H356">
        <v>0</v>
      </c>
      <c r="I356">
        <v>0</v>
      </c>
      <c r="J3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6" t="str">
        <f>IF(final_data786[[#This Row],[DAY_CODE]]=0,"weekend",IF(final_data786[[#This Row],[DAY_CODE]]=6,"weekend","weekday"))</f>
        <v>weekend</v>
      </c>
      <c r="L356">
        <v>2</v>
      </c>
      <c r="M356" t="str">
        <f>IF(final_data786[[#This Row],[WEATHER_CODE]]=1,"clear",IF(final_data786[[#This Row],[WEATHER_CODE]]=2,"cloudy",IF(final_data786[[#This Row],[WEATHER_CODE]]=3,"light rain",IF(final_data786[[#This Row],[WEATHER_CODE]]=4,"heavy rain",0))))</f>
        <v>cloudy</v>
      </c>
      <c r="N356">
        <v>0.26</v>
      </c>
      <c r="O356">
        <v>0.2576</v>
      </c>
      <c r="P356">
        <v>0.56000000000000005</v>
      </c>
      <c r="Q356">
        <v>0.16420000000000001</v>
      </c>
      <c r="R356">
        <v>0</v>
      </c>
      <c r="S356">
        <v>1</v>
      </c>
      <c r="T356">
        <v>1</v>
      </c>
    </row>
    <row r="357" spans="1:20" x14ac:dyDescent="0.35">
      <c r="A357">
        <v>356</v>
      </c>
      <c r="B357" s="1">
        <v>40559</v>
      </c>
      <c r="C357">
        <v>1</v>
      </c>
      <c r="D357">
        <v>0</v>
      </c>
      <c r="E357">
        <v>1</v>
      </c>
      <c r="F357" t="str">
        <f>IF(final_data786[[#This Row],[MONTH_CODE]]=1,"JANUARY",IF(final_data786[[#This Row],[MONTH_CODE]]=2,"FEBRUARY"))</f>
        <v>JANUARY</v>
      </c>
      <c r="G357">
        <v>7</v>
      </c>
      <c r="H357">
        <v>0</v>
      </c>
      <c r="I357">
        <v>0</v>
      </c>
      <c r="J3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7" t="str">
        <f>IF(final_data786[[#This Row],[DAY_CODE]]=0,"weekend",IF(final_data786[[#This Row],[DAY_CODE]]=6,"weekend","weekday"))</f>
        <v>weekend</v>
      </c>
      <c r="L357">
        <v>2</v>
      </c>
      <c r="M357" t="str">
        <f>IF(final_data786[[#This Row],[WEATHER_CODE]]=1,"clear",IF(final_data786[[#This Row],[WEATHER_CODE]]=2,"cloudy",IF(final_data786[[#This Row],[WEATHER_CODE]]=3,"light rain",IF(final_data786[[#This Row],[WEATHER_CODE]]=4,"heavy rain",0))))</f>
        <v>cloudy</v>
      </c>
      <c r="N357">
        <v>0.24</v>
      </c>
      <c r="O357">
        <v>0.21210000000000001</v>
      </c>
      <c r="P357">
        <v>0.56000000000000005</v>
      </c>
      <c r="Q357">
        <v>0.29849999999999999</v>
      </c>
      <c r="R357">
        <v>0</v>
      </c>
      <c r="S357">
        <v>3</v>
      </c>
      <c r="T357">
        <v>3</v>
      </c>
    </row>
    <row r="358" spans="1:20" x14ac:dyDescent="0.35">
      <c r="A358">
        <v>357</v>
      </c>
      <c r="B358" s="1">
        <v>40559</v>
      </c>
      <c r="C358">
        <v>1</v>
      </c>
      <c r="D358">
        <v>0</v>
      </c>
      <c r="E358">
        <v>1</v>
      </c>
      <c r="F358" t="str">
        <f>IF(final_data786[[#This Row],[MONTH_CODE]]=1,"JANUARY",IF(final_data786[[#This Row],[MONTH_CODE]]=2,"FEBRUARY"))</f>
        <v>JANUARY</v>
      </c>
      <c r="G358">
        <v>8</v>
      </c>
      <c r="H358">
        <v>0</v>
      </c>
      <c r="I358">
        <v>0</v>
      </c>
      <c r="J3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8" t="str">
        <f>IF(final_data786[[#This Row],[DAY_CODE]]=0,"weekend",IF(final_data786[[#This Row],[DAY_CODE]]=6,"weekend","weekday"))</f>
        <v>weekend</v>
      </c>
      <c r="L358">
        <v>1</v>
      </c>
      <c r="M358" t="str">
        <f>IF(final_data786[[#This Row],[WEATHER_CODE]]=1,"clear",IF(final_data786[[#This Row],[WEATHER_CODE]]=2,"cloudy",IF(final_data786[[#This Row],[WEATHER_CODE]]=3,"light rain",IF(final_data786[[#This Row],[WEATHER_CODE]]=4,"heavy rain",0))))</f>
        <v>clear</v>
      </c>
      <c r="N358">
        <v>0.22</v>
      </c>
      <c r="O358">
        <v>0.21210000000000001</v>
      </c>
      <c r="P358">
        <v>0.55000000000000004</v>
      </c>
      <c r="Q358">
        <v>0.28360000000000002</v>
      </c>
      <c r="R358">
        <v>0</v>
      </c>
      <c r="S358">
        <v>18</v>
      </c>
      <c r="T358">
        <v>18</v>
      </c>
    </row>
    <row r="359" spans="1:20" x14ac:dyDescent="0.35">
      <c r="A359">
        <v>358</v>
      </c>
      <c r="B359" s="1">
        <v>40559</v>
      </c>
      <c r="C359">
        <v>1</v>
      </c>
      <c r="D359">
        <v>0</v>
      </c>
      <c r="E359">
        <v>1</v>
      </c>
      <c r="F359" t="str">
        <f>IF(final_data786[[#This Row],[MONTH_CODE]]=1,"JANUARY",IF(final_data786[[#This Row],[MONTH_CODE]]=2,"FEBRUARY"))</f>
        <v>JANUARY</v>
      </c>
      <c r="G359">
        <v>9</v>
      </c>
      <c r="H359">
        <v>0</v>
      </c>
      <c r="I359">
        <v>0</v>
      </c>
      <c r="J3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59" t="str">
        <f>IF(final_data786[[#This Row],[DAY_CODE]]=0,"weekend",IF(final_data786[[#This Row],[DAY_CODE]]=6,"weekend","weekday"))</f>
        <v>weekend</v>
      </c>
      <c r="L359">
        <v>1</v>
      </c>
      <c r="M359" t="str">
        <f>IF(final_data786[[#This Row],[WEATHER_CODE]]=1,"clear",IF(final_data786[[#This Row],[WEATHER_CODE]]=2,"cloudy",IF(final_data786[[#This Row],[WEATHER_CODE]]=3,"light rain",IF(final_data786[[#This Row],[WEATHER_CODE]]=4,"heavy rain",0))))</f>
        <v>clear</v>
      </c>
      <c r="N359">
        <v>0.22</v>
      </c>
      <c r="O359">
        <v>0.21210000000000001</v>
      </c>
      <c r="P359">
        <v>0.51</v>
      </c>
      <c r="Q359">
        <v>0.25369999999999998</v>
      </c>
      <c r="R359">
        <v>3</v>
      </c>
      <c r="S359">
        <v>29</v>
      </c>
      <c r="T359">
        <v>32</v>
      </c>
    </row>
    <row r="360" spans="1:20" x14ac:dyDescent="0.35">
      <c r="A360">
        <v>359</v>
      </c>
      <c r="B360" s="1">
        <v>40559</v>
      </c>
      <c r="C360">
        <v>1</v>
      </c>
      <c r="D360">
        <v>0</v>
      </c>
      <c r="E360">
        <v>1</v>
      </c>
      <c r="F360" t="str">
        <f>IF(final_data786[[#This Row],[MONTH_CODE]]=1,"JANUARY",IF(final_data786[[#This Row],[MONTH_CODE]]=2,"FEBRUARY"))</f>
        <v>JANUARY</v>
      </c>
      <c r="G360">
        <v>10</v>
      </c>
      <c r="H360">
        <v>0</v>
      </c>
      <c r="I360">
        <v>0</v>
      </c>
      <c r="J3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0" t="str">
        <f>IF(final_data786[[#This Row],[DAY_CODE]]=0,"weekend",IF(final_data786[[#This Row],[DAY_CODE]]=6,"weekend","weekday"))</f>
        <v>weekend</v>
      </c>
      <c r="L360">
        <v>1</v>
      </c>
      <c r="M360" t="str">
        <f>IF(final_data786[[#This Row],[WEATHER_CODE]]=1,"clear",IF(final_data786[[#This Row],[WEATHER_CODE]]=2,"cloudy",IF(final_data786[[#This Row],[WEATHER_CODE]]=3,"light rain",IF(final_data786[[#This Row],[WEATHER_CODE]]=4,"heavy rain",0))))</f>
        <v>clear</v>
      </c>
      <c r="N360">
        <v>0.22</v>
      </c>
      <c r="O360">
        <v>0.21210000000000001</v>
      </c>
      <c r="P360">
        <v>0.51</v>
      </c>
      <c r="Q360">
        <v>0.28360000000000002</v>
      </c>
      <c r="R360">
        <v>8</v>
      </c>
      <c r="S360">
        <v>71</v>
      </c>
      <c r="T360">
        <v>79</v>
      </c>
    </row>
    <row r="361" spans="1:20" x14ac:dyDescent="0.35">
      <c r="A361">
        <v>360</v>
      </c>
      <c r="B361" s="1">
        <v>40559</v>
      </c>
      <c r="C361">
        <v>1</v>
      </c>
      <c r="D361">
        <v>0</v>
      </c>
      <c r="E361">
        <v>1</v>
      </c>
      <c r="F361" t="str">
        <f>IF(final_data786[[#This Row],[MONTH_CODE]]=1,"JANUARY",IF(final_data786[[#This Row],[MONTH_CODE]]=2,"FEBRUARY"))</f>
        <v>JANUARY</v>
      </c>
      <c r="G361">
        <v>11</v>
      </c>
      <c r="H361">
        <v>0</v>
      </c>
      <c r="I361">
        <v>0</v>
      </c>
      <c r="J3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1" t="str">
        <f>IF(final_data786[[#This Row],[DAY_CODE]]=0,"weekend",IF(final_data786[[#This Row],[DAY_CODE]]=6,"weekend","weekday"))</f>
        <v>weekend</v>
      </c>
      <c r="L361">
        <v>1</v>
      </c>
      <c r="M361" t="str">
        <f>IF(final_data786[[#This Row],[WEATHER_CODE]]=1,"clear",IF(final_data786[[#This Row],[WEATHER_CODE]]=2,"cloudy",IF(final_data786[[#This Row],[WEATHER_CODE]]=3,"light rain",IF(final_data786[[#This Row],[WEATHER_CODE]]=4,"heavy rain",0))))</f>
        <v>clear</v>
      </c>
      <c r="N361">
        <v>0.24</v>
      </c>
      <c r="O361">
        <v>0.2273</v>
      </c>
      <c r="P361">
        <v>0.44</v>
      </c>
      <c r="Q361">
        <v>0.25369999999999998</v>
      </c>
      <c r="R361">
        <v>23</v>
      </c>
      <c r="S361">
        <v>70</v>
      </c>
      <c r="T361">
        <v>93</v>
      </c>
    </row>
    <row r="362" spans="1:20" x14ac:dyDescent="0.35">
      <c r="A362">
        <v>361</v>
      </c>
      <c r="B362" s="1">
        <v>40559</v>
      </c>
      <c r="C362">
        <v>1</v>
      </c>
      <c r="D362">
        <v>0</v>
      </c>
      <c r="E362">
        <v>1</v>
      </c>
      <c r="F362" t="str">
        <f>IF(final_data786[[#This Row],[MONTH_CODE]]=1,"JANUARY",IF(final_data786[[#This Row],[MONTH_CODE]]=2,"FEBRUARY"))</f>
        <v>JANUARY</v>
      </c>
      <c r="G362">
        <v>12</v>
      </c>
      <c r="H362">
        <v>0</v>
      </c>
      <c r="I362">
        <v>0</v>
      </c>
      <c r="J3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2" t="str">
        <f>IF(final_data786[[#This Row],[DAY_CODE]]=0,"weekend",IF(final_data786[[#This Row],[DAY_CODE]]=6,"weekend","weekday"))</f>
        <v>weekend</v>
      </c>
      <c r="L362">
        <v>1</v>
      </c>
      <c r="M362" t="str">
        <f>IF(final_data786[[#This Row],[WEATHER_CODE]]=1,"clear",IF(final_data786[[#This Row],[WEATHER_CODE]]=2,"cloudy",IF(final_data786[[#This Row],[WEATHER_CODE]]=3,"light rain",IF(final_data786[[#This Row],[WEATHER_CODE]]=4,"heavy rain",0))))</f>
        <v>clear</v>
      </c>
      <c r="N362">
        <v>0.24</v>
      </c>
      <c r="O362">
        <v>0.21210000000000001</v>
      </c>
      <c r="P362">
        <v>0.41</v>
      </c>
      <c r="Q362">
        <v>0.28360000000000002</v>
      </c>
      <c r="R362">
        <v>29</v>
      </c>
      <c r="S362">
        <v>75</v>
      </c>
      <c r="T362">
        <v>104</v>
      </c>
    </row>
    <row r="363" spans="1:20" x14ac:dyDescent="0.35">
      <c r="A363">
        <v>362</v>
      </c>
      <c r="B363" s="1">
        <v>40559</v>
      </c>
      <c r="C363">
        <v>1</v>
      </c>
      <c r="D363">
        <v>0</v>
      </c>
      <c r="E363">
        <v>1</v>
      </c>
      <c r="F363" t="str">
        <f>IF(final_data786[[#This Row],[MONTH_CODE]]=1,"JANUARY",IF(final_data786[[#This Row],[MONTH_CODE]]=2,"FEBRUARY"))</f>
        <v>JANUARY</v>
      </c>
      <c r="G363">
        <v>13</v>
      </c>
      <c r="H363">
        <v>0</v>
      </c>
      <c r="I363">
        <v>0</v>
      </c>
      <c r="J3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3" t="str">
        <f>IF(final_data786[[#This Row],[DAY_CODE]]=0,"weekend",IF(final_data786[[#This Row],[DAY_CODE]]=6,"weekend","weekday"))</f>
        <v>weekend</v>
      </c>
      <c r="L363">
        <v>1</v>
      </c>
      <c r="M363" t="str">
        <f>IF(final_data786[[#This Row],[WEATHER_CODE]]=1,"clear",IF(final_data786[[#This Row],[WEATHER_CODE]]=2,"cloudy",IF(final_data786[[#This Row],[WEATHER_CODE]]=3,"light rain",IF(final_data786[[#This Row],[WEATHER_CODE]]=4,"heavy rain",0))))</f>
        <v>clear</v>
      </c>
      <c r="N363">
        <v>0.26</v>
      </c>
      <c r="O363">
        <v>0.2273</v>
      </c>
      <c r="P363">
        <v>0.35</v>
      </c>
      <c r="Q363">
        <v>0.29849999999999999</v>
      </c>
      <c r="R363">
        <v>23</v>
      </c>
      <c r="S363">
        <v>95</v>
      </c>
      <c r="T363">
        <v>118</v>
      </c>
    </row>
    <row r="364" spans="1:20" x14ac:dyDescent="0.35">
      <c r="A364">
        <v>363</v>
      </c>
      <c r="B364" s="1">
        <v>40559</v>
      </c>
      <c r="C364">
        <v>1</v>
      </c>
      <c r="D364">
        <v>0</v>
      </c>
      <c r="E364">
        <v>1</v>
      </c>
      <c r="F364" t="str">
        <f>IF(final_data786[[#This Row],[MONTH_CODE]]=1,"JANUARY",IF(final_data786[[#This Row],[MONTH_CODE]]=2,"FEBRUARY"))</f>
        <v>JANUARY</v>
      </c>
      <c r="G364">
        <v>14</v>
      </c>
      <c r="H364">
        <v>0</v>
      </c>
      <c r="I364">
        <v>0</v>
      </c>
      <c r="J3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4" t="str">
        <f>IF(final_data786[[#This Row],[DAY_CODE]]=0,"weekend",IF(final_data786[[#This Row],[DAY_CODE]]=6,"weekend","weekday"))</f>
        <v>weekend</v>
      </c>
      <c r="L364">
        <v>1</v>
      </c>
      <c r="M364" t="str">
        <f>IF(final_data786[[#This Row],[WEATHER_CODE]]=1,"clear",IF(final_data786[[#This Row],[WEATHER_CODE]]=2,"cloudy",IF(final_data786[[#This Row],[WEATHER_CODE]]=3,"light rain",IF(final_data786[[#This Row],[WEATHER_CODE]]=4,"heavy rain",0))))</f>
        <v>clear</v>
      </c>
      <c r="N364">
        <v>0.28000000000000003</v>
      </c>
      <c r="O364">
        <v>0.2727</v>
      </c>
      <c r="P364">
        <v>0.36</v>
      </c>
      <c r="Q364">
        <v>0.25369999999999998</v>
      </c>
      <c r="R364">
        <v>22</v>
      </c>
      <c r="S364">
        <v>69</v>
      </c>
      <c r="T364">
        <v>91</v>
      </c>
    </row>
    <row r="365" spans="1:20" x14ac:dyDescent="0.35">
      <c r="A365">
        <v>364</v>
      </c>
      <c r="B365" s="1">
        <v>40559</v>
      </c>
      <c r="C365">
        <v>1</v>
      </c>
      <c r="D365">
        <v>0</v>
      </c>
      <c r="E365">
        <v>1</v>
      </c>
      <c r="F365" t="str">
        <f>IF(final_data786[[#This Row],[MONTH_CODE]]=1,"JANUARY",IF(final_data786[[#This Row],[MONTH_CODE]]=2,"FEBRUARY"))</f>
        <v>JANUARY</v>
      </c>
      <c r="G365">
        <v>15</v>
      </c>
      <c r="H365">
        <v>0</v>
      </c>
      <c r="I365">
        <v>0</v>
      </c>
      <c r="J3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5" t="str">
        <f>IF(final_data786[[#This Row],[DAY_CODE]]=0,"weekend",IF(final_data786[[#This Row],[DAY_CODE]]=6,"weekend","weekday"))</f>
        <v>weekend</v>
      </c>
      <c r="L365">
        <v>1</v>
      </c>
      <c r="M365" t="str">
        <f>IF(final_data786[[#This Row],[WEATHER_CODE]]=1,"clear",IF(final_data786[[#This Row],[WEATHER_CODE]]=2,"cloudy",IF(final_data786[[#This Row],[WEATHER_CODE]]=3,"light rain",IF(final_data786[[#This Row],[WEATHER_CODE]]=4,"heavy rain",0))))</f>
        <v>clear</v>
      </c>
      <c r="N365">
        <v>0.26</v>
      </c>
      <c r="O365">
        <v>0.2424</v>
      </c>
      <c r="P365">
        <v>0.38</v>
      </c>
      <c r="Q365">
        <v>0.25369999999999998</v>
      </c>
      <c r="R365">
        <v>35</v>
      </c>
      <c r="S365">
        <v>78</v>
      </c>
      <c r="T365">
        <v>113</v>
      </c>
    </row>
    <row r="366" spans="1:20" x14ac:dyDescent="0.35">
      <c r="A366">
        <v>365</v>
      </c>
      <c r="B366" s="1">
        <v>40559</v>
      </c>
      <c r="C366">
        <v>1</v>
      </c>
      <c r="D366">
        <v>0</v>
      </c>
      <c r="E366">
        <v>1</v>
      </c>
      <c r="F366" t="str">
        <f>IF(final_data786[[#This Row],[MONTH_CODE]]=1,"JANUARY",IF(final_data786[[#This Row],[MONTH_CODE]]=2,"FEBRUARY"))</f>
        <v>JANUARY</v>
      </c>
      <c r="G366">
        <v>16</v>
      </c>
      <c r="H366">
        <v>0</v>
      </c>
      <c r="I366">
        <v>0</v>
      </c>
      <c r="J3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6" t="str">
        <f>IF(final_data786[[#This Row],[DAY_CODE]]=0,"weekend",IF(final_data786[[#This Row],[DAY_CODE]]=6,"weekend","weekday"))</f>
        <v>weekend</v>
      </c>
      <c r="L366">
        <v>1</v>
      </c>
      <c r="M366" t="str">
        <f>IF(final_data786[[#This Row],[WEATHER_CODE]]=1,"clear",IF(final_data786[[#This Row],[WEATHER_CODE]]=2,"cloudy",IF(final_data786[[#This Row],[WEATHER_CODE]]=3,"light rain",IF(final_data786[[#This Row],[WEATHER_CODE]]=4,"heavy rain",0))))</f>
        <v>clear</v>
      </c>
      <c r="N366">
        <v>0.24</v>
      </c>
      <c r="O366">
        <v>0.2273</v>
      </c>
      <c r="P366">
        <v>0.38</v>
      </c>
      <c r="Q366">
        <v>0.22389999999999999</v>
      </c>
      <c r="R366">
        <v>22</v>
      </c>
      <c r="S366">
        <v>77</v>
      </c>
      <c r="T366">
        <v>99</v>
      </c>
    </row>
    <row r="367" spans="1:20" x14ac:dyDescent="0.35">
      <c r="A367">
        <v>366</v>
      </c>
      <c r="B367" s="1">
        <v>40559</v>
      </c>
      <c r="C367">
        <v>1</v>
      </c>
      <c r="D367">
        <v>0</v>
      </c>
      <c r="E367">
        <v>1</v>
      </c>
      <c r="F367" t="str">
        <f>IF(final_data786[[#This Row],[MONTH_CODE]]=1,"JANUARY",IF(final_data786[[#This Row],[MONTH_CODE]]=2,"FEBRUARY"))</f>
        <v>JANUARY</v>
      </c>
      <c r="G367">
        <v>17</v>
      </c>
      <c r="H367">
        <v>0</v>
      </c>
      <c r="I367">
        <v>0</v>
      </c>
      <c r="J3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7" t="str">
        <f>IF(final_data786[[#This Row],[DAY_CODE]]=0,"weekend",IF(final_data786[[#This Row],[DAY_CODE]]=6,"weekend","weekday"))</f>
        <v>weekend</v>
      </c>
      <c r="L367">
        <v>1</v>
      </c>
      <c r="M367" t="str">
        <f>IF(final_data786[[#This Row],[WEATHER_CODE]]=1,"clear",IF(final_data786[[#This Row],[WEATHER_CODE]]=2,"cloudy",IF(final_data786[[#This Row],[WEATHER_CODE]]=3,"light rain",IF(final_data786[[#This Row],[WEATHER_CODE]]=4,"heavy rain",0))))</f>
        <v>clear</v>
      </c>
      <c r="N367">
        <v>0.22</v>
      </c>
      <c r="O367">
        <v>0.21210000000000001</v>
      </c>
      <c r="P367">
        <v>0.37</v>
      </c>
      <c r="Q367">
        <v>0.25369999999999998</v>
      </c>
      <c r="R367">
        <v>23</v>
      </c>
      <c r="S367">
        <v>82</v>
      </c>
      <c r="T367">
        <v>105</v>
      </c>
    </row>
    <row r="368" spans="1:20" x14ac:dyDescent="0.35">
      <c r="A368">
        <v>367</v>
      </c>
      <c r="B368" s="1">
        <v>40559</v>
      </c>
      <c r="C368">
        <v>1</v>
      </c>
      <c r="D368">
        <v>0</v>
      </c>
      <c r="E368">
        <v>1</v>
      </c>
      <c r="F368" t="str">
        <f>IF(final_data786[[#This Row],[MONTH_CODE]]=1,"JANUARY",IF(final_data786[[#This Row],[MONTH_CODE]]=2,"FEBRUARY"))</f>
        <v>JANUARY</v>
      </c>
      <c r="G368">
        <v>18</v>
      </c>
      <c r="H368">
        <v>0</v>
      </c>
      <c r="I368">
        <v>0</v>
      </c>
      <c r="J3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8" t="str">
        <f>IF(final_data786[[#This Row],[DAY_CODE]]=0,"weekend",IF(final_data786[[#This Row],[DAY_CODE]]=6,"weekend","weekday"))</f>
        <v>weekend</v>
      </c>
      <c r="L368">
        <v>1</v>
      </c>
      <c r="M368" t="str">
        <f>IF(final_data786[[#This Row],[WEATHER_CODE]]=1,"clear",IF(final_data786[[#This Row],[WEATHER_CODE]]=2,"cloudy",IF(final_data786[[#This Row],[WEATHER_CODE]]=3,"light rain",IF(final_data786[[#This Row],[WEATHER_CODE]]=4,"heavy rain",0))))</f>
        <v>clear</v>
      </c>
      <c r="N368">
        <v>0.2</v>
      </c>
      <c r="O368">
        <v>0.21210000000000001</v>
      </c>
      <c r="P368">
        <v>0.4</v>
      </c>
      <c r="Q368">
        <v>0.16420000000000001</v>
      </c>
      <c r="R368">
        <v>11</v>
      </c>
      <c r="S368">
        <v>56</v>
      </c>
      <c r="T368">
        <v>67</v>
      </c>
    </row>
    <row r="369" spans="1:20" x14ac:dyDescent="0.35">
      <c r="A369">
        <v>368</v>
      </c>
      <c r="B369" s="1">
        <v>40559</v>
      </c>
      <c r="C369">
        <v>1</v>
      </c>
      <c r="D369">
        <v>0</v>
      </c>
      <c r="E369">
        <v>1</v>
      </c>
      <c r="F369" t="str">
        <f>IF(final_data786[[#This Row],[MONTH_CODE]]=1,"JANUARY",IF(final_data786[[#This Row],[MONTH_CODE]]=2,"FEBRUARY"))</f>
        <v>JANUARY</v>
      </c>
      <c r="G369">
        <v>19</v>
      </c>
      <c r="H369">
        <v>0</v>
      </c>
      <c r="I369">
        <v>0</v>
      </c>
      <c r="J3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69" t="str">
        <f>IF(final_data786[[#This Row],[DAY_CODE]]=0,"weekend",IF(final_data786[[#This Row],[DAY_CODE]]=6,"weekend","weekday"))</f>
        <v>weekend</v>
      </c>
      <c r="L369">
        <v>1</v>
      </c>
      <c r="M369" t="str">
        <f>IF(final_data786[[#This Row],[WEATHER_CODE]]=1,"clear",IF(final_data786[[#This Row],[WEATHER_CODE]]=2,"cloudy",IF(final_data786[[#This Row],[WEATHER_CODE]]=3,"light rain",IF(final_data786[[#This Row],[WEATHER_CODE]]=4,"heavy rain",0))))</f>
        <v>clear</v>
      </c>
      <c r="N369">
        <v>0.18</v>
      </c>
      <c r="O369">
        <v>0.19700000000000001</v>
      </c>
      <c r="P369">
        <v>0.47</v>
      </c>
      <c r="Q369">
        <v>0.1343</v>
      </c>
      <c r="R369">
        <v>14</v>
      </c>
      <c r="S369">
        <v>47</v>
      </c>
      <c r="T369">
        <v>61</v>
      </c>
    </row>
    <row r="370" spans="1:20" x14ac:dyDescent="0.35">
      <c r="A370">
        <v>369</v>
      </c>
      <c r="B370" s="1">
        <v>40559</v>
      </c>
      <c r="C370">
        <v>1</v>
      </c>
      <c r="D370">
        <v>0</v>
      </c>
      <c r="E370">
        <v>1</v>
      </c>
      <c r="F370" t="str">
        <f>IF(final_data786[[#This Row],[MONTH_CODE]]=1,"JANUARY",IF(final_data786[[#This Row],[MONTH_CODE]]=2,"FEBRUARY"))</f>
        <v>JANUARY</v>
      </c>
      <c r="G370">
        <v>20</v>
      </c>
      <c r="H370">
        <v>0</v>
      </c>
      <c r="I370">
        <v>0</v>
      </c>
      <c r="J3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70" t="str">
        <f>IF(final_data786[[#This Row],[DAY_CODE]]=0,"weekend",IF(final_data786[[#This Row],[DAY_CODE]]=6,"weekend","weekday"))</f>
        <v>weekend</v>
      </c>
      <c r="L370">
        <v>1</v>
      </c>
      <c r="M370" t="str">
        <f>IF(final_data786[[#This Row],[WEATHER_CODE]]=1,"clear",IF(final_data786[[#This Row],[WEATHER_CODE]]=2,"cloudy",IF(final_data786[[#This Row],[WEATHER_CODE]]=3,"light rain",IF(final_data786[[#This Row],[WEATHER_CODE]]=4,"heavy rain",0))))</f>
        <v>clear</v>
      </c>
      <c r="N370">
        <v>0.18</v>
      </c>
      <c r="O370">
        <v>0.19700000000000001</v>
      </c>
      <c r="P370">
        <v>0.47</v>
      </c>
      <c r="Q370">
        <v>0.16420000000000001</v>
      </c>
      <c r="R370">
        <v>7</v>
      </c>
      <c r="S370">
        <v>50</v>
      </c>
      <c r="T370">
        <v>57</v>
      </c>
    </row>
    <row r="371" spans="1:20" x14ac:dyDescent="0.35">
      <c r="A371">
        <v>370</v>
      </c>
      <c r="B371" s="1">
        <v>40559</v>
      </c>
      <c r="C371">
        <v>1</v>
      </c>
      <c r="D371">
        <v>0</v>
      </c>
      <c r="E371">
        <v>1</v>
      </c>
      <c r="F371" t="str">
        <f>IF(final_data786[[#This Row],[MONTH_CODE]]=1,"JANUARY",IF(final_data786[[#This Row],[MONTH_CODE]]=2,"FEBRUARY"))</f>
        <v>JANUARY</v>
      </c>
      <c r="G371">
        <v>21</v>
      </c>
      <c r="H371">
        <v>0</v>
      </c>
      <c r="I371">
        <v>0</v>
      </c>
      <c r="J3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71" t="str">
        <f>IF(final_data786[[#This Row],[DAY_CODE]]=0,"weekend",IF(final_data786[[#This Row],[DAY_CODE]]=6,"weekend","weekday"))</f>
        <v>weekend</v>
      </c>
      <c r="L371">
        <v>1</v>
      </c>
      <c r="M371" t="str">
        <f>IF(final_data786[[#This Row],[WEATHER_CODE]]=1,"clear",IF(final_data786[[#This Row],[WEATHER_CODE]]=2,"cloudy",IF(final_data786[[#This Row],[WEATHER_CODE]]=3,"light rain",IF(final_data786[[#This Row],[WEATHER_CODE]]=4,"heavy rain",0))))</f>
        <v>clear</v>
      </c>
      <c r="N371">
        <v>0.18</v>
      </c>
      <c r="O371">
        <v>0.19700000000000001</v>
      </c>
      <c r="P371">
        <v>0.51</v>
      </c>
      <c r="Q371">
        <v>0.16420000000000001</v>
      </c>
      <c r="R371">
        <v>6</v>
      </c>
      <c r="S371">
        <v>22</v>
      </c>
      <c r="T371">
        <v>28</v>
      </c>
    </row>
    <row r="372" spans="1:20" x14ac:dyDescent="0.35">
      <c r="A372">
        <v>371</v>
      </c>
      <c r="B372" s="1">
        <v>40559</v>
      </c>
      <c r="C372">
        <v>1</v>
      </c>
      <c r="D372">
        <v>0</v>
      </c>
      <c r="E372">
        <v>1</v>
      </c>
      <c r="F372" t="str">
        <f>IF(final_data786[[#This Row],[MONTH_CODE]]=1,"JANUARY",IF(final_data786[[#This Row],[MONTH_CODE]]=2,"FEBRUARY"))</f>
        <v>JANUARY</v>
      </c>
      <c r="G372">
        <v>22</v>
      </c>
      <c r="H372">
        <v>0</v>
      </c>
      <c r="I372">
        <v>0</v>
      </c>
      <c r="J3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72" t="str">
        <f>IF(final_data786[[#This Row],[DAY_CODE]]=0,"weekend",IF(final_data786[[#This Row],[DAY_CODE]]=6,"weekend","weekday"))</f>
        <v>weekend</v>
      </c>
      <c r="L372">
        <v>2</v>
      </c>
      <c r="M372" t="str">
        <f>IF(final_data786[[#This Row],[WEATHER_CODE]]=1,"clear",IF(final_data786[[#This Row],[WEATHER_CODE]]=2,"cloudy",IF(final_data786[[#This Row],[WEATHER_CODE]]=3,"light rain",IF(final_data786[[#This Row],[WEATHER_CODE]]=4,"heavy rain",0))))</f>
        <v>cloudy</v>
      </c>
      <c r="N372">
        <v>0.2</v>
      </c>
      <c r="O372">
        <v>0.21210000000000001</v>
      </c>
      <c r="P372">
        <v>0.49</v>
      </c>
      <c r="Q372">
        <v>0.1343</v>
      </c>
      <c r="R372">
        <v>2</v>
      </c>
      <c r="S372">
        <v>19</v>
      </c>
      <c r="T372">
        <v>21</v>
      </c>
    </row>
    <row r="373" spans="1:20" x14ac:dyDescent="0.35">
      <c r="A373">
        <v>372</v>
      </c>
      <c r="B373" s="1">
        <v>40559</v>
      </c>
      <c r="C373">
        <v>1</v>
      </c>
      <c r="D373">
        <v>0</v>
      </c>
      <c r="E373">
        <v>1</v>
      </c>
      <c r="F373" t="str">
        <f>IF(final_data786[[#This Row],[MONTH_CODE]]=1,"JANUARY",IF(final_data786[[#This Row],[MONTH_CODE]]=2,"FEBRUARY"))</f>
        <v>JANUARY</v>
      </c>
      <c r="G373">
        <v>23</v>
      </c>
      <c r="H373">
        <v>0</v>
      </c>
      <c r="I373">
        <v>0</v>
      </c>
      <c r="J3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373" t="str">
        <f>IF(final_data786[[#This Row],[DAY_CODE]]=0,"weekend",IF(final_data786[[#This Row],[DAY_CODE]]=6,"weekend","weekday"))</f>
        <v>weekend</v>
      </c>
      <c r="L373">
        <v>2</v>
      </c>
      <c r="M373" t="str">
        <f>IF(final_data786[[#This Row],[WEATHER_CODE]]=1,"clear",IF(final_data786[[#This Row],[WEATHER_CODE]]=2,"cloudy",IF(final_data786[[#This Row],[WEATHER_CODE]]=3,"light rain",IF(final_data786[[#This Row],[WEATHER_CODE]]=4,"heavy rain",0))))</f>
        <v>cloudy</v>
      </c>
      <c r="N373">
        <v>0.2</v>
      </c>
      <c r="O373">
        <v>0.2273</v>
      </c>
      <c r="P373">
        <v>0.4</v>
      </c>
      <c r="Q373">
        <v>0.1045</v>
      </c>
      <c r="R373">
        <v>0</v>
      </c>
      <c r="S373">
        <v>18</v>
      </c>
      <c r="T373">
        <v>18</v>
      </c>
    </row>
    <row r="374" spans="1:20" x14ac:dyDescent="0.35">
      <c r="A374">
        <v>373</v>
      </c>
      <c r="B374" s="1">
        <v>40560</v>
      </c>
      <c r="C374">
        <v>1</v>
      </c>
      <c r="D374">
        <v>0</v>
      </c>
      <c r="E374">
        <v>1</v>
      </c>
      <c r="F374" t="str">
        <f>IF(final_data786[[#This Row],[MONTH_CODE]]=1,"JANUARY",IF(final_data786[[#This Row],[MONTH_CODE]]=2,"FEBRUARY"))</f>
        <v>JANUARY</v>
      </c>
      <c r="G374">
        <v>0</v>
      </c>
      <c r="H374">
        <v>1</v>
      </c>
      <c r="I374">
        <v>1</v>
      </c>
      <c r="J3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4" t="str">
        <f>IF(final_data786[[#This Row],[DAY_CODE]]=0,"weekend",IF(final_data786[[#This Row],[DAY_CODE]]=6,"weekend","weekday"))</f>
        <v>weekday</v>
      </c>
      <c r="L374">
        <v>2</v>
      </c>
      <c r="M374" t="str">
        <f>IF(final_data786[[#This Row],[WEATHER_CODE]]=1,"clear",IF(final_data786[[#This Row],[WEATHER_CODE]]=2,"cloudy",IF(final_data786[[#This Row],[WEATHER_CODE]]=3,"light rain",IF(final_data786[[#This Row],[WEATHER_CODE]]=4,"heavy rain",0))))</f>
        <v>cloudy</v>
      </c>
      <c r="N374">
        <v>0.2</v>
      </c>
      <c r="O374">
        <v>0.19700000000000001</v>
      </c>
      <c r="P374">
        <v>0.47</v>
      </c>
      <c r="Q374">
        <v>0.22389999999999999</v>
      </c>
      <c r="R374">
        <v>1</v>
      </c>
      <c r="S374">
        <v>16</v>
      </c>
      <c r="T374">
        <v>17</v>
      </c>
    </row>
    <row r="375" spans="1:20" x14ac:dyDescent="0.35">
      <c r="A375">
        <v>374</v>
      </c>
      <c r="B375" s="1">
        <v>40560</v>
      </c>
      <c r="C375">
        <v>1</v>
      </c>
      <c r="D375">
        <v>0</v>
      </c>
      <c r="E375">
        <v>1</v>
      </c>
      <c r="F375" t="str">
        <f>IF(final_data786[[#This Row],[MONTH_CODE]]=1,"JANUARY",IF(final_data786[[#This Row],[MONTH_CODE]]=2,"FEBRUARY"))</f>
        <v>JANUARY</v>
      </c>
      <c r="G375">
        <v>1</v>
      </c>
      <c r="H375">
        <v>1</v>
      </c>
      <c r="I375">
        <v>1</v>
      </c>
      <c r="J3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5" t="str">
        <f>IF(final_data786[[#This Row],[DAY_CODE]]=0,"weekend",IF(final_data786[[#This Row],[DAY_CODE]]=6,"weekend","weekday"))</f>
        <v>weekday</v>
      </c>
      <c r="L375">
        <v>2</v>
      </c>
      <c r="M375" t="str">
        <f>IF(final_data786[[#This Row],[WEATHER_CODE]]=1,"clear",IF(final_data786[[#This Row],[WEATHER_CODE]]=2,"cloudy",IF(final_data786[[#This Row],[WEATHER_CODE]]=3,"light rain",IF(final_data786[[#This Row],[WEATHER_CODE]]=4,"heavy rain",0))))</f>
        <v>cloudy</v>
      </c>
      <c r="N375">
        <v>0.2</v>
      </c>
      <c r="O375">
        <v>0.19700000000000001</v>
      </c>
      <c r="P375">
        <v>0.44</v>
      </c>
      <c r="Q375">
        <v>0.19400000000000001</v>
      </c>
      <c r="R375">
        <v>1</v>
      </c>
      <c r="S375">
        <v>15</v>
      </c>
      <c r="T375">
        <v>16</v>
      </c>
    </row>
    <row r="376" spans="1:20" x14ac:dyDescent="0.35">
      <c r="A376">
        <v>375</v>
      </c>
      <c r="B376" s="1">
        <v>40560</v>
      </c>
      <c r="C376">
        <v>1</v>
      </c>
      <c r="D376">
        <v>0</v>
      </c>
      <c r="E376">
        <v>1</v>
      </c>
      <c r="F376" t="str">
        <f>IF(final_data786[[#This Row],[MONTH_CODE]]=1,"JANUARY",IF(final_data786[[#This Row],[MONTH_CODE]]=2,"FEBRUARY"))</f>
        <v>JANUARY</v>
      </c>
      <c r="G376">
        <v>2</v>
      </c>
      <c r="H376">
        <v>1</v>
      </c>
      <c r="I376">
        <v>1</v>
      </c>
      <c r="J3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6" t="str">
        <f>IF(final_data786[[#This Row],[DAY_CODE]]=0,"weekend",IF(final_data786[[#This Row],[DAY_CODE]]=6,"weekend","weekday"))</f>
        <v>weekday</v>
      </c>
      <c r="L376">
        <v>2</v>
      </c>
      <c r="M376" t="str">
        <f>IF(final_data786[[#This Row],[WEATHER_CODE]]=1,"clear",IF(final_data786[[#This Row],[WEATHER_CODE]]=2,"cloudy",IF(final_data786[[#This Row],[WEATHER_CODE]]=3,"light rain",IF(final_data786[[#This Row],[WEATHER_CODE]]=4,"heavy rain",0))))</f>
        <v>cloudy</v>
      </c>
      <c r="N376">
        <v>0.18</v>
      </c>
      <c r="O376">
        <v>0.16669999999999999</v>
      </c>
      <c r="P376">
        <v>0.43</v>
      </c>
      <c r="Q376">
        <v>0.25369999999999998</v>
      </c>
      <c r="R376">
        <v>0</v>
      </c>
      <c r="S376">
        <v>8</v>
      </c>
      <c r="T376">
        <v>8</v>
      </c>
    </row>
    <row r="377" spans="1:20" x14ac:dyDescent="0.35">
      <c r="A377">
        <v>376</v>
      </c>
      <c r="B377" s="1">
        <v>40560</v>
      </c>
      <c r="C377">
        <v>1</v>
      </c>
      <c r="D377">
        <v>0</v>
      </c>
      <c r="E377">
        <v>1</v>
      </c>
      <c r="F377" t="str">
        <f>IF(final_data786[[#This Row],[MONTH_CODE]]=1,"JANUARY",IF(final_data786[[#This Row],[MONTH_CODE]]=2,"FEBRUARY"))</f>
        <v>JANUARY</v>
      </c>
      <c r="G377">
        <v>3</v>
      </c>
      <c r="H377">
        <v>1</v>
      </c>
      <c r="I377">
        <v>1</v>
      </c>
      <c r="J3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7" t="str">
        <f>IF(final_data786[[#This Row],[DAY_CODE]]=0,"weekend",IF(final_data786[[#This Row],[DAY_CODE]]=6,"weekend","weekday"))</f>
        <v>weekday</v>
      </c>
      <c r="L377">
        <v>2</v>
      </c>
      <c r="M377" t="str">
        <f>IF(final_data786[[#This Row],[WEATHER_CODE]]=1,"clear",IF(final_data786[[#This Row],[WEATHER_CODE]]=2,"cloudy",IF(final_data786[[#This Row],[WEATHER_CODE]]=3,"light rain",IF(final_data786[[#This Row],[WEATHER_CODE]]=4,"heavy rain",0))))</f>
        <v>cloudy</v>
      </c>
      <c r="N377">
        <v>0.18</v>
      </c>
      <c r="O377">
        <v>0.18179999999999999</v>
      </c>
      <c r="P377">
        <v>0.43</v>
      </c>
      <c r="Q377">
        <v>0.19400000000000001</v>
      </c>
      <c r="R377">
        <v>0</v>
      </c>
      <c r="S377">
        <v>2</v>
      </c>
      <c r="T377">
        <v>2</v>
      </c>
    </row>
    <row r="378" spans="1:20" x14ac:dyDescent="0.35">
      <c r="A378">
        <v>377</v>
      </c>
      <c r="B378" s="1">
        <v>40560</v>
      </c>
      <c r="C378">
        <v>1</v>
      </c>
      <c r="D378">
        <v>0</v>
      </c>
      <c r="E378">
        <v>1</v>
      </c>
      <c r="F378" t="str">
        <f>IF(final_data786[[#This Row],[MONTH_CODE]]=1,"JANUARY",IF(final_data786[[#This Row],[MONTH_CODE]]=2,"FEBRUARY"))</f>
        <v>JANUARY</v>
      </c>
      <c r="G378">
        <v>4</v>
      </c>
      <c r="H378">
        <v>1</v>
      </c>
      <c r="I378">
        <v>1</v>
      </c>
      <c r="J3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8" t="str">
        <f>IF(final_data786[[#This Row],[DAY_CODE]]=0,"weekend",IF(final_data786[[#This Row],[DAY_CODE]]=6,"weekend","weekday"))</f>
        <v>weekday</v>
      </c>
      <c r="L378">
        <v>2</v>
      </c>
      <c r="M378" t="str">
        <f>IF(final_data786[[#This Row],[WEATHER_CODE]]=1,"clear",IF(final_data786[[#This Row],[WEATHER_CODE]]=2,"cloudy",IF(final_data786[[#This Row],[WEATHER_CODE]]=3,"light rain",IF(final_data786[[#This Row],[WEATHER_CODE]]=4,"heavy rain",0))))</f>
        <v>cloudy</v>
      </c>
      <c r="N378">
        <v>0.18</v>
      </c>
      <c r="O378">
        <v>0.19700000000000001</v>
      </c>
      <c r="P378">
        <v>0.43</v>
      </c>
      <c r="Q378">
        <v>0.1343</v>
      </c>
      <c r="R378">
        <v>1</v>
      </c>
      <c r="S378">
        <v>2</v>
      </c>
      <c r="T378">
        <v>3</v>
      </c>
    </row>
    <row r="379" spans="1:20" x14ac:dyDescent="0.35">
      <c r="A379">
        <v>378</v>
      </c>
      <c r="B379" s="1">
        <v>40560</v>
      </c>
      <c r="C379">
        <v>1</v>
      </c>
      <c r="D379">
        <v>0</v>
      </c>
      <c r="E379">
        <v>1</v>
      </c>
      <c r="F379" t="str">
        <f>IF(final_data786[[#This Row],[MONTH_CODE]]=1,"JANUARY",IF(final_data786[[#This Row],[MONTH_CODE]]=2,"FEBRUARY"))</f>
        <v>JANUARY</v>
      </c>
      <c r="G379">
        <v>5</v>
      </c>
      <c r="H379">
        <v>1</v>
      </c>
      <c r="I379">
        <v>1</v>
      </c>
      <c r="J3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79" t="str">
        <f>IF(final_data786[[#This Row],[DAY_CODE]]=0,"weekend",IF(final_data786[[#This Row],[DAY_CODE]]=6,"weekend","weekday"))</f>
        <v>weekday</v>
      </c>
      <c r="L379">
        <v>2</v>
      </c>
      <c r="M379" t="str">
        <f>IF(final_data786[[#This Row],[WEATHER_CODE]]=1,"clear",IF(final_data786[[#This Row],[WEATHER_CODE]]=2,"cloudy",IF(final_data786[[#This Row],[WEATHER_CODE]]=3,"light rain",IF(final_data786[[#This Row],[WEATHER_CODE]]=4,"heavy rain",0))))</f>
        <v>cloudy</v>
      </c>
      <c r="N379">
        <v>0.18</v>
      </c>
      <c r="O379">
        <v>0.19700000000000001</v>
      </c>
      <c r="P379">
        <v>0.43</v>
      </c>
      <c r="Q379">
        <v>0.16420000000000001</v>
      </c>
      <c r="R379">
        <v>0</v>
      </c>
      <c r="S379">
        <v>1</v>
      </c>
      <c r="T379">
        <v>1</v>
      </c>
    </row>
    <row r="380" spans="1:20" x14ac:dyDescent="0.35">
      <c r="A380">
        <v>379</v>
      </c>
      <c r="B380" s="1">
        <v>40560</v>
      </c>
      <c r="C380">
        <v>1</v>
      </c>
      <c r="D380">
        <v>0</v>
      </c>
      <c r="E380">
        <v>1</v>
      </c>
      <c r="F380" t="str">
        <f>IF(final_data786[[#This Row],[MONTH_CODE]]=1,"JANUARY",IF(final_data786[[#This Row],[MONTH_CODE]]=2,"FEBRUARY"))</f>
        <v>JANUARY</v>
      </c>
      <c r="G380">
        <v>6</v>
      </c>
      <c r="H380">
        <v>1</v>
      </c>
      <c r="I380">
        <v>1</v>
      </c>
      <c r="J3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0" t="str">
        <f>IF(final_data786[[#This Row],[DAY_CODE]]=0,"weekend",IF(final_data786[[#This Row],[DAY_CODE]]=6,"weekend","weekday"))</f>
        <v>weekday</v>
      </c>
      <c r="L380">
        <v>2</v>
      </c>
      <c r="M380" t="str">
        <f>IF(final_data786[[#This Row],[WEATHER_CODE]]=1,"clear",IF(final_data786[[#This Row],[WEATHER_CODE]]=2,"cloudy",IF(final_data786[[#This Row],[WEATHER_CODE]]=3,"light rain",IF(final_data786[[#This Row],[WEATHER_CODE]]=4,"heavy rain",0))))</f>
        <v>cloudy</v>
      </c>
      <c r="N380">
        <v>0.18</v>
      </c>
      <c r="O380">
        <v>0.18179999999999999</v>
      </c>
      <c r="P380">
        <v>0.43</v>
      </c>
      <c r="Q380">
        <v>0.19400000000000001</v>
      </c>
      <c r="R380">
        <v>0</v>
      </c>
      <c r="S380">
        <v>5</v>
      </c>
      <c r="T380">
        <v>5</v>
      </c>
    </row>
    <row r="381" spans="1:20" x14ac:dyDescent="0.35">
      <c r="A381">
        <v>380</v>
      </c>
      <c r="B381" s="1">
        <v>40560</v>
      </c>
      <c r="C381">
        <v>1</v>
      </c>
      <c r="D381">
        <v>0</v>
      </c>
      <c r="E381">
        <v>1</v>
      </c>
      <c r="F381" t="str">
        <f>IF(final_data786[[#This Row],[MONTH_CODE]]=1,"JANUARY",IF(final_data786[[#This Row],[MONTH_CODE]]=2,"FEBRUARY"))</f>
        <v>JANUARY</v>
      </c>
      <c r="G381">
        <v>7</v>
      </c>
      <c r="H381">
        <v>1</v>
      </c>
      <c r="I381">
        <v>1</v>
      </c>
      <c r="J3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1" t="str">
        <f>IF(final_data786[[#This Row],[DAY_CODE]]=0,"weekend",IF(final_data786[[#This Row],[DAY_CODE]]=6,"weekend","weekday"))</f>
        <v>weekday</v>
      </c>
      <c r="L381">
        <v>2</v>
      </c>
      <c r="M381" t="str">
        <f>IF(final_data786[[#This Row],[WEATHER_CODE]]=1,"clear",IF(final_data786[[#This Row],[WEATHER_CODE]]=2,"cloudy",IF(final_data786[[#This Row],[WEATHER_CODE]]=3,"light rain",IF(final_data786[[#This Row],[WEATHER_CODE]]=4,"heavy rain",0))))</f>
        <v>cloudy</v>
      </c>
      <c r="N381">
        <v>0.16</v>
      </c>
      <c r="O381">
        <v>0.18179999999999999</v>
      </c>
      <c r="P381">
        <v>0.5</v>
      </c>
      <c r="Q381">
        <v>0.1343</v>
      </c>
      <c r="R381">
        <v>4</v>
      </c>
      <c r="S381">
        <v>9</v>
      </c>
      <c r="T381">
        <v>13</v>
      </c>
    </row>
    <row r="382" spans="1:20" x14ac:dyDescent="0.35">
      <c r="A382">
        <v>381</v>
      </c>
      <c r="B382" s="1">
        <v>40560</v>
      </c>
      <c r="C382">
        <v>1</v>
      </c>
      <c r="D382">
        <v>0</v>
      </c>
      <c r="E382">
        <v>1</v>
      </c>
      <c r="F382" t="str">
        <f>IF(final_data786[[#This Row],[MONTH_CODE]]=1,"JANUARY",IF(final_data786[[#This Row],[MONTH_CODE]]=2,"FEBRUARY"))</f>
        <v>JANUARY</v>
      </c>
      <c r="G382">
        <v>8</v>
      </c>
      <c r="H382">
        <v>1</v>
      </c>
      <c r="I382">
        <v>1</v>
      </c>
      <c r="J3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2" t="str">
        <f>IF(final_data786[[#This Row],[DAY_CODE]]=0,"weekend",IF(final_data786[[#This Row],[DAY_CODE]]=6,"weekend","weekday"))</f>
        <v>weekday</v>
      </c>
      <c r="L382">
        <v>2</v>
      </c>
      <c r="M382" t="str">
        <f>IF(final_data786[[#This Row],[WEATHER_CODE]]=1,"clear",IF(final_data786[[#This Row],[WEATHER_CODE]]=2,"cloudy",IF(final_data786[[#This Row],[WEATHER_CODE]]=3,"light rain",IF(final_data786[[#This Row],[WEATHER_CODE]]=4,"heavy rain",0))))</f>
        <v>cloudy</v>
      </c>
      <c r="N382">
        <v>0.16</v>
      </c>
      <c r="O382">
        <v>0.1515</v>
      </c>
      <c r="P382">
        <v>0.47</v>
      </c>
      <c r="Q382">
        <v>0.22389999999999999</v>
      </c>
      <c r="R382">
        <v>3</v>
      </c>
      <c r="S382">
        <v>30</v>
      </c>
      <c r="T382">
        <v>33</v>
      </c>
    </row>
    <row r="383" spans="1:20" x14ac:dyDescent="0.35">
      <c r="A383">
        <v>382</v>
      </c>
      <c r="B383" s="1">
        <v>40560</v>
      </c>
      <c r="C383">
        <v>1</v>
      </c>
      <c r="D383">
        <v>0</v>
      </c>
      <c r="E383">
        <v>1</v>
      </c>
      <c r="F383" t="str">
        <f>IF(final_data786[[#This Row],[MONTH_CODE]]=1,"JANUARY",IF(final_data786[[#This Row],[MONTH_CODE]]=2,"FEBRUARY"))</f>
        <v>JANUARY</v>
      </c>
      <c r="G383">
        <v>9</v>
      </c>
      <c r="H383">
        <v>1</v>
      </c>
      <c r="I383">
        <v>1</v>
      </c>
      <c r="J3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3" t="str">
        <f>IF(final_data786[[#This Row],[DAY_CODE]]=0,"weekend",IF(final_data786[[#This Row],[DAY_CODE]]=6,"weekend","weekday"))</f>
        <v>weekday</v>
      </c>
      <c r="L383">
        <v>2</v>
      </c>
      <c r="M383" t="str">
        <f>IF(final_data786[[#This Row],[WEATHER_CODE]]=1,"clear",IF(final_data786[[#This Row],[WEATHER_CODE]]=2,"cloudy",IF(final_data786[[#This Row],[WEATHER_CODE]]=3,"light rain",IF(final_data786[[#This Row],[WEATHER_CODE]]=4,"heavy rain",0))))</f>
        <v>cloudy</v>
      </c>
      <c r="N383">
        <v>0.16</v>
      </c>
      <c r="O383">
        <v>0.1515</v>
      </c>
      <c r="P383">
        <v>0.47</v>
      </c>
      <c r="Q383">
        <v>0.22389999999999999</v>
      </c>
      <c r="R383">
        <v>8</v>
      </c>
      <c r="S383">
        <v>39</v>
      </c>
      <c r="T383">
        <v>47</v>
      </c>
    </row>
    <row r="384" spans="1:20" x14ac:dyDescent="0.35">
      <c r="A384">
        <v>383</v>
      </c>
      <c r="B384" s="1">
        <v>40560</v>
      </c>
      <c r="C384">
        <v>1</v>
      </c>
      <c r="D384">
        <v>0</v>
      </c>
      <c r="E384">
        <v>1</v>
      </c>
      <c r="F384" t="str">
        <f>IF(final_data786[[#This Row],[MONTH_CODE]]=1,"JANUARY",IF(final_data786[[#This Row],[MONTH_CODE]]=2,"FEBRUARY"))</f>
        <v>JANUARY</v>
      </c>
      <c r="G384">
        <v>10</v>
      </c>
      <c r="H384">
        <v>1</v>
      </c>
      <c r="I384">
        <v>1</v>
      </c>
      <c r="J3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4" t="str">
        <f>IF(final_data786[[#This Row],[DAY_CODE]]=0,"weekend",IF(final_data786[[#This Row],[DAY_CODE]]=6,"weekend","weekday"))</f>
        <v>weekday</v>
      </c>
      <c r="L384">
        <v>2</v>
      </c>
      <c r="M384" t="str">
        <f>IF(final_data786[[#This Row],[WEATHER_CODE]]=1,"clear",IF(final_data786[[#This Row],[WEATHER_CODE]]=2,"cloudy",IF(final_data786[[#This Row],[WEATHER_CODE]]=3,"light rain",IF(final_data786[[#This Row],[WEATHER_CODE]]=4,"heavy rain",0))))</f>
        <v>cloudy</v>
      </c>
      <c r="N384">
        <v>0.16</v>
      </c>
      <c r="O384">
        <v>0.1515</v>
      </c>
      <c r="P384">
        <v>0.5</v>
      </c>
      <c r="Q384">
        <v>0.25369999999999998</v>
      </c>
      <c r="R384">
        <v>7</v>
      </c>
      <c r="S384">
        <v>50</v>
      </c>
      <c r="T384">
        <v>57</v>
      </c>
    </row>
    <row r="385" spans="1:20" x14ac:dyDescent="0.35">
      <c r="A385">
        <v>384</v>
      </c>
      <c r="B385" s="1">
        <v>40560</v>
      </c>
      <c r="C385">
        <v>1</v>
      </c>
      <c r="D385">
        <v>0</v>
      </c>
      <c r="E385">
        <v>1</v>
      </c>
      <c r="F385" t="str">
        <f>IF(final_data786[[#This Row],[MONTH_CODE]]=1,"JANUARY",IF(final_data786[[#This Row],[MONTH_CODE]]=2,"FEBRUARY"))</f>
        <v>JANUARY</v>
      </c>
      <c r="G385">
        <v>11</v>
      </c>
      <c r="H385">
        <v>1</v>
      </c>
      <c r="I385">
        <v>1</v>
      </c>
      <c r="J3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5" t="str">
        <f>IF(final_data786[[#This Row],[DAY_CODE]]=0,"weekend",IF(final_data786[[#This Row],[DAY_CODE]]=6,"weekend","weekday"))</f>
        <v>weekday</v>
      </c>
      <c r="L385">
        <v>2</v>
      </c>
      <c r="M385" t="str">
        <f>IF(final_data786[[#This Row],[WEATHER_CODE]]=1,"clear",IF(final_data786[[#This Row],[WEATHER_CODE]]=2,"cloudy",IF(final_data786[[#This Row],[WEATHER_CODE]]=3,"light rain",IF(final_data786[[#This Row],[WEATHER_CODE]]=4,"heavy rain",0))))</f>
        <v>cloudy</v>
      </c>
      <c r="N385">
        <v>0.16</v>
      </c>
      <c r="O385">
        <v>0.1515</v>
      </c>
      <c r="P385">
        <v>0.55000000000000004</v>
      </c>
      <c r="Q385">
        <v>0.19400000000000001</v>
      </c>
      <c r="R385">
        <v>9</v>
      </c>
      <c r="S385">
        <v>55</v>
      </c>
      <c r="T385">
        <v>64</v>
      </c>
    </row>
    <row r="386" spans="1:20" x14ac:dyDescent="0.35">
      <c r="A386">
        <v>385</v>
      </c>
      <c r="B386" s="1">
        <v>40560</v>
      </c>
      <c r="C386">
        <v>1</v>
      </c>
      <c r="D386">
        <v>0</v>
      </c>
      <c r="E386">
        <v>1</v>
      </c>
      <c r="F386" t="str">
        <f>IF(final_data786[[#This Row],[MONTH_CODE]]=1,"JANUARY",IF(final_data786[[#This Row],[MONTH_CODE]]=2,"FEBRUARY"))</f>
        <v>JANUARY</v>
      </c>
      <c r="G386">
        <v>12</v>
      </c>
      <c r="H386">
        <v>1</v>
      </c>
      <c r="I386">
        <v>1</v>
      </c>
      <c r="J3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6" t="str">
        <f>IF(final_data786[[#This Row],[DAY_CODE]]=0,"weekend",IF(final_data786[[#This Row],[DAY_CODE]]=6,"weekend","weekday"))</f>
        <v>weekday</v>
      </c>
      <c r="L386">
        <v>2</v>
      </c>
      <c r="M386" t="str">
        <f>IF(final_data786[[#This Row],[WEATHER_CODE]]=1,"clear",IF(final_data786[[#This Row],[WEATHER_CODE]]=2,"cloudy",IF(final_data786[[#This Row],[WEATHER_CODE]]=3,"light rain",IF(final_data786[[#This Row],[WEATHER_CODE]]=4,"heavy rain",0))))</f>
        <v>cloudy</v>
      </c>
      <c r="N386">
        <v>0.18</v>
      </c>
      <c r="O386">
        <v>0.19700000000000001</v>
      </c>
      <c r="P386">
        <v>0.47</v>
      </c>
      <c r="Q386">
        <v>0.1343</v>
      </c>
      <c r="R386">
        <v>10</v>
      </c>
      <c r="S386">
        <v>70</v>
      </c>
      <c r="T386">
        <v>80</v>
      </c>
    </row>
    <row r="387" spans="1:20" x14ac:dyDescent="0.35">
      <c r="A387">
        <v>386</v>
      </c>
      <c r="B387" s="1">
        <v>40560</v>
      </c>
      <c r="C387">
        <v>1</v>
      </c>
      <c r="D387">
        <v>0</v>
      </c>
      <c r="E387">
        <v>1</v>
      </c>
      <c r="F387" t="str">
        <f>IF(final_data786[[#This Row],[MONTH_CODE]]=1,"JANUARY",IF(final_data786[[#This Row],[MONTH_CODE]]=2,"FEBRUARY"))</f>
        <v>JANUARY</v>
      </c>
      <c r="G387">
        <v>13</v>
      </c>
      <c r="H387">
        <v>1</v>
      </c>
      <c r="I387">
        <v>1</v>
      </c>
      <c r="J3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7" t="str">
        <f>IF(final_data786[[#This Row],[DAY_CODE]]=0,"weekend",IF(final_data786[[#This Row],[DAY_CODE]]=6,"weekend","weekday"))</f>
        <v>weekday</v>
      </c>
      <c r="L387">
        <v>2</v>
      </c>
      <c r="M387" t="str">
        <f>IF(final_data786[[#This Row],[WEATHER_CODE]]=1,"clear",IF(final_data786[[#This Row],[WEATHER_CODE]]=2,"cloudy",IF(final_data786[[#This Row],[WEATHER_CODE]]=3,"light rain",IF(final_data786[[#This Row],[WEATHER_CODE]]=4,"heavy rain",0))))</f>
        <v>cloudy</v>
      </c>
      <c r="N387">
        <v>0.18</v>
      </c>
      <c r="O387">
        <v>0.19700000000000001</v>
      </c>
      <c r="P387">
        <v>0.47</v>
      </c>
      <c r="Q387">
        <v>0.1343</v>
      </c>
      <c r="R387">
        <v>13</v>
      </c>
      <c r="S387">
        <v>80</v>
      </c>
      <c r="T387">
        <v>93</v>
      </c>
    </row>
    <row r="388" spans="1:20" x14ac:dyDescent="0.35">
      <c r="A388">
        <v>387</v>
      </c>
      <c r="B388" s="1">
        <v>40560</v>
      </c>
      <c r="C388">
        <v>1</v>
      </c>
      <c r="D388">
        <v>0</v>
      </c>
      <c r="E388">
        <v>1</v>
      </c>
      <c r="F388" t="str">
        <f>IF(final_data786[[#This Row],[MONTH_CODE]]=1,"JANUARY",IF(final_data786[[#This Row],[MONTH_CODE]]=2,"FEBRUARY"))</f>
        <v>JANUARY</v>
      </c>
      <c r="G388">
        <v>14</v>
      </c>
      <c r="H388">
        <v>1</v>
      </c>
      <c r="I388">
        <v>1</v>
      </c>
      <c r="J3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8" t="str">
        <f>IF(final_data786[[#This Row],[DAY_CODE]]=0,"weekend",IF(final_data786[[#This Row],[DAY_CODE]]=6,"weekend","weekday"))</f>
        <v>weekday</v>
      </c>
      <c r="L388">
        <v>2</v>
      </c>
      <c r="M388" t="str">
        <f>IF(final_data786[[#This Row],[WEATHER_CODE]]=1,"clear",IF(final_data786[[#This Row],[WEATHER_CODE]]=2,"cloudy",IF(final_data786[[#This Row],[WEATHER_CODE]]=3,"light rain",IF(final_data786[[#This Row],[WEATHER_CODE]]=4,"heavy rain",0))))</f>
        <v>cloudy</v>
      </c>
      <c r="N388">
        <v>0.18</v>
      </c>
      <c r="O388">
        <v>0.21210000000000001</v>
      </c>
      <c r="P388">
        <v>0.43</v>
      </c>
      <c r="Q388">
        <v>0.1045</v>
      </c>
      <c r="R388">
        <v>12</v>
      </c>
      <c r="S388">
        <v>74</v>
      </c>
      <c r="T388">
        <v>86</v>
      </c>
    </row>
    <row r="389" spans="1:20" x14ac:dyDescent="0.35">
      <c r="A389">
        <v>388</v>
      </c>
      <c r="B389" s="1">
        <v>40560</v>
      </c>
      <c r="C389">
        <v>1</v>
      </c>
      <c r="D389">
        <v>0</v>
      </c>
      <c r="E389">
        <v>1</v>
      </c>
      <c r="F389" t="str">
        <f>IF(final_data786[[#This Row],[MONTH_CODE]]=1,"JANUARY",IF(final_data786[[#This Row],[MONTH_CODE]]=2,"FEBRUARY"))</f>
        <v>JANUARY</v>
      </c>
      <c r="G389">
        <v>15</v>
      </c>
      <c r="H389">
        <v>1</v>
      </c>
      <c r="I389">
        <v>1</v>
      </c>
      <c r="J3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89" t="str">
        <f>IF(final_data786[[#This Row],[DAY_CODE]]=0,"weekend",IF(final_data786[[#This Row],[DAY_CODE]]=6,"weekend","weekday"))</f>
        <v>weekday</v>
      </c>
      <c r="L389">
        <v>2</v>
      </c>
      <c r="M389" t="str">
        <f>IF(final_data786[[#This Row],[WEATHER_CODE]]=1,"clear",IF(final_data786[[#This Row],[WEATHER_CODE]]=2,"cloudy",IF(final_data786[[#This Row],[WEATHER_CODE]]=3,"light rain",IF(final_data786[[#This Row],[WEATHER_CODE]]=4,"heavy rain",0))))</f>
        <v>cloudy</v>
      </c>
      <c r="N389">
        <v>0.2</v>
      </c>
      <c r="O389">
        <v>0.21210000000000001</v>
      </c>
      <c r="P389">
        <v>0.47</v>
      </c>
      <c r="Q389">
        <v>0.16420000000000001</v>
      </c>
      <c r="R389">
        <v>21</v>
      </c>
      <c r="S389">
        <v>72</v>
      </c>
      <c r="T389">
        <v>93</v>
      </c>
    </row>
    <row r="390" spans="1:20" x14ac:dyDescent="0.35">
      <c r="A390">
        <v>389</v>
      </c>
      <c r="B390" s="1">
        <v>40560</v>
      </c>
      <c r="C390">
        <v>1</v>
      </c>
      <c r="D390">
        <v>0</v>
      </c>
      <c r="E390">
        <v>1</v>
      </c>
      <c r="F390" t="str">
        <f>IF(final_data786[[#This Row],[MONTH_CODE]]=1,"JANUARY",IF(final_data786[[#This Row],[MONTH_CODE]]=2,"FEBRUARY"))</f>
        <v>JANUARY</v>
      </c>
      <c r="G390">
        <v>16</v>
      </c>
      <c r="H390">
        <v>1</v>
      </c>
      <c r="I390">
        <v>1</v>
      </c>
      <c r="J3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0" t="str">
        <f>IF(final_data786[[#This Row],[DAY_CODE]]=0,"weekend",IF(final_data786[[#This Row],[DAY_CODE]]=6,"weekend","weekday"))</f>
        <v>weekday</v>
      </c>
      <c r="L390">
        <v>2</v>
      </c>
      <c r="M390" t="str">
        <f>IF(final_data786[[#This Row],[WEATHER_CODE]]=1,"clear",IF(final_data786[[#This Row],[WEATHER_CODE]]=2,"cloudy",IF(final_data786[[#This Row],[WEATHER_CODE]]=3,"light rain",IF(final_data786[[#This Row],[WEATHER_CODE]]=4,"heavy rain",0))))</f>
        <v>cloudy</v>
      </c>
      <c r="N390">
        <v>0.2</v>
      </c>
      <c r="O390">
        <v>0.21210000000000001</v>
      </c>
      <c r="P390">
        <v>0.47</v>
      </c>
      <c r="Q390">
        <v>0.16420000000000001</v>
      </c>
      <c r="R390">
        <v>6</v>
      </c>
      <c r="S390">
        <v>76</v>
      </c>
      <c r="T390">
        <v>82</v>
      </c>
    </row>
    <row r="391" spans="1:20" x14ac:dyDescent="0.35">
      <c r="A391">
        <v>390</v>
      </c>
      <c r="B391" s="1">
        <v>40560</v>
      </c>
      <c r="C391">
        <v>1</v>
      </c>
      <c r="D391">
        <v>0</v>
      </c>
      <c r="E391">
        <v>1</v>
      </c>
      <c r="F391" t="str">
        <f>IF(final_data786[[#This Row],[MONTH_CODE]]=1,"JANUARY",IF(final_data786[[#This Row],[MONTH_CODE]]=2,"FEBRUARY"))</f>
        <v>JANUARY</v>
      </c>
      <c r="G391">
        <v>17</v>
      </c>
      <c r="H391">
        <v>1</v>
      </c>
      <c r="I391">
        <v>1</v>
      </c>
      <c r="J3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1" t="str">
        <f>IF(final_data786[[#This Row],[DAY_CODE]]=0,"weekend",IF(final_data786[[#This Row],[DAY_CODE]]=6,"weekend","weekday"))</f>
        <v>weekday</v>
      </c>
      <c r="L391">
        <v>1</v>
      </c>
      <c r="M391" t="str">
        <f>IF(final_data786[[#This Row],[WEATHER_CODE]]=1,"clear",IF(final_data786[[#This Row],[WEATHER_CODE]]=2,"cloudy",IF(final_data786[[#This Row],[WEATHER_CODE]]=3,"light rain",IF(final_data786[[#This Row],[WEATHER_CODE]]=4,"heavy rain",0))))</f>
        <v>clear</v>
      </c>
      <c r="N391">
        <v>0.2</v>
      </c>
      <c r="O391">
        <v>0.19700000000000001</v>
      </c>
      <c r="P391">
        <v>0.51</v>
      </c>
      <c r="Q391">
        <v>0.19400000000000001</v>
      </c>
      <c r="R391">
        <v>4</v>
      </c>
      <c r="S391">
        <v>67</v>
      </c>
      <c r="T391">
        <v>71</v>
      </c>
    </row>
    <row r="392" spans="1:20" x14ac:dyDescent="0.35">
      <c r="A392">
        <v>391</v>
      </c>
      <c r="B392" s="1">
        <v>40560</v>
      </c>
      <c r="C392">
        <v>1</v>
      </c>
      <c r="D392">
        <v>0</v>
      </c>
      <c r="E392">
        <v>1</v>
      </c>
      <c r="F392" t="str">
        <f>IF(final_data786[[#This Row],[MONTH_CODE]]=1,"JANUARY",IF(final_data786[[#This Row],[MONTH_CODE]]=2,"FEBRUARY"))</f>
        <v>JANUARY</v>
      </c>
      <c r="G392">
        <v>18</v>
      </c>
      <c r="H392">
        <v>1</v>
      </c>
      <c r="I392">
        <v>1</v>
      </c>
      <c r="J3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2" t="str">
        <f>IF(final_data786[[#This Row],[DAY_CODE]]=0,"weekend",IF(final_data786[[#This Row],[DAY_CODE]]=6,"weekend","weekday"))</f>
        <v>weekday</v>
      </c>
      <c r="L392">
        <v>2</v>
      </c>
      <c r="M392" t="str">
        <f>IF(final_data786[[#This Row],[WEATHER_CODE]]=1,"clear",IF(final_data786[[#This Row],[WEATHER_CODE]]=2,"cloudy",IF(final_data786[[#This Row],[WEATHER_CODE]]=3,"light rain",IF(final_data786[[#This Row],[WEATHER_CODE]]=4,"heavy rain",0))))</f>
        <v>cloudy</v>
      </c>
      <c r="N392">
        <v>0.18</v>
      </c>
      <c r="O392">
        <v>0.16669999999999999</v>
      </c>
      <c r="P392">
        <v>0.55000000000000004</v>
      </c>
      <c r="Q392">
        <v>0.25369999999999998</v>
      </c>
      <c r="R392">
        <v>7</v>
      </c>
      <c r="S392">
        <v>85</v>
      </c>
      <c r="T392">
        <v>92</v>
      </c>
    </row>
    <row r="393" spans="1:20" x14ac:dyDescent="0.35">
      <c r="A393">
        <v>392</v>
      </c>
      <c r="B393" s="1">
        <v>40560</v>
      </c>
      <c r="C393">
        <v>1</v>
      </c>
      <c r="D393">
        <v>0</v>
      </c>
      <c r="E393">
        <v>1</v>
      </c>
      <c r="F393" t="str">
        <f>IF(final_data786[[#This Row],[MONTH_CODE]]=1,"JANUARY",IF(final_data786[[#This Row],[MONTH_CODE]]=2,"FEBRUARY"))</f>
        <v>JANUARY</v>
      </c>
      <c r="G393">
        <v>19</v>
      </c>
      <c r="H393">
        <v>1</v>
      </c>
      <c r="I393">
        <v>1</v>
      </c>
      <c r="J3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3" t="str">
        <f>IF(final_data786[[#This Row],[DAY_CODE]]=0,"weekend",IF(final_data786[[#This Row],[DAY_CODE]]=6,"weekend","weekday"))</f>
        <v>weekday</v>
      </c>
      <c r="L393">
        <v>3</v>
      </c>
      <c r="M393" t="str">
        <f>IF(final_data786[[#This Row],[WEATHER_CODE]]=1,"clear",IF(final_data786[[#This Row],[WEATHER_CODE]]=2,"cloudy",IF(final_data786[[#This Row],[WEATHER_CODE]]=3,"light rain",IF(final_data786[[#This Row],[WEATHER_CODE]]=4,"heavy rain",0))))</f>
        <v>light rain</v>
      </c>
      <c r="N393">
        <v>0.18</v>
      </c>
      <c r="O393">
        <v>0.18179999999999999</v>
      </c>
      <c r="P393">
        <v>0.59</v>
      </c>
      <c r="Q393">
        <v>0.19400000000000001</v>
      </c>
      <c r="R393">
        <v>2</v>
      </c>
      <c r="S393">
        <v>58</v>
      </c>
      <c r="T393">
        <v>60</v>
      </c>
    </row>
    <row r="394" spans="1:20" x14ac:dyDescent="0.35">
      <c r="A394">
        <v>393</v>
      </c>
      <c r="B394" s="1">
        <v>40560</v>
      </c>
      <c r="C394">
        <v>1</v>
      </c>
      <c r="D394">
        <v>0</v>
      </c>
      <c r="E394">
        <v>1</v>
      </c>
      <c r="F394" t="str">
        <f>IF(final_data786[[#This Row],[MONTH_CODE]]=1,"JANUARY",IF(final_data786[[#This Row],[MONTH_CODE]]=2,"FEBRUARY"))</f>
        <v>JANUARY</v>
      </c>
      <c r="G394">
        <v>20</v>
      </c>
      <c r="H394">
        <v>1</v>
      </c>
      <c r="I394">
        <v>1</v>
      </c>
      <c r="J3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4" t="str">
        <f>IF(final_data786[[#This Row],[DAY_CODE]]=0,"weekend",IF(final_data786[[#This Row],[DAY_CODE]]=6,"weekend","weekday"))</f>
        <v>weekday</v>
      </c>
      <c r="L394">
        <v>3</v>
      </c>
      <c r="M394" t="str">
        <f>IF(final_data786[[#This Row],[WEATHER_CODE]]=1,"clear",IF(final_data786[[#This Row],[WEATHER_CODE]]=2,"cloudy",IF(final_data786[[#This Row],[WEATHER_CODE]]=3,"light rain",IF(final_data786[[#This Row],[WEATHER_CODE]]=4,"heavy rain",0))))</f>
        <v>light rain</v>
      </c>
      <c r="N394">
        <v>0.16</v>
      </c>
      <c r="O394">
        <v>0.1515</v>
      </c>
      <c r="P394">
        <v>0.8</v>
      </c>
      <c r="Q394">
        <v>0.19400000000000001</v>
      </c>
      <c r="R394">
        <v>4</v>
      </c>
      <c r="S394">
        <v>29</v>
      </c>
      <c r="T394">
        <v>33</v>
      </c>
    </row>
    <row r="395" spans="1:20" x14ac:dyDescent="0.35">
      <c r="A395">
        <v>394</v>
      </c>
      <c r="B395" s="1">
        <v>40560</v>
      </c>
      <c r="C395">
        <v>1</v>
      </c>
      <c r="D395">
        <v>0</v>
      </c>
      <c r="E395">
        <v>1</v>
      </c>
      <c r="F395" t="str">
        <f>IF(final_data786[[#This Row],[MONTH_CODE]]=1,"JANUARY",IF(final_data786[[#This Row],[MONTH_CODE]]=2,"FEBRUARY"))</f>
        <v>JANUARY</v>
      </c>
      <c r="G395">
        <v>21</v>
      </c>
      <c r="H395">
        <v>1</v>
      </c>
      <c r="I395">
        <v>1</v>
      </c>
      <c r="J3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5" t="str">
        <f>IF(final_data786[[#This Row],[DAY_CODE]]=0,"weekend",IF(final_data786[[#This Row],[DAY_CODE]]=6,"weekend","weekday"))</f>
        <v>weekday</v>
      </c>
      <c r="L395">
        <v>3</v>
      </c>
      <c r="M395" t="str">
        <f>IF(final_data786[[#This Row],[WEATHER_CODE]]=1,"clear",IF(final_data786[[#This Row],[WEATHER_CODE]]=2,"cloudy",IF(final_data786[[#This Row],[WEATHER_CODE]]=3,"light rain",IF(final_data786[[#This Row],[WEATHER_CODE]]=4,"heavy rain",0))))</f>
        <v>light rain</v>
      </c>
      <c r="N395">
        <v>0.16</v>
      </c>
      <c r="O395">
        <v>0.1515</v>
      </c>
      <c r="P395">
        <v>0.8</v>
      </c>
      <c r="Q395">
        <v>0.19400000000000001</v>
      </c>
      <c r="R395">
        <v>3</v>
      </c>
      <c r="S395">
        <v>24</v>
      </c>
      <c r="T395">
        <v>27</v>
      </c>
    </row>
    <row r="396" spans="1:20" x14ac:dyDescent="0.35">
      <c r="A396">
        <v>395</v>
      </c>
      <c r="B396" s="1">
        <v>40560</v>
      </c>
      <c r="C396">
        <v>1</v>
      </c>
      <c r="D396">
        <v>0</v>
      </c>
      <c r="E396">
        <v>1</v>
      </c>
      <c r="F396" t="str">
        <f>IF(final_data786[[#This Row],[MONTH_CODE]]=1,"JANUARY",IF(final_data786[[#This Row],[MONTH_CODE]]=2,"FEBRUARY"))</f>
        <v>JANUARY</v>
      </c>
      <c r="G396">
        <v>22</v>
      </c>
      <c r="H396">
        <v>1</v>
      </c>
      <c r="I396">
        <v>1</v>
      </c>
      <c r="J3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6" t="str">
        <f>IF(final_data786[[#This Row],[DAY_CODE]]=0,"weekend",IF(final_data786[[#This Row],[DAY_CODE]]=6,"weekend","weekday"))</f>
        <v>weekday</v>
      </c>
      <c r="L396">
        <v>3</v>
      </c>
      <c r="M396" t="str">
        <f>IF(final_data786[[#This Row],[WEATHER_CODE]]=1,"clear",IF(final_data786[[#This Row],[WEATHER_CODE]]=2,"cloudy",IF(final_data786[[#This Row],[WEATHER_CODE]]=3,"light rain",IF(final_data786[[#This Row],[WEATHER_CODE]]=4,"heavy rain",0))))</f>
        <v>light rain</v>
      </c>
      <c r="N396">
        <v>0.14000000000000001</v>
      </c>
      <c r="O396">
        <v>0.1212</v>
      </c>
      <c r="P396">
        <v>0.93</v>
      </c>
      <c r="Q396">
        <v>0.25369999999999998</v>
      </c>
      <c r="R396">
        <v>0</v>
      </c>
      <c r="S396">
        <v>13</v>
      </c>
      <c r="T396">
        <v>13</v>
      </c>
    </row>
    <row r="397" spans="1:20" x14ac:dyDescent="0.35">
      <c r="A397">
        <v>396</v>
      </c>
      <c r="B397" s="1">
        <v>40560</v>
      </c>
      <c r="C397">
        <v>1</v>
      </c>
      <c r="D397">
        <v>0</v>
      </c>
      <c r="E397">
        <v>1</v>
      </c>
      <c r="F397" t="str">
        <f>IF(final_data786[[#This Row],[MONTH_CODE]]=1,"JANUARY",IF(final_data786[[#This Row],[MONTH_CODE]]=2,"FEBRUARY"))</f>
        <v>JANUARY</v>
      </c>
      <c r="G397">
        <v>23</v>
      </c>
      <c r="H397">
        <v>1</v>
      </c>
      <c r="I397">
        <v>1</v>
      </c>
      <c r="J3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397" t="str">
        <f>IF(final_data786[[#This Row],[DAY_CODE]]=0,"weekend",IF(final_data786[[#This Row],[DAY_CODE]]=6,"weekend","weekday"))</f>
        <v>weekday</v>
      </c>
      <c r="L397">
        <v>3</v>
      </c>
      <c r="M397" t="str">
        <f>IF(final_data786[[#This Row],[WEATHER_CODE]]=1,"clear",IF(final_data786[[#This Row],[WEATHER_CODE]]=2,"cloudy",IF(final_data786[[#This Row],[WEATHER_CODE]]=3,"light rain",IF(final_data786[[#This Row],[WEATHER_CODE]]=4,"heavy rain",0))))</f>
        <v>light rain</v>
      </c>
      <c r="N397">
        <v>0.16</v>
      </c>
      <c r="O397">
        <v>0.13639999999999999</v>
      </c>
      <c r="P397">
        <v>0.86</v>
      </c>
      <c r="Q397">
        <v>0.28360000000000002</v>
      </c>
      <c r="R397">
        <v>1</v>
      </c>
      <c r="S397">
        <v>3</v>
      </c>
      <c r="T397">
        <v>4</v>
      </c>
    </row>
    <row r="398" spans="1:20" x14ac:dyDescent="0.35">
      <c r="A398">
        <v>397</v>
      </c>
      <c r="B398" s="1">
        <v>40561</v>
      </c>
      <c r="C398">
        <v>1</v>
      </c>
      <c r="D398">
        <v>0</v>
      </c>
      <c r="E398">
        <v>1</v>
      </c>
      <c r="F398" t="str">
        <f>IF(final_data786[[#This Row],[MONTH_CODE]]=1,"JANUARY",IF(final_data786[[#This Row],[MONTH_CODE]]=2,"FEBRUARY"))</f>
        <v>JANUARY</v>
      </c>
      <c r="G398">
        <v>12</v>
      </c>
      <c r="H398">
        <v>0</v>
      </c>
      <c r="I398">
        <v>2</v>
      </c>
      <c r="J3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398" t="str">
        <f>IF(final_data786[[#This Row],[DAY_CODE]]=0,"weekend",IF(final_data786[[#This Row],[DAY_CODE]]=6,"weekend","weekday"))</f>
        <v>weekday</v>
      </c>
      <c r="L398">
        <v>2</v>
      </c>
      <c r="M398" t="str">
        <f>IF(final_data786[[#This Row],[WEATHER_CODE]]=1,"clear",IF(final_data786[[#This Row],[WEATHER_CODE]]=2,"cloudy",IF(final_data786[[#This Row],[WEATHER_CODE]]=3,"light rain",IF(final_data786[[#This Row],[WEATHER_CODE]]=4,"heavy rain",0))))</f>
        <v>cloudy</v>
      </c>
      <c r="N398">
        <v>0.2</v>
      </c>
      <c r="O398">
        <v>0.18179999999999999</v>
      </c>
      <c r="P398">
        <v>0.86</v>
      </c>
      <c r="Q398">
        <v>0.32840000000000003</v>
      </c>
      <c r="R398">
        <v>0</v>
      </c>
      <c r="S398">
        <v>3</v>
      </c>
      <c r="T398">
        <v>3</v>
      </c>
    </row>
    <row r="399" spans="1:20" x14ac:dyDescent="0.35">
      <c r="A399">
        <v>398</v>
      </c>
      <c r="B399" s="1">
        <v>40561</v>
      </c>
      <c r="C399">
        <v>1</v>
      </c>
      <c r="D399">
        <v>0</v>
      </c>
      <c r="E399">
        <v>1</v>
      </c>
      <c r="F399" t="str">
        <f>IF(final_data786[[#This Row],[MONTH_CODE]]=1,"JANUARY",IF(final_data786[[#This Row],[MONTH_CODE]]=2,"FEBRUARY"))</f>
        <v>JANUARY</v>
      </c>
      <c r="G399">
        <v>13</v>
      </c>
      <c r="H399">
        <v>0</v>
      </c>
      <c r="I399">
        <v>2</v>
      </c>
      <c r="J3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399" t="str">
        <f>IF(final_data786[[#This Row],[DAY_CODE]]=0,"weekend",IF(final_data786[[#This Row],[DAY_CODE]]=6,"weekend","weekday"))</f>
        <v>weekday</v>
      </c>
      <c r="L399">
        <v>2</v>
      </c>
      <c r="M399" t="str">
        <f>IF(final_data786[[#This Row],[WEATHER_CODE]]=1,"clear",IF(final_data786[[#This Row],[WEATHER_CODE]]=2,"cloudy",IF(final_data786[[#This Row],[WEATHER_CODE]]=3,"light rain",IF(final_data786[[#This Row],[WEATHER_CODE]]=4,"heavy rain",0))))</f>
        <v>cloudy</v>
      </c>
      <c r="N399">
        <v>0.2</v>
      </c>
      <c r="O399">
        <v>0.19700000000000001</v>
      </c>
      <c r="P399">
        <v>0.86</v>
      </c>
      <c r="Q399">
        <v>0.22389999999999999</v>
      </c>
      <c r="R399">
        <v>0</v>
      </c>
      <c r="S399">
        <v>22</v>
      </c>
      <c r="T399">
        <v>22</v>
      </c>
    </row>
    <row r="400" spans="1:20" x14ac:dyDescent="0.35">
      <c r="A400">
        <v>399</v>
      </c>
      <c r="B400" s="1">
        <v>40561</v>
      </c>
      <c r="C400">
        <v>1</v>
      </c>
      <c r="D400">
        <v>0</v>
      </c>
      <c r="E400">
        <v>1</v>
      </c>
      <c r="F400" t="str">
        <f>IF(final_data786[[#This Row],[MONTH_CODE]]=1,"JANUARY",IF(final_data786[[#This Row],[MONTH_CODE]]=2,"FEBRUARY"))</f>
        <v>JANUARY</v>
      </c>
      <c r="G400">
        <v>14</v>
      </c>
      <c r="H400">
        <v>0</v>
      </c>
      <c r="I400">
        <v>2</v>
      </c>
      <c r="J4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0" t="str">
        <f>IF(final_data786[[#This Row],[DAY_CODE]]=0,"weekend",IF(final_data786[[#This Row],[DAY_CODE]]=6,"weekend","weekday"))</f>
        <v>weekday</v>
      </c>
      <c r="L400">
        <v>2</v>
      </c>
      <c r="M400" t="str">
        <f>IF(final_data786[[#This Row],[WEATHER_CODE]]=1,"clear",IF(final_data786[[#This Row],[WEATHER_CODE]]=2,"cloudy",IF(final_data786[[#This Row],[WEATHER_CODE]]=3,"light rain",IF(final_data786[[#This Row],[WEATHER_CODE]]=4,"heavy rain",0))))</f>
        <v>cloudy</v>
      </c>
      <c r="N400">
        <v>0.22</v>
      </c>
      <c r="O400">
        <v>0.2273</v>
      </c>
      <c r="P400">
        <v>0.8</v>
      </c>
      <c r="Q400">
        <v>0.16420000000000001</v>
      </c>
      <c r="R400">
        <v>2</v>
      </c>
      <c r="S400">
        <v>26</v>
      </c>
      <c r="T400">
        <v>28</v>
      </c>
    </row>
    <row r="401" spans="1:20" x14ac:dyDescent="0.35">
      <c r="A401">
        <v>400</v>
      </c>
      <c r="B401" s="1">
        <v>40561</v>
      </c>
      <c r="C401">
        <v>1</v>
      </c>
      <c r="D401">
        <v>0</v>
      </c>
      <c r="E401">
        <v>1</v>
      </c>
      <c r="F401" t="str">
        <f>IF(final_data786[[#This Row],[MONTH_CODE]]=1,"JANUARY",IF(final_data786[[#This Row],[MONTH_CODE]]=2,"FEBRUARY"))</f>
        <v>JANUARY</v>
      </c>
      <c r="G401">
        <v>15</v>
      </c>
      <c r="H401">
        <v>0</v>
      </c>
      <c r="I401">
        <v>2</v>
      </c>
      <c r="J4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1" t="str">
        <f>IF(final_data786[[#This Row],[DAY_CODE]]=0,"weekend",IF(final_data786[[#This Row],[DAY_CODE]]=6,"weekend","weekday"))</f>
        <v>weekday</v>
      </c>
      <c r="L401">
        <v>2</v>
      </c>
      <c r="M401" t="str">
        <f>IF(final_data786[[#This Row],[WEATHER_CODE]]=1,"clear",IF(final_data786[[#This Row],[WEATHER_CODE]]=2,"cloudy",IF(final_data786[[#This Row],[WEATHER_CODE]]=3,"light rain",IF(final_data786[[#This Row],[WEATHER_CODE]]=4,"heavy rain",0))))</f>
        <v>cloudy</v>
      </c>
      <c r="N401">
        <v>0.22</v>
      </c>
      <c r="O401">
        <v>0.2273</v>
      </c>
      <c r="P401">
        <v>0.87</v>
      </c>
      <c r="Q401">
        <v>0.16420000000000001</v>
      </c>
      <c r="R401">
        <v>3</v>
      </c>
      <c r="S401">
        <v>32</v>
      </c>
      <c r="T401">
        <v>35</v>
      </c>
    </row>
    <row r="402" spans="1:20" x14ac:dyDescent="0.35">
      <c r="A402">
        <v>401</v>
      </c>
      <c r="B402" s="1">
        <v>40561</v>
      </c>
      <c r="C402">
        <v>1</v>
      </c>
      <c r="D402">
        <v>0</v>
      </c>
      <c r="E402">
        <v>1</v>
      </c>
      <c r="F402" t="str">
        <f>IF(final_data786[[#This Row],[MONTH_CODE]]=1,"JANUARY",IF(final_data786[[#This Row],[MONTH_CODE]]=2,"FEBRUARY"))</f>
        <v>JANUARY</v>
      </c>
      <c r="G402">
        <v>16</v>
      </c>
      <c r="H402">
        <v>0</v>
      </c>
      <c r="I402">
        <v>2</v>
      </c>
      <c r="J4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2" t="str">
        <f>IF(final_data786[[#This Row],[DAY_CODE]]=0,"weekend",IF(final_data786[[#This Row],[DAY_CODE]]=6,"weekend","weekday"))</f>
        <v>weekday</v>
      </c>
      <c r="L402">
        <v>2</v>
      </c>
      <c r="M402" t="str">
        <f>IF(final_data786[[#This Row],[WEATHER_CODE]]=1,"clear",IF(final_data786[[#This Row],[WEATHER_CODE]]=2,"cloudy",IF(final_data786[[#This Row],[WEATHER_CODE]]=3,"light rain",IF(final_data786[[#This Row],[WEATHER_CODE]]=4,"heavy rain",0))))</f>
        <v>cloudy</v>
      </c>
      <c r="N402">
        <v>0.22</v>
      </c>
      <c r="O402">
        <v>0.2273</v>
      </c>
      <c r="P402">
        <v>0.87</v>
      </c>
      <c r="Q402">
        <v>0.19400000000000001</v>
      </c>
      <c r="R402">
        <v>0</v>
      </c>
      <c r="S402">
        <v>61</v>
      </c>
      <c r="T402">
        <v>61</v>
      </c>
    </row>
    <row r="403" spans="1:20" x14ac:dyDescent="0.35">
      <c r="A403">
        <v>402</v>
      </c>
      <c r="B403" s="1">
        <v>40561</v>
      </c>
      <c r="C403">
        <v>1</v>
      </c>
      <c r="D403">
        <v>0</v>
      </c>
      <c r="E403">
        <v>1</v>
      </c>
      <c r="F403" t="str">
        <f>IF(final_data786[[#This Row],[MONTH_CODE]]=1,"JANUARY",IF(final_data786[[#This Row],[MONTH_CODE]]=2,"FEBRUARY"))</f>
        <v>JANUARY</v>
      </c>
      <c r="G403">
        <v>17</v>
      </c>
      <c r="H403">
        <v>0</v>
      </c>
      <c r="I403">
        <v>2</v>
      </c>
      <c r="J4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3" t="str">
        <f>IF(final_data786[[#This Row],[DAY_CODE]]=0,"weekend",IF(final_data786[[#This Row],[DAY_CODE]]=6,"weekend","weekday"))</f>
        <v>weekday</v>
      </c>
      <c r="L403">
        <v>2</v>
      </c>
      <c r="M403" t="str">
        <f>IF(final_data786[[#This Row],[WEATHER_CODE]]=1,"clear",IF(final_data786[[#This Row],[WEATHER_CODE]]=2,"cloudy",IF(final_data786[[#This Row],[WEATHER_CODE]]=3,"light rain",IF(final_data786[[#This Row],[WEATHER_CODE]]=4,"heavy rain",0))))</f>
        <v>cloudy</v>
      </c>
      <c r="N403">
        <v>0.22</v>
      </c>
      <c r="O403">
        <v>0.2273</v>
      </c>
      <c r="P403">
        <v>0.82</v>
      </c>
      <c r="Q403">
        <v>0.19400000000000001</v>
      </c>
      <c r="R403">
        <v>1</v>
      </c>
      <c r="S403">
        <v>124</v>
      </c>
      <c r="T403">
        <v>125</v>
      </c>
    </row>
    <row r="404" spans="1:20" x14ac:dyDescent="0.35">
      <c r="A404">
        <v>403</v>
      </c>
      <c r="B404" s="1">
        <v>40561</v>
      </c>
      <c r="C404">
        <v>1</v>
      </c>
      <c r="D404">
        <v>0</v>
      </c>
      <c r="E404">
        <v>1</v>
      </c>
      <c r="F404" t="str">
        <f>IF(final_data786[[#This Row],[MONTH_CODE]]=1,"JANUARY",IF(final_data786[[#This Row],[MONTH_CODE]]=2,"FEBRUARY"))</f>
        <v>JANUARY</v>
      </c>
      <c r="G404">
        <v>18</v>
      </c>
      <c r="H404">
        <v>0</v>
      </c>
      <c r="I404">
        <v>2</v>
      </c>
      <c r="J4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4" t="str">
        <f>IF(final_data786[[#This Row],[DAY_CODE]]=0,"weekend",IF(final_data786[[#This Row],[DAY_CODE]]=6,"weekend","weekday"))</f>
        <v>weekday</v>
      </c>
      <c r="L404">
        <v>2</v>
      </c>
      <c r="M404" t="str">
        <f>IF(final_data786[[#This Row],[WEATHER_CODE]]=1,"clear",IF(final_data786[[#This Row],[WEATHER_CODE]]=2,"cloudy",IF(final_data786[[#This Row],[WEATHER_CODE]]=3,"light rain",IF(final_data786[[#This Row],[WEATHER_CODE]]=4,"heavy rain",0))))</f>
        <v>cloudy</v>
      </c>
      <c r="N404">
        <v>0.22</v>
      </c>
      <c r="O404">
        <v>0.2273</v>
      </c>
      <c r="P404">
        <v>0.8</v>
      </c>
      <c r="Q404">
        <v>0.16420000000000001</v>
      </c>
      <c r="R404">
        <v>1</v>
      </c>
      <c r="S404">
        <v>132</v>
      </c>
      <c r="T404">
        <v>133</v>
      </c>
    </row>
    <row r="405" spans="1:20" x14ac:dyDescent="0.35">
      <c r="A405">
        <v>404</v>
      </c>
      <c r="B405" s="1">
        <v>40561</v>
      </c>
      <c r="C405">
        <v>1</v>
      </c>
      <c r="D405">
        <v>0</v>
      </c>
      <c r="E405">
        <v>1</v>
      </c>
      <c r="F405" t="str">
        <f>IF(final_data786[[#This Row],[MONTH_CODE]]=1,"JANUARY",IF(final_data786[[#This Row],[MONTH_CODE]]=2,"FEBRUARY"))</f>
        <v>JANUARY</v>
      </c>
      <c r="G405">
        <v>19</v>
      </c>
      <c r="H405">
        <v>0</v>
      </c>
      <c r="I405">
        <v>2</v>
      </c>
      <c r="J4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5" t="str">
        <f>IF(final_data786[[#This Row],[DAY_CODE]]=0,"weekend",IF(final_data786[[#This Row],[DAY_CODE]]=6,"weekend","weekday"))</f>
        <v>weekday</v>
      </c>
      <c r="L405">
        <v>2</v>
      </c>
      <c r="M405" t="str">
        <f>IF(final_data786[[#This Row],[WEATHER_CODE]]=1,"clear",IF(final_data786[[#This Row],[WEATHER_CODE]]=2,"cloudy",IF(final_data786[[#This Row],[WEATHER_CODE]]=3,"light rain",IF(final_data786[[#This Row],[WEATHER_CODE]]=4,"heavy rain",0))))</f>
        <v>cloudy</v>
      </c>
      <c r="N405">
        <v>0.22</v>
      </c>
      <c r="O405">
        <v>0.2273</v>
      </c>
      <c r="P405">
        <v>0.8</v>
      </c>
      <c r="Q405">
        <v>0.1343</v>
      </c>
      <c r="R405">
        <v>1</v>
      </c>
      <c r="S405">
        <v>98</v>
      </c>
      <c r="T405">
        <v>99</v>
      </c>
    </row>
    <row r="406" spans="1:20" x14ac:dyDescent="0.35">
      <c r="A406">
        <v>405</v>
      </c>
      <c r="B406" s="1">
        <v>40561</v>
      </c>
      <c r="C406">
        <v>1</v>
      </c>
      <c r="D406">
        <v>0</v>
      </c>
      <c r="E406">
        <v>1</v>
      </c>
      <c r="F406" t="str">
        <f>IF(final_data786[[#This Row],[MONTH_CODE]]=1,"JANUARY",IF(final_data786[[#This Row],[MONTH_CODE]]=2,"FEBRUARY"))</f>
        <v>JANUARY</v>
      </c>
      <c r="G406">
        <v>20</v>
      </c>
      <c r="H406">
        <v>0</v>
      </c>
      <c r="I406">
        <v>2</v>
      </c>
      <c r="J4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6" t="str">
        <f>IF(final_data786[[#This Row],[DAY_CODE]]=0,"weekend",IF(final_data786[[#This Row],[DAY_CODE]]=6,"weekend","weekday"))</f>
        <v>weekday</v>
      </c>
      <c r="L406">
        <v>2</v>
      </c>
      <c r="M406" t="str">
        <f>IF(final_data786[[#This Row],[WEATHER_CODE]]=1,"clear",IF(final_data786[[#This Row],[WEATHER_CODE]]=2,"cloudy",IF(final_data786[[#This Row],[WEATHER_CODE]]=3,"light rain",IF(final_data786[[#This Row],[WEATHER_CODE]]=4,"heavy rain",0))))</f>
        <v>cloudy</v>
      </c>
      <c r="N406">
        <v>0.22</v>
      </c>
      <c r="O406">
        <v>0.2727</v>
      </c>
      <c r="P406">
        <v>0.87</v>
      </c>
      <c r="Q406">
        <v>0</v>
      </c>
      <c r="R406">
        <v>0</v>
      </c>
      <c r="S406">
        <v>83</v>
      </c>
      <c r="T406">
        <v>83</v>
      </c>
    </row>
    <row r="407" spans="1:20" x14ac:dyDescent="0.35">
      <c r="A407">
        <v>406</v>
      </c>
      <c r="B407" s="1">
        <v>40561</v>
      </c>
      <c r="C407">
        <v>1</v>
      </c>
      <c r="D407">
        <v>0</v>
      </c>
      <c r="E407">
        <v>1</v>
      </c>
      <c r="F407" t="str">
        <f>IF(final_data786[[#This Row],[MONTH_CODE]]=1,"JANUARY",IF(final_data786[[#This Row],[MONTH_CODE]]=2,"FEBRUARY"))</f>
        <v>JANUARY</v>
      </c>
      <c r="G407">
        <v>21</v>
      </c>
      <c r="H407">
        <v>0</v>
      </c>
      <c r="I407">
        <v>2</v>
      </c>
      <c r="J4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7" t="str">
        <f>IF(final_data786[[#This Row],[DAY_CODE]]=0,"weekend",IF(final_data786[[#This Row],[DAY_CODE]]=6,"weekend","weekday"))</f>
        <v>weekday</v>
      </c>
      <c r="L407">
        <v>2</v>
      </c>
      <c r="M407" t="str">
        <f>IF(final_data786[[#This Row],[WEATHER_CODE]]=1,"clear",IF(final_data786[[#This Row],[WEATHER_CODE]]=2,"cloudy",IF(final_data786[[#This Row],[WEATHER_CODE]]=3,"light rain",IF(final_data786[[#This Row],[WEATHER_CODE]]=4,"heavy rain",0))))</f>
        <v>cloudy</v>
      </c>
      <c r="N407">
        <v>0.22</v>
      </c>
      <c r="O407">
        <v>0.2424</v>
      </c>
      <c r="P407">
        <v>0.93</v>
      </c>
      <c r="Q407">
        <v>0.1045</v>
      </c>
      <c r="R407">
        <v>0</v>
      </c>
      <c r="S407">
        <v>41</v>
      </c>
      <c r="T407">
        <v>41</v>
      </c>
    </row>
    <row r="408" spans="1:20" x14ac:dyDescent="0.35">
      <c r="A408">
        <v>407</v>
      </c>
      <c r="B408" s="1">
        <v>40561</v>
      </c>
      <c r="C408">
        <v>1</v>
      </c>
      <c r="D408">
        <v>0</v>
      </c>
      <c r="E408">
        <v>1</v>
      </c>
      <c r="F408" t="str">
        <f>IF(final_data786[[#This Row],[MONTH_CODE]]=1,"JANUARY",IF(final_data786[[#This Row],[MONTH_CODE]]=2,"FEBRUARY"))</f>
        <v>JANUARY</v>
      </c>
      <c r="G408">
        <v>22</v>
      </c>
      <c r="H408">
        <v>0</v>
      </c>
      <c r="I408">
        <v>2</v>
      </c>
      <c r="J4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8" t="str">
        <f>IF(final_data786[[#This Row],[DAY_CODE]]=0,"weekend",IF(final_data786[[#This Row],[DAY_CODE]]=6,"weekend","weekday"))</f>
        <v>weekday</v>
      </c>
      <c r="L408">
        <v>2</v>
      </c>
      <c r="M408" t="str">
        <f>IF(final_data786[[#This Row],[WEATHER_CODE]]=1,"clear",IF(final_data786[[#This Row],[WEATHER_CODE]]=2,"cloudy",IF(final_data786[[#This Row],[WEATHER_CODE]]=3,"light rain",IF(final_data786[[#This Row],[WEATHER_CODE]]=4,"heavy rain",0))))</f>
        <v>cloudy</v>
      </c>
      <c r="N408">
        <v>0.22</v>
      </c>
      <c r="O408">
        <v>0.2576</v>
      </c>
      <c r="P408">
        <v>0.93</v>
      </c>
      <c r="Q408">
        <v>8.9599999999999999E-2</v>
      </c>
      <c r="R408">
        <v>0</v>
      </c>
      <c r="S408">
        <v>33</v>
      </c>
      <c r="T408">
        <v>33</v>
      </c>
    </row>
    <row r="409" spans="1:20" x14ac:dyDescent="0.35">
      <c r="A409">
        <v>408</v>
      </c>
      <c r="B409" s="1">
        <v>40561</v>
      </c>
      <c r="C409">
        <v>1</v>
      </c>
      <c r="D409">
        <v>0</v>
      </c>
      <c r="E409">
        <v>1</v>
      </c>
      <c r="F409" t="str">
        <f>IF(final_data786[[#This Row],[MONTH_CODE]]=1,"JANUARY",IF(final_data786[[#This Row],[MONTH_CODE]]=2,"FEBRUARY"))</f>
        <v>JANUARY</v>
      </c>
      <c r="G409">
        <v>23</v>
      </c>
      <c r="H409">
        <v>0</v>
      </c>
      <c r="I409">
        <v>2</v>
      </c>
      <c r="J4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409" t="str">
        <f>IF(final_data786[[#This Row],[DAY_CODE]]=0,"weekend",IF(final_data786[[#This Row],[DAY_CODE]]=6,"weekend","weekday"))</f>
        <v>weekday</v>
      </c>
      <c r="L409">
        <v>2</v>
      </c>
      <c r="M409" t="str">
        <f>IF(final_data786[[#This Row],[WEATHER_CODE]]=1,"clear",IF(final_data786[[#This Row],[WEATHER_CODE]]=2,"cloudy",IF(final_data786[[#This Row],[WEATHER_CODE]]=3,"light rain",IF(final_data786[[#This Row],[WEATHER_CODE]]=4,"heavy rain",0))))</f>
        <v>cloudy</v>
      </c>
      <c r="N409">
        <v>0.22</v>
      </c>
      <c r="O409">
        <v>0.2727</v>
      </c>
      <c r="P409">
        <v>0.93</v>
      </c>
      <c r="Q409">
        <v>0</v>
      </c>
      <c r="R409">
        <v>1</v>
      </c>
      <c r="S409">
        <v>19</v>
      </c>
      <c r="T409">
        <v>20</v>
      </c>
    </row>
    <row r="410" spans="1:20" x14ac:dyDescent="0.35">
      <c r="A410">
        <v>409</v>
      </c>
      <c r="B410" s="1">
        <v>40562</v>
      </c>
      <c r="C410">
        <v>1</v>
      </c>
      <c r="D410">
        <v>0</v>
      </c>
      <c r="E410">
        <v>1</v>
      </c>
      <c r="F410" t="str">
        <f>IF(final_data786[[#This Row],[MONTH_CODE]]=1,"JANUARY",IF(final_data786[[#This Row],[MONTH_CODE]]=2,"FEBRUARY"))</f>
        <v>JANUARY</v>
      </c>
      <c r="G410">
        <v>0</v>
      </c>
      <c r="H410">
        <v>0</v>
      </c>
      <c r="I410">
        <v>3</v>
      </c>
      <c r="J4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0" t="str">
        <f>IF(final_data786[[#This Row],[DAY_CODE]]=0,"weekend",IF(final_data786[[#This Row],[DAY_CODE]]=6,"weekend","weekday"))</f>
        <v>weekday</v>
      </c>
      <c r="L410">
        <v>2</v>
      </c>
      <c r="M410" t="str">
        <f>IF(final_data786[[#This Row],[WEATHER_CODE]]=1,"clear",IF(final_data786[[#This Row],[WEATHER_CODE]]=2,"cloudy",IF(final_data786[[#This Row],[WEATHER_CODE]]=3,"light rain",IF(final_data786[[#This Row],[WEATHER_CODE]]=4,"heavy rain",0))))</f>
        <v>cloudy</v>
      </c>
      <c r="N410">
        <v>0.22</v>
      </c>
      <c r="O410">
        <v>0.2727</v>
      </c>
      <c r="P410">
        <v>0.93</v>
      </c>
      <c r="Q410">
        <v>0</v>
      </c>
      <c r="R410">
        <v>0</v>
      </c>
      <c r="S410">
        <v>3</v>
      </c>
      <c r="T410">
        <v>3</v>
      </c>
    </row>
    <row r="411" spans="1:20" x14ac:dyDescent="0.35">
      <c r="A411">
        <v>410</v>
      </c>
      <c r="B411" s="1">
        <v>40562</v>
      </c>
      <c r="C411">
        <v>1</v>
      </c>
      <c r="D411">
        <v>0</v>
      </c>
      <c r="E411">
        <v>1</v>
      </c>
      <c r="F411" t="str">
        <f>IF(final_data786[[#This Row],[MONTH_CODE]]=1,"JANUARY",IF(final_data786[[#This Row],[MONTH_CODE]]=2,"FEBRUARY"))</f>
        <v>JANUARY</v>
      </c>
      <c r="G411">
        <v>1</v>
      </c>
      <c r="H411">
        <v>0</v>
      </c>
      <c r="I411">
        <v>3</v>
      </c>
      <c r="J4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1" t="str">
        <f>IF(final_data786[[#This Row],[DAY_CODE]]=0,"weekend",IF(final_data786[[#This Row],[DAY_CODE]]=6,"weekend","weekday"))</f>
        <v>weekday</v>
      </c>
      <c r="L411">
        <v>3</v>
      </c>
      <c r="M411" t="str">
        <f>IF(final_data786[[#This Row],[WEATHER_CODE]]=1,"clear",IF(final_data786[[#This Row],[WEATHER_CODE]]=2,"cloudy",IF(final_data786[[#This Row],[WEATHER_CODE]]=3,"light rain",IF(final_data786[[#This Row],[WEATHER_CODE]]=4,"heavy rain",0))))</f>
        <v>light rain</v>
      </c>
      <c r="N411">
        <v>0.22</v>
      </c>
      <c r="O411">
        <v>0.2273</v>
      </c>
      <c r="P411">
        <v>0.93</v>
      </c>
      <c r="Q411">
        <v>0.1343</v>
      </c>
      <c r="R411">
        <v>1</v>
      </c>
      <c r="S411">
        <v>6</v>
      </c>
      <c r="T411">
        <v>7</v>
      </c>
    </row>
    <row r="412" spans="1:20" x14ac:dyDescent="0.35">
      <c r="A412">
        <v>411</v>
      </c>
      <c r="B412" s="1">
        <v>40562</v>
      </c>
      <c r="C412">
        <v>1</v>
      </c>
      <c r="D412">
        <v>0</v>
      </c>
      <c r="E412">
        <v>1</v>
      </c>
      <c r="F412" t="str">
        <f>IF(final_data786[[#This Row],[MONTH_CODE]]=1,"JANUARY",IF(final_data786[[#This Row],[MONTH_CODE]]=2,"FEBRUARY"))</f>
        <v>JANUARY</v>
      </c>
      <c r="G412">
        <v>2</v>
      </c>
      <c r="H412">
        <v>0</v>
      </c>
      <c r="I412">
        <v>3</v>
      </c>
      <c r="J4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2" t="str">
        <f>IF(final_data786[[#This Row],[DAY_CODE]]=0,"weekend",IF(final_data786[[#This Row],[DAY_CODE]]=6,"weekend","weekday"))</f>
        <v>weekday</v>
      </c>
      <c r="L412">
        <v>3</v>
      </c>
      <c r="M412" t="str">
        <f>IF(final_data786[[#This Row],[WEATHER_CODE]]=1,"clear",IF(final_data786[[#This Row],[WEATHER_CODE]]=2,"cloudy",IF(final_data786[[#This Row],[WEATHER_CODE]]=3,"light rain",IF(final_data786[[#This Row],[WEATHER_CODE]]=4,"heavy rain",0))))</f>
        <v>light rain</v>
      </c>
      <c r="N412">
        <v>0.22</v>
      </c>
      <c r="O412">
        <v>0.2273</v>
      </c>
      <c r="P412">
        <v>0.93</v>
      </c>
      <c r="Q412">
        <v>0.1343</v>
      </c>
      <c r="R412">
        <v>0</v>
      </c>
      <c r="S412">
        <v>3</v>
      </c>
      <c r="T412">
        <v>3</v>
      </c>
    </row>
    <row r="413" spans="1:20" x14ac:dyDescent="0.35">
      <c r="A413">
        <v>412</v>
      </c>
      <c r="B413" s="1">
        <v>40562</v>
      </c>
      <c r="C413">
        <v>1</v>
      </c>
      <c r="D413">
        <v>0</v>
      </c>
      <c r="E413">
        <v>1</v>
      </c>
      <c r="F413" t="str">
        <f>IF(final_data786[[#This Row],[MONTH_CODE]]=1,"JANUARY",IF(final_data786[[#This Row],[MONTH_CODE]]=2,"FEBRUARY"))</f>
        <v>JANUARY</v>
      </c>
      <c r="G413">
        <v>4</v>
      </c>
      <c r="H413">
        <v>0</v>
      </c>
      <c r="I413">
        <v>3</v>
      </c>
      <c r="J4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3" t="str">
        <f>IF(final_data786[[#This Row],[DAY_CODE]]=0,"weekend",IF(final_data786[[#This Row],[DAY_CODE]]=6,"weekend","weekday"))</f>
        <v>weekday</v>
      </c>
      <c r="L413">
        <v>3</v>
      </c>
      <c r="M413" t="str">
        <f>IF(final_data786[[#This Row],[WEATHER_CODE]]=1,"clear",IF(final_data786[[#This Row],[WEATHER_CODE]]=2,"cloudy",IF(final_data786[[#This Row],[WEATHER_CODE]]=3,"light rain",IF(final_data786[[#This Row],[WEATHER_CODE]]=4,"heavy rain",0))))</f>
        <v>light rain</v>
      </c>
      <c r="N413">
        <v>0.22</v>
      </c>
      <c r="O413">
        <v>0.2273</v>
      </c>
      <c r="P413">
        <v>0.93</v>
      </c>
      <c r="Q413">
        <v>0.1343</v>
      </c>
      <c r="R413">
        <v>1</v>
      </c>
      <c r="S413">
        <v>1</v>
      </c>
      <c r="T413">
        <v>2</v>
      </c>
    </row>
    <row r="414" spans="1:20" x14ac:dyDescent="0.35">
      <c r="A414">
        <v>413</v>
      </c>
      <c r="B414" s="1">
        <v>40562</v>
      </c>
      <c r="C414">
        <v>1</v>
      </c>
      <c r="D414">
        <v>0</v>
      </c>
      <c r="E414">
        <v>1</v>
      </c>
      <c r="F414" t="str">
        <f>IF(final_data786[[#This Row],[MONTH_CODE]]=1,"JANUARY",IF(final_data786[[#This Row],[MONTH_CODE]]=2,"FEBRUARY"))</f>
        <v>JANUARY</v>
      </c>
      <c r="G414">
        <v>5</v>
      </c>
      <c r="H414">
        <v>0</v>
      </c>
      <c r="I414">
        <v>3</v>
      </c>
      <c r="J4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4" t="str">
        <f>IF(final_data786[[#This Row],[DAY_CODE]]=0,"weekend",IF(final_data786[[#This Row],[DAY_CODE]]=6,"weekend","weekday"))</f>
        <v>weekday</v>
      </c>
      <c r="L414">
        <v>2</v>
      </c>
      <c r="M414" t="str">
        <f>IF(final_data786[[#This Row],[WEATHER_CODE]]=1,"clear",IF(final_data786[[#This Row],[WEATHER_CODE]]=2,"cloudy",IF(final_data786[[#This Row],[WEATHER_CODE]]=3,"light rain",IF(final_data786[[#This Row],[WEATHER_CODE]]=4,"heavy rain",0))))</f>
        <v>cloudy</v>
      </c>
      <c r="N414">
        <v>0.22</v>
      </c>
      <c r="O414">
        <v>0.2576</v>
      </c>
      <c r="P414">
        <v>0.93</v>
      </c>
      <c r="Q414">
        <v>8.9599999999999999E-2</v>
      </c>
      <c r="R414">
        <v>0</v>
      </c>
      <c r="S414">
        <v>7</v>
      </c>
      <c r="T414">
        <v>7</v>
      </c>
    </row>
    <row r="415" spans="1:20" x14ac:dyDescent="0.35">
      <c r="A415">
        <v>414</v>
      </c>
      <c r="B415" s="1">
        <v>40562</v>
      </c>
      <c r="C415">
        <v>1</v>
      </c>
      <c r="D415">
        <v>0</v>
      </c>
      <c r="E415">
        <v>1</v>
      </c>
      <c r="F415" t="str">
        <f>IF(final_data786[[#This Row],[MONTH_CODE]]=1,"JANUARY",IF(final_data786[[#This Row],[MONTH_CODE]]=2,"FEBRUARY"))</f>
        <v>JANUARY</v>
      </c>
      <c r="G415">
        <v>6</v>
      </c>
      <c r="H415">
        <v>0</v>
      </c>
      <c r="I415">
        <v>3</v>
      </c>
      <c r="J4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5" t="str">
        <f>IF(final_data786[[#This Row],[DAY_CODE]]=0,"weekend",IF(final_data786[[#This Row],[DAY_CODE]]=6,"weekend","weekday"))</f>
        <v>weekday</v>
      </c>
      <c r="L415">
        <v>2</v>
      </c>
      <c r="M415" t="str">
        <f>IF(final_data786[[#This Row],[WEATHER_CODE]]=1,"clear",IF(final_data786[[#This Row],[WEATHER_CODE]]=2,"cloudy",IF(final_data786[[#This Row],[WEATHER_CODE]]=3,"light rain",IF(final_data786[[#This Row],[WEATHER_CODE]]=4,"heavy rain",0))))</f>
        <v>cloudy</v>
      </c>
      <c r="N415">
        <v>0.22</v>
      </c>
      <c r="O415">
        <v>0.2576</v>
      </c>
      <c r="P415">
        <v>0.93</v>
      </c>
      <c r="Q415">
        <v>8.9599999999999999E-2</v>
      </c>
      <c r="R415">
        <v>0</v>
      </c>
      <c r="S415">
        <v>32</v>
      </c>
      <c r="T415">
        <v>32</v>
      </c>
    </row>
    <row r="416" spans="1:20" x14ac:dyDescent="0.35">
      <c r="A416">
        <v>415</v>
      </c>
      <c r="B416" s="1">
        <v>40562</v>
      </c>
      <c r="C416">
        <v>1</v>
      </c>
      <c r="D416">
        <v>0</v>
      </c>
      <c r="E416">
        <v>1</v>
      </c>
      <c r="F416" t="str">
        <f>IF(final_data786[[#This Row],[MONTH_CODE]]=1,"JANUARY",IF(final_data786[[#This Row],[MONTH_CODE]]=2,"FEBRUARY"))</f>
        <v>JANUARY</v>
      </c>
      <c r="G416">
        <v>7</v>
      </c>
      <c r="H416">
        <v>0</v>
      </c>
      <c r="I416">
        <v>3</v>
      </c>
      <c r="J4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6" t="str">
        <f>IF(final_data786[[#This Row],[DAY_CODE]]=0,"weekend",IF(final_data786[[#This Row],[DAY_CODE]]=6,"weekend","weekday"))</f>
        <v>weekday</v>
      </c>
      <c r="L416">
        <v>2</v>
      </c>
      <c r="M416" t="str">
        <f>IF(final_data786[[#This Row],[WEATHER_CODE]]=1,"clear",IF(final_data786[[#This Row],[WEATHER_CODE]]=2,"cloudy",IF(final_data786[[#This Row],[WEATHER_CODE]]=3,"light rain",IF(final_data786[[#This Row],[WEATHER_CODE]]=4,"heavy rain",0))))</f>
        <v>cloudy</v>
      </c>
      <c r="N416">
        <v>0.24</v>
      </c>
      <c r="O416">
        <v>0.2576</v>
      </c>
      <c r="P416">
        <v>0.92</v>
      </c>
      <c r="Q416">
        <v>0.1045</v>
      </c>
      <c r="R416">
        <v>1</v>
      </c>
      <c r="S416">
        <v>89</v>
      </c>
      <c r="T416">
        <v>90</v>
      </c>
    </row>
    <row r="417" spans="1:20" x14ac:dyDescent="0.35">
      <c r="A417">
        <v>416</v>
      </c>
      <c r="B417" s="1">
        <v>40562</v>
      </c>
      <c r="C417">
        <v>1</v>
      </c>
      <c r="D417">
        <v>0</v>
      </c>
      <c r="E417">
        <v>1</v>
      </c>
      <c r="F417" t="str">
        <f>IF(final_data786[[#This Row],[MONTH_CODE]]=1,"JANUARY",IF(final_data786[[#This Row],[MONTH_CODE]]=2,"FEBRUARY"))</f>
        <v>JANUARY</v>
      </c>
      <c r="G417">
        <v>8</v>
      </c>
      <c r="H417">
        <v>0</v>
      </c>
      <c r="I417">
        <v>3</v>
      </c>
      <c r="J4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7" t="str">
        <f>IF(final_data786[[#This Row],[DAY_CODE]]=0,"weekend",IF(final_data786[[#This Row],[DAY_CODE]]=6,"weekend","weekday"))</f>
        <v>weekday</v>
      </c>
      <c r="L417">
        <v>2</v>
      </c>
      <c r="M417" t="str">
        <f>IF(final_data786[[#This Row],[WEATHER_CODE]]=1,"clear",IF(final_data786[[#This Row],[WEATHER_CODE]]=2,"cloudy",IF(final_data786[[#This Row],[WEATHER_CODE]]=3,"light rain",IF(final_data786[[#This Row],[WEATHER_CODE]]=4,"heavy rain",0))))</f>
        <v>cloudy</v>
      </c>
      <c r="N417">
        <v>0.24</v>
      </c>
      <c r="O417">
        <v>0.2576</v>
      </c>
      <c r="P417">
        <v>0.93</v>
      </c>
      <c r="Q417">
        <v>0.1045</v>
      </c>
      <c r="R417">
        <v>1</v>
      </c>
      <c r="S417">
        <v>196</v>
      </c>
      <c r="T417">
        <v>197</v>
      </c>
    </row>
    <row r="418" spans="1:20" x14ac:dyDescent="0.35">
      <c r="A418">
        <v>417</v>
      </c>
      <c r="B418" s="1">
        <v>40562</v>
      </c>
      <c r="C418">
        <v>1</v>
      </c>
      <c r="D418">
        <v>0</v>
      </c>
      <c r="E418">
        <v>1</v>
      </c>
      <c r="F418" t="str">
        <f>IF(final_data786[[#This Row],[MONTH_CODE]]=1,"JANUARY",IF(final_data786[[#This Row],[MONTH_CODE]]=2,"FEBRUARY"))</f>
        <v>JANUARY</v>
      </c>
      <c r="G418">
        <v>9</v>
      </c>
      <c r="H418">
        <v>0</v>
      </c>
      <c r="I418">
        <v>3</v>
      </c>
      <c r="J4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8" t="str">
        <f>IF(final_data786[[#This Row],[DAY_CODE]]=0,"weekend",IF(final_data786[[#This Row],[DAY_CODE]]=6,"weekend","weekday"))</f>
        <v>weekday</v>
      </c>
      <c r="L418">
        <v>2</v>
      </c>
      <c r="M418" t="str">
        <f>IF(final_data786[[#This Row],[WEATHER_CODE]]=1,"clear",IF(final_data786[[#This Row],[WEATHER_CODE]]=2,"cloudy",IF(final_data786[[#This Row],[WEATHER_CODE]]=3,"light rain",IF(final_data786[[#This Row],[WEATHER_CODE]]=4,"heavy rain",0))))</f>
        <v>cloudy</v>
      </c>
      <c r="N418">
        <v>0.24</v>
      </c>
      <c r="O418">
        <v>0.2576</v>
      </c>
      <c r="P418">
        <v>0.93</v>
      </c>
      <c r="Q418">
        <v>0.1045</v>
      </c>
      <c r="R418">
        <v>2</v>
      </c>
      <c r="S418">
        <v>107</v>
      </c>
      <c r="T418">
        <v>109</v>
      </c>
    </row>
    <row r="419" spans="1:20" x14ac:dyDescent="0.35">
      <c r="A419">
        <v>418</v>
      </c>
      <c r="B419" s="1">
        <v>40562</v>
      </c>
      <c r="C419">
        <v>1</v>
      </c>
      <c r="D419">
        <v>0</v>
      </c>
      <c r="E419">
        <v>1</v>
      </c>
      <c r="F419" t="str">
        <f>IF(final_data786[[#This Row],[MONTH_CODE]]=1,"JANUARY",IF(final_data786[[#This Row],[MONTH_CODE]]=2,"FEBRUARY"))</f>
        <v>JANUARY</v>
      </c>
      <c r="G419">
        <v>10</v>
      </c>
      <c r="H419">
        <v>0</v>
      </c>
      <c r="I419">
        <v>3</v>
      </c>
      <c r="J4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19" t="str">
        <f>IF(final_data786[[#This Row],[DAY_CODE]]=0,"weekend",IF(final_data786[[#This Row],[DAY_CODE]]=6,"weekend","weekday"))</f>
        <v>weekday</v>
      </c>
      <c r="L419">
        <v>2</v>
      </c>
      <c r="M419" t="str">
        <f>IF(final_data786[[#This Row],[WEATHER_CODE]]=1,"clear",IF(final_data786[[#This Row],[WEATHER_CODE]]=2,"cloudy",IF(final_data786[[#This Row],[WEATHER_CODE]]=3,"light rain",IF(final_data786[[#This Row],[WEATHER_CODE]]=4,"heavy rain",0))))</f>
        <v>cloudy</v>
      </c>
      <c r="N419">
        <v>0.26</v>
      </c>
      <c r="O419">
        <v>0.2727</v>
      </c>
      <c r="P419">
        <v>0.93</v>
      </c>
      <c r="Q419">
        <v>0.1343</v>
      </c>
      <c r="R419">
        <v>1</v>
      </c>
      <c r="S419">
        <v>46</v>
      </c>
      <c r="T419">
        <v>47</v>
      </c>
    </row>
    <row r="420" spans="1:20" x14ac:dyDescent="0.35">
      <c r="A420">
        <v>419</v>
      </c>
      <c r="B420" s="1">
        <v>40562</v>
      </c>
      <c r="C420">
        <v>1</v>
      </c>
      <c r="D420">
        <v>0</v>
      </c>
      <c r="E420">
        <v>1</v>
      </c>
      <c r="F420" t="str">
        <f>IF(final_data786[[#This Row],[MONTH_CODE]]=1,"JANUARY",IF(final_data786[[#This Row],[MONTH_CODE]]=2,"FEBRUARY"))</f>
        <v>JANUARY</v>
      </c>
      <c r="G420">
        <v>11</v>
      </c>
      <c r="H420">
        <v>0</v>
      </c>
      <c r="I420">
        <v>3</v>
      </c>
      <c r="J4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0" t="str">
        <f>IF(final_data786[[#This Row],[DAY_CODE]]=0,"weekend",IF(final_data786[[#This Row],[DAY_CODE]]=6,"weekend","weekday"))</f>
        <v>weekday</v>
      </c>
      <c r="L420">
        <v>2</v>
      </c>
      <c r="M420" t="str">
        <f>IF(final_data786[[#This Row],[WEATHER_CODE]]=1,"clear",IF(final_data786[[#This Row],[WEATHER_CODE]]=2,"cloudy",IF(final_data786[[#This Row],[WEATHER_CODE]]=3,"light rain",IF(final_data786[[#This Row],[WEATHER_CODE]]=4,"heavy rain",0))))</f>
        <v>cloudy</v>
      </c>
      <c r="N420">
        <v>0.28000000000000003</v>
      </c>
      <c r="O420">
        <v>0.30299999999999999</v>
      </c>
      <c r="P420">
        <v>0.87</v>
      </c>
      <c r="Q420">
        <v>8.9599999999999999E-2</v>
      </c>
      <c r="R420">
        <v>5</v>
      </c>
      <c r="S420">
        <v>47</v>
      </c>
      <c r="T420">
        <v>52</v>
      </c>
    </row>
    <row r="421" spans="1:20" x14ac:dyDescent="0.35">
      <c r="A421">
        <v>420</v>
      </c>
      <c r="B421" s="1">
        <v>40562</v>
      </c>
      <c r="C421">
        <v>1</v>
      </c>
      <c r="D421">
        <v>0</v>
      </c>
      <c r="E421">
        <v>1</v>
      </c>
      <c r="F421" t="str">
        <f>IF(final_data786[[#This Row],[MONTH_CODE]]=1,"JANUARY",IF(final_data786[[#This Row],[MONTH_CODE]]=2,"FEBRUARY"))</f>
        <v>JANUARY</v>
      </c>
      <c r="G421">
        <v>12</v>
      </c>
      <c r="H421">
        <v>0</v>
      </c>
      <c r="I421">
        <v>3</v>
      </c>
      <c r="J4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1" t="str">
        <f>IF(final_data786[[#This Row],[DAY_CODE]]=0,"weekend",IF(final_data786[[#This Row],[DAY_CODE]]=6,"weekend","weekday"))</f>
        <v>weekday</v>
      </c>
      <c r="L421">
        <v>2</v>
      </c>
      <c r="M421" t="str">
        <f>IF(final_data786[[#This Row],[WEATHER_CODE]]=1,"clear",IF(final_data786[[#This Row],[WEATHER_CODE]]=2,"cloudy",IF(final_data786[[#This Row],[WEATHER_CODE]]=3,"light rain",IF(final_data786[[#This Row],[WEATHER_CODE]]=4,"heavy rain",0))))</f>
        <v>cloudy</v>
      </c>
      <c r="N421">
        <v>0.3</v>
      </c>
      <c r="O421">
        <v>0.31819999999999998</v>
      </c>
      <c r="P421">
        <v>0.81</v>
      </c>
      <c r="Q421">
        <v>8.9599999999999999E-2</v>
      </c>
      <c r="R421">
        <v>5</v>
      </c>
      <c r="S421">
        <v>65</v>
      </c>
      <c r="T421">
        <v>70</v>
      </c>
    </row>
    <row r="422" spans="1:20" x14ac:dyDescent="0.35">
      <c r="A422">
        <v>421</v>
      </c>
      <c r="B422" s="1">
        <v>40562</v>
      </c>
      <c r="C422">
        <v>1</v>
      </c>
      <c r="D422">
        <v>0</v>
      </c>
      <c r="E422">
        <v>1</v>
      </c>
      <c r="F422" t="str">
        <f>IF(final_data786[[#This Row],[MONTH_CODE]]=1,"JANUARY",IF(final_data786[[#This Row],[MONTH_CODE]]=2,"FEBRUARY"))</f>
        <v>JANUARY</v>
      </c>
      <c r="G422">
        <v>13</v>
      </c>
      <c r="H422">
        <v>0</v>
      </c>
      <c r="I422">
        <v>3</v>
      </c>
      <c r="J4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2" t="str">
        <f>IF(final_data786[[#This Row],[DAY_CODE]]=0,"weekend",IF(final_data786[[#This Row],[DAY_CODE]]=6,"weekend","weekday"))</f>
        <v>weekday</v>
      </c>
      <c r="L422">
        <v>1</v>
      </c>
      <c r="M422" t="str">
        <f>IF(final_data786[[#This Row],[WEATHER_CODE]]=1,"clear",IF(final_data786[[#This Row],[WEATHER_CODE]]=2,"cloudy",IF(final_data786[[#This Row],[WEATHER_CODE]]=3,"light rain",IF(final_data786[[#This Row],[WEATHER_CODE]]=4,"heavy rain",0))))</f>
        <v>clear</v>
      </c>
      <c r="N422">
        <v>0.4</v>
      </c>
      <c r="O422">
        <v>0.40910000000000002</v>
      </c>
      <c r="P422">
        <v>0.62</v>
      </c>
      <c r="Q422">
        <v>0.28360000000000002</v>
      </c>
      <c r="R422">
        <v>11</v>
      </c>
      <c r="S422">
        <v>67</v>
      </c>
      <c r="T422">
        <v>78</v>
      </c>
    </row>
    <row r="423" spans="1:20" x14ac:dyDescent="0.35">
      <c r="A423">
        <v>422</v>
      </c>
      <c r="B423" s="1">
        <v>40562</v>
      </c>
      <c r="C423">
        <v>1</v>
      </c>
      <c r="D423">
        <v>0</v>
      </c>
      <c r="E423">
        <v>1</v>
      </c>
      <c r="F423" t="str">
        <f>IF(final_data786[[#This Row],[MONTH_CODE]]=1,"JANUARY",IF(final_data786[[#This Row],[MONTH_CODE]]=2,"FEBRUARY"))</f>
        <v>JANUARY</v>
      </c>
      <c r="G423">
        <v>14</v>
      </c>
      <c r="H423">
        <v>0</v>
      </c>
      <c r="I423">
        <v>3</v>
      </c>
      <c r="J4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3" t="str">
        <f>IF(final_data786[[#This Row],[DAY_CODE]]=0,"weekend",IF(final_data786[[#This Row],[DAY_CODE]]=6,"weekend","weekday"))</f>
        <v>weekday</v>
      </c>
      <c r="L423">
        <v>1</v>
      </c>
      <c r="M423" t="str">
        <f>IF(final_data786[[#This Row],[WEATHER_CODE]]=1,"clear",IF(final_data786[[#This Row],[WEATHER_CODE]]=2,"cloudy",IF(final_data786[[#This Row],[WEATHER_CODE]]=3,"light rain",IF(final_data786[[#This Row],[WEATHER_CODE]]=4,"heavy rain",0))))</f>
        <v>clear</v>
      </c>
      <c r="N423">
        <v>0.4</v>
      </c>
      <c r="O423">
        <v>0.40910000000000002</v>
      </c>
      <c r="P423">
        <v>0.57999999999999996</v>
      </c>
      <c r="Q423">
        <v>0.25369999999999998</v>
      </c>
      <c r="R423">
        <v>7</v>
      </c>
      <c r="S423">
        <v>68</v>
      </c>
      <c r="T423">
        <v>75</v>
      </c>
    </row>
    <row r="424" spans="1:20" x14ac:dyDescent="0.35">
      <c r="A424">
        <v>423</v>
      </c>
      <c r="B424" s="1">
        <v>40562</v>
      </c>
      <c r="C424">
        <v>1</v>
      </c>
      <c r="D424">
        <v>0</v>
      </c>
      <c r="E424">
        <v>1</v>
      </c>
      <c r="F424" t="str">
        <f>IF(final_data786[[#This Row],[MONTH_CODE]]=1,"JANUARY",IF(final_data786[[#This Row],[MONTH_CODE]]=2,"FEBRUARY"))</f>
        <v>JANUARY</v>
      </c>
      <c r="G424">
        <v>15</v>
      </c>
      <c r="H424">
        <v>0</v>
      </c>
      <c r="I424">
        <v>3</v>
      </c>
      <c r="J4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4" t="str">
        <f>IF(final_data786[[#This Row],[DAY_CODE]]=0,"weekend",IF(final_data786[[#This Row],[DAY_CODE]]=6,"weekend","weekday"))</f>
        <v>weekday</v>
      </c>
      <c r="L424">
        <v>1</v>
      </c>
      <c r="M424" t="str">
        <f>IF(final_data786[[#This Row],[WEATHER_CODE]]=1,"clear",IF(final_data786[[#This Row],[WEATHER_CODE]]=2,"cloudy",IF(final_data786[[#This Row],[WEATHER_CODE]]=3,"light rain",IF(final_data786[[#This Row],[WEATHER_CODE]]=4,"heavy rain",0))))</f>
        <v>clear</v>
      </c>
      <c r="N424">
        <v>0.4</v>
      </c>
      <c r="O424">
        <v>0.40910000000000002</v>
      </c>
      <c r="P424">
        <v>0.54</v>
      </c>
      <c r="Q424">
        <v>0.28360000000000002</v>
      </c>
      <c r="R424">
        <v>4</v>
      </c>
      <c r="S424">
        <v>78</v>
      </c>
      <c r="T424">
        <v>82</v>
      </c>
    </row>
    <row r="425" spans="1:20" x14ac:dyDescent="0.35">
      <c r="A425">
        <v>424</v>
      </c>
      <c r="B425" s="1">
        <v>40562</v>
      </c>
      <c r="C425">
        <v>1</v>
      </c>
      <c r="D425">
        <v>0</v>
      </c>
      <c r="E425">
        <v>1</v>
      </c>
      <c r="F425" t="str">
        <f>IF(final_data786[[#This Row],[MONTH_CODE]]=1,"JANUARY",IF(final_data786[[#This Row],[MONTH_CODE]]=2,"FEBRUARY"))</f>
        <v>JANUARY</v>
      </c>
      <c r="G425">
        <v>16</v>
      </c>
      <c r="H425">
        <v>0</v>
      </c>
      <c r="I425">
        <v>3</v>
      </c>
      <c r="J4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5" t="str">
        <f>IF(final_data786[[#This Row],[DAY_CODE]]=0,"weekend",IF(final_data786[[#This Row],[DAY_CODE]]=6,"weekend","weekday"))</f>
        <v>weekday</v>
      </c>
      <c r="L425">
        <v>1</v>
      </c>
      <c r="M425" t="str">
        <f>IF(final_data786[[#This Row],[WEATHER_CODE]]=1,"clear",IF(final_data786[[#This Row],[WEATHER_CODE]]=2,"cloudy",IF(final_data786[[#This Row],[WEATHER_CODE]]=3,"light rain",IF(final_data786[[#This Row],[WEATHER_CODE]]=4,"heavy rain",0))))</f>
        <v>clear</v>
      </c>
      <c r="N425">
        <v>0.38</v>
      </c>
      <c r="O425">
        <v>0.39389999999999997</v>
      </c>
      <c r="P425">
        <v>0.57999999999999996</v>
      </c>
      <c r="Q425">
        <v>0.3881</v>
      </c>
      <c r="R425">
        <v>10</v>
      </c>
      <c r="S425">
        <v>94</v>
      </c>
      <c r="T425">
        <v>104</v>
      </c>
    </row>
    <row r="426" spans="1:20" x14ac:dyDescent="0.35">
      <c r="A426">
        <v>425</v>
      </c>
      <c r="B426" s="1">
        <v>40562</v>
      </c>
      <c r="C426">
        <v>1</v>
      </c>
      <c r="D426">
        <v>0</v>
      </c>
      <c r="E426">
        <v>1</v>
      </c>
      <c r="F426" t="str">
        <f>IF(final_data786[[#This Row],[MONTH_CODE]]=1,"JANUARY",IF(final_data786[[#This Row],[MONTH_CODE]]=2,"FEBRUARY"))</f>
        <v>JANUARY</v>
      </c>
      <c r="G426">
        <v>17</v>
      </c>
      <c r="H426">
        <v>0</v>
      </c>
      <c r="I426">
        <v>3</v>
      </c>
      <c r="J4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6" t="str">
        <f>IF(final_data786[[#This Row],[DAY_CODE]]=0,"weekend",IF(final_data786[[#This Row],[DAY_CODE]]=6,"weekend","weekday"))</f>
        <v>weekday</v>
      </c>
      <c r="L426">
        <v>1</v>
      </c>
      <c r="M426" t="str">
        <f>IF(final_data786[[#This Row],[WEATHER_CODE]]=1,"clear",IF(final_data786[[#This Row],[WEATHER_CODE]]=2,"cloudy",IF(final_data786[[#This Row],[WEATHER_CODE]]=3,"light rain",IF(final_data786[[#This Row],[WEATHER_CODE]]=4,"heavy rain",0))))</f>
        <v>clear</v>
      </c>
      <c r="N426">
        <v>0.36</v>
      </c>
      <c r="O426">
        <v>0.33329999999999999</v>
      </c>
      <c r="P426">
        <v>0.56999999999999995</v>
      </c>
      <c r="Q426">
        <v>0.32840000000000003</v>
      </c>
      <c r="R426">
        <v>7</v>
      </c>
      <c r="S426">
        <v>190</v>
      </c>
      <c r="T426">
        <v>197</v>
      </c>
    </row>
    <row r="427" spans="1:20" x14ac:dyDescent="0.35">
      <c r="A427">
        <v>426</v>
      </c>
      <c r="B427" s="1">
        <v>40562</v>
      </c>
      <c r="C427">
        <v>1</v>
      </c>
      <c r="D427">
        <v>0</v>
      </c>
      <c r="E427">
        <v>1</v>
      </c>
      <c r="F427" t="str">
        <f>IF(final_data786[[#This Row],[MONTH_CODE]]=1,"JANUARY",IF(final_data786[[#This Row],[MONTH_CODE]]=2,"FEBRUARY"))</f>
        <v>JANUARY</v>
      </c>
      <c r="G427">
        <v>18</v>
      </c>
      <c r="H427">
        <v>0</v>
      </c>
      <c r="I427">
        <v>3</v>
      </c>
      <c r="J4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7" t="str">
        <f>IF(final_data786[[#This Row],[DAY_CODE]]=0,"weekend",IF(final_data786[[#This Row],[DAY_CODE]]=6,"weekend","weekday"))</f>
        <v>weekday</v>
      </c>
      <c r="L427">
        <v>1</v>
      </c>
      <c r="M427" t="str">
        <f>IF(final_data786[[#This Row],[WEATHER_CODE]]=1,"clear",IF(final_data786[[#This Row],[WEATHER_CODE]]=2,"cloudy",IF(final_data786[[#This Row],[WEATHER_CODE]]=3,"light rain",IF(final_data786[[#This Row],[WEATHER_CODE]]=4,"heavy rain",0))))</f>
        <v>clear</v>
      </c>
      <c r="N427">
        <v>0.34</v>
      </c>
      <c r="O427">
        <v>0.31819999999999998</v>
      </c>
      <c r="P427">
        <v>0.61</v>
      </c>
      <c r="Q427">
        <v>0.28360000000000002</v>
      </c>
      <c r="R427">
        <v>5</v>
      </c>
      <c r="S427">
        <v>156</v>
      </c>
      <c r="T427">
        <v>161</v>
      </c>
    </row>
    <row r="428" spans="1:20" x14ac:dyDescent="0.35">
      <c r="A428">
        <v>427</v>
      </c>
      <c r="B428" s="1">
        <v>40562</v>
      </c>
      <c r="C428">
        <v>1</v>
      </c>
      <c r="D428">
        <v>0</v>
      </c>
      <c r="E428">
        <v>1</v>
      </c>
      <c r="F428" t="str">
        <f>IF(final_data786[[#This Row],[MONTH_CODE]]=1,"JANUARY",IF(final_data786[[#This Row],[MONTH_CODE]]=2,"FEBRUARY"))</f>
        <v>JANUARY</v>
      </c>
      <c r="G428">
        <v>19</v>
      </c>
      <c r="H428">
        <v>0</v>
      </c>
      <c r="I428">
        <v>3</v>
      </c>
      <c r="J4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8" t="str">
        <f>IF(final_data786[[#This Row],[DAY_CODE]]=0,"weekend",IF(final_data786[[#This Row],[DAY_CODE]]=6,"weekend","weekday"))</f>
        <v>weekday</v>
      </c>
      <c r="L428">
        <v>1</v>
      </c>
      <c r="M428" t="str">
        <f>IF(final_data786[[#This Row],[WEATHER_CODE]]=1,"clear",IF(final_data786[[#This Row],[WEATHER_CODE]]=2,"cloudy",IF(final_data786[[#This Row],[WEATHER_CODE]]=3,"light rain",IF(final_data786[[#This Row],[WEATHER_CODE]]=4,"heavy rain",0))))</f>
        <v>clear</v>
      </c>
      <c r="N428">
        <v>0.32</v>
      </c>
      <c r="O428">
        <v>0.28789999999999999</v>
      </c>
      <c r="P428">
        <v>0.56999999999999995</v>
      </c>
      <c r="Q428">
        <v>0.41789999999999999</v>
      </c>
      <c r="R428">
        <v>4</v>
      </c>
      <c r="S428">
        <v>108</v>
      </c>
      <c r="T428">
        <v>112</v>
      </c>
    </row>
    <row r="429" spans="1:20" x14ac:dyDescent="0.35">
      <c r="A429">
        <v>428</v>
      </c>
      <c r="B429" s="1">
        <v>40562</v>
      </c>
      <c r="C429">
        <v>1</v>
      </c>
      <c r="D429">
        <v>0</v>
      </c>
      <c r="E429">
        <v>1</v>
      </c>
      <c r="F429" t="str">
        <f>IF(final_data786[[#This Row],[MONTH_CODE]]=1,"JANUARY",IF(final_data786[[#This Row],[MONTH_CODE]]=2,"FEBRUARY"))</f>
        <v>JANUARY</v>
      </c>
      <c r="G429">
        <v>20</v>
      </c>
      <c r="H429">
        <v>0</v>
      </c>
      <c r="I429">
        <v>3</v>
      </c>
      <c r="J4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29" t="str">
        <f>IF(final_data786[[#This Row],[DAY_CODE]]=0,"weekend",IF(final_data786[[#This Row],[DAY_CODE]]=6,"weekend","weekday"))</f>
        <v>weekday</v>
      </c>
      <c r="L429">
        <v>1</v>
      </c>
      <c r="M429" t="str">
        <f>IF(final_data786[[#This Row],[WEATHER_CODE]]=1,"clear",IF(final_data786[[#This Row],[WEATHER_CODE]]=2,"cloudy",IF(final_data786[[#This Row],[WEATHER_CODE]]=3,"light rain",IF(final_data786[[#This Row],[WEATHER_CODE]]=4,"heavy rain",0))))</f>
        <v>clear</v>
      </c>
      <c r="N429">
        <v>0.32</v>
      </c>
      <c r="O429">
        <v>0.30299999999999999</v>
      </c>
      <c r="P429">
        <v>0.49</v>
      </c>
      <c r="Q429">
        <v>0.29849999999999999</v>
      </c>
      <c r="R429">
        <v>2</v>
      </c>
      <c r="S429">
        <v>74</v>
      </c>
      <c r="T429">
        <v>76</v>
      </c>
    </row>
    <row r="430" spans="1:20" x14ac:dyDescent="0.35">
      <c r="A430">
        <v>429</v>
      </c>
      <c r="B430" s="1">
        <v>40562</v>
      </c>
      <c r="C430">
        <v>1</v>
      </c>
      <c r="D430">
        <v>0</v>
      </c>
      <c r="E430">
        <v>1</v>
      </c>
      <c r="F430" t="str">
        <f>IF(final_data786[[#This Row],[MONTH_CODE]]=1,"JANUARY",IF(final_data786[[#This Row],[MONTH_CODE]]=2,"FEBRUARY"))</f>
        <v>JANUARY</v>
      </c>
      <c r="G430">
        <v>21</v>
      </c>
      <c r="H430">
        <v>0</v>
      </c>
      <c r="I430">
        <v>3</v>
      </c>
      <c r="J4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30" t="str">
        <f>IF(final_data786[[#This Row],[DAY_CODE]]=0,"weekend",IF(final_data786[[#This Row],[DAY_CODE]]=6,"weekend","weekday"))</f>
        <v>weekday</v>
      </c>
      <c r="L430">
        <v>1</v>
      </c>
      <c r="M430" t="str">
        <f>IF(final_data786[[#This Row],[WEATHER_CODE]]=1,"clear",IF(final_data786[[#This Row],[WEATHER_CODE]]=2,"cloudy",IF(final_data786[[#This Row],[WEATHER_CODE]]=3,"light rain",IF(final_data786[[#This Row],[WEATHER_CODE]]=4,"heavy rain",0))))</f>
        <v>clear</v>
      </c>
      <c r="N430">
        <v>0.32</v>
      </c>
      <c r="O430">
        <v>0.28789999999999999</v>
      </c>
      <c r="P430">
        <v>0.49</v>
      </c>
      <c r="Q430">
        <v>0.41789999999999999</v>
      </c>
      <c r="R430">
        <v>4</v>
      </c>
      <c r="S430">
        <v>55</v>
      </c>
      <c r="T430">
        <v>59</v>
      </c>
    </row>
    <row r="431" spans="1:20" x14ac:dyDescent="0.35">
      <c r="A431">
        <v>430</v>
      </c>
      <c r="B431" s="1">
        <v>40562</v>
      </c>
      <c r="C431">
        <v>1</v>
      </c>
      <c r="D431">
        <v>0</v>
      </c>
      <c r="E431">
        <v>1</v>
      </c>
      <c r="F431" t="str">
        <f>IF(final_data786[[#This Row],[MONTH_CODE]]=1,"JANUARY",IF(final_data786[[#This Row],[MONTH_CODE]]=2,"FEBRUARY"))</f>
        <v>JANUARY</v>
      </c>
      <c r="G431">
        <v>22</v>
      </c>
      <c r="H431">
        <v>0</v>
      </c>
      <c r="I431">
        <v>3</v>
      </c>
      <c r="J4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31" t="str">
        <f>IF(final_data786[[#This Row],[DAY_CODE]]=0,"weekend",IF(final_data786[[#This Row],[DAY_CODE]]=6,"weekend","weekday"))</f>
        <v>weekday</v>
      </c>
      <c r="L431">
        <v>1</v>
      </c>
      <c r="M431" t="str">
        <f>IF(final_data786[[#This Row],[WEATHER_CODE]]=1,"clear",IF(final_data786[[#This Row],[WEATHER_CODE]]=2,"cloudy",IF(final_data786[[#This Row],[WEATHER_CODE]]=3,"light rain",IF(final_data786[[#This Row],[WEATHER_CODE]]=4,"heavy rain",0))))</f>
        <v>clear</v>
      </c>
      <c r="N431">
        <v>0.3</v>
      </c>
      <c r="O431">
        <v>0.30299999999999999</v>
      </c>
      <c r="P431">
        <v>0.52</v>
      </c>
      <c r="Q431">
        <v>0.16420000000000001</v>
      </c>
      <c r="R431">
        <v>6</v>
      </c>
      <c r="S431">
        <v>53</v>
      </c>
      <c r="T431">
        <v>59</v>
      </c>
    </row>
    <row r="432" spans="1:20" x14ac:dyDescent="0.35">
      <c r="A432">
        <v>431</v>
      </c>
      <c r="B432" s="1">
        <v>40562</v>
      </c>
      <c r="C432">
        <v>1</v>
      </c>
      <c r="D432">
        <v>0</v>
      </c>
      <c r="E432">
        <v>1</v>
      </c>
      <c r="F432" t="str">
        <f>IF(final_data786[[#This Row],[MONTH_CODE]]=1,"JANUARY",IF(final_data786[[#This Row],[MONTH_CODE]]=2,"FEBRUARY"))</f>
        <v>JANUARY</v>
      </c>
      <c r="G432">
        <v>23</v>
      </c>
      <c r="H432">
        <v>0</v>
      </c>
      <c r="I432">
        <v>3</v>
      </c>
      <c r="J4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432" t="str">
        <f>IF(final_data786[[#This Row],[DAY_CODE]]=0,"weekend",IF(final_data786[[#This Row],[DAY_CODE]]=6,"weekend","weekday"))</f>
        <v>weekday</v>
      </c>
      <c r="L432">
        <v>1</v>
      </c>
      <c r="M432" t="str">
        <f>IF(final_data786[[#This Row],[WEATHER_CODE]]=1,"clear",IF(final_data786[[#This Row],[WEATHER_CODE]]=2,"cloudy",IF(final_data786[[#This Row],[WEATHER_CODE]]=3,"light rain",IF(final_data786[[#This Row],[WEATHER_CODE]]=4,"heavy rain",0))))</f>
        <v>clear</v>
      </c>
      <c r="N432">
        <v>0.3</v>
      </c>
      <c r="O432">
        <v>0.2727</v>
      </c>
      <c r="P432">
        <v>0.52</v>
      </c>
      <c r="Q432">
        <v>0.4627</v>
      </c>
      <c r="R432">
        <v>1</v>
      </c>
      <c r="S432">
        <v>27</v>
      </c>
      <c r="T432">
        <v>28</v>
      </c>
    </row>
    <row r="433" spans="1:20" x14ac:dyDescent="0.35">
      <c r="A433">
        <v>432</v>
      </c>
      <c r="B433" s="1">
        <v>40563</v>
      </c>
      <c r="C433">
        <v>1</v>
      </c>
      <c r="D433">
        <v>0</v>
      </c>
      <c r="E433">
        <v>1</v>
      </c>
      <c r="F433" t="str">
        <f>IF(final_data786[[#This Row],[MONTH_CODE]]=1,"JANUARY",IF(final_data786[[#This Row],[MONTH_CODE]]=2,"FEBRUARY"))</f>
        <v>JANUARY</v>
      </c>
      <c r="G433">
        <v>0</v>
      </c>
      <c r="H433">
        <v>0</v>
      </c>
      <c r="I433">
        <v>4</v>
      </c>
      <c r="J4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3" t="str">
        <f>IF(final_data786[[#This Row],[DAY_CODE]]=0,"weekend",IF(final_data786[[#This Row],[DAY_CODE]]=6,"weekend","weekday"))</f>
        <v>weekday</v>
      </c>
      <c r="L433">
        <v>1</v>
      </c>
      <c r="M433" t="str">
        <f>IF(final_data786[[#This Row],[WEATHER_CODE]]=1,"clear",IF(final_data786[[#This Row],[WEATHER_CODE]]=2,"cloudy",IF(final_data786[[#This Row],[WEATHER_CODE]]=3,"light rain",IF(final_data786[[#This Row],[WEATHER_CODE]]=4,"heavy rain",0))))</f>
        <v>clear</v>
      </c>
      <c r="N433">
        <v>0.26</v>
      </c>
      <c r="O433">
        <v>0.2273</v>
      </c>
      <c r="P433">
        <v>0.56000000000000005</v>
      </c>
      <c r="Q433">
        <v>0.3881</v>
      </c>
      <c r="R433">
        <v>5</v>
      </c>
      <c r="S433">
        <v>8</v>
      </c>
      <c r="T433">
        <v>13</v>
      </c>
    </row>
    <row r="434" spans="1:20" x14ac:dyDescent="0.35">
      <c r="A434">
        <v>433</v>
      </c>
      <c r="B434" s="1">
        <v>40563</v>
      </c>
      <c r="C434">
        <v>1</v>
      </c>
      <c r="D434">
        <v>0</v>
      </c>
      <c r="E434">
        <v>1</v>
      </c>
      <c r="F434" t="str">
        <f>IF(final_data786[[#This Row],[MONTH_CODE]]=1,"JANUARY",IF(final_data786[[#This Row],[MONTH_CODE]]=2,"FEBRUARY"))</f>
        <v>JANUARY</v>
      </c>
      <c r="G434">
        <v>1</v>
      </c>
      <c r="H434">
        <v>0</v>
      </c>
      <c r="I434">
        <v>4</v>
      </c>
      <c r="J4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4" t="str">
        <f>IF(final_data786[[#This Row],[DAY_CODE]]=0,"weekend",IF(final_data786[[#This Row],[DAY_CODE]]=6,"weekend","weekday"))</f>
        <v>weekday</v>
      </c>
      <c r="L434">
        <v>1</v>
      </c>
      <c r="M434" t="str">
        <f>IF(final_data786[[#This Row],[WEATHER_CODE]]=1,"clear",IF(final_data786[[#This Row],[WEATHER_CODE]]=2,"cloudy",IF(final_data786[[#This Row],[WEATHER_CODE]]=3,"light rain",IF(final_data786[[#This Row],[WEATHER_CODE]]=4,"heavy rain",0))))</f>
        <v>clear</v>
      </c>
      <c r="N434">
        <v>0.26</v>
      </c>
      <c r="O434">
        <v>0.2727</v>
      </c>
      <c r="P434">
        <v>0.56000000000000005</v>
      </c>
      <c r="Q434">
        <v>0</v>
      </c>
      <c r="R434">
        <v>2</v>
      </c>
      <c r="S434">
        <v>3</v>
      </c>
      <c r="T434">
        <v>5</v>
      </c>
    </row>
    <row r="435" spans="1:20" x14ac:dyDescent="0.35">
      <c r="A435">
        <v>434</v>
      </c>
      <c r="B435" s="1">
        <v>40563</v>
      </c>
      <c r="C435">
        <v>1</v>
      </c>
      <c r="D435">
        <v>0</v>
      </c>
      <c r="E435">
        <v>1</v>
      </c>
      <c r="F435" t="str">
        <f>IF(final_data786[[#This Row],[MONTH_CODE]]=1,"JANUARY",IF(final_data786[[#This Row],[MONTH_CODE]]=2,"FEBRUARY"))</f>
        <v>JANUARY</v>
      </c>
      <c r="G435">
        <v>2</v>
      </c>
      <c r="H435">
        <v>0</v>
      </c>
      <c r="I435">
        <v>4</v>
      </c>
      <c r="J4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5" t="str">
        <f>IF(final_data786[[#This Row],[DAY_CODE]]=0,"weekend",IF(final_data786[[#This Row],[DAY_CODE]]=6,"weekend","weekday"))</f>
        <v>weekday</v>
      </c>
      <c r="L435">
        <v>1</v>
      </c>
      <c r="M435" t="str">
        <f>IF(final_data786[[#This Row],[WEATHER_CODE]]=1,"clear",IF(final_data786[[#This Row],[WEATHER_CODE]]=2,"cloudy",IF(final_data786[[#This Row],[WEATHER_CODE]]=3,"light rain",IF(final_data786[[#This Row],[WEATHER_CODE]]=4,"heavy rain",0))))</f>
        <v>clear</v>
      </c>
      <c r="N435">
        <v>0.26</v>
      </c>
      <c r="O435">
        <v>0.2727</v>
      </c>
      <c r="P435">
        <v>0.56000000000000005</v>
      </c>
      <c r="Q435">
        <v>0</v>
      </c>
      <c r="R435">
        <v>0</v>
      </c>
      <c r="S435">
        <v>2</v>
      </c>
      <c r="T435">
        <v>2</v>
      </c>
    </row>
    <row r="436" spans="1:20" x14ac:dyDescent="0.35">
      <c r="A436">
        <v>435</v>
      </c>
      <c r="B436" s="1">
        <v>40563</v>
      </c>
      <c r="C436">
        <v>1</v>
      </c>
      <c r="D436">
        <v>0</v>
      </c>
      <c r="E436">
        <v>1</v>
      </c>
      <c r="F436" t="str">
        <f>IF(final_data786[[#This Row],[MONTH_CODE]]=1,"JANUARY",IF(final_data786[[#This Row],[MONTH_CODE]]=2,"FEBRUARY"))</f>
        <v>JANUARY</v>
      </c>
      <c r="G436">
        <v>3</v>
      </c>
      <c r="H436">
        <v>0</v>
      </c>
      <c r="I436">
        <v>4</v>
      </c>
      <c r="J4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6" t="str">
        <f>IF(final_data786[[#This Row],[DAY_CODE]]=0,"weekend",IF(final_data786[[#This Row],[DAY_CODE]]=6,"weekend","weekday"))</f>
        <v>weekday</v>
      </c>
      <c r="L436">
        <v>1</v>
      </c>
      <c r="M436" t="str">
        <f>IF(final_data786[[#This Row],[WEATHER_CODE]]=1,"clear",IF(final_data786[[#This Row],[WEATHER_CODE]]=2,"cloudy",IF(final_data786[[#This Row],[WEATHER_CODE]]=3,"light rain",IF(final_data786[[#This Row],[WEATHER_CODE]]=4,"heavy rain",0))))</f>
        <v>clear</v>
      </c>
      <c r="N436">
        <v>0.26</v>
      </c>
      <c r="O436">
        <v>0.2576</v>
      </c>
      <c r="P436">
        <v>0.56000000000000005</v>
      </c>
      <c r="Q436">
        <v>0.16420000000000001</v>
      </c>
      <c r="R436">
        <v>0</v>
      </c>
      <c r="S436">
        <v>1</v>
      </c>
      <c r="T436">
        <v>1</v>
      </c>
    </row>
    <row r="437" spans="1:20" x14ac:dyDescent="0.35">
      <c r="A437">
        <v>436</v>
      </c>
      <c r="B437" s="1">
        <v>40563</v>
      </c>
      <c r="C437">
        <v>1</v>
      </c>
      <c r="D437">
        <v>0</v>
      </c>
      <c r="E437">
        <v>1</v>
      </c>
      <c r="F437" t="str">
        <f>IF(final_data786[[#This Row],[MONTH_CODE]]=1,"JANUARY",IF(final_data786[[#This Row],[MONTH_CODE]]=2,"FEBRUARY"))</f>
        <v>JANUARY</v>
      </c>
      <c r="G437">
        <v>4</v>
      </c>
      <c r="H437">
        <v>0</v>
      </c>
      <c r="I437">
        <v>4</v>
      </c>
      <c r="J4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7" t="str">
        <f>IF(final_data786[[#This Row],[DAY_CODE]]=0,"weekend",IF(final_data786[[#This Row],[DAY_CODE]]=6,"weekend","weekday"))</f>
        <v>weekday</v>
      </c>
      <c r="L437">
        <v>1</v>
      </c>
      <c r="M437" t="str">
        <f>IF(final_data786[[#This Row],[WEATHER_CODE]]=1,"clear",IF(final_data786[[#This Row],[WEATHER_CODE]]=2,"cloudy",IF(final_data786[[#This Row],[WEATHER_CODE]]=3,"light rain",IF(final_data786[[#This Row],[WEATHER_CODE]]=4,"heavy rain",0))))</f>
        <v>clear</v>
      </c>
      <c r="N437">
        <v>0.26</v>
      </c>
      <c r="O437">
        <v>0.2576</v>
      </c>
      <c r="P437">
        <v>0.56000000000000005</v>
      </c>
      <c r="Q437">
        <v>0.16420000000000001</v>
      </c>
      <c r="R437">
        <v>0</v>
      </c>
      <c r="S437">
        <v>1</v>
      </c>
      <c r="T437">
        <v>1</v>
      </c>
    </row>
    <row r="438" spans="1:20" x14ac:dyDescent="0.35">
      <c r="A438">
        <v>437</v>
      </c>
      <c r="B438" s="1">
        <v>40563</v>
      </c>
      <c r="C438">
        <v>1</v>
      </c>
      <c r="D438">
        <v>0</v>
      </c>
      <c r="E438">
        <v>1</v>
      </c>
      <c r="F438" t="str">
        <f>IF(final_data786[[#This Row],[MONTH_CODE]]=1,"JANUARY",IF(final_data786[[#This Row],[MONTH_CODE]]=2,"FEBRUARY"))</f>
        <v>JANUARY</v>
      </c>
      <c r="G438">
        <v>5</v>
      </c>
      <c r="H438">
        <v>0</v>
      </c>
      <c r="I438">
        <v>4</v>
      </c>
      <c r="J4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8" t="str">
        <f>IF(final_data786[[#This Row],[DAY_CODE]]=0,"weekend",IF(final_data786[[#This Row],[DAY_CODE]]=6,"weekend","weekday"))</f>
        <v>weekday</v>
      </c>
      <c r="L438">
        <v>1</v>
      </c>
      <c r="M438" t="str">
        <f>IF(final_data786[[#This Row],[WEATHER_CODE]]=1,"clear",IF(final_data786[[#This Row],[WEATHER_CODE]]=2,"cloudy",IF(final_data786[[#This Row],[WEATHER_CODE]]=3,"light rain",IF(final_data786[[#This Row],[WEATHER_CODE]]=4,"heavy rain",0))))</f>
        <v>clear</v>
      </c>
      <c r="N438">
        <v>0.24</v>
      </c>
      <c r="O438">
        <v>0.2273</v>
      </c>
      <c r="P438">
        <v>0.6</v>
      </c>
      <c r="Q438">
        <v>0.22389999999999999</v>
      </c>
      <c r="R438">
        <v>0</v>
      </c>
      <c r="S438">
        <v>6</v>
      </c>
      <c r="T438">
        <v>6</v>
      </c>
    </row>
    <row r="439" spans="1:20" x14ac:dyDescent="0.35">
      <c r="A439">
        <v>438</v>
      </c>
      <c r="B439" s="1">
        <v>40563</v>
      </c>
      <c r="C439">
        <v>1</v>
      </c>
      <c r="D439">
        <v>0</v>
      </c>
      <c r="E439">
        <v>1</v>
      </c>
      <c r="F439" t="str">
        <f>IF(final_data786[[#This Row],[MONTH_CODE]]=1,"JANUARY",IF(final_data786[[#This Row],[MONTH_CODE]]=2,"FEBRUARY"))</f>
        <v>JANUARY</v>
      </c>
      <c r="G439">
        <v>6</v>
      </c>
      <c r="H439">
        <v>0</v>
      </c>
      <c r="I439">
        <v>4</v>
      </c>
      <c r="J4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39" t="str">
        <f>IF(final_data786[[#This Row],[DAY_CODE]]=0,"weekend",IF(final_data786[[#This Row],[DAY_CODE]]=6,"weekend","weekday"))</f>
        <v>weekday</v>
      </c>
      <c r="L439">
        <v>1</v>
      </c>
      <c r="M439" t="str">
        <f>IF(final_data786[[#This Row],[WEATHER_CODE]]=1,"clear",IF(final_data786[[#This Row],[WEATHER_CODE]]=2,"cloudy",IF(final_data786[[#This Row],[WEATHER_CODE]]=3,"light rain",IF(final_data786[[#This Row],[WEATHER_CODE]]=4,"heavy rain",0))))</f>
        <v>clear</v>
      </c>
      <c r="N439">
        <v>0.22</v>
      </c>
      <c r="O439">
        <v>0.21210000000000001</v>
      </c>
      <c r="P439">
        <v>0.6</v>
      </c>
      <c r="Q439">
        <v>0.22389999999999999</v>
      </c>
      <c r="R439">
        <v>0</v>
      </c>
      <c r="S439">
        <v>35</v>
      </c>
      <c r="T439">
        <v>35</v>
      </c>
    </row>
    <row r="440" spans="1:20" x14ac:dyDescent="0.35">
      <c r="A440">
        <v>439</v>
      </c>
      <c r="B440" s="1">
        <v>40563</v>
      </c>
      <c r="C440">
        <v>1</v>
      </c>
      <c r="D440">
        <v>0</v>
      </c>
      <c r="E440">
        <v>1</v>
      </c>
      <c r="F440" t="str">
        <f>IF(final_data786[[#This Row],[MONTH_CODE]]=1,"JANUARY",IF(final_data786[[#This Row],[MONTH_CODE]]=2,"FEBRUARY"))</f>
        <v>JANUARY</v>
      </c>
      <c r="G440">
        <v>7</v>
      </c>
      <c r="H440">
        <v>0</v>
      </c>
      <c r="I440">
        <v>4</v>
      </c>
      <c r="J4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0" t="str">
        <f>IF(final_data786[[#This Row],[DAY_CODE]]=0,"weekend",IF(final_data786[[#This Row],[DAY_CODE]]=6,"weekend","weekday"))</f>
        <v>weekday</v>
      </c>
      <c r="L440">
        <v>1</v>
      </c>
      <c r="M440" t="str">
        <f>IF(final_data786[[#This Row],[WEATHER_CODE]]=1,"clear",IF(final_data786[[#This Row],[WEATHER_CODE]]=2,"cloudy",IF(final_data786[[#This Row],[WEATHER_CODE]]=3,"light rain",IF(final_data786[[#This Row],[WEATHER_CODE]]=4,"heavy rain",0))))</f>
        <v>clear</v>
      </c>
      <c r="N440">
        <v>0.22</v>
      </c>
      <c r="O440">
        <v>0.21210000000000001</v>
      </c>
      <c r="P440">
        <v>0.55000000000000004</v>
      </c>
      <c r="Q440">
        <v>0.22389999999999999</v>
      </c>
      <c r="R440">
        <v>1</v>
      </c>
      <c r="S440">
        <v>100</v>
      </c>
      <c r="T440">
        <v>101</v>
      </c>
    </row>
    <row r="441" spans="1:20" x14ac:dyDescent="0.35">
      <c r="A441">
        <v>440</v>
      </c>
      <c r="B441" s="1">
        <v>40563</v>
      </c>
      <c r="C441">
        <v>1</v>
      </c>
      <c r="D441">
        <v>0</v>
      </c>
      <c r="E441">
        <v>1</v>
      </c>
      <c r="F441" t="str">
        <f>IF(final_data786[[#This Row],[MONTH_CODE]]=1,"JANUARY",IF(final_data786[[#This Row],[MONTH_CODE]]=2,"FEBRUARY"))</f>
        <v>JANUARY</v>
      </c>
      <c r="G441">
        <v>8</v>
      </c>
      <c r="H441">
        <v>0</v>
      </c>
      <c r="I441">
        <v>4</v>
      </c>
      <c r="J4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1" t="str">
        <f>IF(final_data786[[#This Row],[DAY_CODE]]=0,"weekend",IF(final_data786[[#This Row],[DAY_CODE]]=6,"weekend","weekday"))</f>
        <v>weekday</v>
      </c>
      <c r="L441">
        <v>1</v>
      </c>
      <c r="M441" t="str">
        <f>IF(final_data786[[#This Row],[WEATHER_CODE]]=1,"clear",IF(final_data786[[#This Row],[WEATHER_CODE]]=2,"cloudy",IF(final_data786[[#This Row],[WEATHER_CODE]]=3,"light rain",IF(final_data786[[#This Row],[WEATHER_CODE]]=4,"heavy rain",0))))</f>
        <v>clear</v>
      </c>
      <c r="N441">
        <v>0.22</v>
      </c>
      <c r="O441">
        <v>0.21210000000000001</v>
      </c>
      <c r="P441">
        <v>0.55000000000000004</v>
      </c>
      <c r="Q441">
        <v>0.28360000000000002</v>
      </c>
      <c r="R441">
        <v>2</v>
      </c>
      <c r="S441">
        <v>247</v>
      </c>
      <c r="T441">
        <v>249</v>
      </c>
    </row>
    <row r="442" spans="1:20" x14ac:dyDescent="0.35">
      <c r="A442">
        <v>441</v>
      </c>
      <c r="B442" s="1">
        <v>40563</v>
      </c>
      <c r="C442">
        <v>1</v>
      </c>
      <c r="D442">
        <v>0</v>
      </c>
      <c r="E442">
        <v>1</v>
      </c>
      <c r="F442" t="str">
        <f>IF(final_data786[[#This Row],[MONTH_CODE]]=1,"JANUARY",IF(final_data786[[#This Row],[MONTH_CODE]]=2,"FEBRUARY"))</f>
        <v>JANUARY</v>
      </c>
      <c r="G442">
        <v>9</v>
      </c>
      <c r="H442">
        <v>0</v>
      </c>
      <c r="I442">
        <v>4</v>
      </c>
      <c r="J4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2" t="str">
        <f>IF(final_data786[[#This Row],[DAY_CODE]]=0,"weekend",IF(final_data786[[#This Row],[DAY_CODE]]=6,"weekend","weekday"))</f>
        <v>weekday</v>
      </c>
      <c r="L442">
        <v>2</v>
      </c>
      <c r="M442" t="str">
        <f>IF(final_data786[[#This Row],[WEATHER_CODE]]=1,"clear",IF(final_data786[[#This Row],[WEATHER_CODE]]=2,"cloudy",IF(final_data786[[#This Row],[WEATHER_CODE]]=3,"light rain",IF(final_data786[[#This Row],[WEATHER_CODE]]=4,"heavy rain",0))))</f>
        <v>cloudy</v>
      </c>
      <c r="N442">
        <v>0.24</v>
      </c>
      <c r="O442">
        <v>0.2273</v>
      </c>
      <c r="P442">
        <v>0.52</v>
      </c>
      <c r="Q442">
        <v>0.22389999999999999</v>
      </c>
      <c r="R442">
        <v>3</v>
      </c>
      <c r="S442">
        <v>140</v>
      </c>
      <c r="T442">
        <v>143</v>
      </c>
    </row>
    <row r="443" spans="1:20" x14ac:dyDescent="0.35">
      <c r="A443">
        <v>442</v>
      </c>
      <c r="B443" s="1">
        <v>40563</v>
      </c>
      <c r="C443">
        <v>1</v>
      </c>
      <c r="D443">
        <v>0</v>
      </c>
      <c r="E443">
        <v>1</v>
      </c>
      <c r="F443" t="str">
        <f>IF(final_data786[[#This Row],[MONTH_CODE]]=1,"JANUARY",IF(final_data786[[#This Row],[MONTH_CODE]]=2,"FEBRUARY"))</f>
        <v>JANUARY</v>
      </c>
      <c r="G443">
        <v>10</v>
      </c>
      <c r="H443">
        <v>0</v>
      </c>
      <c r="I443">
        <v>4</v>
      </c>
      <c r="J4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3" t="str">
        <f>IF(final_data786[[#This Row],[DAY_CODE]]=0,"weekend",IF(final_data786[[#This Row],[DAY_CODE]]=6,"weekend","weekday"))</f>
        <v>weekday</v>
      </c>
      <c r="L443">
        <v>1</v>
      </c>
      <c r="M443" t="str">
        <f>IF(final_data786[[#This Row],[WEATHER_CODE]]=1,"clear",IF(final_data786[[#This Row],[WEATHER_CODE]]=2,"cloudy",IF(final_data786[[#This Row],[WEATHER_CODE]]=3,"light rain",IF(final_data786[[#This Row],[WEATHER_CODE]]=4,"heavy rain",0))))</f>
        <v>clear</v>
      </c>
      <c r="N443">
        <v>0.26</v>
      </c>
      <c r="O443">
        <v>0.2273</v>
      </c>
      <c r="P443">
        <v>0.48</v>
      </c>
      <c r="Q443">
        <v>0.29849999999999999</v>
      </c>
      <c r="R443">
        <v>1</v>
      </c>
      <c r="S443">
        <v>56</v>
      </c>
      <c r="T443">
        <v>57</v>
      </c>
    </row>
    <row r="444" spans="1:20" x14ac:dyDescent="0.35">
      <c r="A444">
        <v>443</v>
      </c>
      <c r="B444" s="1">
        <v>40563</v>
      </c>
      <c r="C444">
        <v>1</v>
      </c>
      <c r="D444">
        <v>0</v>
      </c>
      <c r="E444">
        <v>1</v>
      </c>
      <c r="F444" t="str">
        <f>IF(final_data786[[#This Row],[MONTH_CODE]]=1,"JANUARY",IF(final_data786[[#This Row],[MONTH_CODE]]=2,"FEBRUARY"))</f>
        <v>JANUARY</v>
      </c>
      <c r="G444">
        <v>11</v>
      </c>
      <c r="H444">
        <v>0</v>
      </c>
      <c r="I444">
        <v>4</v>
      </c>
      <c r="J4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4" t="str">
        <f>IF(final_data786[[#This Row],[DAY_CODE]]=0,"weekend",IF(final_data786[[#This Row],[DAY_CODE]]=6,"weekend","weekday"))</f>
        <v>weekday</v>
      </c>
      <c r="L444">
        <v>2</v>
      </c>
      <c r="M444" t="str">
        <f>IF(final_data786[[#This Row],[WEATHER_CODE]]=1,"clear",IF(final_data786[[#This Row],[WEATHER_CODE]]=2,"cloudy",IF(final_data786[[#This Row],[WEATHER_CODE]]=3,"light rain",IF(final_data786[[#This Row],[WEATHER_CODE]]=4,"heavy rain",0))))</f>
        <v>cloudy</v>
      </c>
      <c r="N444">
        <v>0.28000000000000003</v>
      </c>
      <c r="O444">
        <v>0.2727</v>
      </c>
      <c r="P444">
        <v>0.45</v>
      </c>
      <c r="Q444">
        <v>0.16420000000000001</v>
      </c>
      <c r="R444">
        <v>5</v>
      </c>
      <c r="S444">
        <v>63</v>
      </c>
      <c r="T444">
        <v>68</v>
      </c>
    </row>
    <row r="445" spans="1:20" x14ac:dyDescent="0.35">
      <c r="A445">
        <v>444</v>
      </c>
      <c r="B445" s="1">
        <v>40563</v>
      </c>
      <c r="C445">
        <v>1</v>
      </c>
      <c r="D445">
        <v>0</v>
      </c>
      <c r="E445">
        <v>1</v>
      </c>
      <c r="F445" t="str">
        <f>IF(final_data786[[#This Row],[MONTH_CODE]]=1,"JANUARY",IF(final_data786[[#This Row],[MONTH_CODE]]=2,"FEBRUARY"))</f>
        <v>JANUARY</v>
      </c>
      <c r="G445">
        <v>12</v>
      </c>
      <c r="H445">
        <v>0</v>
      </c>
      <c r="I445">
        <v>4</v>
      </c>
      <c r="J4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5" t="str">
        <f>IF(final_data786[[#This Row],[DAY_CODE]]=0,"weekend",IF(final_data786[[#This Row],[DAY_CODE]]=6,"weekend","weekday"))</f>
        <v>weekday</v>
      </c>
      <c r="L445">
        <v>2</v>
      </c>
      <c r="M445" t="str">
        <f>IF(final_data786[[#This Row],[WEATHER_CODE]]=1,"clear",IF(final_data786[[#This Row],[WEATHER_CODE]]=2,"cloudy",IF(final_data786[[#This Row],[WEATHER_CODE]]=3,"light rain",IF(final_data786[[#This Row],[WEATHER_CODE]]=4,"heavy rain",0))))</f>
        <v>cloudy</v>
      </c>
      <c r="N445">
        <v>0.3</v>
      </c>
      <c r="O445">
        <v>0.33329999999999999</v>
      </c>
      <c r="P445">
        <v>0.42</v>
      </c>
      <c r="Q445">
        <v>0</v>
      </c>
      <c r="R445">
        <v>7</v>
      </c>
      <c r="S445">
        <v>77</v>
      </c>
      <c r="T445">
        <v>84</v>
      </c>
    </row>
    <row r="446" spans="1:20" x14ac:dyDescent="0.35">
      <c r="A446">
        <v>445</v>
      </c>
      <c r="B446" s="1">
        <v>40563</v>
      </c>
      <c r="C446">
        <v>1</v>
      </c>
      <c r="D446">
        <v>0</v>
      </c>
      <c r="E446">
        <v>1</v>
      </c>
      <c r="F446" t="str">
        <f>IF(final_data786[[#This Row],[MONTH_CODE]]=1,"JANUARY",IF(final_data786[[#This Row],[MONTH_CODE]]=2,"FEBRUARY"))</f>
        <v>JANUARY</v>
      </c>
      <c r="G446">
        <v>13</v>
      </c>
      <c r="H446">
        <v>0</v>
      </c>
      <c r="I446">
        <v>4</v>
      </c>
      <c r="J4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6" t="str">
        <f>IF(final_data786[[#This Row],[DAY_CODE]]=0,"weekend",IF(final_data786[[#This Row],[DAY_CODE]]=6,"weekend","weekday"))</f>
        <v>weekday</v>
      </c>
      <c r="L446">
        <v>2</v>
      </c>
      <c r="M446" t="str">
        <f>IF(final_data786[[#This Row],[WEATHER_CODE]]=1,"clear",IF(final_data786[[#This Row],[WEATHER_CODE]]=2,"cloudy",IF(final_data786[[#This Row],[WEATHER_CODE]]=3,"light rain",IF(final_data786[[#This Row],[WEATHER_CODE]]=4,"heavy rain",0))))</f>
        <v>cloudy</v>
      </c>
      <c r="N446">
        <v>0.28000000000000003</v>
      </c>
      <c r="O446">
        <v>0.28789999999999999</v>
      </c>
      <c r="P446">
        <v>0.45</v>
      </c>
      <c r="Q446">
        <v>0.1045</v>
      </c>
      <c r="R446">
        <v>12</v>
      </c>
      <c r="S446">
        <v>86</v>
      </c>
      <c r="T446">
        <v>98</v>
      </c>
    </row>
    <row r="447" spans="1:20" x14ac:dyDescent="0.35">
      <c r="A447">
        <v>446</v>
      </c>
      <c r="B447" s="1">
        <v>40563</v>
      </c>
      <c r="C447">
        <v>1</v>
      </c>
      <c r="D447">
        <v>0</v>
      </c>
      <c r="E447">
        <v>1</v>
      </c>
      <c r="F447" t="str">
        <f>IF(final_data786[[#This Row],[MONTH_CODE]]=1,"JANUARY",IF(final_data786[[#This Row],[MONTH_CODE]]=2,"FEBRUARY"))</f>
        <v>JANUARY</v>
      </c>
      <c r="G447">
        <v>14</v>
      </c>
      <c r="H447">
        <v>0</v>
      </c>
      <c r="I447">
        <v>4</v>
      </c>
      <c r="J4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7" t="str">
        <f>IF(final_data786[[#This Row],[DAY_CODE]]=0,"weekend",IF(final_data786[[#This Row],[DAY_CODE]]=6,"weekend","weekday"))</f>
        <v>weekday</v>
      </c>
      <c r="L447">
        <v>2</v>
      </c>
      <c r="M447" t="str">
        <f>IF(final_data786[[#This Row],[WEATHER_CODE]]=1,"clear",IF(final_data786[[#This Row],[WEATHER_CODE]]=2,"cloudy",IF(final_data786[[#This Row],[WEATHER_CODE]]=3,"light rain",IF(final_data786[[#This Row],[WEATHER_CODE]]=4,"heavy rain",0))))</f>
        <v>cloudy</v>
      </c>
      <c r="N447">
        <v>0.3</v>
      </c>
      <c r="O447">
        <v>0.30299999999999999</v>
      </c>
      <c r="P447">
        <v>0.45</v>
      </c>
      <c r="Q447">
        <v>0.1343</v>
      </c>
      <c r="R447">
        <v>6</v>
      </c>
      <c r="S447">
        <v>75</v>
      </c>
      <c r="T447">
        <v>81</v>
      </c>
    </row>
    <row r="448" spans="1:20" x14ac:dyDescent="0.35">
      <c r="A448">
        <v>447</v>
      </c>
      <c r="B448" s="1">
        <v>40563</v>
      </c>
      <c r="C448">
        <v>1</v>
      </c>
      <c r="D448">
        <v>0</v>
      </c>
      <c r="E448">
        <v>1</v>
      </c>
      <c r="F448" t="str">
        <f>IF(final_data786[[#This Row],[MONTH_CODE]]=1,"JANUARY",IF(final_data786[[#This Row],[MONTH_CODE]]=2,"FEBRUARY"))</f>
        <v>JANUARY</v>
      </c>
      <c r="G448">
        <v>15</v>
      </c>
      <c r="H448">
        <v>0</v>
      </c>
      <c r="I448">
        <v>4</v>
      </c>
      <c r="J4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8" t="str">
        <f>IF(final_data786[[#This Row],[DAY_CODE]]=0,"weekend",IF(final_data786[[#This Row],[DAY_CODE]]=6,"weekend","weekday"))</f>
        <v>weekday</v>
      </c>
      <c r="L448">
        <v>2</v>
      </c>
      <c r="M448" t="str">
        <f>IF(final_data786[[#This Row],[WEATHER_CODE]]=1,"clear",IF(final_data786[[#This Row],[WEATHER_CODE]]=2,"cloudy",IF(final_data786[[#This Row],[WEATHER_CODE]]=3,"light rain",IF(final_data786[[#This Row],[WEATHER_CODE]]=4,"heavy rain",0))))</f>
        <v>cloudy</v>
      </c>
      <c r="N448">
        <v>0.32</v>
      </c>
      <c r="O448">
        <v>0.31819999999999998</v>
      </c>
      <c r="P448">
        <v>0.45</v>
      </c>
      <c r="Q448">
        <v>0.19400000000000001</v>
      </c>
      <c r="R448">
        <v>8</v>
      </c>
      <c r="S448">
        <v>62</v>
      </c>
      <c r="T448">
        <v>70</v>
      </c>
    </row>
    <row r="449" spans="1:20" x14ac:dyDescent="0.35">
      <c r="A449">
        <v>448</v>
      </c>
      <c r="B449" s="1">
        <v>40563</v>
      </c>
      <c r="C449">
        <v>1</v>
      </c>
      <c r="D449">
        <v>0</v>
      </c>
      <c r="E449">
        <v>1</v>
      </c>
      <c r="F449" t="str">
        <f>IF(final_data786[[#This Row],[MONTH_CODE]]=1,"JANUARY",IF(final_data786[[#This Row],[MONTH_CODE]]=2,"FEBRUARY"))</f>
        <v>JANUARY</v>
      </c>
      <c r="G449">
        <v>16</v>
      </c>
      <c r="H449">
        <v>0</v>
      </c>
      <c r="I449">
        <v>4</v>
      </c>
      <c r="J4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49" t="str">
        <f>IF(final_data786[[#This Row],[DAY_CODE]]=0,"weekend",IF(final_data786[[#This Row],[DAY_CODE]]=6,"weekend","weekday"))</f>
        <v>weekday</v>
      </c>
      <c r="L449">
        <v>2</v>
      </c>
      <c r="M449" t="str">
        <f>IF(final_data786[[#This Row],[WEATHER_CODE]]=1,"clear",IF(final_data786[[#This Row],[WEATHER_CODE]]=2,"cloudy",IF(final_data786[[#This Row],[WEATHER_CODE]]=3,"light rain",IF(final_data786[[#This Row],[WEATHER_CODE]]=4,"heavy rain",0))))</f>
        <v>cloudy</v>
      </c>
      <c r="N449">
        <v>0.3</v>
      </c>
      <c r="O449">
        <v>0.30299999999999999</v>
      </c>
      <c r="P449">
        <v>0.49</v>
      </c>
      <c r="Q449">
        <v>0.1343</v>
      </c>
      <c r="R449">
        <v>8</v>
      </c>
      <c r="S449">
        <v>83</v>
      </c>
      <c r="T449">
        <v>91</v>
      </c>
    </row>
    <row r="450" spans="1:20" x14ac:dyDescent="0.35">
      <c r="A450">
        <v>449</v>
      </c>
      <c r="B450" s="1">
        <v>40563</v>
      </c>
      <c r="C450">
        <v>1</v>
      </c>
      <c r="D450">
        <v>0</v>
      </c>
      <c r="E450">
        <v>1</v>
      </c>
      <c r="F450" t="str">
        <f>IF(final_data786[[#This Row],[MONTH_CODE]]=1,"JANUARY",IF(final_data786[[#This Row],[MONTH_CODE]]=2,"FEBRUARY"))</f>
        <v>JANUARY</v>
      </c>
      <c r="G450">
        <v>17</v>
      </c>
      <c r="H450">
        <v>0</v>
      </c>
      <c r="I450">
        <v>4</v>
      </c>
      <c r="J4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0" t="str">
        <f>IF(final_data786[[#This Row],[DAY_CODE]]=0,"weekend",IF(final_data786[[#This Row],[DAY_CODE]]=6,"weekend","weekday"))</f>
        <v>weekday</v>
      </c>
      <c r="L450">
        <v>2</v>
      </c>
      <c r="M450" t="str">
        <f>IF(final_data786[[#This Row],[WEATHER_CODE]]=1,"clear",IF(final_data786[[#This Row],[WEATHER_CODE]]=2,"cloudy",IF(final_data786[[#This Row],[WEATHER_CODE]]=3,"light rain",IF(final_data786[[#This Row],[WEATHER_CODE]]=4,"heavy rain",0))))</f>
        <v>cloudy</v>
      </c>
      <c r="N450">
        <v>0.3</v>
      </c>
      <c r="O450">
        <v>0.31819999999999998</v>
      </c>
      <c r="P450">
        <v>0.49</v>
      </c>
      <c r="Q450">
        <v>0.1045</v>
      </c>
      <c r="R450">
        <v>8</v>
      </c>
      <c r="S450">
        <v>207</v>
      </c>
      <c r="T450">
        <v>215</v>
      </c>
    </row>
    <row r="451" spans="1:20" x14ac:dyDescent="0.35">
      <c r="A451">
        <v>450</v>
      </c>
      <c r="B451" s="1">
        <v>40563</v>
      </c>
      <c r="C451">
        <v>1</v>
      </c>
      <c r="D451">
        <v>0</v>
      </c>
      <c r="E451">
        <v>1</v>
      </c>
      <c r="F451" t="str">
        <f>IF(final_data786[[#This Row],[MONTH_CODE]]=1,"JANUARY",IF(final_data786[[#This Row],[MONTH_CODE]]=2,"FEBRUARY"))</f>
        <v>JANUARY</v>
      </c>
      <c r="G451">
        <v>18</v>
      </c>
      <c r="H451">
        <v>0</v>
      </c>
      <c r="I451">
        <v>4</v>
      </c>
      <c r="J4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1" t="str">
        <f>IF(final_data786[[#This Row],[DAY_CODE]]=0,"weekend",IF(final_data786[[#This Row],[DAY_CODE]]=6,"weekend","weekday"))</f>
        <v>weekday</v>
      </c>
      <c r="L451">
        <v>2</v>
      </c>
      <c r="M451" t="str">
        <f>IF(final_data786[[#This Row],[WEATHER_CODE]]=1,"clear",IF(final_data786[[#This Row],[WEATHER_CODE]]=2,"cloudy",IF(final_data786[[#This Row],[WEATHER_CODE]]=3,"light rain",IF(final_data786[[#This Row],[WEATHER_CODE]]=4,"heavy rain",0))))</f>
        <v>cloudy</v>
      </c>
      <c r="N451">
        <v>0.26</v>
      </c>
      <c r="O451">
        <v>0.2576</v>
      </c>
      <c r="P451">
        <v>0.56000000000000005</v>
      </c>
      <c r="Q451">
        <v>0.19400000000000001</v>
      </c>
      <c r="R451">
        <v>1</v>
      </c>
      <c r="S451">
        <v>184</v>
      </c>
      <c r="T451">
        <v>185</v>
      </c>
    </row>
    <row r="452" spans="1:20" x14ac:dyDescent="0.35">
      <c r="A452">
        <v>451</v>
      </c>
      <c r="B452" s="1">
        <v>40563</v>
      </c>
      <c r="C452">
        <v>1</v>
      </c>
      <c r="D452">
        <v>0</v>
      </c>
      <c r="E452">
        <v>1</v>
      </c>
      <c r="F452" t="str">
        <f>IF(final_data786[[#This Row],[MONTH_CODE]]=1,"JANUARY",IF(final_data786[[#This Row],[MONTH_CODE]]=2,"FEBRUARY"))</f>
        <v>JANUARY</v>
      </c>
      <c r="G452">
        <v>19</v>
      </c>
      <c r="H452">
        <v>0</v>
      </c>
      <c r="I452">
        <v>4</v>
      </c>
      <c r="J4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2" t="str">
        <f>IF(final_data786[[#This Row],[DAY_CODE]]=0,"weekend",IF(final_data786[[#This Row],[DAY_CODE]]=6,"weekend","weekday"))</f>
        <v>weekday</v>
      </c>
      <c r="L452">
        <v>1</v>
      </c>
      <c r="M452" t="str">
        <f>IF(final_data786[[#This Row],[WEATHER_CODE]]=1,"clear",IF(final_data786[[#This Row],[WEATHER_CODE]]=2,"cloudy",IF(final_data786[[#This Row],[WEATHER_CODE]]=3,"light rain",IF(final_data786[[#This Row],[WEATHER_CODE]]=4,"heavy rain",0))))</f>
        <v>clear</v>
      </c>
      <c r="N452">
        <v>0.26</v>
      </c>
      <c r="O452">
        <v>0.2273</v>
      </c>
      <c r="P452">
        <v>0.56000000000000005</v>
      </c>
      <c r="Q452">
        <v>0.32840000000000003</v>
      </c>
      <c r="R452">
        <v>6</v>
      </c>
      <c r="S452">
        <v>146</v>
      </c>
      <c r="T452">
        <v>152</v>
      </c>
    </row>
    <row r="453" spans="1:20" x14ac:dyDescent="0.35">
      <c r="A453">
        <v>452</v>
      </c>
      <c r="B453" s="1">
        <v>40563</v>
      </c>
      <c r="C453">
        <v>1</v>
      </c>
      <c r="D453">
        <v>0</v>
      </c>
      <c r="E453">
        <v>1</v>
      </c>
      <c r="F453" t="str">
        <f>IF(final_data786[[#This Row],[MONTH_CODE]]=1,"JANUARY",IF(final_data786[[#This Row],[MONTH_CODE]]=2,"FEBRUARY"))</f>
        <v>JANUARY</v>
      </c>
      <c r="G453">
        <v>20</v>
      </c>
      <c r="H453">
        <v>0</v>
      </c>
      <c r="I453">
        <v>4</v>
      </c>
      <c r="J4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3" t="str">
        <f>IF(final_data786[[#This Row],[DAY_CODE]]=0,"weekend",IF(final_data786[[#This Row],[DAY_CODE]]=6,"weekend","weekday"))</f>
        <v>weekday</v>
      </c>
      <c r="L453">
        <v>2</v>
      </c>
      <c r="M453" t="str">
        <f>IF(final_data786[[#This Row],[WEATHER_CODE]]=1,"clear",IF(final_data786[[#This Row],[WEATHER_CODE]]=2,"cloudy",IF(final_data786[[#This Row],[WEATHER_CODE]]=3,"light rain",IF(final_data786[[#This Row],[WEATHER_CODE]]=4,"heavy rain",0))))</f>
        <v>cloudy</v>
      </c>
      <c r="N453">
        <v>0.26</v>
      </c>
      <c r="O453">
        <v>0.2424</v>
      </c>
      <c r="P453">
        <v>0.6</v>
      </c>
      <c r="Q453">
        <v>0.28360000000000002</v>
      </c>
      <c r="R453">
        <v>2</v>
      </c>
      <c r="S453">
        <v>124</v>
      </c>
      <c r="T453">
        <v>126</v>
      </c>
    </row>
    <row r="454" spans="1:20" x14ac:dyDescent="0.35">
      <c r="A454">
        <v>453</v>
      </c>
      <c r="B454" s="1">
        <v>40563</v>
      </c>
      <c r="C454">
        <v>1</v>
      </c>
      <c r="D454">
        <v>0</v>
      </c>
      <c r="E454">
        <v>1</v>
      </c>
      <c r="F454" t="str">
        <f>IF(final_data786[[#This Row],[MONTH_CODE]]=1,"JANUARY",IF(final_data786[[#This Row],[MONTH_CODE]]=2,"FEBRUARY"))</f>
        <v>JANUARY</v>
      </c>
      <c r="G454">
        <v>21</v>
      </c>
      <c r="H454">
        <v>0</v>
      </c>
      <c r="I454">
        <v>4</v>
      </c>
      <c r="J4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4" t="str">
        <f>IF(final_data786[[#This Row],[DAY_CODE]]=0,"weekend",IF(final_data786[[#This Row],[DAY_CODE]]=6,"weekend","weekday"))</f>
        <v>weekday</v>
      </c>
      <c r="L454">
        <v>2</v>
      </c>
      <c r="M454" t="str">
        <f>IF(final_data786[[#This Row],[WEATHER_CODE]]=1,"clear",IF(final_data786[[#This Row],[WEATHER_CODE]]=2,"cloudy",IF(final_data786[[#This Row],[WEATHER_CODE]]=3,"light rain",IF(final_data786[[#This Row],[WEATHER_CODE]]=4,"heavy rain",0))))</f>
        <v>cloudy</v>
      </c>
      <c r="N454">
        <v>0.24</v>
      </c>
      <c r="O454">
        <v>0.2273</v>
      </c>
      <c r="P454">
        <v>0.6</v>
      </c>
      <c r="Q454">
        <v>0.25369999999999998</v>
      </c>
      <c r="R454">
        <v>3</v>
      </c>
      <c r="S454">
        <v>54</v>
      </c>
      <c r="T454">
        <v>57</v>
      </c>
    </row>
    <row r="455" spans="1:20" x14ac:dyDescent="0.35">
      <c r="A455">
        <v>454</v>
      </c>
      <c r="B455" s="1">
        <v>40563</v>
      </c>
      <c r="C455">
        <v>1</v>
      </c>
      <c r="D455">
        <v>0</v>
      </c>
      <c r="E455">
        <v>1</v>
      </c>
      <c r="F455" t="str">
        <f>IF(final_data786[[#This Row],[MONTH_CODE]]=1,"JANUARY",IF(final_data786[[#This Row],[MONTH_CODE]]=2,"FEBRUARY"))</f>
        <v>JANUARY</v>
      </c>
      <c r="G455">
        <v>22</v>
      </c>
      <c r="H455">
        <v>0</v>
      </c>
      <c r="I455">
        <v>4</v>
      </c>
      <c r="J4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5" t="str">
        <f>IF(final_data786[[#This Row],[DAY_CODE]]=0,"weekend",IF(final_data786[[#This Row],[DAY_CODE]]=6,"weekend","weekday"))</f>
        <v>weekday</v>
      </c>
      <c r="L455">
        <v>2</v>
      </c>
      <c r="M455" t="str">
        <f>IF(final_data786[[#This Row],[WEATHER_CODE]]=1,"clear",IF(final_data786[[#This Row],[WEATHER_CODE]]=2,"cloudy",IF(final_data786[[#This Row],[WEATHER_CODE]]=3,"light rain",IF(final_data786[[#This Row],[WEATHER_CODE]]=4,"heavy rain",0))))</f>
        <v>cloudy</v>
      </c>
      <c r="N455">
        <v>0.24</v>
      </c>
      <c r="O455">
        <v>0.21210000000000001</v>
      </c>
      <c r="P455">
        <v>0.65</v>
      </c>
      <c r="Q455">
        <v>0.28360000000000002</v>
      </c>
      <c r="R455">
        <v>0</v>
      </c>
      <c r="S455">
        <v>56</v>
      </c>
      <c r="T455">
        <v>56</v>
      </c>
    </row>
    <row r="456" spans="1:20" x14ac:dyDescent="0.35">
      <c r="A456">
        <v>455</v>
      </c>
      <c r="B456" s="1">
        <v>40563</v>
      </c>
      <c r="C456">
        <v>1</v>
      </c>
      <c r="D456">
        <v>0</v>
      </c>
      <c r="E456">
        <v>1</v>
      </c>
      <c r="F456" t="str">
        <f>IF(final_data786[[#This Row],[MONTH_CODE]]=1,"JANUARY",IF(final_data786[[#This Row],[MONTH_CODE]]=2,"FEBRUARY"))</f>
        <v>JANUARY</v>
      </c>
      <c r="G456">
        <v>23</v>
      </c>
      <c r="H456">
        <v>0</v>
      </c>
      <c r="I456">
        <v>4</v>
      </c>
      <c r="J4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456" t="str">
        <f>IF(final_data786[[#This Row],[DAY_CODE]]=0,"weekend",IF(final_data786[[#This Row],[DAY_CODE]]=6,"weekend","weekday"))</f>
        <v>weekday</v>
      </c>
      <c r="L456">
        <v>2</v>
      </c>
      <c r="M456" t="str">
        <f>IF(final_data786[[#This Row],[WEATHER_CODE]]=1,"clear",IF(final_data786[[#This Row],[WEATHER_CODE]]=2,"cloudy",IF(final_data786[[#This Row],[WEATHER_CODE]]=3,"light rain",IF(final_data786[[#This Row],[WEATHER_CODE]]=4,"heavy rain",0))))</f>
        <v>cloudy</v>
      </c>
      <c r="N456">
        <v>0.24</v>
      </c>
      <c r="O456">
        <v>0.21210000000000001</v>
      </c>
      <c r="P456">
        <v>0.65</v>
      </c>
      <c r="Q456">
        <v>0.32840000000000003</v>
      </c>
      <c r="R456">
        <v>3</v>
      </c>
      <c r="S456">
        <v>28</v>
      </c>
      <c r="T456">
        <v>31</v>
      </c>
    </row>
    <row r="457" spans="1:20" x14ac:dyDescent="0.35">
      <c r="A457">
        <v>456</v>
      </c>
      <c r="B457" s="1">
        <v>40564</v>
      </c>
      <c r="C457">
        <v>1</v>
      </c>
      <c r="D457">
        <v>0</v>
      </c>
      <c r="E457">
        <v>1</v>
      </c>
      <c r="F457" t="str">
        <f>IF(final_data786[[#This Row],[MONTH_CODE]]=1,"JANUARY",IF(final_data786[[#This Row],[MONTH_CODE]]=2,"FEBRUARY"))</f>
        <v>JANUARY</v>
      </c>
      <c r="G457">
        <v>0</v>
      </c>
      <c r="H457">
        <v>0</v>
      </c>
      <c r="I457">
        <v>5</v>
      </c>
      <c r="J4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57" t="str">
        <f>IF(final_data786[[#This Row],[DAY_CODE]]=0,"weekend",IF(final_data786[[#This Row],[DAY_CODE]]=6,"weekend","weekday"))</f>
        <v>weekday</v>
      </c>
      <c r="L457">
        <v>2</v>
      </c>
      <c r="M457" t="str">
        <f>IF(final_data786[[#This Row],[WEATHER_CODE]]=1,"clear",IF(final_data786[[#This Row],[WEATHER_CODE]]=2,"cloudy",IF(final_data786[[#This Row],[WEATHER_CODE]]=3,"light rain",IF(final_data786[[#This Row],[WEATHER_CODE]]=4,"heavy rain",0))))</f>
        <v>cloudy</v>
      </c>
      <c r="N457">
        <v>0.24</v>
      </c>
      <c r="O457">
        <v>0.2273</v>
      </c>
      <c r="P457">
        <v>0.7</v>
      </c>
      <c r="Q457">
        <v>0.25369999999999998</v>
      </c>
      <c r="R457">
        <v>1</v>
      </c>
      <c r="S457">
        <v>20</v>
      </c>
      <c r="T457">
        <v>21</v>
      </c>
    </row>
    <row r="458" spans="1:20" x14ac:dyDescent="0.35">
      <c r="A458">
        <v>457</v>
      </c>
      <c r="B458" s="1">
        <v>40564</v>
      </c>
      <c r="C458">
        <v>1</v>
      </c>
      <c r="D458">
        <v>0</v>
      </c>
      <c r="E458">
        <v>1</v>
      </c>
      <c r="F458" t="str">
        <f>IF(final_data786[[#This Row],[MONTH_CODE]]=1,"JANUARY",IF(final_data786[[#This Row],[MONTH_CODE]]=2,"FEBRUARY"))</f>
        <v>JANUARY</v>
      </c>
      <c r="G458">
        <v>1</v>
      </c>
      <c r="H458">
        <v>0</v>
      </c>
      <c r="I458">
        <v>5</v>
      </c>
      <c r="J4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58" t="str">
        <f>IF(final_data786[[#This Row],[DAY_CODE]]=0,"weekend",IF(final_data786[[#This Row],[DAY_CODE]]=6,"weekend","weekday"))</f>
        <v>weekday</v>
      </c>
      <c r="L458">
        <v>2</v>
      </c>
      <c r="M458" t="str">
        <f>IF(final_data786[[#This Row],[WEATHER_CODE]]=1,"clear",IF(final_data786[[#This Row],[WEATHER_CODE]]=2,"cloudy",IF(final_data786[[#This Row],[WEATHER_CODE]]=3,"light rain",IF(final_data786[[#This Row],[WEATHER_CODE]]=4,"heavy rain",0))))</f>
        <v>cloudy</v>
      </c>
      <c r="N458">
        <v>0.24</v>
      </c>
      <c r="O458">
        <v>0.2273</v>
      </c>
      <c r="P458">
        <v>0.7</v>
      </c>
      <c r="Q458">
        <v>0.25369999999999998</v>
      </c>
      <c r="R458">
        <v>0</v>
      </c>
      <c r="S458">
        <v>6</v>
      </c>
      <c r="T458">
        <v>6</v>
      </c>
    </row>
    <row r="459" spans="1:20" x14ac:dyDescent="0.35">
      <c r="A459">
        <v>458</v>
      </c>
      <c r="B459" s="1">
        <v>40564</v>
      </c>
      <c r="C459">
        <v>1</v>
      </c>
      <c r="D459">
        <v>0</v>
      </c>
      <c r="E459">
        <v>1</v>
      </c>
      <c r="F459" t="str">
        <f>IF(final_data786[[#This Row],[MONTH_CODE]]=1,"JANUARY",IF(final_data786[[#This Row],[MONTH_CODE]]=2,"FEBRUARY"))</f>
        <v>JANUARY</v>
      </c>
      <c r="G459">
        <v>2</v>
      </c>
      <c r="H459">
        <v>0</v>
      </c>
      <c r="I459">
        <v>5</v>
      </c>
      <c r="J4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59" t="str">
        <f>IF(final_data786[[#This Row],[DAY_CODE]]=0,"weekend",IF(final_data786[[#This Row],[DAY_CODE]]=6,"weekend","weekday"))</f>
        <v>weekday</v>
      </c>
      <c r="L459">
        <v>3</v>
      </c>
      <c r="M459" t="str">
        <f>IF(final_data786[[#This Row],[WEATHER_CODE]]=1,"clear",IF(final_data786[[#This Row],[WEATHER_CODE]]=2,"cloudy",IF(final_data786[[#This Row],[WEATHER_CODE]]=3,"light rain",IF(final_data786[[#This Row],[WEATHER_CODE]]=4,"heavy rain",0))))</f>
        <v>light rain</v>
      </c>
      <c r="N459">
        <v>0.24</v>
      </c>
      <c r="O459">
        <v>0.2424</v>
      </c>
      <c r="P459">
        <v>0.75</v>
      </c>
      <c r="Q459">
        <v>0.16420000000000001</v>
      </c>
      <c r="R459">
        <v>0</v>
      </c>
      <c r="S459">
        <v>2</v>
      </c>
      <c r="T459">
        <v>2</v>
      </c>
    </row>
    <row r="460" spans="1:20" x14ac:dyDescent="0.35">
      <c r="A460">
        <v>459</v>
      </c>
      <c r="B460" s="1">
        <v>40564</v>
      </c>
      <c r="C460">
        <v>1</v>
      </c>
      <c r="D460">
        <v>0</v>
      </c>
      <c r="E460">
        <v>1</v>
      </c>
      <c r="F460" t="str">
        <f>IF(final_data786[[#This Row],[MONTH_CODE]]=1,"JANUARY",IF(final_data786[[#This Row],[MONTH_CODE]]=2,"FEBRUARY"))</f>
        <v>JANUARY</v>
      </c>
      <c r="G460">
        <v>3</v>
      </c>
      <c r="H460">
        <v>0</v>
      </c>
      <c r="I460">
        <v>5</v>
      </c>
      <c r="J4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0" t="str">
        <f>IF(final_data786[[#This Row],[DAY_CODE]]=0,"weekend",IF(final_data786[[#This Row],[DAY_CODE]]=6,"weekend","weekday"))</f>
        <v>weekday</v>
      </c>
      <c r="L460">
        <v>3</v>
      </c>
      <c r="M460" t="str">
        <f>IF(final_data786[[#This Row],[WEATHER_CODE]]=1,"clear",IF(final_data786[[#This Row],[WEATHER_CODE]]=2,"cloudy",IF(final_data786[[#This Row],[WEATHER_CODE]]=3,"light rain",IF(final_data786[[#This Row],[WEATHER_CODE]]=4,"heavy rain",0))))</f>
        <v>light rain</v>
      </c>
      <c r="N460">
        <v>0.22</v>
      </c>
      <c r="O460">
        <v>0.21210000000000001</v>
      </c>
      <c r="P460">
        <v>0.8</v>
      </c>
      <c r="Q460">
        <v>0.29849999999999999</v>
      </c>
      <c r="R460">
        <v>0</v>
      </c>
      <c r="S460">
        <v>1</v>
      </c>
      <c r="T460">
        <v>1</v>
      </c>
    </row>
    <row r="461" spans="1:20" x14ac:dyDescent="0.35">
      <c r="A461">
        <v>460</v>
      </c>
      <c r="B461" s="1">
        <v>40564</v>
      </c>
      <c r="C461">
        <v>1</v>
      </c>
      <c r="D461">
        <v>0</v>
      </c>
      <c r="E461">
        <v>1</v>
      </c>
      <c r="F461" t="str">
        <f>IF(final_data786[[#This Row],[MONTH_CODE]]=1,"JANUARY",IF(final_data786[[#This Row],[MONTH_CODE]]=2,"FEBRUARY"))</f>
        <v>JANUARY</v>
      </c>
      <c r="G461">
        <v>4</v>
      </c>
      <c r="H461">
        <v>0</v>
      </c>
      <c r="I461">
        <v>5</v>
      </c>
      <c r="J4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1" t="str">
        <f>IF(final_data786[[#This Row],[DAY_CODE]]=0,"weekend",IF(final_data786[[#This Row],[DAY_CODE]]=6,"weekend","weekday"))</f>
        <v>weekday</v>
      </c>
      <c r="L461">
        <v>2</v>
      </c>
      <c r="M461" t="str">
        <f>IF(final_data786[[#This Row],[WEATHER_CODE]]=1,"clear",IF(final_data786[[#This Row],[WEATHER_CODE]]=2,"cloudy",IF(final_data786[[#This Row],[WEATHER_CODE]]=3,"light rain",IF(final_data786[[#This Row],[WEATHER_CODE]]=4,"heavy rain",0))))</f>
        <v>cloudy</v>
      </c>
      <c r="N461">
        <v>0.22</v>
      </c>
      <c r="O461">
        <v>0.2576</v>
      </c>
      <c r="P461">
        <v>0.87</v>
      </c>
      <c r="Q461">
        <v>8.9599999999999999E-2</v>
      </c>
      <c r="R461">
        <v>0</v>
      </c>
      <c r="S461">
        <v>1</v>
      </c>
      <c r="T461">
        <v>1</v>
      </c>
    </row>
    <row r="462" spans="1:20" x14ac:dyDescent="0.35">
      <c r="A462">
        <v>461</v>
      </c>
      <c r="B462" s="1">
        <v>40564</v>
      </c>
      <c r="C462">
        <v>1</v>
      </c>
      <c r="D462">
        <v>0</v>
      </c>
      <c r="E462">
        <v>1</v>
      </c>
      <c r="F462" t="str">
        <f>IF(final_data786[[#This Row],[MONTH_CODE]]=1,"JANUARY",IF(final_data786[[#This Row],[MONTH_CODE]]=2,"FEBRUARY"))</f>
        <v>JANUARY</v>
      </c>
      <c r="G462">
        <v>5</v>
      </c>
      <c r="H462">
        <v>0</v>
      </c>
      <c r="I462">
        <v>5</v>
      </c>
      <c r="J4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2" t="str">
        <f>IF(final_data786[[#This Row],[DAY_CODE]]=0,"weekend",IF(final_data786[[#This Row],[DAY_CODE]]=6,"weekend","weekday"))</f>
        <v>weekday</v>
      </c>
      <c r="L462">
        <v>1</v>
      </c>
      <c r="M462" t="str">
        <f>IF(final_data786[[#This Row],[WEATHER_CODE]]=1,"clear",IF(final_data786[[#This Row],[WEATHER_CODE]]=2,"cloudy",IF(final_data786[[#This Row],[WEATHER_CODE]]=3,"light rain",IF(final_data786[[#This Row],[WEATHER_CODE]]=4,"heavy rain",0))))</f>
        <v>clear</v>
      </c>
      <c r="N462">
        <v>0.24</v>
      </c>
      <c r="O462">
        <v>0.19700000000000001</v>
      </c>
      <c r="P462">
        <v>0.6</v>
      </c>
      <c r="Q462">
        <v>0.41789999999999999</v>
      </c>
      <c r="R462">
        <v>1</v>
      </c>
      <c r="S462">
        <v>4</v>
      </c>
      <c r="T462">
        <v>5</v>
      </c>
    </row>
    <row r="463" spans="1:20" x14ac:dyDescent="0.35">
      <c r="A463">
        <v>462</v>
      </c>
      <c r="B463" s="1">
        <v>40564</v>
      </c>
      <c r="C463">
        <v>1</v>
      </c>
      <c r="D463">
        <v>0</v>
      </c>
      <c r="E463">
        <v>1</v>
      </c>
      <c r="F463" t="str">
        <f>IF(final_data786[[#This Row],[MONTH_CODE]]=1,"JANUARY",IF(final_data786[[#This Row],[MONTH_CODE]]=2,"FEBRUARY"))</f>
        <v>JANUARY</v>
      </c>
      <c r="G463">
        <v>6</v>
      </c>
      <c r="H463">
        <v>0</v>
      </c>
      <c r="I463">
        <v>5</v>
      </c>
      <c r="J4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3" t="str">
        <f>IF(final_data786[[#This Row],[DAY_CODE]]=0,"weekend",IF(final_data786[[#This Row],[DAY_CODE]]=6,"weekend","weekday"))</f>
        <v>weekday</v>
      </c>
      <c r="L463">
        <v>1</v>
      </c>
      <c r="M463" t="str">
        <f>IF(final_data786[[#This Row],[WEATHER_CODE]]=1,"clear",IF(final_data786[[#This Row],[WEATHER_CODE]]=2,"cloudy",IF(final_data786[[#This Row],[WEATHER_CODE]]=3,"light rain",IF(final_data786[[#This Row],[WEATHER_CODE]]=4,"heavy rain",0))))</f>
        <v>clear</v>
      </c>
      <c r="N463">
        <v>0.22</v>
      </c>
      <c r="O463">
        <v>0.21210000000000001</v>
      </c>
      <c r="P463">
        <v>0.55000000000000004</v>
      </c>
      <c r="Q463">
        <v>0.25369999999999998</v>
      </c>
      <c r="R463">
        <v>0</v>
      </c>
      <c r="S463">
        <v>27</v>
      </c>
      <c r="T463">
        <v>27</v>
      </c>
    </row>
    <row r="464" spans="1:20" x14ac:dyDescent="0.35">
      <c r="A464">
        <v>463</v>
      </c>
      <c r="B464" s="1">
        <v>40564</v>
      </c>
      <c r="C464">
        <v>1</v>
      </c>
      <c r="D464">
        <v>0</v>
      </c>
      <c r="E464">
        <v>1</v>
      </c>
      <c r="F464" t="str">
        <f>IF(final_data786[[#This Row],[MONTH_CODE]]=1,"JANUARY",IF(final_data786[[#This Row],[MONTH_CODE]]=2,"FEBRUARY"))</f>
        <v>JANUARY</v>
      </c>
      <c r="G464">
        <v>7</v>
      </c>
      <c r="H464">
        <v>0</v>
      </c>
      <c r="I464">
        <v>5</v>
      </c>
      <c r="J4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4" t="str">
        <f>IF(final_data786[[#This Row],[DAY_CODE]]=0,"weekend",IF(final_data786[[#This Row],[DAY_CODE]]=6,"weekend","weekday"))</f>
        <v>weekday</v>
      </c>
      <c r="L464">
        <v>1</v>
      </c>
      <c r="M464" t="str">
        <f>IF(final_data786[[#This Row],[WEATHER_CODE]]=1,"clear",IF(final_data786[[#This Row],[WEATHER_CODE]]=2,"cloudy",IF(final_data786[[#This Row],[WEATHER_CODE]]=3,"light rain",IF(final_data786[[#This Row],[WEATHER_CODE]]=4,"heavy rain",0))))</f>
        <v>clear</v>
      </c>
      <c r="N464">
        <v>0.2</v>
      </c>
      <c r="O464">
        <v>0.18179999999999999</v>
      </c>
      <c r="P464">
        <v>0.51</v>
      </c>
      <c r="Q464">
        <v>0.28360000000000002</v>
      </c>
      <c r="R464">
        <v>2</v>
      </c>
      <c r="S464">
        <v>66</v>
      </c>
      <c r="T464">
        <v>68</v>
      </c>
    </row>
    <row r="465" spans="1:20" x14ac:dyDescent="0.35">
      <c r="A465">
        <v>464</v>
      </c>
      <c r="B465" s="1">
        <v>40564</v>
      </c>
      <c r="C465">
        <v>1</v>
      </c>
      <c r="D465">
        <v>0</v>
      </c>
      <c r="E465">
        <v>1</v>
      </c>
      <c r="F465" t="str">
        <f>IF(final_data786[[#This Row],[MONTH_CODE]]=1,"JANUARY",IF(final_data786[[#This Row],[MONTH_CODE]]=2,"FEBRUARY"))</f>
        <v>JANUARY</v>
      </c>
      <c r="G465">
        <v>8</v>
      </c>
      <c r="H465">
        <v>0</v>
      </c>
      <c r="I465">
        <v>5</v>
      </c>
      <c r="J4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5" t="str">
        <f>IF(final_data786[[#This Row],[DAY_CODE]]=0,"weekend",IF(final_data786[[#This Row],[DAY_CODE]]=6,"weekend","weekday"))</f>
        <v>weekday</v>
      </c>
      <c r="L465">
        <v>1</v>
      </c>
      <c r="M465" t="str">
        <f>IF(final_data786[[#This Row],[WEATHER_CODE]]=1,"clear",IF(final_data786[[#This Row],[WEATHER_CODE]]=2,"cloudy",IF(final_data786[[#This Row],[WEATHER_CODE]]=3,"light rain",IF(final_data786[[#This Row],[WEATHER_CODE]]=4,"heavy rain",0))))</f>
        <v>clear</v>
      </c>
      <c r="N465">
        <v>0.2</v>
      </c>
      <c r="O465">
        <v>0.18179999999999999</v>
      </c>
      <c r="P465">
        <v>0.47</v>
      </c>
      <c r="Q465">
        <v>0.32840000000000003</v>
      </c>
      <c r="R465">
        <v>7</v>
      </c>
      <c r="S465">
        <v>210</v>
      </c>
      <c r="T465">
        <v>217</v>
      </c>
    </row>
    <row r="466" spans="1:20" x14ac:dyDescent="0.35">
      <c r="A466">
        <v>465</v>
      </c>
      <c r="B466" s="1">
        <v>40564</v>
      </c>
      <c r="C466">
        <v>1</v>
      </c>
      <c r="D466">
        <v>0</v>
      </c>
      <c r="E466">
        <v>1</v>
      </c>
      <c r="F466" t="str">
        <f>IF(final_data786[[#This Row],[MONTH_CODE]]=1,"JANUARY",IF(final_data786[[#This Row],[MONTH_CODE]]=2,"FEBRUARY"))</f>
        <v>JANUARY</v>
      </c>
      <c r="G466">
        <v>9</v>
      </c>
      <c r="H466">
        <v>0</v>
      </c>
      <c r="I466">
        <v>5</v>
      </c>
      <c r="J4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6" t="str">
        <f>IF(final_data786[[#This Row],[DAY_CODE]]=0,"weekend",IF(final_data786[[#This Row],[DAY_CODE]]=6,"weekend","weekday"))</f>
        <v>weekday</v>
      </c>
      <c r="L466">
        <v>1</v>
      </c>
      <c r="M466" t="str">
        <f>IF(final_data786[[#This Row],[WEATHER_CODE]]=1,"clear",IF(final_data786[[#This Row],[WEATHER_CODE]]=2,"cloudy",IF(final_data786[[#This Row],[WEATHER_CODE]]=3,"light rain",IF(final_data786[[#This Row],[WEATHER_CODE]]=4,"heavy rain",0))))</f>
        <v>clear</v>
      </c>
      <c r="N466">
        <v>0.2</v>
      </c>
      <c r="O466">
        <v>0.18179999999999999</v>
      </c>
      <c r="P466">
        <v>0.51</v>
      </c>
      <c r="Q466">
        <v>0.35820000000000002</v>
      </c>
      <c r="R466">
        <v>7</v>
      </c>
      <c r="S466">
        <v>159</v>
      </c>
      <c r="T466">
        <v>166</v>
      </c>
    </row>
    <row r="467" spans="1:20" x14ac:dyDescent="0.35">
      <c r="A467">
        <v>466</v>
      </c>
      <c r="B467" s="1">
        <v>40564</v>
      </c>
      <c r="C467">
        <v>1</v>
      </c>
      <c r="D467">
        <v>0</v>
      </c>
      <c r="E467">
        <v>1</v>
      </c>
      <c r="F467" t="str">
        <f>IF(final_data786[[#This Row],[MONTH_CODE]]=1,"JANUARY",IF(final_data786[[#This Row],[MONTH_CODE]]=2,"FEBRUARY"))</f>
        <v>JANUARY</v>
      </c>
      <c r="G467">
        <v>10</v>
      </c>
      <c r="H467">
        <v>0</v>
      </c>
      <c r="I467">
        <v>5</v>
      </c>
      <c r="J4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7" t="str">
        <f>IF(final_data786[[#This Row],[DAY_CODE]]=0,"weekend",IF(final_data786[[#This Row],[DAY_CODE]]=6,"weekend","weekday"))</f>
        <v>weekday</v>
      </c>
      <c r="L467">
        <v>1</v>
      </c>
      <c r="M467" t="str">
        <f>IF(final_data786[[#This Row],[WEATHER_CODE]]=1,"clear",IF(final_data786[[#This Row],[WEATHER_CODE]]=2,"cloudy",IF(final_data786[[#This Row],[WEATHER_CODE]]=3,"light rain",IF(final_data786[[#This Row],[WEATHER_CODE]]=4,"heavy rain",0))))</f>
        <v>clear</v>
      </c>
      <c r="N467">
        <v>0.2</v>
      </c>
      <c r="O467">
        <v>0.16669999999999999</v>
      </c>
      <c r="P467">
        <v>0.47</v>
      </c>
      <c r="Q467">
        <v>0.4627</v>
      </c>
      <c r="R467">
        <v>6</v>
      </c>
      <c r="S467">
        <v>57</v>
      </c>
      <c r="T467">
        <v>63</v>
      </c>
    </row>
    <row r="468" spans="1:20" x14ac:dyDescent="0.35">
      <c r="A468">
        <v>467</v>
      </c>
      <c r="B468" s="1">
        <v>40564</v>
      </c>
      <c r="C468">
        <v>1</v>
      </c>
      <c r="D468">
        <v>0</v>
      </c>
      <c r="E468">
        <v>1</v>
      </c>
      <c r="F468" t="str">
        <f>IF(final_data786[[#This Row],[MONTH_CODE]]=1,"JANUARY",IF(final_data786[[#This Row],[MONTH_CODE]]=2,"FEBRUARY"))</f>
        <v>JANUARY</v>
      </c>
      <c r="G468">
        <v>11</v>
      </c>
      <c r="H468">
        <v>0</v>
      </c>
      <c r="I468">
        <v>5</v>
      </c>
      <c r="J4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8" t="str">
        <f>IF(final_data786[[#This Row],[DAY_CODE]]=0,"weekend",IF(final_data786[[#This Row],[DAY_CODE]]=6,"weekend","weekday"))</f>
        <v>weekday</v>
      </c>
      <c r="L468">
        <v>1</v>
      </c>
      <c r="M468" t="str">
        <f>IF(final_data786[[#This Row],[WEATHER_CODE]]=1,"clear",IF(final_data786[[#This Row],[WEATHER_CODE]]=2,"cloudy",IF(final_data786[[#This Row],[WEATHER_CODE]]=3,"light rain",IF(final_data786[[#This Row],[WEATHER_CODE]]=4,"heavy rain",0))))</f>
        <v>clear</v>
      </c>
      <c r="N468">
        <v>0.22</v>
      </c>
      <c r="O468">
        <v>0.18179999999999999</v>
      </c>
      <c r="P468">
        <v>0.41</v>
      </c>
      <c r="Q468">
        <v>0.4627</v>
      </c>
      <c r="R468">
        <v>6</v>
      </c>
      <c r="S468">
        <v>53</v>
      </c>
      <c r="T468">
        <v>59</v>
      </c>
    </row>
    <row r="469" spans="1:20" x14ac:dyDescent="0.35">
      <c r="A469">
        <v>468</v>
      </c>
      <c r="B469" s="1">
        <v>40564</v>
      </c>
      <c r="C469">
        <v>1</v>
      </c>
      <c r="D469">
        <v>0</v>
      </c>
      <c r="E469">
        <v>1</v>
      </c>
      <c r="F469" t="str">
        <f>IF(final_data786[[#This Row],[MONTH_CODE]]=1,"JANUARY",IF(final_data786[[#This Row],[MONTH_CODE]]=2,"FEBRUARY"))</f>
        <v>JANUARY</v>
      </c>
      <c r="G469">
        <v>12</v>
      </c>
      <c r="H469">
        <v>0</v>
      </c>
      <c r="I469">
        <v>5</v>
      </c>
      <c r="J4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69" t="str">
        <f>IF(final_data786[[#This Row],[DAY_CODE]]=0,"weekend",IF(final_data786[[#This Row],[DAY_CODE]]=6,"weekend","weekday"))</f>
        <v>weekday</v>
      </c>
      <c r="L469">
        <v>1</v>
      </c>
      <c r="M469" t="str">
        <f>IF(final_data786[[#This Row],[WEATHER_CODE]]=1,"clear",IF(final_data786[[#This Row],[WEATHER_CODE]]=2,"cloudy",IF(final_data786[[#This Row],[WEATHER_CODE]]=3,"light rain",IF(final_data786[[#This Row],[WEATHER_CODE]]=4,"heavy rain",0))))</f>
        <v>clear</v>
      </c>
      <c r="N469">
        <v>0.22</v>
      </c>
      <c r="O469">
        <v>0.18179999999999999</v>
      </c>
      <c r="P469">
        <v>0.27</v>
      </c>
      <c r="Q469">
        <v>0.58209999999999995</v>
      </c>
      <c r="R469">
        <v>11</v>
      </c>
      <c r="S469">
        <v>67</v>
      </c>
      <c r="T469">
        <v>78</v>
      </c>
    </row>
    <row r="470" spans="1:20" x14ac:dyDescent="0.35">
      <c r="A470">
        <v>469</v>
      </c>
      <c r="B470" s="1">
        <v>40564</v>
      </c>
      <c r="C470">
        <v>1</v>
      </c>
      <c r="D470">
        <v>0</v>
      </c>
      <c r="E470">
        <v>1</v>
      </c>
      <c r="F470" t="str">
        <f>IF(final_data786[[#This Row],[MONTH_CODE]]=1,"JANUARY",IF(final_data786[[#This Row],[MONTH_CODE]]=2,"FEBRUARY"))</f>
        <v>JANUARY</v>
      </c>
      <c r="G470">
        <v>13</v>
      </c>
      <c r="H470">
        <v>0</v>
      </c>
      <c r="I470">
        <v>5</v>
      </c>
      <c r="J4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0" t="str">
        <f>IF(final_data786[[#This Row],[DAY_CODE]]=0,"weekend",IF(final_data786[[#This Row],[DAY_CODE]]=6,"weekend","weekday"))</f>
        <v>weekday</v>
      </c>
      <c r="L470">
        <v>1</v>
      </c>
      <c r="M470" t="str">
        <f>IF(final_data786[[#This Row],[WEATHER_CODE]]=1,"clear",IF(final_data786[[#This Row],[WEATHER_CODE]]=2,"cloudy",IF(final_data786[[#This Row],[WEATHER_CODE]]=3,"light rain",IF(final_data786[[#This Row],[WEATHER_CODE]]=4,"heavy rain",0))))</f>
        <v>clear</v>
      </c>
      <c r="N470">
        <v>0.2</v>
      </c>
      <c r="O470">
        <v>0.1515</v>
      </c>
      <c r="P470">
        <v>0.21</v>
      </c>
      <c r="Q470">
        <v>0.58209999999999995</v>
      </c>
      <c r="R470">
        <v>8</v>
      </c>
      <c r="S470">
        <v>65</v>
      </c>
      <c r="T470">
        <v>73</v>
      </c>
    </row>
    <row r="471" spans="1:20" x14ac:dyDescent="0.35">
      <c r="A471">
        <v>470</v>
      </c>
      <c r="B471" s="1">
        <v>40564</v>
      </c>
      <c r="C471">
        <v>1</v>
      </c>
      <c r="D471">
        <v>0</v>
      </c>
      <c r="E471">
        <v>1</v>
      </c>
      <c r="F471" t="str">
        <f>IF(final_data786[[#This Row],[MONTH_CODE]]=1,"JANUARY",IF(final_data786[[#This Row],[MONTH_CODE]]=2,"FEBRUARY"))</f>
        <v>JANUARY</v>
      </c>
      <c r="G471">
        <v>14</v>
      </c>
      <c r="H471">
        <v>0</v>
      </c>
      <c r="I471">
        <v>5</v>
      </c>
      <c r="J4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1" t="str">
        <f>IF(final_data786[[#This Row],[DAY_CODE]]=0,"weekend",IF(final_data786[[#This Row],[DAY_CODE]]=6,"weekend","weekday"))</f>
        <v>weekday</v>
      </c>
      <c r="L471">
        <v>1</v>
      </c>
      <c r="M471" t="str">
        <f>IF(final_data786[[#This Row],[WEATHER_CODE]]=1,"clear",IF(final_data786[[#This Row],[WEATHER_CODE]]=2,"cloudy",IF(final_data786[[#This Row],[WEATHER_CODE]]=3,"light rain",IF(final_data786[[#This Row],[WEATHER_CODE]]=4,"heavy rain",0))))</f>
        <v>clear</v>
      </c>
      <c r="N471">
        <v>0.2</v>
      </c>
      <c r="O471">
        <v>0.1515</v>
      </c>
      <c r="P471">
        <v>0.25</v>
      </c>
      <c r="Q471">
        <v>0.52239999999999998</v>
      </c>
      <c r="R471">
        <v>6</v>
      </c>
      <c r="S471">
        <v>56</v>
      </c>
      <c r="T471">
        <v>62</v>
      </c>
    </row>
    <row r="472" spans="1:20" x14ac:dyDescent="0.35">
      <c r="A472">
        <v>471</v>
      </c>
      <c r="B472" s="1">
        <v>40564</v>
      </c>
      <c r="C472">
        <v>1</v>
      </c>
      <c r="D472">
        <v>0</v>
      </c>
      <c r="E472">
        <v>1</v>
      </c>
      <c r="F472" t="str">
        <f>IF(final_data786[[#This Row],[MONTH_CODE]]=1,"JANUARY",IF(final_data786[[#This Row],[MONTH_CODE]]=2,"FEBRUARY"))</f>
        <v>JANUARY</v>
      </c>
      <c r="G472">
        <v>15</v>
      </c>
      <c r="H472">
        <v>0</v>
      </c>
      <c r="I472">
        <v>5</v>
      </c>
      <c r="J4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2" t="str">
        <f>IF(final_data786[[#This Row],[DAY_CODE]]=0,"weekend",IF(final_data786[[#This Row],[DAY_CODE]]=6,"weekend","weekday"))</f>
        <v>weekday</v>
      </c>
      <c r="L472">
        <v>1</v>
      </c>
      <c r="M472" t="str">
        <f>IF(final_data786[[#This Row],[WEATHER_CODE]]=1,"clear",IF(final_data786[[#This Row],[WEATHER_CODE]]=2,"cloudy",IF(final_data786[[#This Row],[WEATHER_CODE]]=3,"light rain",IF(final_data786[[#This Row],[WEATHER_CODE]]=4,"heavy rain",0))))</f>
        <v>clear</v>
      </c>
      <c r="N472">
        <v>0.16</v>
      </c>
      <c r="O472">
        <v>0.1212</v>
      </c>
      <c r="P472">
        <v>0.26</v>
      </c>
      <c r="Q472">
        <v>0.44779999999999998</v>
      </c>
      <c r="R472">
        <v>4</v>
      </c>
      <c r="S472">
        <v>61</v>
      </c>
      <c r="T472">
        <v>65</v>
      </c>
    </row>
    <row r="473" spans="1:20" x14ac:dyDescent="0.35">
      <c r="A473">
        <v>472</v>
      </c>
      <c r="B473" s="1">
        <v>40564</v>
      </c>
      <c r="C473">
        <v>1</v>
      </c>
      <c r="D473">
        <v>0</v>
      </c>
      <c r="E473">
        <v>1</v>
      </c>
      <c r="F473" t="str">
        <f>IF(final_data786[[#This Row],[MONTH_CODE]]=1,"JANUARY",IF(final_data786[[#This Row],[MONTH_CODE]]=2,"FEBRUARY"))</f>
        <v>JANUARY</v>
      </c>
      <c r="G473">
        <v>16</v>
      </c>
      <c r="H473">
        <v>0</v>
      </c>
      <c r="I473">
        <v>5</v>
      </c>
      <c r="J4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3" t="str">
        <f>IF(final_data786[[#This Row],[DAY_CODE]]=0,"weekend",IF(final_data786[[#This Row],[DAY_CODE]]=6,"weekend","weekday"))</f>
        <v>weekday</v>
      </c>
      <c r="L473">
        <v>1</v>
      </c>
      <c r="M473" t="str">
        <f>IF(final_data786[[#This Row],[WEATHER_CODE]]=1,"clear",IF(final_data786[[#This Row],[WEATHER_CODE]]=2,"cloudy",IF(final_data786[[#This Row],[WEATHER_CODE]]=3,"light rain",IF(final_data786[[#This Row],[WEATHER_CODE]]=4,"heavy rain",0))))</f>
        <v>clear</v>
      </c>
      <c r="N473">
        <v>0.16</v>
      </c>
      <c r="O473">
        <v>0.13639999999999999</v>
      </c>
      <c r="P473">
        <v>0.26</v>
      </c>
      <c r="Q473">
        <v>0.35820000000000002</v>
      </c>
      <c r="R473">
        <v>0</v>
      </c>
      <c r="S473">
        <v>97</v>
      </c>
      <c r="T473">
        <v>97</v>
      </c>
    </row>
    <row r="474" spans="1:20" x14ac:dyDescent="0.35">
      <c r="A474">
        <v>473</v>
      </c>
      <c r="B474" s="1">
        <v>40564</v>
      </c>
      <c r="C474">
        <v>1</v>
      </c>
      <c r="D474">
        <v>0</v>
      </c>
      <c r="E474">
        <v>1</v>
      </c>
      <c r="F474" t="str">
        <f>IF(final_data786[[#This Row],[MONTH_CODE]]=1,"JANUARY",IF(final_data786[[#This Row],[MONTH_CODE]]=2,"FEBRUARY"))</f>
        <v>JANUARY</v>
      </c>
      <c r="G474">
        <v>17</v>
      </c>
      <c r="H474">
        <v>0</v>
      </c>
      <c r="I474">
        <v>5</v>
      </c>
      <c r="J4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4" t="str">
        <f>IF(final_data786[[#This Row],[DAY_CODE]]=0,"weekend",IF(final_data786[[#This Row],[DAY_CODE]]=6,"weekend","weekday"))</f>
        <v>weekday</v>
      </c>
      <c r="L474">
        <v>1</v>
      </c>
      <c r="M474" t="str">
        <f>IF(final_data786[[#This Row],[WEATHER_CODE]]=1,"clear",IF(final_data786[[#This Row],[WEATHER_CODE]]=2,"cloudy",IF(final_data786[[#This Row],[WEATHER_CODE]]=3,"light rain",IF(final_data786[[#This Row],[WEATHER_CODE]]=4,"heavy rain",0))))</f>
        <v>clear</v>
      </c>
      <c r="N474">
        <v>0.14000000000000001</v>
      </c>
      <c r="O474">
        <v>0.1212</v>
      </c>
      <c r="P474">
        <v>0.28000000000000003</v>
      </c>
      <c r="Q474">
        <v>0.35820000000000002</v>
      </c>
      <c r="R474">
        <v>10</v>
      </c>
      <c r="S474">
        <v>151</v>
      </c>
      <c r="T474">
        <v>161</v>
      </c>
    </row>
    <row r="475" spans="1:20" x14ac:dyDescent="0.35">
      <c r="A475">
        <v>474</v>
      </c>
      <c r="B475" s="1">
        <v>40564</v>
      </c>
      <c r="C475">
        <v>1</v>
      </c>
      <c r="D475">
        <v>0</v>
      </c>
      <c r="E475">
        <v>1</v>
      </c>
      <c r="F475" t="str">
        <f>IF(final_data786[[#This Row],[MONTH_CODE]]=1,"JANUARY",IF(final_data786[[#This Row],[MONTH_CODE]]=2,"FEBRUARY"))</f>
        <v>JANUARY</v>
      </c>
      <c r="G475">
        <v>18</v>
      </c>
      <c r="H475">
        <v>0</v>
      </c>
      <c r="I475">
        <v>5</v>
      </c>
      <c r="J4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5" t="str">
        <f>IF(final_data786[[#This Row],[DAY_CODE]]=0,"weekend",IF(final_data786[[#This Row],[DAY_CODE]]=6,"weekend","weekday"))</f>
        <v>weekday</v>
      </c>
      <c r="L475">
        <v>1</v>
      </c>
      <c r="M475" t="str">
        <f>IF(final_data786[[#This Row],[WEATHER_CODE]]=1,"clear",IF(final_data786[[#This Row],[WEATHER_CODE]]=2,"cloudy",IF(final_data786[[#This Row],[WEATHER_CODE]]=3,"light rain",IF(final_data786[[#This Row],[WEATHER_CODE]]=4,"heavy rain",0))))</f>
        <v>clear</v>
      </c>
      <c r="N475">
        <v>0.12</v>
      </c>
      <c r="O475">
        <v>0.1212</v>
      </c>
      <c r="P475">
        <v>0.3</v>
      </c>
      <c r="Q475">
        <v>0.25369999999999998</v>
      </c>
      <c r="R475">
        <v>1</v>
      </c>
      <c r="S475">
        <v>119</v>
      </c>
      <c r="T475">
        <v>120</v>
      </c>
    </row>
    <row r="476" spans="1:20" x14ac:dyDescent="0.35">
      <c r="A476">
        <v>475</v>
      </c>
      <c r="B476" s="1">
        <v>40564</v>
      </c>
      <c r="C476">
        <v>1</v>
      </c>
      <c r="D476">
        <v>0</v>
      </c>
      <c r="E476">
        <v>1</v>
      </c>
      <c r="F476" t="str">
        <f>IF(final_data786[[#This Row],[MONTH_CODE]]=1,"JANUARY",IF(final_data786[[#This Row],[MONTH_CODE]]=2,"FEBRUARY"))</f>
        <v>JANUARY</v>
      </c>
      <c r="G476">
        <v>19</v>
      </c>
      <c r="H476">
        <v>0</v>
      </c>
      <c r="I476">
        <v>5</v>
      </c>
      <c r="J4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6" t="str">
        <f>IF(final_data786[[#This Row],[DAY_CODE]]=0,"weekend",IF(final_data786[[#This Row],[DAY_CODE]]=6,"weekend","weekday"))</f>
        <v>weekday</v>
      </c>
      <c r="L476">
        <v>1</v>
      </c>
      <c r="M476" t="str">
        <f>IF(final_data786[[#This Row],[WEATHER_CODE]]=1,"clear",IF(final_data786[[#This Row],[WEATHER_CODE]]=2,"cloudy",IF(final_data786[[#This Row],[WEATHER_CODE]]=3,"light rain",IF(final_data786[[#This Row],[WEATHER_CODE]]=4,"heavy rain",0))))</f>
        <v>clear</v>
      </c>
      <c r="N476">
        <v>0.12</v>
      </c>
      <c r="O476">
        <v>0.1061</v>
      </c>
      <c r="P476">
        <v>0.3</v>
      </c>
      <c r="Q476">
        <v>0.32840000000000003</v>
      </c>
      <c r="R476">
        <v>3</v>
      </c>
      <c r="S476">
        <v>93</v>
      </c>
      <c r="T476">
        <v>96</v>
      </c>
    </row>
    <row r="477" spans="1:20" x14ac:dyDescent="0.35">
      <c r="A477">
        <v>476</v>
      </c>
      <c r="B477" s="1">
        <v>40564</v>
      </c>
      <c r="C477">
        <v>1</v>
      </c>
      <c r="D477">
        <v>0</v>
      </c>
      <c r="E477">
        <v>1</v>
      </c>
      <c r="F477" t="str">
        <f>IF(final_data786[[#This Row],[MONTH_CODE]]=1,"JANUARY",IF(final_data786[[#This Row],[MONTH_CODE]]=2,"FEBRUARY"))</f>
        <v>JANUARY</v>
      </c>
      <c r="G477">
        <v>20</v>
      </c>
      <c r="H477">
        <v>0</v>
      </c>
      <c r="I477">
        <v>5</v>
      </c>
      <c r="J4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7" t="str">
        <f>IF(final_data786[[#This Row],[DAY_CODE]]=0,"weekend",IF(final_data786[[#This Row],[DAY_CODE]]=6,"weekend","weekday"))</f>
        <v>weekday</v>
      </c>
      <c r="L477">
        <v>1</v>
      </c>
      <c r="M477" t="str">
        <f>IF(final_data786[[#This Row],[WEATHER_CODE]]=1,"clear",IF(final_data786[[#This Row],[WEATHER_CODE]]=2,"cloudy",IF(final_data786[[#This Row],[WEATHER_CODE]]=3,"light rain",IF(final_data786[[#This Row],[WEATHER_CODE]]=4,"heavy rain",0))))</f>
        <v>clear</v>
      </c>
      <c r="N477">
        <v>0.1</v>
      </c>
      <c r="O477">
        <v>7.5800000000000006E-2</v>
      </c>
      <c r="P477">
        <v>0.33</v>
      </c>
      <c r="Q477">
        <v>0.41789999999999999</v>
      </c>
      <c r="R477">
        <v>1</v>
      </c>
      <c r="S477">
        <v>52</v>
      </c>
      <c r="T477">
        <v>53</v>
      </c>
    </row>
    <row r="478" spans="1:20" x14ac:dyDescent="0.35">
      <c r="A478">
        <v>477</v>
      </c>
      <c r="B478" s="1">
        <v>40564</v>
      </c>
      <c r="C478">
        <v>1</v>
      </c>
      <c r="D478">
        <v>0</v>
      </c>
      <c r="E478">
        <v>1</v>
      </c>
      <c r="F478" t="str">
        <f>IF(final_data786[[#This Row],[MONTH_CODE]]=1,"JANUARY",IF(final_data786[[#This Row],[MONTH_CODE]]=2,"FEBRUARY"))</f>
        <v>JANUARY</v>
      </c>
      <c r="G478">
        <v>21</v>
      </c>
      <c r="H478">
        <v>0</v>
      </c>
      <c r="I478">
        <v>5</v>
      </c>
      <c r="J4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8" t="str">
        <f>IF(final_data786[[#This Row],[DAY_CODE]]=0,"weekend",IF(final_data786[[#This Row],[DAY_CODE]]=6,"weekend","weekday"))</f>
        <v>weekday</v>
      </c>
      <c r="L478">
        <v>1</v>
      </c>
      <c r="M478" t="str">
        <f>IF(final_data786[[#This Row],[WEATHER_CODE]]=1,"clear",IF(final_data786[[#This Row],[WEATHER_CODE]]=2,"cloudy",IF(final_data786[[#This Row],[WEATHER_CODE]]=3,"light rain",IF(final_data786[[#This Row],[WEATHER_CODE]]=4,"heavy rain",0))))</f>
        <v>clear</v>
      </c>
      <c r="N478">
        <v>0.08</v>
      </c>
      <c r="O478">
        <v>7.5800000000000006E-2</v>
      </c>
      <c r="P478">
        <v>0.38</v>
      </c>
      <c r="Q478">
        <v>0.28360000000000002</v>
      </c>
      <c r="R478">
        <v>0</v>
      </c>
      <c r="S478">
        <v>41</v>
      </c>
      <c r="T478">
        <v>41</v>
      </c>
    </row>
    <row r="479" spans="1:20" x14ac:dyDescent="0.35">
      <c r="A479">
        <v>478</v>
      </c>
      <c r="B479" s="1">
        <v>40564</v>
      </c>
      <c r="C479">
        <v>1</v>
      </c>
      <c r="D479">
        <v>0</v>
      </c>
      <c r="E479">
        <v>1</v>
      </c>
      <c r="F479" t="str">
        <f>IF(final_data786[[#This Row],[MONTH_CODE]]=1,"JANUARY",IF(final_data786[[#This Row],[MONTH_CODE]]=2,"FEBRUARY"))</f>
        <v>JANUARY</v>
      </c>
      <c r="G479">
        <v>22</v>
      </c>
      <c r="H479">
        <v>0</v>
      </c>
      <c r="I479">
        <v>5</v>
      </c>
      <c r="J4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79" t="str">
        <f>IF(final_data786[[#This Row],[DAY_CODE]]=0,"weekend",IF(final_data786[[#This Row],[DAY_CODE]]=6,"weekend","weekday"))</f>
        <v>weekday</v>
      </c>
      <c r="L479">
        <v>1</v>
      </c>
      <c r="M479" t="str">
        <f>IF(final_data786[[#This Row],[WEATHER_CODE]]=1,"clear",IF(final_data786[[#This Row],[WEATHER_CODE]]=2,"cloudy",IF(final_data786[[#This Row],[WEATHER_CODE]]=3,"light rain",IF(final_data786[[#This Row],[WEATHER_CODE]]=4,"heavy rain",0))))</f>
        <v>clear</v>
      </c>
      <c r="N479">
        <v>0.06</v>
      </c>
      <c r="O479">
        <v>3.0300000000000001E-2</v>
      </c>
      <c r="P479">
        <v>0.41</v>
      </c>
      <c r="Q479">
        <v>0.3881</v>
      </c>
      <c r="R479">
        <v>1</v>
      </c>
      <c r="S479">
        <v>33</v>
      </c>
      <c r="T479">
        <v>34</v>
      </c>
    </row>
    <row r="480" spans="1:20" x14ac:dyDescent="0.35">
      <c r="A480">
        <v>479</v>
      </c>
      <c r="B480" s="1">
        <v>40564</v>
      </c>
      <c r="C480">
        <v>1</v>
      </c>
      <c r="D480">
        <v>0</v>
      </c>
      <c r="E480">
        <v>1</v>
      </c>
      <c r="F480" t="str">
        <f>IF(final_data786[[#This Row],[MONTH_CODE]]=1,"JANUARY",IF(final_data786[[#This Row],[MONTH_CODE]]=2,"FEBRUARY"))</f>
        <v>JANUARY</v>
      </c>
      <c r="G480">
        <v>23</v>
      </c>
      <c r="H480">
        <v>0</v>
      </c>
      <c r="I480">
        <v>5</v>
      </c>
      <c r="J4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480" t="str">
        <f>IF(final_data786[[#This Row],[DAY_CODE]]=0,"weekend",IF(final_data786[[#This Row],[DAY_CODE]]=6,"weekend","weekday"))</f>
        <v>weekday</v>
      </c>
      <c r="L480">
        <v>1</v>
      </c>
      <c r="M480" t="str">
        <f>IF(final_data786[[#This Row],[WEATHER_CODE]]=1,"clear",IF(final_data786[[#This Row],[WEATHER_CODE]]=2,"cloudy",IF(final_data786[[#This Row],[WEATHER_CODE]]=3,"light rain",IF(final_data786[[#This Row],[WEATHER_CODE]]=4,"heavy rain",0))))</f>
        <v>clear</v>
      </c>
      <c r="N480">
        <v>0.06</v>
      </c>
      <c r="O480">
        <v>4.5499999999999999E-2</v>
      </c>
      <c r="P480">
        <v>0.38</v>
      </c>
      <c r="Q480">
        <v>0.32840000000000003</v>
      </c>
      <c r="R480">
        <v>0</v>
      </c>
      <c r="S480">
        <v>27</v>
      </c>
      <c r="T480">
        <v>27</v>
      </c>
    </row>
    <row r="481" spans="1:20" x14ac:dyDescent="0.35">
      <c r="A481">
        <v>480</v>
      </c>
      <c r="B481" s="1">
        <v>40565</v>
      </c>
      <c r="C481">
        <v>1</v>
      </c>
      <c r="D481">
        <v>0</v>
      </c>
      <c r="E481">
        <v>1</v>
      </c>
      <c r="F481" t="str">
        <f>IF(final_data786[[#This Row],[MONTH_CODE]]=1,"JANUARY",IF(final_data786[[#This Row],[MONTH_CODE]]=2,"FEBRUARY"))</f>
        <v>JANUARY</v>
      </c>
      <c r="G481">
        <v>0</v>
      </c>
      <c r="H481">
        <v>0</v>
      </c>
      <c r="I481">
        <v>6</v>
      </c>
      <c r="J4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1" t="str">
        <f>IF(final_data786[[#This Row],[DAY_CODE]]=0,"weekend",IF(final_data786[[#This Row],[DAY_CODE]]=6,"weekend","weekday"))</f>
        <v>weekend</v>
      </c>
      <c r="L481">
        <v>1</v>
      </c>
      <c r="M481" t="str">
        <f>IF(final_data786[[#This Row],[WEATHER_CODE]]=1,"clear",IF(final_data786[[#This Row],[WEATHER_CODE]]=2,"cloudy",IF(final_data786[[#This Row],[WEATHER_CODE]]=3,"light rain",IF(final_data786[[#This Row],[WEATHER_CODE]]=4,"heavy rain",0))))</f>
        <v>clear</v>
      </c>
      <c r="N481">
        <v>0.04</v>
      </c>
      <c r="O481">
        <v>3.0300000000000001E-2</v>
      </c>
      <c r="P481">
        <v>0.45</v>
      </c>
      <c r="Q481">
        <v>0.25369999999999998</v>
      </c>
      <c r="R481">
        <v>0</v>
      </c>
      <c r="S481">
        <v>13</v>
      </c>
      <c r="T481">
        <v>13</v>
      </c>
    </row>
    <row r="482" spans="1:20" x14ac:dyDescent="0.35">
      <c r="A482">
        <v>481</v>
      </c>
      <c r="B482" s="1">
        <v>40565</v>
      </c>
      <c r="C482">
        <v>1</v>
      </c>
      <c r="D482">
        <v>0</v>
      </c>
      <c r="E482">
        <v>1</v>
      </c>
      <c r="F482" t="str">
        <f>IF(final_data786[[#This Row],[MONTH_CODE]]=1,"JANUARY",IF(final_data786[[#This Row],[MONTH_CODE]]=2,"FEBRUARY"))</f>
        <v>JANUARY</v>
      </c>
      <c r="G482">
        <v>1</v>
      </c>
      <c r="H482">
        <v>0</v>
      </c>
      <c r="I482">
        <v>6</v>
      </c>
      <c r="J4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2" t="str">
        <f>IF(final_data786[[#This Row],[DAY_CODE]]=0,"weekend",IF(final_data786[[#This Row],[DAY_CODE]]=6,"weekend","weekday"))</f>
        <v>weekend</v>
      </c>
      <c r="L482">
        <v>2</v>
      </c>
      <c r="M482" t="str">
        <f>IF(final_data786[[#This Row],[WEATHER_CODE]]=1,"clear",IF(final_data786[[#This Row],[WEATHER_CODE]]=2,"cloudy",IF(final_data786[[#This Row],[WEATHER_CODE]]=3,"light rain",IF(final_data786[[#This Row],[WEATHER_CODE]]=4,"heavy rain",0))))</f>
        <v>cloudy</v>
      </c>
      <c r="N482">
        <v>0.04</v>
      </c>
      <c r="O482">
        <v>0</v>
      </c>
      <c r="P482">
        <v>0.41</v>
      </c>
      <c r="Q482">
        <v>0.3881</v>
      </c>
      <c r="R482">
        <v>3</v>
      </c>
      <c r="S482">
        <v>9</v>
      </c>
      <c r="T482">
        <v>12</v>
      </c>
    </row>
    <row r="483" spans="1:20" x14ac:dyDescent="0.35">
      <c r="A483">
        <v>482</v>
      </c>
      <c r="B483" s="1">
        <v>40565</v>
      </c>
      <c r="C483">
        <v>1</v>
      </c>
      <c r="D483">
        <v>0</v>
      </c>
      <c r="E483">
        <v>1</v>
      </c>
      <c r="F483" t="str">
        <f>IF(final_data786[[#This Row],[MONTH_CODE]]=1,"JANUARY",IF(final_data786[[#This Row],[MONTH_CODE]]=2,"FEBRUARY"))</f>
        <v>JANUARY</v>
      </c>
      <c r="G483">
        <v>2</v>
      </c>
      <c r="H483">
        <v>0</v>
      </c>
      <c r="I483">
        <v>6</v>
      </c>
      <c r="J4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3" t="str">
        <f>IF(final_data786[[#This Row],[DAY_CODE]]=0,"weekend",IF(final_data786[[#This Row],[DAY_CODE]]=6,"weekend","weekday"))</f>
        <v>weekend</v>
      </c>
      <c r="L483">
        <v>2</v>
      </c>
      <c r="M483" t="str">
        <f>IF(final_data786[[#This Row],[WEATHER_CODE]]=1,"clear",IF(final_data786[[#This Row],[WEATHER_CODE]]=2,"cloudy",IF(final_data786[[#This Row],[WEATHER_CODE]]=3,"light rain",IF(final_data786[[#This Row],[WEATHER_CODE]]=4,"heavy rain",0))))</f>
        <v>cloudy</v>
      </c>
      <c r="N483">
        <v>0.04</v>
      </c>
      <c r="O483">
        <v>3.0300000000000001E-2</v>
      </c>
      <c r="P483">
        <v>0.41</v>
      </c>
      <c r="Q483">
        <v>0.25369999999999998</v>
      </c>
      <c r="R483">
        <v>0</v>
      </c>
      <c r="S483">
        <v>11</v>
      </c>
      <c r="T483">
        <v>11</v>
      </c>
    </row>
    <row r="484" spans="1:20" x14ac:dyDescent="0.35">
      <c r="A484">
        <v>483</v>
      </c>
      <c r="B484" s="1">
        <v>40565</v>
      </c>
      <c r="C484">
        <v>1</v>
      </c>
      <c r="D484">
        <v>0</v>
      </c>
      <c r="E484">
        <v>1</v>
      </c>
      <c r="F484" t="str">
        <f>IF(final_data786[[#This Row],[MONTH_CODE]]=1,"JANUARY",IF(final_data786[[#This Row],[MONTH_CODE]]=2,"FEBRUARY"))</f>
        <v>JANUARY</v>
      </c>
      <c r="G484">
        <v>3</v>
      </c>
      <c r="H484">
        <v>0</v>
      </c>
      <c r="I484">
        <v>6</v>
      </c>
      <c r="J4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4" t="str">
        <f>IF(final_data786[[#This Row],[DAY_CODE]]=0,"weekend",IF(final_data786[[#This Row],[DAY_CODE]]=6,"weekend","weekday"))</f>
        <v>weekend</v>
      </c>
      <c r="L484">
        <v>2</v>
      </c>
      <c r="M484" t="str">
        <f>IF(final_data786[[#This Row],[WEATHER_CODE]]=1,"clear",IF(final_data786[[#This Row],[WEATHER_CODE]]=2,"cloudy",IF(final_data786[[#This Row],[WEATHER_CODE]]=3,"light rain",IF(final_data786[[#This Row],[WEATHER_CODE]]=4,"heavy rain",0))))</f>
        <v>cloudy</v>
      </c>
      <c r="N484">
        <v>0.04</v>
      </c>
      <c r="O484">
        <v>3.0300000000000001E-2</v>
      </c>
      <c r="P484">
        <v>0.41</v>
      </c>
      <c r="Q484">
        <v>0.28360000000000002</v>
      </c>
      <c r="R484">
        <v>1</v>
      </c>
      <c r="S484">
        <v>6</v>
      </c>
      <c r="T484">
        <v>7</v>
      </c>
    </row>
    <row r="485" spans="1:20" x14ac:dyDescent="0.35">
      <c r="A485">
        <v>484</v>
      </c>
      <c r="B485" s="1">
        <v>40565</v>
      </c>
      <c r="C485">
        <v>1</v>
      </c>
      <c r="D485">
        <v>0</v>
      </c>
      <c r="E485">
        <v>1</v>
      </c>
      <c r="F485" t="str">
        <f>IF(final_data786[[#This Row],[MONTH_CODE]]=1,"JANUARY",IF(final_data786[[#This Row],[MONTH_CODE]]=2,"FEBRUARY"))</f>
        <v>JANUARY</v>
      </c>
      <c r="G485">
        <v>4</v>
      </c>
      <c r="H485">
        <v>0</v>
      </c>
      <c r="I485">
        <v>6</v>
      </c>
      <c r="J4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5" t="str">
        <f>IF(final_data786[[#This Row],[DAY_CODE]]=0,"weekend",IF(final_data786[[#This Row],[DAY_CODE]]=6,"weekend","weekday"))</f>
        <v>weekend</v>
      </c>
      <c r="L485">
        <v>2</v>
      </c>
      <c r="M485" t="str">
        <f>IF(final_data786[[#This Row],[WEATHER_CODE]]=1,"clear",IF(final_data786[[#This Row],[WEATHER_CODE]]=2,"cloudy",IF(final_data786[[#This Row],[WEATHER_CODE]]=3,"light rain",IF(final_data786[[#This Row],[WEATHER_CODE]]=4,"heavy rain",0))))</f>
        <v>cloudy</v>
      </c>
      <c r="N485">
        <v>0.02</v>
      </c>
      <c r="O485">
        <v>1.52E-2</v>
      </c>
      <c r="P485">
        <v>0.48</v>
      </c>
      <c r="Q485">
        <v>0.29849999999999999</v>
      </c>
      <c r="R485">
        <v>0</v>
      </c>
      <c r="S485">
        <v>3</v>
      </c>
      <c r="T485">
        <v>3</v>
      </c>
    </row>
    <row r="486" spans="1:20" x14ac:dyDescent="0.35">
      <c r="A486">
        <v>485</v>
      </c>
      <c r="B486" s="1">
        <v>40565</v>
      </c>
      <c r="C486">
        <v>1</v>
      </c>
      <c r="D486">
        <v>0</v>
      </c>
      <c r="E486">
        <v>1</v>
      </c>
      <c r="F486" t="str">
        <f>IF(final_data786[[#This Row],[MONTH_CODE]]=1,"JANUARY",IF(final_data786[[#This Row],[MONTH_CODE]]=2,"FEBRUARY"))</f>
        <v>JANUARY</v>
      </c>
      <c r="G486">
        <v>6</v>
      </c>
      <c r="H486">
        <v>0</v>
      </c>
      <c r="I486">
        <v>6</v>
      </c>
      <c r="J4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6" t="str">
        <f>IF(final_data786[[#This Row],[DAY_CODE]]=0,"weekend",IF(final_data786[[#This Row],[DAY_CODE]]=6,"weekend","weekday"))</f>
        <v>weekend</v>
      </c>
      <c r="L486">
        <v>2</v>
      </c>
      <c r="M486" t="str">
        <f>IF(final_data786[[#This Row],[WEATHER_CODE]]=1,"clear",IF(final_data786[[#This Row],[WEATHER_CODE]]=2,"cloudy",IF(final_data786[[#This Row],[WEATHER_CODE]]=3,"light rain",IF(final_data786[[#This Row],[WEATHER_CODE]]=4,"heavy rain",0))))</f>
        <v>cloudy</v>
      </c>
      <c r="N486">
        <v>0.02</v>
      </c>
      <c r="O486">
        <v>3.0300000000000001E-2</v>
      </c>
      <c r="P486">
        <v>0.44</v>
      </c>
      <c r="Q486">
        <v>0.22389999999999999</v>
      </c>
      <c r="R486">
        <v>0</v>
      </c>
      <c r="S486">
        <v>2</v>
      </c>
      <c r="T486">
        <v>2</v>
      </c>
    </row>
    <row r="487" spans="1:20" x14ac:dyDescent="0.35">
      <c r="A487">
        <v>486</v>
      </c>
      <c r="B487" s="1">
        <v>40565</v>
      </c>
      <c r="C487">
        <v>1</v>
      </c>
      <c r="D487">
        <v>0</v>
      </c>
      <c r="E487">
        <v>1</v>
      </c>
      <c r="F487" t="str">
        <f>IF(final_data786[[#This Row],[MONTH_CODE]]=1,"JANUARY",IF(final_data786[[#This Row],[MONTH_CODE]]=2,"FEBRUARY"))</f>
        <v>JANUARY</v>
      </c>
      <c r="G487">
        <v>7</v>
      </c>
      <c r="H487">
        <v>0</v>
      </c>
      <c r="I487">
        <v>6</v>
      </c>
      <c r="J4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7" t="str">
        <f>IF(final_data786[[#This Row],[DAY_CODE]]=0,"weekend",IF(final_data786[[#This Row],[DAY_CODE]]=6,"weekend","weekday"))</f>
        <v>weekend</v>
      </c>
      <c r="L487">
        <v>1</v>
      </c>
      <c r="M487" t="str">
        <f>IF(final_data786[[#This Row],[WEATHER_CODE]]=1,"clear",IF(final_data786[[#This Row],[WEATHER_CODE]]=2,"cloudy",IF(final_data786[[#This Row],[WEATHER_CODE]]=3,"light rain",IF(final_data786[[#This Row],[WEATHER_CODE]]=4,"heavy rain",0))))</f>
        <v>clear</v>
      </c>
      <c r="N487">
        <v>0.02</v>
      </c>
      <c r="O487">
        <v>1.52E-2</v>
      </c>
      <c r="P487">
        <v>0.44</v>
      </c>
      <c r="Q487">
        <v>0.28360000000000002</v>
      </c>
      <c r="R487">
        <v>0</v>
      </c>
      <c r="S487">
        <v>8</v>
      </c>
      <c r="T487">
        <v>8</v>
      </c>
    </row>
    <row r="488" spans="1:20" x14ac:dyDescent="0.35">
      <c r="A488">
        <v>487</v>
      </c>
      <c r="B488" s="1">
        <v>40565</v>
      </c>
      <c r="C488">
        <v>1</v>
      </c>
      <c r="D488">
        <v>0</v>
      </c>
      <c r="E488">
        <v>1</v>
      </c>
      <c r="F488" t="str">
        <f>IF(final_data786[[#This Row],[MONTH_CODE]]=1,"JANUARY",IF(final_data786[[#This Row],[MONTH_CODE]]=2,"FEBRUARY"))</f>
        <v>JANUARY</v>
      </c>
      <c r="G488">
        <v>8</v>
      </c>
      <c r="H488">
        <v>0</v>
      </c>
      <c r="I488">
        <v>6</v>
      </c>
      <c r="J4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8" t="str">
        <f>IF(final_data786[[#This Row],[DAY_CODE]]=0,"weekend",IF(final_data786[[#This Row],[DAY_CODE]]=6,"weekend","weekday"))</f>
        <v>weekend</v>
      </c>
      <c r="L488">
        <v>1</v>
      </c>
      <c r="M488" t="str">
        <f>IF(final_data786[[#This Row],[WEATHER_CODE]]=1,"clear",IF(final_data786[[#This Row],[WEATHER_CODE]]=2,"cloudy",IF(final_data786[[#This Row],[WEATHER_CODE]]=3,"light rain",IF(final_data786[[#This Row],[WEATHER_CODE]]=4,"heavy rain",0))))</f>
        <v>clear</v>
      </c>
      <c r="N488">
        <v>0.02</v>
      </c>
      <c r="O488">
        <v>0</v>
      </c>
      <c r="P488">
        <v>0.44</v>
      </c>
      <c r="Q488">
        <v>0.32840000000000003</v>
      </c>
      <c r="R488">
        <v>1</v>
      </c>
      <c r="S488">
        <v>26</v>
      </c>
      <c r="T488">
        <v>27</v>
      </c>
    </row>
    <row r="489" spans="1:20" x14ac:dyDescent="0.35">
      <c r="A489">
        <v>488</v>
      </c>
      <c r="B489" s="1">
        <v>40565</v>
      </c>
      <c r="C489">
        <v>1</v>
      </c>
      <c r="D489">
        <v>0</v>
      </c>
      <c r="E489">
        <v>1</v>
      </c>
      <c r="F489" t="str">
        <f>IF(final_data786[[#This Row],[MONTH_CODE]]=1,"JANUARY",IF(final_data786[[#This Row],[MONTH_CODE]]=2,"FEBRUARY"))</f>
        <v>JANUARY</v>
      </c>
      <c r="G489">
        <v>9</v>
      </c>
      <c r="H489">
        <v>0</v>
      </c>
      <c r="I489">
        <v>6</v>
      </c>
      <c r="J4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89" t="str">
        <f>IF(final_data786[[#This Row],[DAY_CODE]]=0,"weekend",IF(final_data786[[#This Row],[DAY_CODE]]=6,"weekend","weekday"))</f>
        <v>weekend</v>
      </c>
      <c r="L489">
        <v>1</v>
      </c>
      <c r="M489" t="str">
        <f>IF(final_data786[[#This Row],[WEATHER_CODE]]=1,"clear",IF(final_data786[[#This Row],[WEATHER_CODE]]=2,"cloudy",IF(final_data786[[#This Row],[WEATHER_CODE]]=3,"light rain",IF(final_data786[[#This Row],[WEATHER_CODE]]=4,"heavy rain",0))))</f>
        <v>clear</v>
      </c>
      <c r="N489">
        <v>0.04</v>
      </c>
      <c r="O489">
        <v>3.0300000000000001E-2</v>
      </c>
      <c r="P489">
        <v>0.41</v>
      </c>
      <c r="Q489">
        <v>0.25369999999999998</v>
      </c>
      <c r="R489">
        <v>3</v>
      </c>
      <c r="S489">
        <v>37</v>
      </c>
      <c r="T489">
        <v>40</v>
      </c>
    </row>
    <row r="490" spans="1:20" x14ac:dyDescent="0.35">
      <c r="A490">
        <v>489</v>
      </c>
      <c r="B490" s="1">
        <v>40565</v>
      </c>
      <c r="C490">
        <v>1</v>
      </c>
      <c r="D490">
        <v>0</v>
      </c>
      <c r="E490">
        <v>1</v>
      </c>
      <c r="F490" t="str">
        <f>IF(final_data786[[#This Row],[MONTH_CODE]]=1,"JANUARY",IF(final_data786[[#This Row],[MONTH_CODE]]=2,"FEBRUARY"))</f>
        <v>JANUARY</v>
      </c>
      <c r="G490">
        <v>10</v>
      </c>
      <c r="H490">
        <v>0</v>
      </c>
      <c r="I490">
        <v>6</v>
      </c>
      <c r="J4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0" t="str">
        <f>IF(final_data786[[#This Row],[DAY_CODE]]=0,"weekend",IF(final_data786[[#This Row],[DAY_CODE]]=6,"weekend","weekday"))</f>
        <v>weekend</v>
      </c>
      <c r="L490">
        <v>2</v>
      </c>
      <c r="M490" t="str">
        <f>IF(final_data786[[#This Row],[WEATHER_CODE]]=1,"clear",IF(final_data786[[#This Row],[WEATHER_CODE]]=2,"cloudy",IF(final_data786[[#This Row],[WEATHER_CODE]]=3,"light rain",IF(final_data786[[#This Row],[WEATHER_CODE]]=4,"heavy rain",0))))</f>
        <v>cloudy</v>
      </c>
      <c r="N490">
        <v>0.04</v>
      </c>
      <c r="O490">
        <v>6.0600000000000001E-2</v>
      </c>
      <c r="P490">
        <v>0.41</v>
      </c>
      <c r="Q490">
        <v>0.16420000000000001</v>
      </c>
      <c r="R490">
        <v>3</v>
      </c>
      <c r="S490">
        <v>50</v>
      </c>
      <c r="T490">
        <v>53</v>
      </c>
    </row>
    <row r="491" spans="1:20" x14ac:dyDescent="0.35">
      <c r="A491">
        <v>490</v>
      </c>
      <c r="B491" s="1">
        <v>40565</v>
      </c>
      <c r="C491">
        <v>1</v>
      </c>
      <c r="D491">
        <v>0</v>
      </c>
      <c r="E491">
        <v>1</v>
      </c>
      <c r="F491" t="str">
        <f>IF(final_data786[[#This Row],[MONTH_CODE]]=1,"JANUARY",IF(final_data786[[#This Row],[MONTH_CODE]]=2,"FEBRUARY"))</f>
        <v>JANUARY</v>
      </c>
      <c r="G491">
        <v>11</v>
      </c>
      <c r="H491">
        <v>0</v>
      </c>
      <c r="I491">
        <v>6</v>
      </c>
      <c r="J4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1" t="str">
        <f>IF(final_data786[[#This Row],[DAY_CODE]]=0,"weekend",IF(final_data786[[#This Row],[DAY_CODE]]=6,"weekend","weekday"))</f>
        <v>weekend</v>
      </c>
      <c r="L491">
        <v>2</v>
      </c>
      <c r="M491" t="str">
        <f>IF(final_data786[[#This Row],[WEATHER_CODE]]=1,"clear",IF(final_data786[[#This Row],[WEATHER_CODE]]=2,"cloudy",IF(final_data786[[#This Row],[WEATHER_CODE]]=3,"light rain",IF(final_data786[[#This Row],[WEATHER_CODE]]=4,"heavy rain",0))))</f>
        <v>cloudy</v>
      </c>
      <c r="N491">
        <v>0.06</v>
      </c>
      <c r="O491">
        <v>7.5800000000000006E-2</v>
      </c>
      <c r="P491">
        <v>0.38</v>
      </c>
      <c r="Q491">
        <v>0.1343</v>
      </c>
      <c r="R491">
        <v>4</v>
      </c>
      <c r="S491">
        <v>59</v>
      </c>
      <c r="T491">
        <v>63</v>
      </c>
    </row>
    <row r="492" spans="1:20" x14ac:dyDescent="0.35">
      <c r="A492">
        <v>491</v>
      </c>
      <c r="B492" s="1">
        <v>40565</v>
      </c>
      <c r="C492">
        <v>1</v>
      </c>
      <c r="D492">
        <v>0</v>
      </c>
      <c r="E492">
        <v>1</v>
      </c>
      <c r="F492" t="str">
        <f>IF(final_data786[[#This Row],[MONTH_CODE]]=1,"JANUARY",IF(final_data786[[#This Row],[MONTH_CODE]]=2,"FEBRUARY"))</f>
        <v>JANUARY</v>
      </c>
      <c r="G492">
        <v>12</v>
      </c>
      <c r="H492">
        <v>0</v>
      </c>
      <c r="I492">
        <v>6</v>
      </c>
      <c r="J4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2" t="str">
        <f>IF(final_data786[[#This Row],[DAY_CODE]]=0,"weekend",IF(final_data786[[#This Row],[DAY_CODE]]=6,"weekend","weekday"))</f>
        <v>weekend</v>
      </c>
      <c r="L492">
        <v>2</v>
      </c>
      <c r="M492" t="str">
        <f>IF(final_data786[[#This Row],[WEATHER_CODE]]=1,"clear",IF(final_data786[[#This Row],[WEATHER_CODE]]=2,"cloudy",IF(final_data786[[#This Row],[WEATHER_CODE]]=3,"light rain",IF(final_data786[[#This Row],[WEATHER_CODE]]=4,"heavy rain",0))))</f>
        <v>cloudy</v>
      </c>
      <c r="N492">
        <v>0.06</v>
      </c>
      <c r="O492">
        <v>0.1061</v>
      </c>
      <c r="P492">
        <v>0.38</v>
      </c>
      <c r="Q492">
        <v>0.1045</v>
      </c>
      <c r="R492">
        <v>10</v>
      </c>
      <c r="S492">
        <v>60</v>
      </c>
      <c r="T492">
        <v>70</v>
      </c>
    </row>
    <row r="493" spans="1:20" x14ac:dyDescent="0.35">
      <c r="A493">
        <v>492</v>
      </c>
      <c r="B493" s="1">
        <v>40565</v>
      </c>
      <c r="C493">
        <v>1</v>
      </c>
      <c r="D493">
        <v>0</v>
      </c>
      <c r="E493">
        <v>1</v>
      </c>
      <c r="F493" t="str">
        <f>IF(final_data786[[#This Row],[MONTH_CODE]]=1,"JANUARY",IF(final_data786[[#This Row],[MONTH_CODE]]=2,"FEBRUARY"))</f>
        <v>JANUARY</v>
      </c>
      <c r="G493">
        <v>13</v>
      </c>
      <c r="H493">
        <v>0</v>
      </c>
      <c r="I493">
        <v>6</v>
      </c>
      <c r="J4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3" t="str">
        <f>IF(final_data786[[#This Row],[DAY_CODE]]=0,"weekend",IF(final_data786[[#This Row],[DAY_CODE]]=6,"weekend","weekday"))</f>
        <v>weekend</v>
      </c>
      <c r="L493">
        <v>1</v>
      </c>
      <c r="M493" t="str">
        <f>IF(final_data786[[#This Row],[WEATHER_CODE]]=1,"clear",IF(final_data786[[#This Row],[WEATHER_CODE]]=2,"cloudy",IF(final_data786[[#This Row],[WEATHER_CODE]]=3,"light rain",IF(final_data786[[#This Row],[WEATHER_CODE]]=4,"heavy rain",0))))</f>
        <v>clear</v>
      </c>
      <c r="N493">
        <v>0.08</v>
      </c>
      <c r="O493">
        <v>0.16669999999999999</v>
      </c>
      <c r="P493">
        <v>0.35</v>
      </c>
      <c r="Q493">
        <v>0</v>
      </c>
      <c r="R493">
        <v>12</v>
      </c>
      <c r="S493">
        <v>72</v>
      </c>
      <c r="T493">
        <v>84</v>
      </c>
    </row>
    <row r="494" spans="1:20" x14ac:dyDescent="0.35">
      <c r="A494">
        <v>493</v>
      </c>
      <c r="B494" s="1">
        <v>40565</v>
      </c>
      <c r="C494">
        <v>1</v>
      </c>
      <c r="D494">
        <v>0</v>
      </c>
      <c r="E494">
        <v>1</v>
      </c>
      <c r="F494" t="str">
        <f>IF(final_data786[[#This Row],[MONTH_CODE]]=1,"JANUARY",IF(final_data786[[#This Row],[MONTH_CODE]]=2,"FEBRUARY"))</f>
        <v>JANUARY</v>
      </c>
      <c r="G494">
        <v>14</v>
      </c>
      <c r="H494">
        <v>0</v>
      </c>
      <c r="I494">
        <v>6</v>
      </c>
      <c r="J4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4" t="str">
        <f>IF(final_data786[[#This Row],[DAY_CODE]]=0,"weekend",IF(final_data786[[#This Row],[DAY_CODE]]=6,"weekend","weekday"))</f>
        <v>weekend</v>
      </c>
      <c r="L494">
        <v>1</v>
      </c>
      <c r="M494" t="str">
        <f>IF(final_data786[[#This Row],[WEATHER_CODE]]=1,"clear",IF(final_data786[[#This Row],[WEATHER_CODE]]=2,"cloudy",IF(final_data786[[#This Row],[WEATHER_CODE]]=3,"light rain",IF(final_data786[[#This Row],[WEATHER_CODE]]=4,"heavy rain",0))))</f>
        <v>clear</v>
      </c>
      <c r="N494">
        <v>0.1</v>
      </c>
      <c r="O494">
        <v>0.13639999999999999</v>
      </c>
      <c r="P494">
        <v>0.33</v>
      </c>
      <c r="Q494">
        <v>0.1045</v>
      </c>
      <c r="R494">
        <v>11</v>
      </c>
      <c r="S494">
        <v>64</v>
      </c>
      <c r="T494">
        <v>75</v>
      </c>
    </row>
    <row r="495" spans="1:20" x14ac:dyDescent="0.35">
      <c r="A495">
        <v>494</v>
      </c>
      <c r="B495" s="1">
        <v>40565</v>
      </c>
      <c r="C495">
        <v>1</v>
      </c>
      <c r="D495">
        <v>0</v>
      </c>
      <c r="E495">
        <v>1</v>
      </c>
      <c r="F495" t="str">
        <f>IF(final_data786[[#This Row],[MONTH_CODE]]=1,"JANUARY",IF(final_data786[[#This Row],[MONTH_CODE]]=2,"FEBRUARY"))</f>
        <v>JANUARY</v>
      </c>
      <c r="G495">
        <v>15</v>
      </c>
      <c r="H495">
        <v>0</v>
      </c>
      <c r="I495">
        <v>6</v>
      </c>
      <c r="J4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5" t="str">
        <f>IF(final_data786[[#This Row],[DAY_CODE]]=0,"weekend",IF(final_data786[[#This Row],[DAY_CODE]]=6,"weekend","weekday"))</f>
        <v>weekend</v>
      </c>
      <c r="L495">
        <v>1</v>
      </c>
      <c r="M495" t="str">
        <f>IF(final_data786[[#This Row],[WEATHER_CODE]]=1,"clear",IF(final_data786[[#This Row],[WEATHER_CODE]]=2,"cloudy",IF(final_data786[[#This Row],[WEATHER_CODE]]=3,"light rain",IF(final_data786[[#This Row],[WEATHER_CODE]]=4,"heavy rain",0))))</f>
        <v>clear</v>
      </c>
      <c r="N495">
        <v>0.12</v>
      </c>
      <c r="O495">
        <v>0.1515</v>
      </c>
      <c r="P495">
        <v>0.28000000000000003</v>
      </c>
      <c r="Q495">
        <v>0</v>
      </c>
      <c r="R495">
        <v>10</v>
      </c>
      <c r="S495">
        <v>93</v>
      </c>
      <c r="T495">
        <v>103</v>
      </c>
    </row>
    <row r="496" spans="1:20" x14ac:dyDescent="0.35">
      <c r="A496">
        <v>495</v>
      </c>
      <c r="B496" s="1">
        <v>40565</v>
      </c>
      <c r="C496">
        <v>1</v>
      </c>
      <c r="D496">
        <v>0</v>
      </c>
      <c r="E496">
        <v>1</v>
      </c>
      <c r="F496" t="str">
        <f>IF(final_data786[[#This Row],[MONTH_CODE]]=1,"JANUARY",IF(final_data786[[#This Row],[MONTH_CODE]]=2,"FEBRUARY"))</f>
        <v>JANUARY</v>
      </c>
      <c r="G496">
        <v>16</v>
      </c>
      <c r="H496">
        <v>0</v>
      </c>
      <c r="I496">
        <v>6</v>
      </c>
      <c r="J4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6" t="str">
        <f>IF(final_data786[[#This Row],[DAY_CODE]]=0,"weekend",IF(final_data786[[#This Row],[DAY_CODE]]=6,"weekend","weekday"))</f>
        <v>weekend</v>
      </c>
      <c r="L496">
        <v>1</v>
      </c>
      <c r="M496" t="str">
        <f>IF(final_data786[[#This Row],[WEATHER_CODE]]=1,"clear",IF(final_data786[[#This Row],[WEATHER_CODE]]=2,"cloudy",IF(final_data786[[#This Row],[WEATHER_CODE]]=3,"light rain",IF(final_data786[[#This Row],[WEATHER_CODE]]=4,"heavy rain",0))))</f>
        <v>clear</v>
      </c>
      <c r="N496">
        <v>0.12</v>
      </c>
      <c r="O496">
        <v>0.13639999999999999</v>
      </c>
      <c r="P496">
        <v>0.28000000000000003</v>
      </c>
      <c r="Q496">
        <v>0.19400000000000001</v>
      </c>
      <c r="R496">
        <v>11</v>
      </c>
      <c r="S496">
        <v>72</v>
      </c>
      <c r="T496">
        <v>83</v>
      </c>
    </row>
    <row r="497" spans="1:20" x14ac:dyDescent="0.35">
      <c r="A497">
        <v>496</v>
      </c>
      <c r="B497" s="1">
        <v>40565</v>
      </c>
      <c r="C497">
        <v>1</v>
      </c>
      <c r="D497">
        <v>0</v>
      </c>
      <c r="E497">
        <v>1</v>
      </c>
      <c r="F497" t="str">
        <f>IF(final_data786[[#This Row],[MONTH_CODE]]=1,"JANUARY",IF(final_data786[[#This Row],[MONTH_CODE]]=2,"FEBRUARY"))</f>
        <v>JANUARY</v>
      </c>
      <c r="G497">
        <v>17</v>
      </c>
      <c r="H497">
        <v>0</v>
      </c>
      <c r="I497">
        <v>6</v>
      </c>
      <c r="J4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7" t="str">
        <f>IF(final_data786[[#This Row],[DAY_CODE]]=0,"weekend",IF(final_data786[[#This Row],[DAY_CODE]]=6,"weekend","weekday"))</f>
        <v>weekend</v>
      </c>
      <c r="L497">
        <v>1</v>
      </c>
      <c r="M497" t="str">
        <f>IF(final_data786[[#This Row],[WEATHER_CODE]]=1,"clear",IF(final_data786[[#This Row],[WEATHER_CODE]]=2,"cloudy",IF(final_data786[[#This Row],[WEATHER_CODE]]=3,"light rain",IF(final_data786[[#This Row],[WEATHER_CODE]]=4,"heavy rain",0))))</f>
        <v>clear</v>
      </c>
      <c r="N497">
        <v>0.12</v>
      </c>
      <c r="O497">
        <v>0.19700000000000001</v>
      </c>
      <c r="P497">
        <v>0.28000000000000003</v>
      </c>
      <c r="Q497">
        <v>0</v>
      </c>
      <c r="R497">
        <v>8</v>
      </c>
      <c r="S497">
        <v>59</v>
      </c>
      <c r="T497">
        <v>67</v>
      </c>
    </row>
    <row r="498" spans="1:20" x14ac:dyDescent="0.35">
      <c r="A498">
        <v>497</v>
      </c>
      <c r="B498" s="1">
        <v>40565</v>
      </c>
      <c r="C498">
        <v>1</v>
      </c>
      <c r="D498">
        <v>0</v>
      </c>
      <c r="E498">
        <v>1</v>
      </c>
      <c r="F498" t="str">
        <f>IF(final_data786[[#This Row],[MONTH_CODE]]=1,"JANUARY",IF(final_data786[[#This Row],[MONTH_CODE]]=2,"FEBRUARY"))</f>
        <v>JANUARY</v>
      </c>
      <c r="G498">
        <v>18</v>
      </c>
      <c r="H498">
        <v>0</v>
      </c>
      <c r="I498">
        <v>6</v>
      </c>
      <c r="J4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8" t="str">
        <f>IF(final_data786[[#This Row],[DAY_CODE]]=0,"weekend",IF(final_data786[[#This Row],[DAY_CODE]]=6,"weekend","weekday"))</f>
        <v>weekend</v>
      </c>
      <c r="L498">
        <v>1</v>
      </c>
      <c r="M498" t="str">
        <f>IF(final_data786[[#This Row],[WEATHER_CODE]]=1,"clear",IF(final_data786[[#This Row],[WEATHER_CODE]]=2,"cloudy",IF(final_data786[[#This Row],[WEATHER_CODE]]=3,"light rain",IF(final_data786[[#This Row],[WEATHER_CODE]]=4,"heavy rain",0))))</f>
        <v>clear</v>
      </c>
      <c r="N498">
        <v>0.08</v>
      </c>
      <c r="O498">
        <v>9.0899999999999995E-2</v>
      </c>
      <c r="P498">
        <v>0.35</v>
      </c>
      <c r="Q498">
        <v>0.19400000000000001</v>
      </c>
      <c r="R498">
        <v>0</v>
      </c>
      <c r="S498">
        <v>54</v>
      </c>
      <c r="T498">
        <v>54</v>
      </c>
    </row>
    <row r="499" spans="1:20" x14ac:dyDescent="0.35">
      <c r="A499">
        <v>498</v>
      </c>
      <c r="B499" s="1">
        <v>40565</v>
      </c>
      <c r="C499">
        <v>1</v>
      </c>
      <c r="D499">
        <v>0</v>
      </c>
      <c r="E499">
        <v>1</v>
      </c>
      <c r="F499" t="str">
        <f>IF(final_data786[[#This Row],[MONTH_CODE]]=1,"JANUARY",IF(final_data786[[#This Row],[MONTH_CODE]]=2,"FEBRUARY"))</f>
        <v>JANUARY</v>
      </c>
      <c r="G499">
        <v>19</v>
      </c>
      <c r="H499">
        <v>0</v>
      </c>
      <c r="I499">
        <v>6</v>
      </c>
      <c r="J4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499" t="str">
        <f>IF(final_data786[[#This Row],[DAY_CODE]]=0,"weekend",IF(final_data786[[#This Row],[DAY_CODE]]=6,"weekend","weekday"))</f>
        <v>weekend</v>
      </c>
      <c r="L499">
        <v>1</v>
      </c>
      <c r="M499" t="str">
        <f>IF(final_data786[[#This Row],[WEATHER_CODE]]=1,"clear",IF(final_data786[[#This Row],[WEATHER_CODE]]=2,"cloudy",IF(final_data786[[#This Row],[WEATHER_CODE]]=3,"light rain",IF(final_data786[[#This Row],[WEATHER_CODE]]=4,"heavy rain",0))))</f>
        <v>clear</v>
      </c>
      <c r="N499">
        <v>0.08</v>
      </c>
      <c r="O499">
        <v>0.1061</v>
      </c>
      <c r="P499">
        <v>0.35</v>
      </c>
      <c r="Q499">
        <v>0.1343</v>
      </c>
      <c r="R499">
        <v>6</v>
      </c>
      <c r="S499">
        <v>53</v>
      </c>
      <c r="T499">
        <v>59</v>
      </c>
    </row>
    <row r="500" spans="1:20" x14ac:dyDescent="0.35">
      <c r="A500">
        <v>499</v>
      </c>
      <c r="B500" s="1">
        <v>40565</v>
      </c>
      <c r="C500">
        <v>1</v>
      </c>
      <c r="D500">
        <v>0</v>
      </c>
      <c r="E500">
        <v>1</v>
      </c>
      <c r="F500" t="str">
        <f>IF(final_data786[[#This Row],[MONTH_CODE]]=1,"JANUARY",IF(final_data786[[#This Row],[MONTH_CODE]]=2,"FEBRUARY"))</f>
        <v>JANUARY</v>
      </c>
      <c r="G500">
        <v>20</v>
      </c>
      <c r="H500">
        <v>0</v>
      </c>
      <c r="I500">
        <v>6</v>
      </c>
      <c r="J5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500" t="str">
        <f>IF(final_data786[[#This Row],[DAY_CODE]]=0,"weekend",IF(final_data786[[#This Row],[DAY_CODE]]=6,"weekend","weekday"))</f>
        <v>weekend</v>
      </c>
      <c r="L500">
        <v>1</v>
      </c>
      <c r="M500" t="str">
        <f>IF(final_data786[[#This Row],[WEATHER_CODE]]=1,"clear",IF(final_data786[[#This Row],[WEATHER_CODE]]=2,"cloudy",IF(final_data786[[#This Row],[WEATHER_CODE]]=3,"light rain",IF(final_data786[[#This Row],[WEATHER_CODE]]=4,"heavy rain",0))))</f>
        <v>clear</v>
      </c>
      <c r="N500">
        <v>0.06</v>
      </c>
      <c r="O500">
        <v>7.5800000000000006E-2</v>
      </c>
      <c r="P500">
        <v>0.45</v>
      </c>
      <c r="Q500">
        <v>0.16420000000000001</v>
      </c>
      <c r="R500">
        <v>1</v>
      </c>
      <c r="S500">
        <v>44</v>
      </c>
      <c r="T500">
        <v>45</v>
      </c>
    </row>
    <row r="501" spans="1:20" x14ac:dyDescent="0.35">
      <c r="A501">
        <v>500</v>
      </c>
      <c r="B501" s="1">
        <v>40565</v>
      </c>
      <c r="C501">
        <v>1</v>
      </c>
      <c r="D501">
        <v>0</v>
      </c>
      <c r="E501">
        <v>1</v>
      </c>
      <c r="F501" t="str">
        <f>IF(final_data786[[#This Row],[MONTH_CODE]]=1,"JANUARY",IF(final_data786[[#This Row],[MONTH_CODE]]=2,"FEBRUARY"))</f>
        <v>JANUARY</v>
      </c>
      <c r="G501">
        <v>21</v>
      </c>
      <c r="H501">
        <v>0</v>
      </c>
      <c r="I501">
        <v>6</v>
      </c>
      <c r="J5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501" t="str">
        <f>IF(final_data786[[#This Row],[DAY_CODE]]=0,"weekend",IF(final_data786[[#This Row],[DAY_CODE]]=6,"weekend","weekday"))</f>
        <v>weekend</v>
      </c>
      <c r="L501">
        <v>1</v>
      </c>
      <c r="M501" t="str">
        <f>IF(final_data786[[#This Row],[WEATHER_CODE]]=1,"clear",IF(final_data786[[#This Row],[WEATHER_CODE]]=2,"cloudy",IF(final_data786[[#This Row],[WEATHER_CODE]]=3,"light rain",IF(final_data786[[#This Row],[WEATHER_CODE]]=4,"heavy rain",0))))</f>
        <v>clear</v>
      </c>
      <c r="N501">
        <v>0.06</v>
      </c>
      <c r="O501">
        <v>0.1061</v>
      </c>
      <c r="P501">
        <v>0.41</v>
      </c>
      <c r="Q501">
        <v>8.9599999999999999E-2</v>
      </c>
      <c r="R501">
        <v>0</v>
      </c>
      <c r="S501">
        <v>39</v>
      </c>
      <c r="T501">
        <v>39</v>
      </c>
    </row>
    <row r="502" spans="1:20" x14ac:dyDescent="0.35">
      <c r="A502">
        <v>501</v>
      </c>
      <c r="B502" s="1">
        <v>40565</v>
      </c>
      <c r="C502">
        <v>1</v>
      </c>
      <c r="D502">
        <v>0</v>
      </c>
      <c r="E502">
        <v>1</v>
      </c>
      <c r="F502" t="str">
        <f>IF(final_data786[[#This Row],[MONTH_CODE]]=1,"JANUARY",IF(final_data786[[#This Row],[MONTH_CODE]]=2,"FEBRUARY"))</f>
        <v>JANUARY</v>
      </c>
      <c r="G502">
        <v>22</v>
      </c>
      <c r="H502">
        <v>0</v>
      </c>
      <c r="I502">
        <v>6</v>
      </c>
      <c r="J5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502" t="str">
        <f>IF(final_data786[[#This Row],[DAY_CODE]]=0,"weekend",IF(final_data786[[#This Row],[DAY_CODE]]=6,"weekend","weekday"))</f>
        <v>weekend</v>
      </c>
      <c r="L502">
        <v>1</v>
      </c>
      <c r="M502" t="str">
        <f>IF(final_data786[[#This Row],[WEATHER_CODE]]=1,"clear",IF(final_data786[[#This Row],[WEATHER_CODE]]=2,"cloudy",IF(final_data786[[#This Row],[WEATHER_CODE]]=3,"light rain",IF(final_data786[[#This Row],[WEATHER_CODE]]=4,"heavy rain",0))))</f>
        <v>clear</v>
      </c>
      <c r="N502">
        <v>0.06</v>
      </c>
      <c r="O502">
        <v>0.1515</v>
      </c>
      <c r="P502">
        <v>0.49</v>
      </c>
      <c r="Q502">
        <v>0</v>
      </c>
      <c r="R502">
        <v>7</v>
      </c>
      <c r="S502">
        <v>23</v>
      </c>
      <c r="T502">
        <v>30</v>
      </c>
    </row>
    <row r="503" spans="1:20" x14ac:dyDescent="0.35">
      <c r="A503">
        <v>502</v>
      </c>
      <c r="B503" s="1">
        <v>40565</v>
      </c>
      <c r="C503">
        <v>1</v>
      </c>
      <c r="D503">
        <v>0</v>
      </c>
      <c r="E503">
        <v>1</v>
      </c>
      <c r="F503" t="str">
        <f>IF(final_data786[[#This Row],[MONTH_CODE]]=1,"JANUARY",IF(final_data786[[#This Row],[MONTH_CODE]]=2,"FEBRUARY"))</f>
        <v>JANUARY</v>
      </c>
      <c r="G503">
        <v>23</v>
      </c>
      <c r="H503">
        <v>0</v>
      </c>
      <c r="I503">
        <v>6</v>
      </c>
      <c r="J5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503" t="str">
        <f>IF(final_data786[[#This Row],[DAY_CODE]]=0,"weekend",IF(final_data786[[#This Row],[DAY_CODE]]=6,"weekend","weekday"))</f>
        <v>weekend</v>
      </c>
      <c r="L503">
        <v>1</v>
      </c>
      <c r="M503" t="str">
        <f>IF(final_data786[[#This Row],[WEATHER_CODE]]=1,"clear",IF(final_data786[[#This Row],[WEATHER_CODE]]=2,"cloudy",IF(final_data786[[#This Row],[WEATHER_CODE]]=3,"light rain",IF(final_data786[[#This Row],[WEATHER_CODE]]=4,"heavy rain",0))))</f>
        <v>clear</v>
      </c>
      <c r="N503">
        <v>0.04</v>
      </c>
      <c r="O503">
        <v>7.5800000000000006E-2</v>
      </c>
      <c r="P503">
        <v>0.56999999999999995</v>
      </c>
      <c r="Q503">
        <v>0.1045</v>
      </c>
      <c r="R503">
        <v>2</v>
      </c>
      <c r="S503">
        <v>31</v>
      </c>
      <c r="T503">
        <v>33</v>
      </c>
    </row>
    <row r="504" spans="1:20" x14ac:dyDescent="0.35">
      <c r="A504">
        <v>503</v>
      </c>
      <c r="B504" s="1">
        <v>40566</v>
      </c>
      <c r="C504">
        <v>1</v>
      </c>
      <c r="D504">
        <v>0</v>
      </c>
      <c r="E504">
        <v>1</v>
      </c>
      <c r="F504" t="str">
        <f>IF(final_data786[[#This Row],[MONTH_CODE]]=1,"JANUARY",IF(final_data786[[#This Row],[MONTH_CODE]]=2,"FEBRUARY"))</f>
        <v>JANUARY</v>
      </c>
      <c r="G504">
        <v>0</v>
      </c>
      <c r="H504">
        <v>0</v>
      </c>
      <c r="I504">
        <v>0</v>
      </c>
      <c r="J5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4" t="str">
        <f>IF(final_data786[[#This Row],[DAY_CODE]]=0,"weekend",IF(final_data786[[#This Row],[DAY_CODE]]=6,"weekend","weekday"))</f>
        <v>weekend</v>
      </c>
      <c r="L504">
        <v>1</v>
      </c>
      <c r="M504" t="str">
        <f>IF(final_data786[[#This Row],[WEATHER_CODE]]=1,"clear",IF(final_data786[[#This Row],[WEATHER_CODE]]=2,"cloudy",IF(final_data786[[#This Row],[WEATHER_CODE]]=3,"light rain",IF(final_data786[[#This Row],[WEATHER_CODE]]=4,"heavy rain",0))))</f>
        <v>clear</v>
      </c>
      <c r="N504">
        <v>0.04</v>
      </c>
      <c r="O504">
        <v>7.5800000000000006E-2</v>
      </c>
      <c r="P504">
        <v>0.56999999999999995</v>
      </c>
      <c r="Q504">
        <v>0.1045</v>
      </c>
      <c r="R504">
        <v>2</v>
      </c>
      <c r="S504">
        <v>20</v>
      </c>
      <c r="T504">
        <v>22</v>
      </c>
    </row>
    <row r="505" spans="1:20" x14ac:dyDescent="0.35">
      <c r="A505">
        <v>504</v>
      </c>
      <c r="B505" s="1">
        <v>40566</v>
      </c>
      <c r="C505">
        <v>1</v>
      </c>
      <c r="D505">
        <v>0</v>
      </c>
      <c r="E505">
        <v>1</v>
      </c>
      <c r="F505" t="str">
        <f>IF(final_data786[[#This Row],[MONTH_CODE]]=1,"JANUARY",IF(final_data786[[#This Row],[MONTH_CODE]]=2,"FEBRUARY"))</f>
        <v>JANUARY</v>
      </c>
      <c r="G505">
        <v>1</v>
      </c>
      <c r="H505">
        <v>0</v>
      </c>
      <c r="I505">
        <v>0</v>
      </c>
      <c r="J5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5" t="str">
        <f>IF(final_data786[[#This Row],[DAY_CODE]]=0,"weekend",IF(final_data786[[#This Row],[DAY_CODE]]=6,"weekend","weekday"))</f>
        <v>weekend</v>
      </c>
      <c r="L505">
        <v>1</v>
      </c>
      <c r="M505" t="str">
        <f>IF(final_data786[[#This Row],[WEATHER_CODE]]=1,"clear",IF(final_data786[[#This Row],[WEATHER_CODE]]=2,"cloudy",IF(final_data786[[#This Row],[WEATHER_CODE]]=3,"light rain",IF(final_data786[[#This Row],[WEATHER_CODE]]=4,"heavy rain",0))))</f>
        <v>clear</v>
      </c>
      <c r="N505">
        <v>0.04</v>
      </c>
      <c r="O505">
        <v>7.5800000000000006E-2</v>
      </c>
      <c r="P505">
        <v>0.56999999999999995</v>
      </c>
      <c r="Q505">
        <v>0.1045</v>
      </c>
      <c r="R505">
        <v>1</v>
      </c>
      <c r="S505">
        <v>12</v>
      </c>
      <c r="T505">
        <v>13</v>
      </c>
    </row>
    <row r="506" spans="1:20" x14ac:dyDescent="0.35">
      <c r="A506">
        <v>505</v>
      </c>
      <c r="B506" s="1">
        <v>40566</v>
      </c>
      <c r="C506">
        <v>1</v>
      </c>
      <c r="D506">
        <v>0</v>
      </c>
      <c r="E506">
        <v>1</v>
      </c>
      <c r="F506" t="str">
        <f>IF(final_data786[[#This Row],[MONTH_CODE]]=1,"JANUARY",IF(final_data786[[#This Row],[MONTH_CODE]]=2,"FEBRUARY"))</f>
        <v>JANUARY</v>
      </c>
      <c r="G506">
        <v>2</v>
      </c>
      <c r="H506">
        <v>0</v>
      </c>
      <c r="I506">
        <v>0</v>
      </c>
      <c r="J5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6" t="str">
        <f>IF(final_data786[[#This Row],[DAY_CODE]]=0,"weekend",IF(final_data786[[#This Row],[DAY_CODE]]=6,"weekend","weekday"))</f>
        <v>weekend</v>
      </c>
      <c r="L506">
        <v>1</v>
      </c>
      <c r="M506" t="str">
        <f>IF(final_data786[[#This Row],[WEATHER_CODE]]=1,"clear",IF(final_data786[[#This Row],[WEATHER_CODE]]=2,"cloudy",IF(final_data786[[#This Row],[WEATHER_CODE]]=3,"light rain",IF(final_data786[[#This Row],[WEATHER_CODE]]=4,"heavy rain",0))))</f>
        <v>clear</v>
      </c>
      <c r="N506">
        <v>0.02</v>
      </c>
      <c r="O506">
        <v>6.0600000000000001E-2</v>
      </c>
      <c r="P506">
        <v>0.62</v>
      </c>
      <c r="Q506">
        <v>0.1343</v>
      </c>
      <c r="R506">
        <v>3</v>
      </c>
      <c r="S506">
        <v>15</v>
      </c>
      <c r="T506">
        <v>18</v>
      </c>
    </row>
    <row r="507" spans="1:20" x14ac:dyDescent="0.35">
      <c r="A507">
        <v>506</v>
      </c>
      <c r="B507" s="1">
        <v>40566</v>
      </c>
      <c r="C507">
        <v>1</v>
      </c>
      <c r="D507">
        <v>0</v>
      </c>
      <c r="E507">
        <v>1</v>
      </c>
      <c r="F507" t="str">
        <f>IF(final_data786[[#This Row],[MONTH_CODE]]=1,"JANUARY",IF(final_data786[[#This Row],[MONTH_CODE]]=2,"FEBRUARY"))</f>
        <v>JANUARY</v>
      </c>
      <c r="G507">
        <v>3</v>
      </c>
      <c r="H507">
        <v>0</v>
      </c>
      <c r="I507">
        <v>0</v>
      </c>
      <c r="J5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7" t="str">
        <f>IF(final_data786[[#This Row],[DAY_CODE]]=0,"weekend",IF(final_data786[[#This Row],[DAY_CODE]]=6,"weekend","weekday"))</f>
        <v>weekend</v>
      </c>
      <c r="L507">
        <v>1</v>
      </c>
      <c r="M507" t="str">
        <f>IF(final_data786[[#This Row],[WEATHER_CODE]]=1,"clear",IF(final_data786[[#This Row],[WEATHER_CODE]]=2,"cloudy",IF(final_data786[[#This Row],[WEATHER_CODE]]=3,"light rain",IF(final_data786[[#This Row],[WEATHER_CODE]]=4,"heavy rain",0))))</f>
        <v>clear</v>
      </c>
      <c r="N507">
        <v>0.02</v>
      </c>
      <c r="O507">
        <v>6.0600000000000001E-2</v>
      </c>
      <c r="P507">
        <v>0.62</v>
      </c>
      <c r="Q507">
        <v>0.1343</v>
      </c>
      <c r="R507">
        <v>1</v>
      </c>
      <c r="S507">
        <v>4</v>
      </c>
      <c r="T507">
        <v>5</v>
      </c>
    </row>
    <row r="508" spans="1:20" x14ac:dyDescent="0.35">
      <c r="A508">
        <v>507</v>
      </c>
      <c r="B508" s="1">
        <v>40566</v>
      </c>
      <c r="C508">
        <v>1</v>
      </c>
      <c r="D508">
        <v>0</v>
      </c>
      <c r="E508">
        <v>1</v>
      </c>
      <c r="F508" t="str">
        <f>IF(final_data786[[#This Row],[MONTH_CODE]]=1,"JANUARY",IF(final_data786[[#This Row],[MONTH_CODE]]=2,"FEBRUARY"))</f>
        <v>JANUARY</v>
      </c>
      <c r="G508">
        <v>5</v>
      </c>
      <c r="H508">
        <v>0</v>
      </c>
      <c r="I508">
        <v>0</v>
      </c>
      <c r="J5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8" t="str">
        <f>IF(final_data786[[#This Row],[DAY_CODE]]=0,"weekend",IF(final_data786[[#This Row],[DAY_CODE]]=6,"weekend","weekday"))</f>
        <v>weekend</v>
      </c>
      <c r="L508">
        <v>2</v>
      </c>
      <c r="M508" t="str">
        <f>IF(final_data786[[#This Row],[WEATHER_CODE]]=1,"clear",IF(final_data786[[#This Row],[WEATHER_CODE]]=2,"cloudy",IF(final_data786[[#This Row],[WEATHER_CODE]]=3,"light rain",IF(final_data786[[#This Row],[WEATHER_CODE]]=4,"heavy rain",0))))</f>
        <v>cloudy</v>
      </c>
      <c r="N508">
        <v>0.04</v>
      </c>
      <c r="O508">
        <v>7.5800000000000006E-2</v>
      </c>
      <c r="P508">
        <v>0.56999999999999995</v>
      </c>
      <c r="Q508">
        <v>0.1045</v>
      </c>
      <c r="R508">
        <v>0</v>
      </c>
      <c r="S508">
        <v>3</v>
      </c>
      <c r="T508">
        <v>3</v>
      </c>
    </row>
    <row r="509" spans="1:20" x14ac:dyDescent="0.35">
      <c r="A509">
        <v>508</v>
      </c>
      <c r="B509" s="1">
        <v>40566</v>
      </c>
      <c r="C509">
        <v>1</v>
      </c>
      <c r="D509">
        <v>0</v>
      </c>
      <c r="E509">
        <v>1</v>
      </c>
      <c r="F509" t="str">
        <f>IF(final_data786[[#This Row],[MONTH_CODE]]=1,"JANUARY",IF(final_data786[[#This Row],[MONTH_CODE]]=2,"FEBRUARY"))</f>
        <v>JANUARY</v>
      </c>
      <c r="G509">
        <v>6</v>
      </c>
      <c r="H509">
        <v>0</v>
      </c>
      <c r="I509">
        <v>0</v>
      </c>
      <c r="J5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09" t="str">
        <f>IF(final_data786[[#This Row],[DAY_CODE]]=0,"weekend",IF(final_data786[[#This Row],[DAY_CODE]]=6,"weekend","weekday"))</f>
        <v>weekend</v>
      </c>
      <c r="L509">
        <v>2</v>
      </c>
      <c r="M509" t="str">
        <f>IF(final_data786[[#This Row],[WEATHER_CODE]]=1,"clear",IF(final_data786[[#This Row],[WEATHER_CODE]]=2,"cloudy",IF(final_data786[[#This Row],[WEATHER_CODE]]=3,"light rain",IF(final_data786[[#This Row],[WEATHER_CODE]]=4,"heavy rain",0))))</f>
        <v>cloudy</v>
      </c>
      <c r="N509">
        <v>0.04</v>
      </c>
      <c r="O509">
        <v>7.5800000000000006E-2</v>
      </c>
      <c r="P509">
        <v>0.56999999999999995</v>
      </c>
      <c r="Q509">
        <v>0.1045</v>
      </c>
      <c r="R509">
        <v>0</v>
      </c>
      <c r="S509">
        <v>1</v>
      </c>
      <c r="T509">
        <v>1</v>
      </c>
    </row>
    <row r="510" spans="1:20" x14ac:dyDescent="0.35">
      <c r="A510">
        <v>509</v>
      </c>
      <c r="B510" s="1">
        <v>40566</v>
      </c>
      <c r="C510">
        <v>1</v>
      </c>
      <c r="D510">
        <v>0</v>
      </c>
      <c r="E510">
        <v>1</v>
      </c>
      <c r="F510" t="str">
        <f>IF(final_data786[[#This Row],[MONTH_CODE]]=1,"JANUARY",IF(final_data786[[#This Row],[MONTH_CODE]]=2,"FEBRUARY"))</f>
        <v>JANUARY</v>
      </c>
      <c r="G510">
        <v>7</v>
      </c>
      <c r="H510">
        <v>0</v>
      </c>
      <c r="I510">
        <v>0</v>
      </c>
      <c r="J5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0" t="str">
        <f>IF(final_data786[[#This Row],[DAY_CODE]]=0,"weekend",IF(final_data786[[#This Row],[DAY_CODE]]=6,"weekend","weekday"))</f>
        <v>weekend</v>
      </c>
      <c r="L510">
        <v>1</v>
      </c>
      <c r="M510" t="str">
        <f>IF(final_data786[[#This Row],[WEATHER_CODE]]=1,"clear",IF(final_data786[[#This Row],[WEATHER_CODE]]=2,"cloudy",IF(final_data786[[#This Row],[WEATHER_CODE]]=3,"light rain",IF(final_data786[[#This Row],[WEATHER_CODE]]=4,"heavy rain",0))))</f>
        <v>clear</v>
      </c>
      <c r="N510">
        <v>0.08</v>
      </c>
      <c r="O510">
        <v>0.1061</v>
      </c>
      <c r="P510">
        <v>0.57999999999999996</v>
      </c>
      <c r="Q510">
        <v>0.16420000000000001</v>
      </c>
      <c r="R510">
        <v>1</v>
      </c>
      <c r="S510">
        <v>1</v>
      </c>
      <c r="T510">
        <v>2</v>
      </c>
    </row>
    <row r="511" spans="1:20" x14ac:dyDescent="0.35">
      <c r="A511">
        <v>510</v>
      </c>
      <c r="B511" s="1">
        <v>40566</v>
      </c>
      <c r="C511">
        <v>1</v>
      </c>
      <c r="D511">
        <v>0</v>
      </c>
      <c r="E511">
        <v>1</v>
      </c>
      <c r="F511" t="str">
        <f>IF(final_data786[[#This Row],[MONTH_CODE]]=1,"JANUARY",IF(final_data786[[#This Row],[MONTH_CODE]]=2,"FEBRUARY"))</f>
        <v>JANUARY</v>
      </c>
      <c r="G511">
        <v>8</v>
      </c>
      <c r="H511">
        <v>0</v>
      </c>
      <c r="I511">
        <v>0</v>
      </c>
      <c r="J5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1" t="str">
        <f>IF(final_data786[[#This Row],[DAY_CODE]]=0,"weekend",IF(final_data786[[#This Row],[DAY_CODE]]=6,"weekend","weekday"))</f>
        <v>weekend</v>
      </c>
      <c r="L511">
        <v>1</v>
      </c>
      <c r="M511" t="str">
        <f>IF(final_data786[[#This Row],[WEATHER_CODE]]=1,"clear",IF(final_data786[[#This Row],[WEATHER_CODE]]=2,"cloudy",IF(final_data786[[#This Row],[WEATHER_CODE]]=3,"light rain",IF(final_data786[[#This Row],[WEATHER_CODE]]=4,"heavy rain",0))))</f>
        <v>clear</v>
      </c>
      <c r="N511">
        <v>0.06</v>
      </c>
      <c r="O511">
        <v>7.5800000000000006E-2</v>
      </c>
      <c r="P511">
        <v>0.62</v>
      </c>
      <c r="Q511">
        <v>0.16420000000000001</v>
      </c>
      <c r="R511">
        <v>2</v>
      </c>
      <c r="S511">
        <v>17</v>
      </c>
      <c r="T511">
        <v>19</v>
      </c>
    </row>
    <row r="512" spans="1:20" x14ac:dyDescent="0.35">
      <c r="A512">
        <v>511</v>
      </c>
      <c r="B512" s="1">
        <v>40566</v>
      </c>
      <c r="C512">
        <v>1</v>
      </c>
      <c r="D512">
        <v>0</v>
      </c>
      <c r="E512">
        <v>1</v>
      </c>
      <c r="F512" t="str">
        <f>IF(final_data786[[#This Row],[MONTH_CODE]]=1,"JANUARY",IF(final_data786[[#This Row],[MONTH_CODE]]=2,"FEBRUARY"))</f>
        <v>JANUARY</v>
      </c>
      <c r="G512">
        <v>9</v>
      </c>
      <c r="H512">
        <v>0</v>
      </c>
      <c r="I512">
        <v>0</v>
      </c>
      <c r="J5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2" t="str">
        <f>IF(final_data786[[#This Row],[DAY_CODE]]=0,"weekend",IF(final_data786[[#This Row],[DAY_CODE]]=6,"weekend","weekday"))</f>
        <v>weekend</v>
      </c>
      <c r="L512">
        <v>1</v>
      </c>
      <c r="M512" t="str">
        <f>IF(final_data786[[#This Row],[WEATHER_CODE]]=1,"clear",IF(final_data786[[#This Row],[WEATHER_CODE]]=2,"cloudy",IF(final_data786[[#This Row],[WEATHER_CODE]]=3,"light rain",IF(final_data786[[#This Row],[WEATHER_CODE]]=4,"heavy rain",0))))</f>
        <v>clear</v>
      </c>
      <c r="N512">
        <v>0.1</v>
      </c>
      <c r="O512">
        <v>7.5800000000000006E-2</v>
      </c>
      <c r="P512">
        <v>0.54</v>
      </c>
      <c r="Q512">
        <v>0.35820000000000002</v>
      </c>
      <c r="R512">
        <v>3</v>
      </c>
      <c r="S512">
        <v>25</v>
      </c>
      <c r="T512">
        <v>28</v>
      </c>
    </row>
    <row r="513" spans="1:20" x14ac:dyDescent="0.35">
      <c r="A513">
        <v>512</v>
      </c>
      <c r="B513" s="1">
        <v>40566</v>
      </c>
      <c r="C513">
        <v>1</v>
      </c>
      <c r="D513">
        <v>0</v>
      </c>
      <c r="E513">
        <v>1</v>
      </c>
      <c r="F513" t="str">
        <f>IF(final_data786[[#This Row],[MONTH_CODE]]=1,"JANUARY",IF(final_data786[[#This Row],[MONTH_CODE]]=2,"FEBRUARY"))</f>
        <v>JANUARY</v>
      </c>
      <c r="G513">
        <v>10</v>
      </c>
      <c r="H513">
        <v>0</v>
      </c>
      <c r="I513">
        <v>0</v>
      </c>
      <c r="J5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3" t="str">
        <f>IF(final_data786[[#This Row],[DAY_CODE]]=0,"weekend",IF(final_data786[[#This Row],[DAY_CODE]]=6,"weekend","weekday"))</f>
        <v>weekend</v>
      </c>
      <c r="L513">
        <v>1</v>
      </c>
      <c r="M513" t="str">
        <f>IF(final_data786[[#This Row],[WEATHER_CODE]]=1,"clear",IF(final_data786[[#This Row],[WEATHER_CODE]]=2,"cloudy",IF(final_data786[[#This Row],[WEATHER_CODE]]=3,"light rain",IF(final_data786[[#This Row],[WEATHER_CODE]]=4,"heavy rain",0))))</f>
        <v>clear</v>
      </c>
      <c r="N513">
        <v>0.14000000000000001</v>
      </c>
      <c r="O513">
        <v>0.1061</v>
      </c>
      <c r="P513">
        <v>0.46</v>
      </c>
      <c r="Q513">
        <v>0.3881</v>
      </c>
      <c r="R513">
        <v>7</v>
      </c>
      <c r="S513">
        <v>51</v>
      </c>
      <c r="T513">
        <v>58</v>
      </c>
    </row>
    <row r="514" spans="1:20" x14ac:dyDescent="0.35">
      <c r="A514">
        <v>513</v>
      </c>
      <c r="B514" s="1">
        <v>40566</v>
      </c>
      <c r="C514">
        <v>1</v>
      </c>
      <c r="D514">
        <v>0</v>
      </c>
      <c r="E514">
        <v>1</v>
      </c>
      <c r="F514" t="str">
        <f>IF(final_data786[[#This Row],[MONTH_CODE]]=1,"JANUARY",IF(final_data786[[#This Row],[MONTH_CODE]]=2,"FEBRUARY"))</f>
        <v>JANUARY</v>
      </c>
      <c r="G514">
        <v>11</v>
      </c>
      <c r="H514">
        <v>0</v>
      </c>
      <c r="I514">
        <v>0</v>
      </c>
      <c r="J5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4" t="str">
        <f>IF(final_data786[[#This Row],[DAY_CODE]]=0,"weekend",IF(final_data786[[#This Row],[DAY_CODE]]=6,"weekend","weekday"))</f>
        <v>weekend</v>
      </c>
      <c r="L514">
        <v>1</v>
      </c>
      <c r="M514" t="str">
        <f>IF(final_data786[[#This Row],[WEATHER_CODE]]=1,"clear",IF(final_data786[[#This Row],[WEATHER_CODE]]=2,"cloudy",IF(final_data786[[#This Row],[WEATHER_CODE]]=3,"light rain",IF(final_data786[[#This Row],[WEATHER_CODE]]=4,"heavy rain",0))))</f>
        <v>clear</v>
      </c>
      <c r="N514">
        <v>0.14000000000000001</v>
      </c>
      <c r="O514">
        <v>0.13639999999999999</v>
      </c>
      <c r="P514">
        <v>0.43</v>
      </c>
      <c r="Q514">
        <v>0.22389999999999999</v>
      </c>
      <c r="R514">
        <v>22</v>
      </c>
      <c r="S514">
        <v>77</v>
      </c>
      <c r="T514">
        <v>99</v>
      </c>
    </row>
    <row r="515" spans="1:20" x14ac:dyDescent="0.35">
      <c r="A515">
        <v>514</v>
      </c>
      <c r="B515" s="1">
        <v>40566</v>
      </c>
      <c r="C515">
        <v>1</v>
      </c>
      <c r="D515">
        <v>0</v>
      </c>
      <c r="E515">
        <v>1</v>
      </c>
      <c r="F515" t="str">
        <f>IF(final_data786[[#This Row],[MONTH_CODE]]=1,"JANUARY",IF(final_data786[[#This Row],[MONTH_CODE]]=2,"FEBRUARY"))</f>
        <v>JANUARY</v>
      </c>
      <c r="G515">
        <v>12</v>
      </c>
      <c r="H515">
        <v>0</v>
      </c>
      <c r="I515">
        <v>0</v>
      </c>
      <c r="J5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5" t="str">
        <f>IF(final_data786[[#This Row],[DAY_CODE]]=0,"weekend",IF(final_data786[[#This Row],[DAY_CODE]]=6,"weekend","weekday"))</f>
        <v>weekend</v>
      </c>
      <c r="L515">
        <v>1</v>
      </c>
      <c r="M515" t="str">
        <f>IF(final_data786[[#This Row],[WEATHER_CODE]]=1,"clear",IF(final_data786[[#This Row],[WEATHER_CODE]]=2,"cloudy",IF(final_data786[[#This Row],[WEATHER_CODE]]=3,"light rain",IF(final_data786[[#This Row],[WEATHER_CODE]]=4,"heavy rain",0))))</f>
        <v>clear</v>
      </c>
      <c r="N515">
        <v>0.16</v>
      </c>
      <c r="O515">
        <v>0.1212</v>
      </c>
      <c r="P515">
        <v>0.37</v>
      </c>
      <c r="Q515">
        <v>0.4627</v>
      </c>
      <c r="R515">
        <v>24</v>
      </c>
      <c r="S515">
        <v>92</v>
      </c>
      <c r="T515">
        <v>116</v>
      </c>
    </row>
    <row r="516" spans="1:20" x14ac:dyDescent="0.35">
      <c r="A516">
        <v>515</v>
      </c>
      <c r="B516" s="1">
        <v>40566</v>
      </c>
      <c r="C516">
        <v>1</v>
      </c>
      <c r="D516">
        <v>0</v>
      </c>
      <c r="E516">
        <v>1</v>
      </c>
      <c r="F516" t="str">
        <f>IF(final_data786[[#This Row],[MONTH_CODE]]=1,"JANUARY",IF(final_data786[[#This Row],[MONTH_CODE]]=2,"FEBRUARY"))</f>
        <v>JANUARY</v>
      </c>
      <c r="G516">
        <v>13</v>
      </c>
      <c r="H516">
        <v>0</v>
      </c>
      <c r="I516">
        <v>0</v>
      </c>
      <c r="J5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6" t="str">
        <f>IF(final_data786[[#This Row],[DAY_CODE]]=0,"weekend",IF(final_data786[[#This Row],[DAY_CODE]]=6,"weekend","weekday"))</f>
        <v>weekend</v>
      </c>
      <c r="L516">
        <v>1</v>
      </c>
      <c r="M516" t="str">
        <f>IF(final_data786[[#This Row],[WEATHER_CODE]]=1,"clear",IF(final_data786[[#This Row],[WEATHER_CODE]]=2,"cloudy",IF(final_data786[[#This Row],[WEATHER_CODE]]=3,"light rain",IF(final_data786[[#This Row],[WEATHER_CODE]]=4,"heavy rain",0))))</f>
        <v>clear</v>
      </c>
      <c r="N516">
        <v>0.14000000000000001</v>
      </c>
      <c r="O516">
        <v>0.1061</v>
      </c>
      <c r="P516">
        <v>0.33</v>
      </c>
      <c r="Q516">
        <v>0.3881</v>
      </c>
      <c r="R516">
        <v>12</v>
      </c>
      <c r="S516">
        <v>75</v>
      </c>
      <c r="T516">
        <v>87</v>
      </c>
    </row>
    <row r="517" spans="1:20" x14ac:dyDescent="0.35">
      <c r="A517">
        <v>516</v>
      </c>
      <c r="B517" s="1">
        <v>40566</v>
      </c>
      <c r="C517">
        <v>1</v>
      </c>
      <c r="D517">
        <v>0</v>
      </c>
      <c r="E517">
        <v>1</v>
      </c>
      <c r="F517" t="str">
        <f>IF(final_data786[[#This Row],[MONTH_CODE]]=1,"JANUARY",IF(final_data786[[#This Row],[MONTH_CODE]]=2,"FEBRUARY"))</f>
        <v>JANUARY</v>
      </c>
      <c r="G517">
        <v>14</v>
      </c>
      <c r="H517">
        <v>0</v>
      </c>
      <c r="I517">
        <v>0</v>
      </c>
      <c r="J5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7" t="str">
        <f>IF(final_data786[[#This Row],[DAY_CODE]]=0,"weekend",IF(final_data786[[#This Row],[DAY_CODE]]=6,"weekend","weekday"))</f>
        <v>weekend</v>
      </c>
      <c r="L517">
        <v>1</v>
      </c>
      <c r="M517" t="str">
        <f>IF(final_data786[[#This Row],[WEATHER_CODE]]=1,"clear",IF(final_data786[[#This Row],[WEATHER_CODE]]=2,"cloudy",IF(final_data786[[#This Row],[WEATHER_CODE]]=3,"light rain",IF(final_data786[[#This Row],[WEATHER_CODE]]=4,"heavy rain",0))))</f>
        <v>clear</v>
      </c>
      <c r="N517">
        <v>0.16</v>
      </c>
      <c r="O517">
        <v>0.13639999999999999</v>
      </c>
      <c r="P517">
        <v>0.28000000000000003</v>
      </c>
      <c r="Q517">
        <v>0.35820000000000002</v>
      </c>
      <c r="R517">
        <v>17</v>
      </c>
      <c r="S517">
        <v>93</v>
      </c>
      <c r="T517">
        <v>110</v>
      </c>
    </row>
    <row r="518" spans="1:20" x14ac:dyDescent="0.35">
      <c r="A518">
        <v>517</v>
      </c>
      <c r="B518" s="1">
        <v>40566</v>
      </c>
      <c r="C518">
        <v>1</v>
      </c>
      <c r="D518">
        <v>0</v>
      </c>
      <c r="E518">
        <v>1</v>
      </c>
      <c r="F518" t="str">
        <f>IF(final_data786[[#This Row],[MONTH_CODE]]=1,"JANUARY",IF(final_data786[[#This Row],[MONTH_CODE]]=2,"FEBRUARY"))</f>
        <v>JANUARY</v>
      </c>
      <c r="G518">
        <v>15</v>
      </c>
      <c r="H518">
        <v>0</v>
      </c>
      <c r="I518">
        <v>0</v>
      </c>
      <c r="J5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8" t="str">
        <f>IF(final_data786[[#This Row],[DAY_CODE]]=0,"weekend",IF(final_data786[[#This Row],[DAY_CODE]]=6,"weekend","weekday"))</f>
        <v>weekend</v>
      </c>
      <c r="L518">
        <v>1</v>
      </c>
      <c r="M518" t="str">
        <f>IF(final_data786[[#This Row],[WEATHER_CODE]]=1,"clear",IF(final_data786[[#This Row],[WEATHER_CODE]]=2,"cloudy",IF(final_data786[[#This Row],[WEATHER_CODE]]=3,"light rain",IF(final_data786[[#This Row],[WEATHER_CODE]]=4,"heavy rain",0))))</f>
        <v>clear</v>
      </c>
      <c r="N518">
        <v>0.16</v>
      </c>
      <c r="O518">
        <v>0.13639999999999999</v>
      </c>
      <c r="P518">
        <v>0.28000000000000003</v>
      </c>
      <c r="Q518">
        <v>0.35820000000000002</v>
      </c>
      <c r="R518">
        <v>13</v>
      </c>
      <c r="S518">
        <v>64</v>
      </c>
      <c r="T518">
        <v>77</v>
      </c>
    </row>
    <row r="519" spans="1:20" x14ac:dyDescent="0.35">
      <c r="A519">
        <v>518</v>
      </c>
      <c r="B519" s="1">
        <v>40566</v>
      </c>
      <c r="C519">
        <v>1</v>
      </c>
      <c r="D519">
        <v>0</v>
      </c>
      <c r="E519">
        <v>1</v>
      </c>
      <c r="F519" t="str">
        <f>IF(final_data786[[#This Row],[MONTH_CODE]]=1,"JANUARY",IF(final_data786[[#This Row],[MONTH_CODE]]=2,"FEBRUARY"))</f>
        <v>JANUARY</v>
      </c>
      <c r="G519">
        <v>16</v>
      </c>
      <c r="H519">
        <v>0</v>
      </c>
      <c r="I519">
        <v>0</v>
      </c>
      <c r="J5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19" t="str">
        <f>IF(final_data786[[#This Row],[DAY_CODE]]=0,"weekend",IF(final_data786[[#This Row],[DAY_CODE]]=6,"weekend","weekday"))</f>
        <v>weekend</v>
      </c>
      <c r="L519">
        <v>1</v>
      </c>
      <c r="M519" t="str">
        <f>IF(final_data786[[#This Row],[WEATHER_CODE]]=1,"clear",IF(final_data786[[#This Row],[WEATHER_CODE]]=2,"cloudy",IF(final_data786[[#This Row],[WEATHER_CODE]]=3,"light rain",IF(final_data786[[#This Row],[WEATHER_CODE]]=4,"heavy rain",0))))</f>
        <v>clear</v>
      </c>
      <c r="N519">
        <v>0.16</v>
      </c>
      <c r="O519">
        <v>0.13639999999999999</v>
      </c>
      <c r="P519">
        <v>0.26</v>
      </c>
      <c r="Q519">
        <v>0.32840000000000003</v>
      </c>
      <c r="R519">
        <v>9</v>
      </c>
      <c r="S519">
        <v>56</v>
      </c>
      <c r="T519">
        <v>65</v>
      </c>
    </row>
    <row r="520" spans="1:20" x14ac:dyDescent="0.35">
      <c r="A520">
        <v>519</v>
      </c>
      <c r="B520" s="1">
        <v>40566</v>
      </c>
      <c r="C520">
        <v>1</v>
      </c>
      <c r="D520">
        <v>0</v>
      </c>
      <c r="E520">
        <v>1</v>
      </c>
      <c r="F520" t="str">
        <f>IF(final_data786[[#This Row],[MONTH_CODE]]=1,"JANUARY",IF(final_data786[[#This Row],[MONTH_CODE]]=2,"FEBRUARY"))</f>
        <v>JANUARY</v>
      </c>
      <c r="G520">
        <v>17</v>
      </c>
      <c r="H520">
        <v>0</v>
      </c>
      <c r="I520">
        <v>0</v>
      </c>
      <c r="J5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0" t="str">
        <f>IF(final_data786[[#This Row],[DAY_CODE]]=0,"weekend",IF(final_data786[[#This Row],[DAY_CODE]]=6,"weekend","weekday"))</f>
        <v>weekend</v>
      </c>
      <c r="L520">
        <v>1</v>
      </c>
      <c r="M520" t="str">
        <f>IF(final_data786[[#This Row],[WEATHER_CODE]]=1,"clear",IF(final_data786[[#This Row],[WEATHER_CODE]]=2,"cloudy",IF(final_data786[[#This Row],[WEATHER_CODE]]=3,"light rain",IF(final_data786[[#This Row],[WEATHER_CODE]]=4,"heavy rain",0))))</f>
        <v>clear</v>
      </c>
      <c r="N520">
        <v>0.14000000000000001</v>
      </c>
      <c r="O520">
        <v>0.1061</v>
      </c>
      <c r="P520">
        <v>0.26</v>
      </c>
      <c r="Q520">
        <v>0.3881</v>
      </c>
      <c r="R520">
        <v>5</v>
      </c>
      <c r="S520">
        <v>50</v>
      </c>
      <c r="T520">
        <v>55</v>
      </c>
    </row>
    <row r="521" spans="1:20" x14ac:dyDescent="0.35">
      <c r="A521">
        <v>520</v>
      </c>
      <c r="B521" s="1">
        <v>40566</v>
      </c>
      <c r="C521">
        <v>1</v>
      </c>
      <c r="D521">
        <v>0</v>
      </c>
      <c r="E521">
        <v>1</v>
      </c>
      <c r="F521" t="str">
        <f>IF(final_data786[[#This Row],[MONTH_CODE]]=1,"JANUARY",IF(final_data786[[#This Row],[MONTH_CODE]]=2,"FEBRUARY"))</f>
        <v>JANUARY</v>
      </c>
      <c r="G521">
        <v>18</v>
      </c>
      <c r="H521">
        <v>0</v>
      </c>
      <c r="I521">
        <v>0</v>
      </c>
      <c r="J5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1" t="str">
        <f>IF(final_data786[[#This Row],[DAY_CODE]]=0,"weekend",IF(final_data786[[#This Row],[DAY_CODE]]=6,"weekend","weekday"))</f>
        <v>weekend</v>
      </c>
      <c r="L521">
        <v>1</v>
      </c>
      <c r="M521" t="str">
        <f>IF(final_data786[[#This Row],[WEATHER_CODE]]=1,"clear",IF(final_data786[[#This Row],[WEATHER_CODE]]=2,"cloudy",IF(final_data786[[#This Row],[WEATHER_CODE]]=3,"light rain",IF(final_data786[[#This Row],[WEATHER_CODE]]=4,"heavy rain",0))))</f>
        <v>clear</v>
      </c>
      <c r="N521">
        <v>0.12</v>
      </c>
      <c r="O521">
        <v>0.1212</v>
      </c>
      <c r="P521">
        <v>0.3</v>
      </c>
      <c r="Q521">
        <v>0.25369999999999998</v>
      </c>
      <c r="R521">
        <v>5</v>
      </c>
      <c r="S521">
        <v>44</v>
      </c>
      <c r="T521">
        <v>49</v>
      </c>
    </row>
    <row r="522" spans="1:20" x14ac:dyDescent="0.35">
      <c r="A522">
        <v>521</v>
      </c>
      <c r="B522" s="1">
        <v>40566</v>
      </c>
      <c r="C522">
        <v>1</v>
      </c>
      <c r="D522">
        <v>0</v>
      </c>
      <c r="E522">
        <v>1</v>
      </c>
      <c r="F522" t="str">
        <f>IF(final_data786[[#This Row],[MONTH_CODE]]=1,"JANUARY",IF(final_data786[[#This Row],[MONTH_CODE]]=2,"FEBRUARY"))</f>
        <v>JANUARY</v>
      </c>
      <c r="G522">
        <v>19</v>
      </c>
      <c r="H522">
        <v>0</v>
      </c>
      <c r="I522">
        <v>0</v>
      </c>
      <c r="J5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2" t="str">
        <f>IF(final_data786[[#This Row],[DAY_CODE]]=0,"weekend",IF(final_data786[[#This Row],[DAY_CODE]]=6,"weekend","weekday"))</f>
        <v>weekend</v>
      </c>
      <c r="L522">
        <v>1</v>
      </c>
      <c r="M522" t="str">
        <f>IF(final_data786[[#This Row],[WEATHER_CODE]]=1,"clear",IF(final_data786[[#This Row],[WEATHER_CODE]]=2,"cloudy",IF(final_data786[[#This Row],[WEATHER_CODE]]=3,"light rain",IF(final_data786[[#This Row],[WEATHER_CODE]]=4,"heavy rain",0))))</f>
        <v>clear</v>
      </c>
      <c r="N522">
        <v>0.12</v>
      </c>
      <c r="O522">
        <v>0.1212</v>
      </c>
      <c r="P522">
        <v>0.3</v>
      </c>
      <c r="Q522">
        <v>0.28360000000000002</v>
      </c>
      <c r="R522">
        <v>5</v>
      </c>
      <c r="S522">
        <v>45</v>
      </c>
      <c r="T522">
        <v>50</v>
      </c>
    </row>
    <row r="523" spans="1:20" x14ac:dyDescent="0.35">
      <c r="A523">
        <v>522</v>
      </c>
      <c r="B523" s="1">
        <v>40566</v>
      </c>
      <c r="C523">
        <v>1</v>
      </c>
      <c r="D523">
        <v>0</v>
      </c>
      <c r="E523">
        <v>1</v>
      </c>
      <c r="F523" t="str">
        <f>IF(final_data786[[#This Row],[MONTH_CODE]]=1,"JANUARY",IF(final_data786[[#This Row],[MONTH_CODE]]=2,"FEBRUARY"))</f>
        <v>JANUARY</v>
      </c>
      <c r="G523">
        <v>20</v>
      </c>
      <c r="H523">
        <v>0</v>
      </c>
      <c r="I523">
        <v>0</v>
      </c>
      <c r="J5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3" t="str">
        <f>IF(final_data786[[#This Row],[DAY_CODE]]=0,"weekend",IF(final_data786[[#This Row],[DAY_CODE]]=6,"weekend","weekday"))</f>
        <v>weekend</v>
      </c>
      <c r="L523">
        <v>1</v>
      </c>
      <c r="M523" t="str">
        <f>IF(final_data786[[#This Row],[WEATHER_CODE]]=1,"clear",IF(final_data786[[#This Row],[WEATHER_CODE]]=2,"cloudy",IF(final_data786[[#This Row],[WEATHER_CODE]]=3,"light rain",IF(final_data786[[#This Row],[WEATHER_CODE]]=4,"heavy rain",0))))</f>
        <v>clear</v>
      </c>
      <c r="N523">
        <v>0.1</v>
      </c>
      <c r="O523">
        <v>0.1061</v>
      </c>
      <c r="P523">
        <v>0.36</v>
      </c>
      <c r="Q523">
        <v>0.25369999999999998</v>
      </c>
      <c r="R523">
        <v>4</v>
      </c>
      <c r="S523">
        <v>31</v>
      </c>
      <c r="T523">
        <v>35</v>
      </c>
    </row>
    <row r="524" spans="1:20" x14ac:dyDescent="0.35">
      <c r="A524">
        <v>523</v>
      </c>
      <c r="B524" s="1">
        <v>40566</v>
      </c>
      <c r="C524">
        <v>1</v>
      </c>
      <c r="D524">
        <v>0</v>
      </c>
      <c r="E524">
        <v>1</v>
      </c>
      <c r="F524" t="str">
        <f>IF(final_data786[[#This Row],[MONTH_CODE]]=1,"JANUARY",IF(final_data786[[#This Row],[MONTH_CODE]]=2,"FEBRUARY"))</f>
        <v>JANUARY</v>
      </c>
      <c r="G524">
        <v>21</v>
      </c>
      <c r="H524">
        <v>0</v>
      </c>
      <c r="I524">
        <v>0</v>
      </c>
      <c r="J5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4" t="str">
        <f>IF(final_data786[[#This Row],[DAY_CODE]]=0,"weekend",IF(final_data786[[#This Row],[DAY_CODE]]=6,"weekend","weekday"))</f>
        <v>weekend</v>
      </c>
      <c r="L524">
        <v>1</v>
      </c>
      <c r="M524" t="str">
        <f>IF(final_data786[[#This Row],[WEATHER_CODE]]=1,"clear",IF(final_data786[[#This Row],[WEATHER_CODE]]=2,"cloudy",IF(final_data786[[#This Row],[WEATHER_CODE]]=3,"light rain",IF(final_data786[[#This Row],[WEATHER_CODE]]=4,"heavy rain",0))))</f>
        <v>clear</v>
      </c>
      <c r="N524">
        <v>0.1</v>
      </c>
      <c r="O524">
        <v>0.1061</v>
      </c>
      <c r="P524">
        <v>0.36</v>
      </c>
      <c r="Q524">
        <v>0.19400000000000001</v>
      </c>
      <c r="R524">
        <v>5</v>
      </c>
      <c r="S524">
        <v>20</v>
      </c>
      <c r="T524">
        <v>25</v>
      </c>
    </row>
    <row r="525" spans="1:20" x14ac:dyDescent="0.35">
      <c r="A525">
        <v>524</v>
      </c>
      <c r="B525" s="1">
        <v>40566</v>
      </c>
      <c r="C525">
        <v>1</v>
      </c>
      <c r="D525">
        <v>0</v>
      </c>
      <c r="E525">
        <v>1</v>
      </c>
      <c r="F525" t="str">
        <f>IF(final_data786[[#This Row],[MONTH_CODE]]=1,"JANUARY",IF(final_data786[[#This Row],[MONTH_CODE]]=2,"FEBRUARY"))</f>
        <v>JANUARY</v>
      </c>
      <c r="G525">
        <v>22</v>
      </c>
      <c r="H525">
        <v>0</v>
      </c>
      <c r="I525">
        <v>0</v>
      </c>
      <c r="J5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5" t="str">
        <f>IF(final_data786[[#This Row],[DAY_CODE]]=0,"weekend",IF(final_data786[[#This Row],[DAY_CODE]]=6,"weekend","weekday"))</f>
        <v>weekend</v>
      </c>
      <c r="L525">
        <v>1</v>
      </c>
      <c r="M525" t="str">
        <f>IF(final_data786[[#This Row],[WEATHER_CODE]]=1,"clear",IF(final_data786[[#This Row],[WEATHER_CODE]]=2,"cloudy",IF(final_data786[[#This Row],[WEATHER_CODE]]=3,"light rain",IF(final_data786[[#This Row],[WEATHER_CODE]]=4,"heavy rain",0))))</f>
        <v>clear</v>
      </c>
      <c r="N525">
        <v>0.08</v>
      </c>
      <c r="O525">
        <v>9.0899999999999995E-2</v>
      </c>
      <c r="P525">
        <v>0.38</v>
      </c>
      <c r="Q525">
        <v>0.19400000000000001</v>
      </c>
      <c r="R525">
        <v>5</v>
      </c>
      <c r="S525">
        <v>23</v>
      </c>
      <c r="T525">
        <v>28</v>
      </c>
    </row>
    <row r="526" spans="1:20" x14ac:dyDescent="0.35">
      <c r="A526">
        <v>525</v>
      </c>
      <c r="B526" s="1">
        <v>40566</v>
      </c>
      <c r="C526">
        <v>1</v>
      </c>
      <c r="D526">
        <v>0</v>
      </c>
      <c r="E526">
        <v>1</v>
      </c>
      <c r="F526" t="str">
        <f>IF(final_data786[[#This Row],[MONTH_CODE]]=1,"JANUARY",IF(final_data786[[#This Row],[MONTH_CODE]]=2,"FEBRUARY"))</f>
        <v>JANUARY</v>
      </c>
      <c r="G526">
        <v>23</v>
      </c>
      <c r="H526">
        <v>0</v>
      </c>
      <c r="I526">
        <v>0</v>
      </c>
      <c r="J5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526" t="str">
        <f>IF(final_data786[[#This Row],[DAY_CODE]]=0,"weekend",IF(final_data786[[#This Row],[DAY_CODE]]=6,"weekend","weekday"))</f>
        <v>weekend</v>
      </c>
      <c r="L526">
        <v>1</v>
      </c>
      <c r="M526" t="str">
        <f>IF(final_data786[[#This Row],[WEATHER_CODE]]=1,"clear",IF(final_data786[[#This Row],[WEATHER_CODE]]=2,"cloudy",IF(final_data786[[#This Row],[WEATHER_CODE]]=3,"light rain",IF(final_data786[[#This Row],[WEATHER_CODE]]=4,"heavy rain",0))))</f>
        <v>clear</v>
      </c>
      <c r="N526">
        <v>0.06</v>
      </c>
      <c r="O526">
        <v>6.0600000000000001E-2</v>
      </c>
      <c r="P526">
        <v>0.41</v>
      </c>
      <c r="Q526">
        <v>0.22389999999999999</v>
      </c>
      <c r="R526">
        <v>4</v>
      </c>
      <c r="S526">
        <v>17</v>
      </c>
      <c r="T526">
        <v>21</v>
      </c>
    </row>
    <row r="527" spans="1:20" x14ac:dyDescent="0.35">
      <c r="A527">
        <v>526</v>
      </c>
      <c r="B527" s="1">
        <v>40567</v>
      </c>
      <c r="C527">
        <v>1</v>
      </c>
      <c r="D527">
        <v>0</v>
      </c>
      <c r="E527">
        <v>1</v>
      </c>
      <c r="F527" t="str">
        <f>IF(final_data786[[#This Row],[MONTH_CODE]]=1,"JANUARY",IF(final_data786[[#This Row],[MONTH_CODE]]=2,"FEBRUARY"))</f>
        <v>JANUARY</v>
      </c>
      <c r="G527">
        <v>0</v>
      </c>
      <c r="H527">
        <v>0</v>
      </c>
      <c r="I527">
        <v>1</v>
      </c>
      <c r="J5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27" t="str">
        <f>IF(final_data786[[#This Row],[DAY_CODE]]=0,"weekend",IF(final_data786[[#This Row],[DAY_CODE]]=6,"weekend","weekday"))</f>
        <v>weekday</v>
      </c>
      <c r="L527">
        <v>1</v>
      </c>
      <c r="M527" t="str">
        <f>IF(final_data786[[#This Row],[WEATHER_CODE]]=1,"clear",IF(final_data786[[#This Row],[WEATHER_CODE]]=2,"cloudy",IF(final_data786[[#This Row],[WEATHER_CODE]]=3,"light rain",IF(final_data786[[#This Row],[WEATHER_CODE]]=4,"heavy rain",0))))</f>
        <v>clear</v>
      </c>
      <c r="N527">
        <v>0.06</v>
      </c>
      <c r="O527">
        <v>6.0600000000000001E-2</v>
      </c>
      <c r="P527">
        <v>0.41</v>
      </c>
      <c r="Q527">
        <v>0.19400000000000001</v>
      </c>
      <c r="R527">
        <v>0</v>
      </c>
      <c r="S527">
        <v>7</v>
      </c>
      <c r="T527">
        <v>7</v>
      </c>
    </row>
    <row r="528" spans="1:20" x14ac:dyDescent="0.35">
      <c r="A528">
        <v>527</v>
      </c>
      <c r="B528" s="1">
        <v>40567</v>
      </c>
      <c r="C528">
        <v>1</v>
      </c>
      <c r="D528">
        <v>0</v>
      </c>
      <c r="E528">
        <v>1</v>
      </c>
      <c r="F528" t="str">
        <f>IF(final_data786[[#This Row],[MONTH_CODE]]=1,"JANUARY",IF(final_data786[[#This Row],[MONTH_CODE]]=2,"FEBRUARY"))</f>
        <v>JANUARY</v>
      </c>
      <c r="G528">
        <v>1</v>
      </c>
      <c r="H528">
        <v>0</v>
      </c>
      <c r="I528">
        <v>1</v>
      </c>
      <c r="J5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28" t="str">
        <f>IF(final_data786[[#This Row],[DAY_CODE]]=0,"weekend",IF(final_data786[[#This Row],[DAY_CODE]]=6,"weekend","weekday"))</f>
        <v>weekday</v>
      </c>
      <c r="L528">
        <v>1</v>
      </c>
      <c r="M528" t="str">
        <f>IF(final_data786[[#This Row],[WEATHER_CODE]]=1,"clear",IF(final_data786[[#This Row],[WEATHER_CODE]]=2,"cloudy",IF(final_data786[[#This Row],[WEATHER_CODE]]=3,"light rain",IF(final_data786[[#This Row],[WEATHER_CODE]]=4,"heavy rain",0))))</f>
        <v>clear</v>
      </c>
      <c r="N528">
        <v>0.04</v>
      </c>
      <c r="O528">
        <v>4.5499999999999999E-2</v>
      </c>
      <c r="P528">
        <v>0.45</v>
      </c>
      <c r="Q528">
        <v>0.19400000000000001</v>
      </c>
      <c r="R528">
        <v>0</v>
      </c>
      <c r="S528">
        <v>1</v>
      </c>
      <c r="T528">
        <v>1</v>
      </c>
    </row>
    <row r="529" spans="1:20" x14ac:dyDescent="0.35">
      <c r="A529">
        <v>528</v>
      </c>
      <c r="B529" s="1">
        <v>40567</v>
      </c>
      <c r="C529">
        <v>1</v>
      </c>
      <c r="D529">
        <v>0</v>
      </c>
      <c r="E529">
        <v>1</v>
      </c>
      <c r="F529" t="str">
        <f>IF(final_data786[[#This Row],[MONTH_CODE]]=1,"JANUARY",IF(final_data786[[#This Row],[MONTH_CODE]]=2,"FEBRUARY"))</f>
        <v>JANUARY</v>
      </c>
      <c r="G529">
        <v>3</v>
      </c>
      <c r="H529">
        <v>0</v>
      </c>
      <c r="I529">
        <v>1</v>
      </c>
      <c r="J5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29" t="str">
        <f>IF(final_data786[[#This Row],[DAY_CODE]]=0,"weekend",IF(final_data786[[#This Row],[DAY_CODE]]=6,"weekend","weekday"))</f>
        <v>weekday</v>
      </c>
      <c r="L529">
        <v>1</v>
      </c>
      <c r="M529" t="str">
        <f>IF(final_data786[[#This Row],[WEATHER_CODE]]=1,"clear",IF(final_data786[[#This Row],[WEATHER_CODE]]=2,"cloudy",IF(final_data786[[#This Row],[WEATHER_CODE]]=3,"light rain",IF(final_data786[[#This Row],[WEATHER_CODE]]=4,"heavy rain",0))))</f>
        <v>clear</v>
      </c>
      <c r="N529">
        <v>0.04</v>
      </c>
      <c r="O529">
        <v>3.0300000000000001E-2</v>
      </c>
      <c r="P529">
        <v>0.45</v>
      </c>
      <c r="Q529">
        <v>0.25369999999999998</v>
      </c>
      <c r="R529">
        <v>0</v>
      </c>
      <c r="S529">
        <v>1</v>
      </c>
      <c r="T529">
        <v>1</v>
      </c>
    </row>
    <row r="530" spans="1:20" x14ac:dyDescent="0.35">
      <c r="A530">
        <v>529</v>
      </c>
      <c r="B530" s="1">
        <v>40567</v>
      </c>
      <c r="C530">
        <v>1</v>
      </c>
      <c r="D530">
        <v>0</v>
      </c>
      <c r="E530">
        <v>1</v>
      </c>
      <c r="F530" t="str">
        <f>IF(final_data786[[#This Row],[MONTH_CODE]]=1,"JANUARY",IF(final_data786[[#This Row],[MONTH_CODE]]=2,"FEBRUARY"))</f>
        <v>JANUARY</v>
      </c>
      <c r="G530">
        <v>4</v>
      </c>
      <c r="H530">
        <v>0</v>
      </c>
      <c r="I530">
        <v>1</v>
      </c>
      <c r="J5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0" t="str">
        <f>IF(final_data786[[#This Row],[DAY_CODE]]=0,"weekend",IF(final_data786[[#This Row],[DAY_CODE]]=6,"weekend","weekday"))</f>
        <v>weekday</v>
      </c>
      <c r="L530">
        <v>1</v>
      </c>
      <c r="M530" t="str">
        <f>IF(final_data786[[#This Row],[WEATHER_CODE]]=1,"clear",IF(final_data786[[#This Row],[WEATHER_CODE]]=2,"cloudy",IF(final_data786[[#This Row],[WEATHER_CODE]]=3,"light rain",IF(final_data786[[#This Row],[WEATHER_CODE]]=4,"heavy rain",0))))</f>
        <v>clear</v>
      </c>
      <c r="N530">
        <v>0.02</v>
      </c>
      <c r="O530">
        <v>6.0600000000000001E-2</v>
      </c>
      <c r="P530">
        <v>0.48</v>
      </c>
      <c r="Q530">
        <v>0.1343</v>
      </c>
      <c r="R530">
        <v>0</v>
      </c>
      <c r="S530">
        <v>1</v>
      </c>
      <c r="T530">
        <v>1</v>
      </c>
    </row>
    <row r="531" spans="1:20" x14ac:dyDescent="0.35">
      <c r="A531">
        <v>530</v>
      </c>
      <c r="B531" s="1">
        <v>40567</v>
      </c>
      <c r="C531">
        <v>1</v>
      </c>
      <c r="D531">
        <v>0</v>
      </c>
      <c r="E531">
        <v>1</v>
      </c>
      <c r="F531" t="str">
        <f>IF(final_data786[[#This Row],[MONTH_CODE]]=1,"JANUARY",IF(final_data786[[#This Row],[MONTH_CODE]]=2,"FEBRUARY"))</f>
        <v>JANUARY</v>
      </c>
      <c r="G531">
        <v>5</v>
      </c>
      <c r="H531">
        <v>0</v>
      </c>
      <c r="I531">
        <v>1</v>
      </c>
      <c r="J5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1" t="str">
        <f>IF(final_data786[[#This Row],[DAY_CODE]]=0,"weekend",IF(final_data786[[#This Row],[DAY_CODE]]=6,"weekend","weekday"))</f>
        <v>weekday</v>
      </c>
      <c r="L531">
        <v>1</v>
      </c>
      <c r="M531" t="str">
        <f>IF(final_data786[[#This Row],[WEATHER_CODE]]=1,"clear",IF(final_data786[[#This Row],[WEATHER_CODE]]=2,"cloudy",IF(final_data786[[#This Row],[WEATHER_CODE]]=3,"light rain",IF(final_data786[[#This Row],[WEATHER_CODE]]=4,"heavy rain",0))))</f>
        <v>clear</v>
      </c>
      <c r="N531">
        <v>0.02</v>
      </c>
      <c r="O531">
        <v>6.0600000000000001E-2</v>
      </c>
      <c r="P531">
        <v>0.48</v>
      </c>
      <c r="Q531">
        <v>0.1343</v>
      </c>
      <c r="R531">
        <v>0</v>
      </c>
      <c r="S531">
        <v>5</v>
      </c>
      <c r="T531">
        <v>5</v>
      </c>
    </row>
    <row r="532" spans="1:20" x14ac:dyDescent="0.35">
      <c r="A532">
        <v>531</v>
      </c>
      <c r="B532" s="1">
        <v>40567</v>
      </c>
      <c r="C532">
        <v>1</v>
      </c>
      <c r="D532">
        <v>0</v>
      </c>
      <c r="E532">
        <v>1</v>
      </c>
      <c r="F532" t="str">
        <f>IF(final_data786[[#This Row],[MONTH_CODE]]=1,"JANUARY",IF(final_data786[[#This Row],[MONTH_CODE]]=2,"FEBRUARY"))</f>
        <v>JANUARY</v>
      </c>
      <c r="G532">
        <v>6</v>
      </c>
      <c r="H532">
        <v>0</v>
      </c>
      <c r="I532">
        <v>1</v>
      </c>
      <c r="J5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2" t="str">
        <f>IF(final_data786[[#This Row],[DAY_CODE]]=0,"weekend",IF(final_data786[[#This Row],[DAY_CODE]]=6,"weekend","weekday"))</f>
        <v>weekday</v>
      </c>
      <c r="L532">
        <v>1</v>
      </c>
      <c r="M532" t="str">
        <f>IF(final_data786[[#This Row],[WEATHER_CODE]]=1,"clear",IF(final_data786[[#This Row],[WEATHER_CODE]]=2,"cloudy",IF(final_data786[[#This Row],[WEATHER_CODE]]=3,"light rain",IF(final_data786[[#This Row],[WEATHER_CODE]]=4,"heavy rain",0))))</f>
        <v>clear</v>
      </c>
      <c r="N532">
        <v>0.02</v>
      </c>
      <c r="O532">
        <v>7.5800000000000006E-2</v>
      </c>
      <c r="P532">
        <v>0.48</v>
      </c>
      <c r="Q532">
        <v>8.9599999999999999E-2</v>
      </c>
      <c r="R532">
        <v>0</v>
      </c>
      <c r="S532">
        <v>15</v>
      </c>
      <c r="T532">
        <v>15</v>
      </c>
    </row>
    <row r="533" spans="1:20" x14ac:dyDescent="0.35">
      <c r="A533">
        <v>532</v>
      </c>
      <c r="B533" s="1">
        <v>40567</v>
      </c>
      <c r="C533">
        <v>1</v>
      </c>
      <c r="D533">
        <v>0</v>
      </c>
      <c r="E533">
        <v>1</v>
      </c>
      <c r="F533" t="str">
        <f>IF(final_data786[[#This Row],[MONTH_CODE]]=1,"JANUARY",IF(final_data786[[#This Row],[MONTH_CODE]]=2,"FEBRUARY"))</f>
        <v>JANUARY</v>
      </c>
      <c r="G533">
        <v>7</v>
      </c>
      <c r="H533">
        <v>0</v>
      </c>
      <c r="I533">
        <v>1</v>
      </c>
      <c r="J5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3" t="str">
        <f>IF(final_data786[[#This Row],[DAY_CODE]]=0,"weekend",IF(final_data786[[#This Row],[DAY_CODE]]=6,"weekend","weekday"))</f>
        <v>weekday</v>
      </c>
      <c r="L533">
        <v>1</v>
      </c>
      <c r="M533" t="str">
        <f>IF(final_data786[[#This Row],[WEATHER_CODE]]=1,"clear",IF(final_data786[[#This Row],[WEATHER_CODE]]=2,"cloudy",IF(final_data786[[#This Row],[WEATHER_CODE]]=3,"light rain",IF(final_data786[[#This Row],[WEATHER_CODE]]=4,"heavy rain",0))))</f>
        <v>clear</v>
      </c>
      <c r="N533">
        <v>0.02</v>
      </c>
      <c r="O533">
        <v>0.1212</v>
      </c>
      <c r="P533">
        <v>0.48</v>
      </c>
      <c r="Q533">
        <v>0</v>
      </c>
      <c r="R533">
        <v>5</v>
      </c>
      <c r="S533">
        <v>79</v>
      </c>
      <c r="T533">
        <v>84</v>
      </c>
    </row>
    <row r="534" spans="1:20" x14ac:dyDescent="0.35">
      <c r="A534">
        <v>533</v>
      </c>
      <c r="B534" s="1">
        <v>40567</v>
      </c>
      <c r="C534">
        <v>1</v>
      </c>
      <c r="D534">
        <v>0</v>
      </c>
      <c r="E534">
        <v>1</v>
      </c>
      <c r="F534" t="str">
        <f>IF(final_data786[[#This Row],[MONTH_CODE]]=1,"JANUARY",IF(final_data786[[#This Row],[MONTH_CODE]]=2,"FEBRUARY"))</f>
        <v>JANUARY</v>
      </c>
      <c r="G534">
        <v>8</v>
      </c>
      <c r="H534">
        <v>0</v>
      </c>
      <c r="I534">
        <v>1</v>
      </c>
      <c r="J5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4" t="str">
        <f>IF(final_data786[[#This Row],[DAY_CODE]]=0,"weekend",IF(final_data786[[#This Row],[DAY_CODE]]=6,"weekend","weekday"))</f>
        <v>weekday</v>
      </c>
      <c r="L534">
        <v>1</v>
      </c>
      <c r="M534" t="str">
        <f>IF(final_data786[[#This Row],[WEATHER_CODE]]=1,"clear",IF(final_data786[[#This Row],[WEATHER_CODE]]=2,"cloudy",IF(final_data786[[#This Row],[WEATHER_CODE]]=3,"light rain",IF(final_data786[[#This Row],[WEATHER_CODE]]=4,"heavy rain",0))))</f>
        <v>clear</v>
      </c>
      <c r="N534">
        <v>0.04</v>
      </c>
      <c r="O534">
        <v>0.13639999999999999</v>
      </c>
      <c r="P534">
        <v>0.49</v>
      </c>
      <c r="Q534">
        <v>0</v>
      </c>
      <c r="R534">
        <v>6</v>
      </c>
      <c r="S534">
        <v>171</v>
      </c>
      <c r="T534">
        <v>177</v>
      </c>
    </row>
    <row r="535" spans="1:20" x14ac:dyDescent="0.35">
      <c r="A535">
        <v>534</v>
      </c>
      <c r="B535" s="1">
        <v>40567</v>
      </c>
      <c r="C535">
        <v>1</v>
      </c>
      <c r="D535">
        <v>0</v>
      </c>
      <c r="E535">
        <v>1</v>
      </c>
      <c r="F535" t="str">
        <f>IF(final_data786[[#This Row],[MONTH_CODE]]=1,"JANUARY",IF(final_data786[[#This Row],[MONTH_CODE]]=2,"FEBRUARY"))</f>
        <v>JANUARY</v>
      </c>
      <c r="G535">
        <v>9</v>
      </c>
      <c r="H535">
        <v>0</v>
      </c>
      <c r="I535">
        <v>1</v>
      </c>
      <c r="J5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5" t="str">
        <f>IF(final_data786[[#This Row],[DAY_CODE]]=0,"weekend",IF(final_data786[[#This Row],[DAY_CODE]]=6,"weekend","weekday"))</f>
        <v>weekday</v>
      </c>
      <c r="L535">
        <v>1</v>
      </c>
      <c r="M535" t="str">
        <f>IF(final_data786[[#This Row],[WEATHER_CODE]]=1,"clear",IF(final_data786[[#This Row],[WEATHER_CODE]]=2,"cloudy",IF(final_data786[[#This Row],[WEATHER_CODE]]=3,"light rain",IF(final_data786[[#This Row],[WEATHER_CODE]]=4,"heavy rain",0))))</f>
        <v>clear</v>
      </c>
      <c r="N535">
        <v>0.06</v>
      </c>
      <c r="O535">
        <v>0.1515</v>
      </c>
      <c r="P535">
        <v>0.41</v>
      </c>
      <c r="Q535">
        <v>0</v>
      </c>
      <c r="R535">
        <v>4</v>
      </c>
      <c r="S535">
        <v>98</v>
      </c>
      <c r="T535">
        <v>102</v>
      </c>
    </row>
    <row r="536" spans="1:20" x14ac:dyDescent="0.35">
      <c r="A536">
        <v>535</v>
      </c>
      <c r="B536" s="1">
        <v>40567</v>
      </c>
      <c r="C536">
        <v>1</v>
      </c>
      <c r="D536">
        <v>0</v>
      </c>
      <c r="E536">
        <v>1</v>
      </c>
      <c r="F536" t="str">
        <f>IF(final_data786[[#This Row],[MONTH_CODE]]=1,"JANUARY",IF(final_data786[[#This Row],[MONTH_CODE]]=2,"FEBRUARY"))</f>
        <v>JANUARY</v>
      </c>
      <c r="G536">
        <v>10</v>
      </c>
      <c r="H536">
        <v>0</v>
      </c>
      <c r="I536">
        <v>1</v>
      </c>
      <c r="J5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6" t="str">
        <f>IF(final_data786[[#This Row],[DAY_CODE]]=0,"weekend",IF(final_data786[[#This Row],[DAY_CODE]]=6,"weekend","weekday"))</f>
        <v>weekday</v>
      </c>
      <c r="L536">
        <v>1</v>
      </c>
      <c r="M536" t="str">
        <f>IF(final_data786[[#This Row],[WEATHER_CODE]]=1,"clear",IF(final_data786[[#This Row],[WEATHER_CODE]]=2,"cloudy",IF(final_data786[[#This Row],[WEATHER_CODE]]=3,"light rain",IF(final_data786[[#This Row],[WEATHER_CODE]]=4,"heavy rain",0))))</f>
        <v>clear</v>
      </c>
      <c r="N536">
        <v>0.1</v>
      </c>
      <c r="O536">
        <v>0.13639999999999999</v>
      </c>
      <c r="P536">
        <v>0.42</v>
      </c>
      <c r="Q536">
        <v>0</v>
      </c>
      <c r="R536">
        <v>6</v>
      </c>
      <c r="S536">
        <v>34</v>
      </c>
      <c r="T536">
        <v>40</v>
      </c>
    </row>
    <row r="537" spans="1:20" x14ac:dyDescent="0.35">
      <c r="A537">
        <v>536</v>
      </c>
      <c r="B537" s="1">
        <v>40567</v>
      </c>
      <c r="C537">
        <v>1</v>
      </c>
      <c r="D537">
        <v>0</v>
      </c>
      <c r="E537">
        <v>1</v>
      </c>
      <c r="F537" t="str">
        <f>IF(final_data786[[#This Row],[MONTH_CODE]]=1,"JANUARY",IF(final_data786[[#This Row],[MONTH_CODE]]=2,"FEBRUARY"))</f>
        <v>JANUARY</v>
      </c>
      <c r="G537">
        <v>11</v>
      </c>
      <c r="H537">
        <v>0</v>
      </c>
      <c r="I537">
        <v>1</v>
      </c>
      <c r="J5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7" t="str">
        <f>IF(final_data786[[#This Row],[DAY_CODE]]=0,"weekend",IF(final_data786[[#This Row],[DAY_CODE]]=6,"weekend","weekday"))</f>
        <v>weekday</v>
      </c>
      <c r="L537">
        <v>1</v>
      </c>
      <c r="M537" t="str">
        <f>IF(final_data786[[#This Row],[WEATHER_CODE]]=1,"clear",IF(final_data786[[#This Row],[WEATHER_CODE]]=2,"cloudy",IF(final_data786[[#This Row],[WEATHER_CODE]]=3,"light rain",IF(final_data786[[#This Row],[WEATHER_CODE]]=4,"heavy rain",0))))</f>
        <v>clear</v>
      </c>
      <c r="N537">
        <v>0.1</v>
      </c>
      <c r="O537">
        <v>0.1212</v>
      </c>
      <c r="P537">
        <v>0.46</v>
      </c>
      <c r="Q537">
        <v>0.1343</v>
      </c>
      <c r="R537">
        <v>3</v>
      </c>
      <c r="S537">
        <v>43</v>
      </c>
      <c r="T537">
        <v>46</v>
      </c>
    </row>
    <row r="538" spans="1:20" x14ac:dyDescent="0.35">
      <c r="A538">
        <v>537</v>
      </c>
      <c r="B538" s="1">
        <v>40567</v>
      </c>
      <c r="C538">
        <v>1</v>
      </c>
      <c r="D538">
        <v>0</v>
      </c>
      <c r="E538">
        <v>1</v>
      </c>
      <c r="F538" t="str">
        <f>IF(final_data786[[#This Row],[MONTH_CODE]]=1,"JANUARY",IF(final_data786[[#This Row],[MONTH_CODE]]=2,"FEBRUARY"))</f>
        <v>JANUARY</v>
      </c>
      <c r="G538">
        <v>12</v>
      </c>
      <c r="H538">
        <v>0</v>
      </c>
      <c r="I538">
        <v>1</v>
      </c>
      <c r="J5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8" t="str">
        <f>IF(final_data786[[#This Row],[DAY_CODE]]=0,"weekend",IF(final_data786[[#This Row],[DAY_CODE]]=6,"weekend","weekday"))</f>
        <v>weekday</v>
      </c>
      <c r="L538">
        <v>2</v>
      </c>
      <c r="M538" t="str">
        <f>IF(final_data786[[#This Row],[WEATHER_CODE]]=1,"clear",IF(final_data786[[#This Row],[WEATHER_CODE]]=2,"cloudy",IF(final_data786[[#This Row],[WEATHER_CODE]]=3,"light rain",IF(final_data786[[#This Row],[WEATHER_CODE]]=4,"heavy rain",0))))</f>
        <v>cloudy</v>
      </c>
      <c r="N538">
        <v>0.12</v>
      </c>
      <c r="O538">
        <v>0.13639999999999999</v>
      </c>
      <c r="P538">
        <v>0.42</v>
      </c>
      <c r="Q538">
        <v>0.19400000000000001</v>
      </c>
      <c r="R538">
        <v>11</v>
      </c>
      <c r="S538">
        <v>52</v>
      </c>
      <c r="T538">
        <v>63</v>
      </c>
    </row>
    <row r="539" spans="1:20" x14ac:dyDescent="0.35">
      <c r="A539">
        <v>538</v>
      </c>
      <c r="B539" s="1">
        <v>40567</v>
      </c>
      <c r="C539">
        <v>1</v>
      </c>
      <c r="D539">
        <v>0</v>
      </c>
      <c r="E539">
        <v>1</v>
      </c>
      <c r="F539" t="str">
        <f>IF(final_data786[[#This Row],[MONTH_CODE]]=1,"JANUARY",IF(final_data786[[#This Row],[MONTH_CODE]]=2,"FEBRUARY"))</f>
        <v>JANUARY</v>
      </c>
      <c r="G539">
        <v>13</v>
      </c>
      <c r="H539">
        <v>0</v>
      </c>
      <c r="I539">
        <v>1</v>
      </c>
      <c r="J5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39" t="str">
        <f>IF(final_data786[[#This Row],[DAY_CODE]]=0,"weekend",IF(final_data786[[#This Row],[DAY_CODE]]=6,"weekend","weekday"))</f>
        <v>weekday</v>
      </c>
      <c r="L539">
        <v>2</v>
      </c>
      <c r="M539" t="str">
        <f>IF(final_data786[[#This Row],[WEATHER_CODE]]=1,"clear",IF(final_data786[[#This Row],[WEATHER_CODE]]=2,"cloudy",IF(final_data786[[#This Row],[WEATHER_CODE]]=3,"light rain",IF(final_data786[[#This Row],[WEATHER_CODE]]=4,"heavy rain",0))))</f>
        <v>cloudy</v>
      </c>
      <c r="N539">
        <v>0.14000000000000001</v>
      </c>
      <c r="O539">
        <v>0.13639999999999999</v>
      </c>
      <c r="P539">
        <v>0.43</v>
      </c>
      <c r="Q539">
        <v>0.22389999999999999</v>
      </c>
      <c r="R539">
        <v>6</v>
      </c>
      <c r="S539">
        <v>54</v>
      </c>
      <c r="T539">
        <v>60</v>
      </c>
    </row>
    <row r="540" spans="1:20" x14ac:dyDescent="0.35">
      <c r="A540">
        <v>539</v>
      </c>
      <c r="B540" s="1">
        <v>40567</v>
      </c>
      <c r="C540">
        <v>1</v>
      </c>
      <c r="D540">
        <v>0</v>
      </c>
      <c r="E540">
        <v>1</v>
      </c>
      <c r="F540" t="str">
        <f>IF(final_data786[[#This Row],[MONTH_CODE]]=1,"JANUARY",IF(final_data786[[#This Row],[MONTH_CODE]]=2,"FEBRUARY"))</f>
        <v>JANUARY</v>
      </c>
      <c r="G540">
        <v>14</v>
      </c>
      <c r="H540">
        <v>0</v>
      </c>
      <c r="I540">
        <v>1</v>
      </c>
      <c r="J5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0" t="str">
        <f>IF(final_data786[[#This Row],[DAY_CODE]]=0,"weekend",IF(final_data786[[#This Row],[DAY_CODE]]=6,"weekend","weekday"))</f>
        <v>weekday</v>
      </c>
      <c r="L540">
        <v>2</v>
      </c>
      <c r="M540" t="str">
        <f>IF(final_data786[[#This Row],[WEATHER_CODE]]=1,"clear",IF(final_data786[[#This Row],[WEATHER_CODE]]=2,"cloudy",IF(final_data786[[#This Row],[WEATHER_CODE]]=3,"light rain",IF(final_data786[[#This Row],[WEATHER_CODE]]=4,"heavy rain",0))))</f>
        <v>cloudy</v>
      </c>
      <c r="N540">
        <v>0.14000000000000001</v>
      </c>
      <c r="O540">
        <v>0.13639999999999999</v>
      </c>
      <c r="P540">
        <v>0.46</v>
      </c>
      <c r="Q540">
        <v>0.22389999999999999</v>
      </c>
      <c r="R540">
        <v>2</v>
      </c>
      <c r="S540">
        <v>43</v>
      </c>
      <c r="T540">
        <v>45</v>
      </c>
    </row>
    <row r="541" spans="1:20" x14ac:dyDescent="0.35">
      <c r="A541">
        <v>540</v>
      </c>
      <c r="B541" s="1">
        <v>40567</v>
      </c>
      <c r="C541">
        <v>1</v>
      </c>
      <c r="D541">
        <v>0</v>
      </c>
      <c r="E541">
        <v>1</v>
      </c>
      <c r="F541" t="str">
        <f>IF(final_data786[[#This Row],[MONTH_CODE]]=1,"JANUARY",IF(final_data786[[#This Row],[MONTH_CODE]]=2,"FEBRUARY"))</f>
        <v>JANUARY</v>
      </c>
      <c r="G541">
        <v>15</v>
      </c>
      <c r="H541">
        <v>0</v>
      </c>
      <c r="I541">
        <v>1</v>
      </c>
      <c r="J5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1" t="str">
        <f>IF(final_data786[[#This Row],[DAY_CODE]]=0,"weekend",IF(final_data786[[#This Row],[DAY_CODE]]=6,"weekend","weekday"))</f>
        <v>weekday</v>
      </c>
      <c r="L541">
        <v>1</v>
      </c>
      <c r="M541" t="str">
        <f>IF(final_data786[[#This Row],[WEATHER_CODE]]=1,"clear",IF(final_data786[[#This Row],[WEATHER_CODE]]=2,"cloudy",IF(final_data786[[#This Row],[WEATHER_CODE]]=3,"light rain",IF(final_data786[[#This Row],[WEATHER_CODE]]=4,"heavy rain",0))))</f>
        <v>clear</v>
      </c>
      <c r="N541">
        <v>0.16</v>
      </c>
      <c r="O541">
        <v>0.16669999999999999</v>
      </c>
      <c r="P541">
        <v>0.4</v>
      </c>
      <c r="Q541">
        <v>0.16420000000000001</v>
      </c>
      <c r="R541">
        <v>7</v>
      </c>
      <c r="S541">
        <v>50</v>
      </c>
      <c r="T541">
        <v>57</v>
      </c>
    </row>
    <row r="542" spans="1:20" x14ac:dyDescent="0.35">
      <c r="A542">
        <v>541</v>
      </c>
      <c r="B542" s="1">
        <v>40567</v>
      </c>
      <c r="C542">
        <v>1</v>
      </c>
      <c r="D542">
        <v>0</v>
      </c>
      <c r="E542">
        <v>1</v>
      </c>
      <c r="F542" t="str">
        <f>IF(final_data786[[#This Row],[MONTH_CODE]]=1,"JANUARY",IF(final_data786[[#This Row],[MONTH_CODE]]=2,"FEBRUARY"))</f>
        <v>JANUARY</v>
      </c>
      <c r="G542">
        <v>16</v>
      </c>
      <c r="H542">
        <v>0</v>
      </c>
      <c r="I542">
        <v>1</v>
      </c>
      <c r="J5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2" t="str">
        <f>IF(final_data786[[#This Row],[DAY_CODE]]=0,"weekend",IF(final_data786[[#This Row],[DAY_CODE]]=6,"weekend","weekday"))</f>
        <v>weekday</v>
      </c>
      <c r="L542">
        <v>1</v>
      </c>
      <c r="M542" t="str">
        <f>IF(final_data786[[#This Row],[WEATHER_CODE]]=1,"clear",IF(final_data786[[#This Row],[WEATHER_CODE]]=2,"cloudy",IF(final_data786[[#This Row],[WEATHER_CODE]]=3,"light rain",IF(final_data786[[#This Row],[WEATHER_CODE]]=4,"heavy rain",0))))</f>
        <v>clear</v>
      </c>
      <c r="N542">
        <v>0.16</v>
      </c>
      <c r="O542">
        <v>0.1515</v>
      </c>
      <c r="P542">
        <v>0.47</v>
      </c>
      <c r="Q542">
        <v>0.25369999999999998</v>
      </c>
      <c r="R542">
        <v>4</v>
      </c>
      <c r="S542">
        <v>66</v>
      </c>
      <c r="T542">
        <v>70</v>
      </c>
    </row>
    <row r="543" spans="1:20" x14ac:dyDescent="0.35">
      <c r="A543">
        <v>542</v>
      </c>
      <c r="B543" s="1">
        <v>40567</v>
      </c>
      <c r="C543">
        <v>1</v>
      </c>
      <c r="D543">
        <v>0</v>
      </c>
      <c r="E543">
        <v>1</v>
      </c>
      <c r="F543" t="str">
        <f>IF(final_data786[[#This Row],[MONTH_CODE]]=1,"JANUARY",IF(final_data786[[#This Row],[MONTH_CODE]]=2,"FEBRUARY"))</f>
        <v>JANUARY</v>
      </c>
      <c r="G543">
        <v>17</v>
      </c>
      <c r="H543">
        <v>0</v>
      </c>
      <c r="I543">
        <v>1</v>
      </c>
      <c r="J5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3" t="str">
        <f>IF(final_data786[[#This Row],[DAY_CODE]]=0,"weekend",IF(final_data786[[#This Row],[DAY_CODE]]=6,"weekend","weekday"))</f>
        <v>weekday</v>
      </c>
      <c r="L543">
        <v>1</v>
      </c>
      <c r="M543" t="str">
        <f>IF(final_data786[[#This Row],[WEATHER_CODE]]=1,"clear",IF(final_data786[[#This Row],[WEATHER_CODE]]=2,"cloudy",IF(final_data786[[#This Row],[WEATHER_CODE]]=3,"light rain",IF(final_data786[[#This Row],[WEATHER_CODE]]=4,"heavy rain",0))))</f>
        <v>clear</v>
      </c>
      <c r="N543">
        <v>0.14000000000000001</v>
      </c>
      <c r="O543">
        <v>0.1212</v>
      </c>
      <c r="P543">
        <v>0.5</v>
      </c>
      <c r="Q543">
        <v>0.25369999999999998</v>
      </c>
      <c r="R543">
        <v>6</v>
      </c>
      <c r="S543">
        <v>178</v>
      </c>
      <c r="T543">
        <v>184</v>
      </c>
    </row>
    <row r="544" spans="1:20" x14ac:dyDescent="0.35">
      <c r="A544">
        <v>543</v>
      </c>
      <c r="B544" s="1">
        <v>40567</v>
      </c>
      <c r="C544">
        <v>1</v>
      </c>
      <c r="D544">
        <v>0</v>
      </c>
      <c r="E544">
        <v>1</v>
      </c>
      <c r="F544" t="str">
        <f>IF(final_data786[[#This Row],[MONTH_CODE]]=1,"JANUARY",IF(final_data786[[#This Row],[MONTH_CODE]]=2,"FEBRUARY"))</f>
        <v>JANUARY</v>
      </c>
      <c r="G544">
        <v>18</v>
      </c>
      <c r="H544">
        <v>0</v>
      </c>
      <c r="I544">
        <v>1</v>
      </c>
      <c r="J5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4" t="str">
        <f>IF(final_data786[[#This Row],[DAY_CODE]]=0,"weekend",IF(final_data786[[#This Row],[DAY_CODE]]=6,"weekend","weekday"))</f>
        <v>weekday</v>
      </c>
      <c r="L544">
        <v>1</v>
      </c>
      <c r="M544" t="str">
        <f>IF(final_data786[[#This Row],[WEATHER_CODE]]=1,"clear",IF(final_data786[[#This Row],[WEATHER_CODE]]=2,"cloudy",IF(final_data786[[#This Row],[WEATHER_CODE]]=3,"light rain",IF(final_data786[[#This Row],[WEATHER_CODE]]=4,"heavy rain",0))))</f>
        <v>clear</v>
      </c>
      <c r="N544">
        <v>0.14000000000000001</v>
      </c>
      <c r="O544">
        <v>0.13639999999999999</v>
      </c>
      <c r="P544">
        <v>0.59</v>
      </c>
      <c r="Q544">
        <v>0.19400000000000001</v>
      </c>
      <c r="R544">
        <v>8</v>
      </c>
      <c r="S544">
        <v>145</v>
      </c>
      <c r="T544">
        <v>153</v>
      </c>
    </row>
    <row r="545" spans="1:20" x14ac:dyDescent="0.35">
      <c r="A545">
        <v>544</v>
      </c>
      <c r="B545" s="1">
        <v>40567</v>
      </c>
      <c r="C545">
        <v>1</v>
      </c>
      <c r="D545">
        <v>0</v>
      </c>
      <c r="E545">
        <v>1</v>
      </c>
      <c r="F545" t="str">
        <f>IF(final_data786[[#This Row],[MONTH_CODE]]=1,"JANUARY",IF(final_data786[[#This Row],[MONTH_CODE]]=2,"FEBRUARY"))</f>
        <v>JANUARY</v>
      </c>
      <c r="G545">
        <v>19</v>
      </c>
      <c r="H545">
        <v>0</v>
      </c>
      <c r="I545">
        <v>1</v>
      </c>
      <c r="J5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5" t="str">
        <f>IF(final_data786[[#This Row],[DAY_CODE]]=0,"weekend",IF(final_data786[[#This Row],[DAY_CODE]]=6,"weekend","weekday"))</f>
        <v>weekday</v>
      </c>
      <c r="L545">
        <v>1</v>
      </c>
      <c r="M545" t="str">
        <f>IF(final_data786[[#This Row],[WEATHER_CODE]]=1,"clear",IF(final_data786[[#This Row],[WEATHER_CODE]]=2,"cloudy",IF(final_data786[[#This Row],[WEATHER_CODE]]=3,"light rain",IF(final_data786[[#This Row],[WEATHER_CODE]]=4,"heavy rain",0))))</f>
        <v>clear</v>
      </c>
      <c r="N545">
        <v>0.14000000000000001</v>
      </c>
      <c r="O545">
        <v>0.1515</v>
      </c>
      <c r="P545">
        <v>0.54</v>
      </c>
      <c r="Q545">
        <v>0.16420000000000001</v>
      </c>
      <c r="R545">
        <v>5</v>
      </c>
      <c r="S545">
        <v>101</v>
      </c>
      <c r="T545">
        <v>106</v>
      </c>
    </row>
    <row r="546" spans="1:20" x14ac:dyDescent="0.35">
      <c r="A546">
        <v>545</v>
      </c>
      <c r="B546" s="1">
        <v>40567</v>
      </c>
      <c r="C546">
        <v>1</v>
      </c>
      <c r="D546">
        <v>0</v>
      </c>
      <c r="E546">
        <v>1</v>
      </c>
      <c r="F546" t="str">
        <f>IF(final_data786[[#This Row],[MONTH_CODE]]=1,"JANUARY",IF(final_data786[[#This Row],[MONTH_CODE]]=2,"FEBRUARY"))</f>
        <v>JANUARY</v>
      </c>
      <c r="G546">
        <v>20</v>
      </c>
      <c r="H546">
        <v>0</v>
      </c>
      <c r="I546">
        <v>1</v>
      </c>
      <c r="J5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6" t="str">
        <f>IF(final_data786[[#This Row],[DAY_CODE]]=0,"weekend",IF(final_data786[[#This Row],[DAY_CODE]]=6,"weekend","weekday"))</f>
        <v>weekday</v>
      </c>
      <c r="L546">
        <v>1</v>
      </c>
      <c r="M546" t="str">
        <f>IF(final_data786[[#This Row],[WEATHER_CODE]]=1,"clear",IF(final_data786[[#This Row],[WEATHER_CODE]]=2,"cloudy",IF(final_data786[[#This Row],[WEATHER_CODE]]=3,"light rain",IF(final_data786[[#This Row],[WEATHER_CODE]]=4,"heavy rain",0))))</f>
        <v>clear</v>
      </c>
      <c r="N546">
        <v>0.14000000000000001</v>
      </c>
      <c r="O546">
        <v>0.13639999999999999</v>
      </c>
      <c r="P546">
        <v>0.59</v>
      </c>
      <c r="Q546">
        <v>0.19400000000000001</v>
      </c>
      <c r="R546">
        <v>1</v>
      </c>
      <c r="S546">
        <v>80</v>
      </c>
      <c r="T546">
        <v>81</v>
      </c>
    </row>
    <row r="547" spans="1:20" x14ac:dyDescent="0.35">
      <c r="A547">
        <v>546</v>
      </c>
      <c r="B547" s="1">
        <v>40567</v>
      </c>
      <c r="C547">
        <v>1</v>
      </c>
      <c r="D547">
        <v>0</v>
      </c>
      <c r="E547">
        <v>1</v>
      </c>
      <c r="F547" t="str">
        <f>IF(final_data786[[#This Row],[MONTH_CODE]]=1,"JANUARY",IF(final_data786[[#This Row],[MONTH_CODE]]=2,"FEBRUARY"))</f>
        <v>JANUARY</v>
      </c>
      <c r="G547">
        <v>21</v>
      </c>
      <c r="H547">
        <v>0</v>
      </c>
      <c r="I547">
        <v>1</v>
      </c>
      <c r="J5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7" t="str">
        <f>IF(final_data786[[#This Row],[DAY_CODE]]=0,"weekend",IF(final_data786[[#This Row],[DAY_CODE]]=6,"weekend","weekday"))</f>
        <v>weekday</v>
      </c>
      <c r="L547">
        <v>1</v>
      </c>
      <c r="M547" t="str">
        <f>IF(final_data786[[#This Row],[WEATHER_CODE]]=1,"clear",IF(final_data786[[#This Row],[WEATHER_CODE]]=2,"cloudy",IF(final_data786[[#This Row],[WEATHER_CODE]]=3,"light rain",IF(final_data786[[#This Row],[WEATHER_CODE]]=4,"heavy rain",0))))</f>
        <v>clear</v>
      </c>
      <c r="N547">
        <v>0.14000000000000001</v>
      </c>
      <c r="O547">
        <v>0.1515</v>
      </c>
      <c r="P547">
        <v>0.63</v>
      </c>
      <c r="Q547">
        <v>0.16420000000000001</v>
      </c>
      <c r="R547">
        <v>6</v>
      </c>
      <c r="S547">
        <v>53</v>
      </c>
      <c r="T547">
        <v>59</v>
      </c>
    </row>
    <row r="548" spans="1:20" x14ac:dyDescent="0.35">
      <c r="A548">
        <v>547</v>
      </c>
      <c r="B548" s="1">
        <v>40567</v>
      </c>
      <c r="C548">
        <v>1</v>
      </c>
      <c r="D548">
        <v>0</v>
      </c>
      <c r="E548">
        <v>1</v>
      </c>
      <c r="F548" t="str">
        <f>IF(final_data786[[#This Row],[MONTH_CODE]]=1,"JANUARY",IF(final_data786[[#This Row],[MONTH_CODE]]=2,"FEBRUARY"))</f>
        <v>JANUARY</v>
      </c>
      <c r="G548">
        <v>22</v>
      </c>
      <c r="H548">
        <v>0</v>
      </c>
      <c r="I548">
        <v>1</v>
      </c>
      <c r="J5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8" t="str">
        <f>IF(final_data786[[#This Row],[DAY_CODE]]=0,"weekend",IF(final_data786[[#This Row],[DAY_CODE]]=6,"weekend","weekday"))</f>
        <v>weekday</v>
      </c>
      <c r="L548">
        <v>2</v>
      </c>
      <c r="M548" t="str">
        <f>IF(final_data786[[#This Row],[WEATHER_CODE]]=1,"clear",IF(final_data786[[#This Row],[WEATHER_CODE]]=2,"cloudy",IF(final_data786[[#This Row],[WEATHER_CODE]]=3,"light rain",IF(final_data786[[#This Row],[WEATHER_CODE]]=4,"heavy rain",0))))</f>
        <v>cloudy</v>
      </c>
      <c r="N548">
        <v>0.14000000000000001</v>
      </c>
      <c r="O548">
        <v>0.13639999999999999</v>
      </c>
      <c r="P548">
        <v>0.63</v>
      </c>
      <c r="Q548">
        <v>0.22389999999999999</v>
      </c>
      <c r="R548">
        <v>3</v>
      </c>
      <c r="S548">
        <v>32</v>
      </c>
      <c r="T548">
        <v>35</v>
      </c>
    </row>
    <row r="549" spans="1:20" x14ac:dyDescent="0.35">
      <c r="A549">
        <v>548</v>
      </c>
      <c r="B549" s="1">
        <v>40567</v>
      </c>
      <c r="C549">
        <v>1</v>
      </c>
      <c r="D549">
        <v>0</v>
      </c>
      <c r="E549">
        <v>1</v>
      </c>
      <c r="F549" t="str">
        <f>IF(final_data786[[#This Row],[MONTH_CODE]]=1,"JANUARY",IF(final_data786[[#This Row],[MONTH_CODE]]=2,"FEBRUARY"))</f>
        <v>JANUARY</v>
      </c>
      <c r="G549">
        <v>23</v>
      </c>
      <c r="H549">
        <v>0</v>
      </c>
      <c r="I549">
        <v>1</v>
      </c>
      <c r="J5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549" t="str">
        <f>IF(final_data786[[#This Row],[DAY_CODE]]=0,"weekend",IF(final_data786[[#This Row],[DAY_CODE]]=6,"weekend","weekday"))</f>
        <v>weekday</v>
      </c>
      <c r="L549">
        <v>2</v>
      </c>
      <c r="M549" t="str">
        <f>IF(final_data786[[#This Row],[WEATHER_CODE]]=1,"clear",IF(final_data786[[#This Row],[WEATHER_CODE]]=2,"cloudy",IF(final_data786[[#This Row],[WEATHER_CODE]]=3,"light rain",IF(final_data786[[#This Row],[WEATHER_CODE]]=4,"heavy rain",0))))</f>
        <v>cloudy</v>
      </c>
      <c r="N549">
        <v>0.16</v>
      </c>
      <c r="O549">
        <v>0.1515</v>
      </c>
      <c r="P549">
        <v>0.64</v>
      </c>
      <c r="Q549">
        <v>0.25369999999999998</v>
      </c>
      <c r="R549">
        <v>3</v>
      </c>
      <c r="S549">
        <v>21</v>
      </c>
      <c r="T549">
        <v>24</v>
      </c>
    </row>
    <row r="550" spans="1:20" x14ac:dyDescent="0.35">
      <c r="A550">
        <v>549</v>
      </c>
      <c r="B550" s="1">
        <v>40568</v>
      </c>
      <c r="C550">
        <v>1</v>
      </c>
      <c r="D550">
        <v>0</v>
      </c>
      <c r="E550">
        <v>1</v>
      </c>
      <c r="F550" t="str">
        <f>IF(final_data786[[#This Row],[MONTH_CODE]]=1,"JANUARY",IF(final_data786[[#This Row],[MONTH_CODE]]=2,"FEBRUARY"))</f>
        <v>JANUARY</v>
      </c>
      <c r="G550">
        <v>0</v>
      </c>
      <c r="H550">
        <v>0</v>
      </c>
      <c r="I550">
        <v>2</v>
      </c>
      <c r="J5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0" t="str">
        <f>IF(final_data786[[#This Row],[DAY_CODE]]=0,"weekend",IF(final_data786[[#This Row],[DAY_CODE]]=6,"weekend","weekday"))</f>
        <v>weekday</v>
      </c>
      <c r="L550">
        <v>2</v>
      </c>
      <c r="M550" t="str">
        <f>IF(final_data786[[#This Row],[WEATHER_CODE]]=1,"clear",IF(final_data786[[#This Row],[WEATHER_CODE]]=2,"cloudy",IF(final_data786[[#This Row],[WEATHER_CODE]]=3,"light rain",IF(final_data786[[#This Row],[WEATHER_CODE]]=4,"heavy rain",0))))</f>
        <v>cloudy</v>
      </c>
      <c r="N550">
        <v>0.16</v>
      </c>
      <c r="O550">
        <v>0.13639999999999999</v>
      </c>
      <c r="P550">
        <v>0.69</v>
      </c>
      <c r="Q550">
        <v>0.28360000000000002</v>
      </c>
      <c r="R550">
        <v>3</v>
      </c>
      <c r="S550">
        <v>6</v>
      </c>
      <c r="T550">
        <v>9</v>
      </c>
    </row>
    <row r="551" spans="1:20" x14ac:dyDescent="0.35">
      <c r="A551">
        <v>550</v>
      </c>
      <c r="B551" s="1">
        <v>40568</v>
      </c>
      <c r="C551">
        <v>1</v>
      </c>
      <c r="D551">
        <v>0</v>
      </c>
      <c r="E551">
        <v>1</v>
      </c>
      <c r="F551" t="str">
        <f>IF(final_data786[[#This Row],[MONTH_CODE]]=1,"JANUARY",IF(final_data786[[#This Row],[MONTH_CODE]]=2,"FEBRUARY"))</f>
        <v>JANUARY</v>
      </c>
      <c r="G551">
        <v>1</v>
      </c>
      <c r="H551">
        <v>0</v>
      </c>
      <c r="I551">
        <v>2</v>
      </c>
      <c r="J5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1" t="str">
        <f>IF(final_data786[[#This Row],[DAY_CODE]]=0,"weekend",IF(final_data786[[#This Row],[DAY_CODE]]=6,"weekend","weekday"))</f>
        <v>weekday</v>
      </c>
      <c r="L551">
        <v>2</v>
      </c>
      <c r="M551" t="str">
        <f>IF(final_data786[[#This Row],[WEATHER_CODE]]=1,"clear",IF(final_data786[[#This Row],[WEATHER_CODE]]=2,"cloudy",IF(final_data786[[#This Row],[WEATHER_CODE]]=3,"light rain",IF(final_data786[[#This Row],[WEATHER_CODE]]=4,"heavy rain",0))))</f>
        <v>cloudy</v>
      </c>
      <c r="N551">
        <v>0.16</v>
      </c>
      <c r="O551">
        <v>0.16669999999999999</v>
      </c>
      <c r="P551">
        <v>0.69</v>
      </c>
      <c r="Q551">
        <v>0.16420000000000001</v>
      </c>
      <c r="R551">
        <v>0</v>
      </c>
      <c r="S551">
        <v>5</v>
      </c>
      <c r="T551">
        <v>5</v>
      </c>
    </row>
    <row r="552" spans="1:20" x14ac:dyDescent="0.35">
      <c r="A552">
        <v>551</v>
      </c>
      <c r="B552" s="1">
        <v>40568</v>
      </c>
      <c r="C552">
        <v>1</v>
      </c>
      <c r="D552">
        <v>0</v>
      </c>
      <c r="E552">
        <v>1</v>
      </c>
      <c r="F552" t="str">
        <f>IF(final_data786[[#This Row],[MONTH_CODE]]=1,"JANUARY",IF(final_data786[[#This Row],[MONTH_CODE]]=2,"FEBRUARY"))</f>
        <v>JANUARY</v>
      </c>
      <c r="G552">
        <v>2</v>
      </c>
      <c r="H552">
        <v>0</v>
      </c>
      <c r="I552">
        <v>2</v>
      </c>
      <c r="J5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2" t="str">
        <f>IF(final_data786[[#This Row],[DAY_CODE]]=0,"weekend",IF(final_data786[[#This Row],[DAY_CODE]]=6,"weekend","weekday"))</f>
        <v>weekday</v>
      </c>
      <c r="L552">
        <v>1</v>
      </c>
      <c r="M552" t="str">
        <f>IF(final_data786[[#This Row],[WEATHER_CODE]]=1,"clear",IF(final_data786[[#This Row],[WEATHER_CODE]]=2,"cloudy",IF(final_data786[[#This Row],[WEATHER_CODE]]=3,"light rain",IF(final_data786[[#This Row],[WEATHER_CODE]]=4,"heavy rain",0))))</f>
        <v>clear</v>
      </c>
      <c r="N552">
        <v>0.16</v>
      </c>
      <c r="O552">
        <v>0.1515</v>
      </c>
      <c r="P552">
        <v>0.69</v>
      </c>
      <c r="Q552">
        <v>0.22389999999999999</v>
      </c>
      <c r="R552">
        <v>0</v>
      </c>
      <c r="S552">
        <v>2</v>
      </c>
      <c r="T552">
        <v>2</v>
      </c>
    </row>
    <row r="553" spans="1:20" x14ac:dyDescent="0.35">
      <c r="A553">
        <v>552</v>
      </c>
      <c r="B553" s="1">
        <v>40568</v>
      </c>
      <c r="C553">
        <v>1</v>
      </c>
      <c r="D553">
        <v>0</v>
      </c>
      <c r="E553">
        <v>1</v>
      </c>
      <c r="F553" t="str">
        <f>IF(final_data786[[#This Row],[MONTH_CODE]]=1,"JANUARY",IF(final_data786[[#This Row],[MONTH_CODE]]=2,"FEBRUARY"))</f>
        <v>JANUARY</v>
      </c>
      <c r="G553">
        <v>4</v>
      </c>
      <c r="H553">
        <v>0</v>
      </c>
      <c r="I553">
        <v>2</v>
      </c>
      <c r="J5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3" t="str">
        <f>IF(final_data786[[#This Row],[DAY_CODE]]=0,"weekend",IF(final_data786[[#This Row],[DAY_CODE]]=6,"weekend","weekday"))</f>
        <v>weekday</v>
      </c>
      <c r="L553">
        <v>1</v>
      </c>
      <c r="M553" t="str">
        <f>IF(final_data786[[#This Row],[WEATHER_CODE]]=1,"clear",IF(final_data786[[#This Row],[WEATHER_CODE]]=2,"cloudy",IF(final_data786[[#This Row],[WEATHER_CODE]]=3,"light rain",IF(final_data786[[#This Row],[WEATHER_CODE]]=4,"heavy rain",0))))</f>
        <v>clear</v>
      </c>
      <c r="N553">
        <v>0.14000000000000001</v>
      </c>
      <c r="O553">
        <v>0.16669999999999999</v>
      </c>
      <c r="P553">
        <v>0.74</v>
      </c>
      <c r="Q553">
        <v>0.1045</v>
      </c>
      <c r="R553">
        <v>0</v>
      </c>
      <c r="S553">
        <v>1</v>
      </c>
      <c r="T553">
        <v>1</v>
      </c>
    </row>
    <row r="554" spans="1:20" x14ac:dyDescent="0.35">
      <c r="A554">
        <v>553</v>
      </c>
      <c r="B554" s="1">
        <v>40568</v>
      </c>
      <c r="C554">
        <v>1</v>
      </c>
      <c r="D554">
        <v>0</v>
      </c>
      <c r="E554">
        <v>1</v>
      </c>
      <c r="F554" t="str">
        <f>IF(final_data786[[#This Row],[MONTH_CODE]]=1,"JANUARY",IF(final_data786[[#This Row],[MONTH_CODE]]=2,"FEBRUARY"))</f>
        <v>JANUARY</v>
      </c>
      <c r="G554">
        <v>5</v>
      </c>
      <c r="H554">
        <v>0</v>
      </c>
      <c r="I554">
        <v>2</v>
      </c>
      <c r="J5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4" t="str">
        <f>IF(final_data786[[#This Row],[DAY_CODE]]=0,"weekend",IF(final_data786[[#This Row],[DAY_CODE]]=6,"weekend","weekday"))</f>
        <v>weekday</v>
      </c>
      <c r="L554">
        <v>1</v>
      </c>
      <c r="M554" t="str">
        <f>IF(final_data786[[#This Row],[WEATHER_CODE]]=1,"clear",IF(final_data786[[#This Row],[WEATHER_CODE]]=2,"cloudy",IF(final_data786[[#This Row],[WEATHER_CODE]]=3,"light rain",IF(final_data786[[#This Row],[WEATHER_CODE]]=4,"heavy rain",0))))</f>
        <v>clear</v>
      </c>
      <c r="N554">
        <v>0.14000000000000001</v>
      </c>
      <c r="O554">
        <v>0.13639999999999999</v>
      </c>
      <c r="P554">
        <v>0.74</v>
      </c>
      <c r="Q554">
        <v>0.22389999999999999</v>
      </c>
      <c r="R554">
        <v>0</v>
      </c>
      <c r="S554">
        <v>9</v>
      </c>
      <c r="T554">
        <v>9</v>
      </c>
    </row>
    <row r="555" spans="1:20" x14ac:dyDescent="0.35">
      <c r="A555">
        <v>554</v>
      </c>
      <c r="B555" s="1">
        <v>40568</v>
      </c>
      <c r="C555">
        <v>1</v>
      </c>
      <c r="D555">
        <v>0</v>
      </c>
      <c r="E555">
        <v>1</v>
      </c>
      <c r="F555" t="str">
        <f>IF(final_data786[[#This Row],[MONTH_CODE]]=1,"JANUARY",IF(final_data786[[#This Row],[MONTH_CODE]]=2,"FEBRUARY"))</f>
        <v>JANUARY</v>
      </c>
      <c r="G555">
        <v>6</v>
      </c>
      <c r="H555">
        <v>0</v>
      </c>
      <c r="I555">
        <v>2</v>
      </c>
      <c r="J5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5" t="str">
        <f>IF(final_data786[[#This Row],[DAY_CODE]]=0,"weekend",IF(final_data786[[#This Row],[DAY_CODE]]=6,"weekend","weekday"))</f>
        <v>weekday</v>
      </c>
      <c r="L555">
        <v>1</v>
      </c>
      <c r="M555" t="str">
        <f>IF(final_data786[[#This Row],[WEATHER_CODE]]=1,"clear",IF(final_data786[[#This Row],[WEATHER_CODE]]=2,"cloudy",IF(final_data786[[#This Row],[WEATHER_CODE]]=3,"light rain",IF(final_data786[[#This Row],[WEATHER_CODE]]=4,"heavy rain",0))))</f>
        <v>clear</v>
      </c>
      <c r="N555">
        <v>0.16</v>
      </c>
      <c r="O555">
        <v>0.18179999999999999</v>
      </c>
      <c r="P555">
        <v>0.74</v>
      </c>
      <c r="Q555">
        <v>0.1045</v>
      </c>
      <c r="R555">
        <v>1</v>
      </c>
      <c r="S555">
        <v>35</v>
      </c>
      <c r="T555">
        <v>36</v>
      </c>
    </row>
    <row r="556" spans="1:20" x14ac:dyDescent="0.35">
      <c r="A556">
        <v>555</v>
      </c>
      <c r="B556" s="1">
        <v>40568</v>
      </c>
      <c r="C556">
        <v>1</v>
      </c>
      <c r="D556">
        <v>0</v>
      </c>
      <c r="E556">
        <v>1</v>
      </c>
      <c r="F556" t="str">
        <f>IF(final_data786[[#This Row],[MONTH_CODE]]=1,"JANUARY",IF(final_data786[[#This Row],[MONTH_CODE]]=2,"FEBRUARY"))</f>
        <v>JANUARY</v>
      </c>
      <c r="G556">
        <v>7</v>
      </c>
      <c r="H556">
        <v>0</v>
      </c>
      <c r="I556">
        <v>2</v>
      </c>
      <c r="J5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6" t="str">
        <f>IF(final_data786[[#This Row],[DAY_CODE]]=0,"weekend",IF(final_data786[[#This Row],[DAY_CODE]]=6,"weekend","weekday"))</f>
        <v>weekday</v>
      </c>
      <c r="L556">
        <v>1</v>
      </c>
      <c r="M556" t="str">
        <f>IF(final_data786[[#This Row],[WEATHER_CODE]]=1,"clear",IF(final_data786[[#This Row],[WEATHER_CODE]]=2,"cloudy",IF(final_data786[[#This Row],[WEATHER_CODE]]=3,"light rain",IF(final_data786[[#This Row],[WEATHER_CODE]]=4,"heavy rain",0))))</f>
        <v>clear</v>
      </c>
      <c r="N556">
        <v>0.16</v>
      </c>
      <c r="O556">
        <v>0.1515</v>
      </c>
      <c r="P556">
        <v>0.74</v>
      </c>
      <c r="Q556">
        <v>0.22389999999999999</v>
      </c>
      <c r="R556">
        <v>5</v>
      </c>
      <c r="S556">
        <v>103</v>
      </c>
      <c r="T556">
        <v>108</v>
      </c>
    </row>
    <row r="557" spans="1:20" x14ac:dyDescent="0.35">
      <c r="A557">
        <v>556</v>
      </c>
      <c r="B557" s="1">
        <v>40568</v>
      </c>
      <c r="C557">
        <v>1</v>
      </c>
      <c r="D557">
        <v>0</v>
      </c>
      <c r="E557">
        <v>1</v>
      </c>
      <c r="F557" t="str">
        <f>IF(final_data786[[#This Row],[MONTH_CODE]]=1,"JANUARY",IF(final_data786[[#This Row],[MONTH_CODE]]=2,"FEBRUARY"))</f>
        <v>JANUARY</v>
      </c>
      <c r="G557">
        <v>8</v>
      </c>
      <c r="H557">
        <v>0</v>
      </c>
      <c r="I557">
        <v>2</v>
      </c>
      <c r="J5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7" t="str">
        <f>IF(final_data786[[#This Row],[DAY_CODE]]=0,"weekend",IF(final_data786[[#This Row],[DAY_CODE]]=6,"weekend","weekday"))</f>
        <v>weekday</v>
      </c>
      <c r="L557">
        <v>2</v>
      </c>
      <c r="M557" t="str">
        <f>IF(final_data786[[#This Row],[WEATHER_CODE]]=1,"clear",IF(final_data786[[#This Row],[WEATHER_CODE]]=2,"cloudy",IF(final_data786[[#This Row],[WEATHER_CODE]]=3,"light rain",IF(final_data786[[#This Row],[WEATHER_CODE]]=4,"heavy rain",0))))</f>
        <v>cloudy</v>
      </c>
      <c r="N557">
        <v>0.16</v>
      </c>
      <c r="O557">
        <v>0.18179999999999999</v>
      </c>
      <c r="P557">
        <v>0.74</v>
      </c>
      <c r="Q557">
        <v>0.1343</v>
      </c>
      <c r="R557">
        <v>5</v>
      </c>
      <c r="S557">
        <v>233</v>
      </c>
      <c r="T557">
        <v>238</v>
      </c>
    </row>
    <row r="558" spans="1:20" x14ac:dyDescent="0.35">
      <c r="A558">
        <v>557</v>
      </c>
      <c r="B558" s="1">
        <v>40568</v>
      </c>
      <c r="C558">
        <v>1</v>
      </c>
      <c r="D558">
        <v>0</v>
      </c>
      <c r="E558">
        <v>1</v>
      </c>
      <c r="F558" t="str">
        <f>IF(final_data786[[#This Row],[MONTH_CODE]]=1,"JANUARY",IF(final_data786[[#This Row],[MONTH_CODE]]=2,"FEBRUARY"))</f>
        <v>JANUARY</v>
      </c>
      <c r="G558">
        <v>9</v>
      </c>
      <c r="H558">
        <v>0</v>
      </c>
      <c r="I558">
        <v>2</v>
      </c>
      <c r="J5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8" t="str">
        <f>IF(final_data786[[#This Row],[DAY_CODE]]=0,"weekend",IF(final_data786[[#This Row],[DAY_CODE]]=6,"weekend","weekday"))</f>
        <v>weekday</v>
      </c>
      <c r="L558">
        <v>2</v>
      </c>
      <c r="M558" t="str">
        <f>IF(final_data786[[#This Row],[WEATHER_CODE]]=1,"clear",IF(final_data786[[#This Row],[WEATHER_CODE]]=2,"cloudy",IF(final_data786[[#This Row],[WEATHER_CODE]]=3,"light rain",IF(final_data786[[#This Row],[WEATHER_CODE]]=4,"heavy rain",0))))</f>
        <v>cloudy</v>
      </c>
      <c r="N558">
        <v>0.2</v>
      </c>
      <c r="O558">
        <v>0.2273</v>
      </c>
      <c r="P558">
        <v>0.64</v>
      </c>
      <c r="Q558">
        <v>8.9599999999999999E-2</v>
      </c>
      <c r="R558">
        <v>10</v>
      </c>
      <c r="S558">
        <v>134</v>
      </c>
      <c r="T558">
        <v>144</v>
      </c>
    </row>
    <row r="559" spans="1:20" x14ac:dyDescent="0.35">
      <c r="A559">
        <v>558</v>
      </c>
      <c r="B559" s="1">
        <v>40568</v>
      </c>
      <c r="C559">
        <v>1</v>
      </c>
      <c r="D559">
        <v>0</v>
      </c>
      <c r="E559">
        <v>1</v>
      </c>
      <c r="F559" t="str">
        <f>IF(final_data786[[#This Row],[MONTH_CODE]]=1,"JANUARY",IF(final_data786[[#This Row],[MONTH_CODE]]=2,"FEBRUARY"))</f>
        <v>JANUARY</v>
      </c>
      <c r="G559">
        <v>10</v>
      </c>
      <c r="H559">
        <v>0</v>
      </c>
      <c r="I559">
        <v>2</v>
      </c>
      <c r="J5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59" t="str">
        <f>IF(final_data786[[#This Row],[DAY_CODE]]=0,"weekend",IF(final_data786[[#This Row],[DAY_CODE]]=6,"weekend","weekday"))</f>
        <v>weekday</v>
      </c>
      <c r="L559">
        <v>2</v>
      </c>
      <c r="M559" t="str">
        <f>IF(final_data786[[#This Row],[WEATHER_CODE]]=1,"clear",IF(final_data786[[#This Row],[WEATHER_CODE]]=2,"cloudy",IF(final_data786[[#This Row],[WEATHER_CODE]]=3,"light rain",IF(final_data786[[#This Row],[WEATHER_CODE]]=4,"heavy rain",0))))</f>
        <v>cloudy</v>
      </c>
      <c r="N559">
        <v>0.22</v>
      </c>
      <c r="O559">
        <v>0.2424</v>
      </c>
      <c r="P559">
        <v>0.6</v>
      </c>
      <c r="Q559">
        <v>0.1045</v>
      </c>
      <c r="R559">
        <v>6</v>
      </c>
      <c r="S559">
        <v>49</v>
      </c>
      <c r="T559">
        <v>55</v>
      </c>
    </row>
    <row r="560" spans="1:20" x14ac:dyDescent="0.35">
      <c r="A560">
        <v>559</v>
      </c>
      <c r="B560" s="1">
        <v>40568</v>
      </c>
      <c r="C560">
        <v>1</v>
      </c>
      <c r="D560">
        <v>0</v>
      </c>
      <c r="E560">
        <v>1</v>
      </c>
      <c r="F560" t="str">
        <f>IF(final_data786[[#This Row],[MONTH_CODE]]=1,"JANUARY",IF(final_data786[[#This Row],[MONTH_CODE]]=2,"FEBRUARY"))</f>
        <v>JANUARY</v>
      </c>
      <c r="G560">
        <v>11</v>
      </c>
      <c r="H560">
        <v>0</v>
      </c>
      <c r="I560">
        <v>2</v>
      </c>
      <c r="J5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0" t="str">
        <f>IF(final_data786[[#This Row],[DAY_CODE]]=0,"weekend",IF(final_data786[[#This Row],[DAY_CODE]]=6,"weekend","weekday"))</f>
        <v>weekday</v>
      </c>
      <c r="L560">
        <v>2</v>
      </c>
      <c r="M560" t="str">
        <f>IF(final_data786[[#This Row],[WEATHER_CODE]]=1,"clear",IF(final_data786[[#This Row],[WEATHER_CODE]]=2,"cloudy",IF(final_data786[[#This Row],[WEATHER_CODE]]=3,"light rain",IF(final_data786[[#This Row],[WEATHER_CODE]]=4,"heavy rain",0))))</f>
        <v>cloudy</v>
      </c>
      <c r="N560">
        <v>0.24</v>
      </c>
      <c r="O560">
        <v>0.2424</v>
      </c>
      <c r="P560">
        <v>0.6</v>
      </c>
      <c r="Q560">
        <v>0.1343</v>
      </c>
      <c r="R560">
        <v>6</v>
      </c>
      <c r="S560">
        <v>55</v>
      </c>
      <c r="T560">
        <v>61</v>
      </c>
    </row>
    <row r="561" spans="1:20" x14ac:dyDescent="0.35">
      <c r="A561">
        <v>560</v>
      </c>
      <c r="B561" s="1">
        <v>40568</v>
      </c>
      <c r="C561">
        <v>1</v>
      </c>
      <c r="D561">
        <v>0</v>
      </c>
      <c r="E561">
        <v>1</v>
      </c>
      <c r="F561" t="str">
        <f>IF(final_data786[[#This Row],[MONTH_CODE]]=1,"JANUARY",IF(final_data786[[#This Row],[MONTH_CODE]]=2,"FEBRUARY"))</f>
        <v>JANUARY</v>
      </c>
      <c r="G561">
        <v>12</v>
      </c>
      <c r="H561">
        <v>0</v>
      </c>
      <c r="I561">
        <v>2</v>
      </c>
      <c r="J5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1" t="str">
        <f>IF(final_data786[[#This Row],[DAY_CODE]]=0,"weekend",IF(final_data786[[#This Row],[DAY_CODE]]=6,"weekend","weekday"))</f>
        <v>weekday</v>
      </c>
      <c r="L561">
        <v>2</v>
      </c>
      <c r="M561" t="str">
        <f>IF(final_data786[[#This Row],[WEATHER_CODE]]=1,"clear",IF(final_data786[[#This Row],[WEATHER_CODE]]=2,"cloudy",IF(final_data786[[#This Row],[WEATHER_CODE]]=3,"light rain",IF(final_data786[[#This Row],[WEATHER_CODE]]=4,"heavy rain",0))))</f>
        <v>cloudy</v>
      </c>
      <c r="N561">
        <v>0.26</v>
      </c>
      <c r="O561">
        <v>0.28789999999999999</v>
      </c>
      <c r="P561">
        <v>0.56000000000000005</v>
      </c>
      <c r="Q561">
        <v>8.9599999999999999E-2</v>
      </c>
      <c r="R561">
        <v>21</v>
      </c>
      <c r="S561">
        <v>85</v>
      </c>
      <c r="T561">
        <v>106</v>
      </c>
    </row>
    <row r="562" spans="1:20" x14ac:dyDescent="0.35">
      <c r="A562">
        <v>561</v>
      </c>
      <c r="B562" s="1">
        <v>40568</v>
      </c>
      <c r="C562">
        <v>1</v>
      </c>
      <c r="D562">
        <v>0</v>
      </c>
      <c r="E562">
        <v>1</v>
      </c>
      <c r="F562" t="str">
        <f>IF(final_data786[[#This Row],[MONTH_CODE]]=1,"JANUARY",IF(final_data786[[#This Row],[MONTH_CODE]]=2,"FEBRUARY"))</f>
        <v>JANUARY</v>
      </c>
      <c r="G562">
        <v>13</v>
      </c>
      <c r="H562">
        <v>0</v>
      </c>
      <c r="I562">
        <v>2</v>
      </c>
      <c r="J5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2" t="str">
        <f>IF(final_data786[[#This Row],[DAY_CODE]]=0,"weekend",IF(final_data786[[#This Row],[DAY_CODE]]=6,"weekend","weekday"))</f>
        <v>weekday</v>
      </c>
      <c r="L562">
        <v>2</v>
      </c>
      <c r="M562" t="str">
        <f>IF(final_data786[[#This Row],[WEATHER_CODE]]=1,"clear",IF(final_data786[[#This Row],[WEATHER_CODE]]=2,"cloudy",IF(final_data786[[#This Row],[WEATHER_CODE]]=3,"light rain",IF(final_data786[[#This Row],[WEATHER_CODE]]=4,"heavy rain",0))))</f>
        <v>cloudy</v>
      </c>
      <c r="N562">
        <v>0.26</v>
      </c>
      <c r="O562">
        <v>0.2727</v>
      </c>
      <c r="P562">
        <v>0.56000000000000005</v>
      </c>
      <c r="Q562">
        <v>0.1343</v>
      </c>
      <c r="R562">
        <v>21</v>
      </c>
      <c r="S562">
        <v>72</v>
      </c>
      <c r="T562">
        <v>93</v>
      </c>
    </row>
    <row r="563" spans="1:20" x14ac:dyDescent="0.35">
      <c r="A563">
        <v>562</v>
      </c>
      <c r="B563" s="1">
        <v>40568</v>
      </c>
      <c r="C563">
        <v>1</v>
      </c>
      <c r="D563">
        <v>0</v>
      </c>
      <c r="E563">
        <v>1</v>
      </c>
      <c r="F563" t="str">
        <f>IF(final_data786[[#This Row],[MONTH_CODE]]=1,"JANUARY",IF(final_data786[[#This Row],[MONTH_CODE]]=2,"FEBRUARY"))</f>
        <v>JANUARY</v>
      </c>
      <c r="G563">
        <v>14</v>
      </c>
      <c r="H563">
        <v>0</v>
      </c>
      <c r="I563">
        <v>2</v>
      </c>
      <c r="J5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3" t="str">
        <f>IF(final_data786[[#This Row],[DAY_CODE]]=0,"weekend",IF(final_data786[[#This Row],[DAY_CODE]]=6,"weekend","weekday"))</f>
        <v>weekday</v>
      </c>
      <c r="L563">
        <v>2</v>
      </c>
      <c r="M563" t="str">
        <f>IF(final_data786[[#This Row],[WEATHER_CODE]]=1,"clear",IF(final_data786[[#This Row],[WEATHER_CODE]]=2,"cloudy",IF(final_data786[[#This Row],[WEATHER_CODE]]=3,"light rain",IF(final_data786[[#This Row],[WEATHER_CODE]]=4,"heavy rain",0))))</f>
        <v>cloudy</v>
      </c>
      <c r="N563">
        <v>0.3</v>
      </c>
      <c r="O563">
        <v>0.33329999999999999</v>
      </c>
      <c r="P563">
        <v>0.45</v>
      </c>
      <c r="Q563">
        <v>0</v>
      </c>
      <c r="R563">
        <v>11</v>
      </c>
      <c r="S563">
        <v>57</v>
      </c>
      <c r="T563">
        <v>68</v>
      </c>
    </row>
    <row r="564" spans="1:20" x14ac:dyDescent="0.35">
      <c r="A564">
        <v>563</v>
      </c>
      <c r="B564" s="1">
        <v>40568</v>
      </c>
      <c r="C564">
        <v>1</v>
      </c>
      <c r="D564">
        <v>0</v>
      </c>
      <c r="E564">
        <v>1</v>
      </c>
      <c r="F564" t="str">
        <f>IF(final_data786[[#This Row],[MONTH_CODE]]=1,"JANUARY",IF(final_data786[[#This Row],[MONTH_CODE]]=2,"FEBRUARY"))</f>
        <v>JANUARY</v>
      </c>
      <c r="G564">
        <v>15</v>
      </c>
      <c r="H564">
        <v>0</v>
      </c>
      <c r="I564">
        <v>2</v>
      </c>
      <c r="J5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4" t="str">
        <f>IF(final_data786[[#This Row],[DAY_CODE]]=0,"weekend",IF(final_data786[[#This Row],[DAY_CODE]]=6,"weekend","weekday"))</f>
        <v>weekday</v>
      </c>
      <c r="L564">
        <v>2</v>
      </c>
      <c r="M564" t="str">
        <f>IF(final_data786[[#This Row],[WEATHER_CODE]]=1,"clear",IF(final_data786[[#This Row],[WEATHER_CODE]]=2,"cloudy",IF(final_data786[[#This Row],[WEATHER_CODE]]=3,"light rain",IF(final_data786[[#This Row],[WEATHER_CODE]]=4,"heavy rain",0))))</f>
        <v>cloudy</v>
      </c>
      <c r="N564">
        <v>0.32</v>
      </c>
      <c r="O564">
        <v>0.34849999999999998</v>
      </c>
      <c r="P564">
        <v>0.42</v>
      </c>
      <c r="Q564">
        <v>0</v>
      </c>
      <c r="R564">
        <v>21</v>
      </c>
      <c r="S564">
        <v>63</v>
      </c>
      <c r="T564">
        <v>84</v>
      </c>
    </row>
    <row r="565" spans="1:20" x14ac:dyDescent="0.35">
      <c r="A565">
        <v>564</v>
      </c>
      <c r="B565" s="1">
        <v>40568</v>
      </c>
      <c r="C565">
        <v>1</v>
      </c>
      <c r="D565">
        <v>0</v>
      </c>
      <c r="E565">
        <v>1</v>
      </c>
      <c r="F565" t="str">
        <f>IF(final_data786[[#This Row],[MONTH_CODE]]=1,"JANUARY",IF(final_data786[[#This Row],[MONTH_CODE]]=2,"FEBRUARY"))</f>
        <v>JANUARY</v>
      </c>
      <c r="G565">
        <v>16</v>
      </c>
      <c r="H565">
        <v>0</v>
      </c>
      <c r="I565">
        <v>2</v>
      </c>
      <c r="J5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5" t="str">
        <f>IF(final_data786[[#This Row],[DAY_CODE]]=0,"weekend",IF(final_data786[[#This Row],[DAY_CODE]]=6,"weekend","weekday"))</f>
        <v>weekday</v>
      </c>
      <c r="L565">
        <v>2</v>
      </c>
      <c r="M565" t="str">
        <f>IF(final_data786[[#This Row],[WEATHER_CODE]]=1,"clear",IF(final_data786[[#This Row],[WEATHER_CODE]]=2,"cloudy",IF(final_data786[[#This Row],[WEATHER_CODE]]=3,"light rain",IF(final_data786[[#This Row],[WEATHER_CODE]]=4,"heavy rain",0))))</f>
        <v>cloudy</v>
      </c>
      <c r="N565">
        <v>0.32</v>
      </c>
      <c r="O565">
        <v>0.34849999999999998</v>
      </c>
      <c r="P565">
        <v>0.42</v>
      </c>
      <c r="Q565">
        <v>0</v>
      </c>
      <c r="R565">
        <v>14</v>
      </c>
      <c r="S565">
        <v>102</v>
      </c>
      <c r="T565">
        <v>116</v>
      </c>
    </row>
    <row r="566" spans="1:20" x14ac:dyDescent="0.35">
      <c r="A566">
        <v>565</v>
      </c>
      <c r="B566" s="1">
        <v>40568</v>
      </c>
      <c r="C566">
        <v>1</v>
      </c>
      <c r="D566">
        <v>0</v>
      </c>
      <c r="E566">
        <v>1</v>
      </c>
      <c r="F566" t="str">
        <f>IF(final_data786[[#This Row],[MONTH_CODE]]=1,"JANUARY",IF(final_data786[[#This Row],[MONTH_CODE]]=2,"FEBRUARY"))</f>
        <v>JANUARY</v>
      </c>
      <c r="G566">
        <v>17</v>
      </c>
      <c r="H566">
        <v>0</v>
      </c>
      <c r="I566">
        <v>2</v>
      </c>
      <c r="J5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6" t="str">
        <f>IF(final_data786[[#This Row],[DAY_CODE]]=0,"weekend",IF(final_data786[[#This Row],[DAY_CODE]]=6,"weekend","weekday"))</f>
        <v>weekday</v>
      </c>
      <c r="L566">
        <v>1</v>
      </c>
      <c r="M566" t="str">
        <f>IF(final_data786[[#This Row],[WEATHER_CODE]]=1,"clear",IF(final_data786[[#This Row],[WEATHER_CODE]]=2,"cloudy",IF(final_data786[[#This Row],[WEATHER_CODE]]=3,"light rain",IF(final_data786[[#This Row],[WEATHER_CODE]]=4,"heavy rain",0))))</f>
        <v>clear</v>
      </c>
      <c r="N566">
        <v>0.3</v>
      </c>
      <c r="O566">
        <v>0.33329999999999999</v>
      </c>
      <c r="P566">
        <v>0.45</v>
      </c>
      <c r="Q566">
        <v>0</v>
      </c>
      <c r="R566">
        <v>14</v>
      </c>
      <c r="S566">
        <v>208</v>
      </c>
      <c r="T566">
        <v>222</v>
      </c>
    </row>
    <row r="567" spans="1:20" x14ac:dyDescent="0.35">
      <c r="A567">
        <v>566</v>
      </c>
      <c r="B567" s="1">
        <v>40568</v>
      </c>
      <c r="C567">
        <v>1</v>
      </c>
      <c r="D567">
        <v>0</v>
      </c>
      <c r="E567">
        <v>1</v>
      </c>
      <c r="F567" t="str">
        <f>IF(final_data786[[#This Row],[MONTH_CODE]]=1,"JANUARY",IF(final_data786[[#This Row],[MONTH_CODE]]=2,"FEBRUARY"))</f>
        <v>JANUARY</v>
      </c>
      <c r="G567">
        <v>18</v>
      </c>
      <c r="H567">
        <v>0</v>
      </c>
      <c r="I567">
        <v>2</v>
      </c>
      <c r="J5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7" t="str">
        <f>IF(final_data786[[#This Row],[DAY_CODE]]=0,"weekend",IF(final_data786[[#This Row],[DAY_CODE]]=6,"weekend","weekday"))</f>
        <v>weekday</v>
      </c>
      <c r="L567">
        <v>2</v>
      </c>
      <c r="M567" t="str">
        <f>IF(final_data786[[#This Row],[WEATHER_CODE]]=1,"clear",IF(final_data786[[#This Row],[WEATHER_CODE]]=2,"cloudy",IF(final_data786[[#This Row],[WEATHER_CODE]]=3,"light rain",IF(final_data786[[#This Row],[WEATHER_CODE]]=4,"heavy rain",0))))</f>
        <v>cloudy</v>
      </c>
      <c r="N567">
        <v>0.3</v>
      </c>
      <c r="O567">
        <v>0.31819999999999998</v>
      </c>
      <c r="P567">
        <v>0.49</v>
      </c>
      <c r="Q567">
        <v>8.9599999999999999E-2</v>
      </c>
      <c r="R567">
        <v>7</v>
      </c>
      <c r="S567">
        <v>218</v>
      </c>
      <c r="T567">
        <v>225</v>
      </c>
    </row>
    <row r="568" spans="1:20" x14ac:dyDescent="0.35">
      <c r="A568">
        <v>567</v>
      </c>
      <c r="B568" s="1">
        <v>40568</v>
      </c>
      <c r="C568">
        <v>1</v>
      </c>
      <c r="D568">
        <v>0</v>
      </c>
      <c r="E568">
        <v>1</v>
      </c>
      <c r="F568" t="str">
        <f>IF(final_data786[[#This Row],[MONTH_CODE]]=1,"JANUARY",IF(final_data786[[#This Row],[MONTH_CODE]]=2,"FEBRUARY"))</f>
        <v>JANUARY</v>
      </c>
      <c r="G568">
        <v>19</v>
      </c>
      <c r="H568">
        <v>0</v>
      </c>
      <c r="I568">
        <v>2</v>
      </c>
      <c r="J5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8" t="str">
        <f>IF(final_data786[[#This Row],[DAY_CODE]]=0,"weekend",IF(final_data786[[#This Row],[DAY_CODE]]=6,"weekend","weekday"))</f>
        <v>weekday</v>
      </c>
      <c r="L568">
        <v>2</v>
      </c>
      <c r="M568" t="str">
        <f>IF(final_data786[[#This Row],[WEATHER_CODE]]=1,"clear",IF(final_data786[[#This Row],[WEATHER_CODE]]=2,"cloudy",IF(final_data786[[#This Row],[WEATHER_CODE]]=3,"light rain",IF(final_data786[[#This Row],[WEATHER_CODE]]=4,"heavy rain",0))))</f>
        <v>cloudy</v>
      </c>
      <c r="N568">
        <v>0.26</v>
      </c>
      <c r="O568">
        <v>0.2576</v>
      </c>
      <c r="P568">
        <v>0.65</v>
      </c>
      <c r="Q568">
        <v>0.16420000000000001</v>
      </c>
      <c r="R568">
        <v>13</v>
      </c>
      <c r="S568">
        <v>133</v>
      </c>
      <c r="T568">
        <v>146</v>
      </c>
    </row>
    <row r="569" spans="1:20" x14ac:dyDescent="0.35">
      <c r="A569">
        <v>568</v>
      </c>
      <c r="B569" s="1">
        <v>40568</v>
      </c>
      <c r="C569">
        <v>1</v>
      </c>
      <c r="D569">
        <v>0</v>
      </c>
      <c r="E569">
        <v>1</v>
      </c>
      <c r="F569" t="str">
        <f>IF(final_data786[[#This Row],[MONTH_CODE]]=1,"JANUARY",IF(final_data786[[#This Row],[MONTH_CODE]]=2,"FEBRUARY"))</f>
        <v>JANUARY</v>
      </c>
      <c r="G569">
        <v>20</v>
      </c>
      <c r="H569">
        <v>0</v>
      </c>
      <c r="I569">
        <v>2</v>
      </c>
      <c r="J5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69" t="str">
        <f>IF(final_data786[[#This Row],[DAY_CODE]]=0,"weekend",IF(final_data786[[#This Row],[DAY_CODE]]=6,"weekend","weekday"))</f>
        <v>weekday</v>
      </c>
      <c r="L569">
        <v>1</v>
      </c>
      <c r="M569" t="str">
        <f>IF(final_data786[[#This Row],[WEATHER_CODE]]=1,"clear",IF(final_data786[[#This Row],[WEATHER_CODE]]=2,"cloudy",IF(final_data786[[#This Row],[WEATHER_CODE]]=3,"light rain",IF(final_data786[[#This Row],[WEATHER_CODE]]=4,"heavy rain",0))))</f>
        <v>clear</v>
      </c>
      <c r="N569">
        <v>0.24</v>
      </c>
      <c r="O569">
        <v>0.2273</v>
      </c>
      <c r="P569">
        <v>0.65</v>
      </c>
      <c r="Q569">
        <v>0.19400000000000001</v>
      </c>
      <c r="R569">
        <v>16</v>
      </c>
      <c r="S569">
        <v>103</v>
      </c>
      <c r="T569">
        <v>119</v>
      </c>
    </row>
    <row r="570" spans="1:20" x14ac:dyDescent="0.35">
      <c r="A570">
        <v>569</v>
      </c>
      <c r="B570" s="1">
        <v>40568</v>
      </c>
      <c r="C570">
        <v>1</v>
      </c>
      <c r="D570">
        <v>0</v>
      </c>
      <c r="E570">
        <v>1</v>
      </c>
      <c r="F570" t="str">
        <f>IF(final_data786[[#This Row],[MONTH_CODE]]=1,"JANUARY",IF(final_data786[[#This Row],[MONTH_CODE]]=2,"FEBRUARY"))</f>
        <v>JANUARY</v>
      </c>
      <c r="G570">
        <v>21</v>
      </c>
      <c r="H570">
        <v>0</v>
      </c>
      <c r="I570">
        <v>2</v>
      </c>
      <c r="J5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70" t="str">
        <f>IF(final_data786[[#This Row],[DAY_CODE]]=0,"weekend",IF(final_data786[[#This Row],[DAY_CODE]]=6,"weekend","weekday"))</f>
        <v>weekday</v>
      </c>
      <c r="L570">
        <v>1</v>
      </c>
      <c r="M570" t="str">
        <f>IF(final_data786[[#This Row],[WEATHER_CODE]]=1,"clear",IF(final_data786[[#This Row],[WEATHER_CODE]]=2,"cloudy",IF(final_data786[[#This Row],[WEATHER_CODE]]=3,"light rain",IF(final_data786[[#This Row],[WEATHER_CODE]]=4,"heavy rain",0))))</f>
        <v>clear</v>
      </c>
      <c r="N570">
        <v>0.24</v>
      </c>
      <c r="O570">
        <v>0.2273</v>
      </c>
      <c r="P570">
        <v>0.65</v>
      </c>
      <c r="Q570">
        <v>0.19400000000000001</v>
      </c>
      <c r="R570">
        <v>5</v>
      </c>
      <c r="S570">
        <v>40</v>
      </c>
      <c r="T570">
        <v>45</v>
      </c>
    </row>
    <row r="571" spans="1:20" x14ac:dyDescent="0.35">
      <c r="A571">
        <v>570</v>
      </c>
      <c r="B571" s="1">
        <v>40568</v>
      </c>
      <c r="C571">
        <v>1</v>
      </c>
      <c r="D571">
        <v>0</v>
      </c>
      <c r="E571">
        <v>1</v>
      </c>
      <c r="F571" t="str">
        <f>IF(final_data786[[#This Row],[MONTH_CODE]]=1,"JANUARY",IF(final_data786[[#This Row],[MONTH_CODE]]=2,"FEBRUARY"))</f>
        <v>JANUARY</v>
      </c>
      <c r="G571">
        <v>22</v>
      </c>
      <c r="H571">
        <v>0</v>
      </c>
      <c r="I571">
        <v>2</v>
      </c>
      <c r="J5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71" t="str">
        <f>IF(final_data786[[#This Row],[DAY_CODE]]=0,"weekend",IF(final_data786[[#This Row],[DAY_CODE]]=6,"weekend","weekday"))</f>
        <v>weekday</v>
      </c>
      <c r="L571">
        <v>1</v>
      </c>
      <c r="M571" t="str">
        <f>IF(final_data786[[#This Row],[WEATHER_CODE]]=1,"clear",IF(final_data786[[#This Row],[WEATHER_CODE]]=2,"cloudy",IF(final_data786[[#This Row],[WEATHER_CODE]]=3,"light rain",IF(final_data786[[#This Row],[WEATHER_CODE]]=4,"heavy rain",0))))</f>
        <v>clear</v>
      </c>
      <c r="N571">
        <v>0.22</v>
      </c>
      <c r="O571">
        <v>0.2273</v>
      </c>
      <c r="P571">
        <v>0.64</v>
      </c>
      <c r="Q571">
        <v>0.16420000000000001</v>
      </c>
      <c r="R571">
        <v>4</v>
      </c>
      <c r="S571">
        <v>49</v>
      </c>
      <c r="T571">
        <v>53</v>
      </c>
    </row>
    <row r="572" spans="1:20" x14ac:dyDescent="0.35">
      <c r="A572">
        <v>571</v>
      </c>
      <c r="B572" s="1">
        <v>40568</v>
      </c>
      <c r="C572">
        <v>1</v>
      </c>
      <c r="D572">
        <v>0</v>
      </c>
      <c r="E572">
        <v>1</v>
      </c>
      <c r="F572" t="str">
        <f>IF(final_data786[[#This Row],[MONTH_CODE]]=1,"JANUARY",IF(final_data786[[#This Row],[MONTH_CODE]]=2,"FEBRUARY"))</f>
        <v>JANUARY</v>
      </c>
      <c r="G572">
        <v>23</v>
      </c>
      <c r="H572">
        <v>0</v>
      </c>
      <c r="I572">
        <v>2</v>
      </c>
      <c r="J5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572" t="str">
        <f>IF(final_data786[[#This Row],[DAY_CODE]]=0,"weekend",IF(final_data786[[#This Row],[DAY_CODE]]=6,"weekend","weekday"))</f>
        <v>weekday</v>
      </c>
      <c r="L572">
        <v>2</v>
      </c>
      <c r="M572" t="str">
        <f>IF(final_data786[[#This Row],[WEATHER_CODE]]=1,"clear",IF(final_data786[[#This Row],[WEATHER_CODE]]=2,"cloudy",IF(final_data786[[#This Row],[WEATHER_CODE]]=3,"light rain",IF(final_data786[[#This Row],[WEATHER_CODE]]=4,"heavy rain",0))))</f>
        <v>cloudy</v>
      </c>
      <c r="N572">
        <v>0.22</v>
      </c>
      <c r="O572">
        <v>0.2273</v>
      </c>
      <c r="P572">
        <v>0.64</v>
      </c>
      <c r="Q572">
        <v>0.16420000000000001</v>
      </c>
      <c r="R572">
        <v>3</v>
      </c>
      <c r="S572">
        <v>37</v>
      </c>
      <c r="T572">
        <v>40</v>
      </c>
    </row>
    <row r="573" spans="1:20" x14ac:dyDescent="0.35">
      <c r="A573">
        <v>572</v>
      </c>
      <c r="B573" s="1">
        <v>40569</v>
      </c>
      <c r="C573">
        <v>1</v>
      </c>
      <c r="D573">
        <v>0</v>
      </c>
      <c r="E573">
        <v>1</v>
      </c>
      <c r="F573" t="str">
        <f>IF(final_data786[[#This Row],[MONTH_CODE]]=1,"JANUARY",IF(final_data786[[#This Row],[MONTH_CODE]]=2,"FEBRUARY"))</f>
        <v>JANUARY</v>
      </c>
      <c r="G573">
        <v>0</v>
      </c>
      <c r="H573">
        <v>0</v>
      </c>
      <c r="I573">
        <v>3</v>
      </c>
      <c r="J5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3" t="str">
        <f>IF(final_data786[[#This Row],[DAY_CODE]]=0,"weekend",IF(final_data786[[#This Row],[DAY_CODE]]=6,"weekend","weekday"))</f>
        <v>weekday</v>
      </c>
      <c r="L573">
        <v>2</v>
      </c>
      <c r="M573" t="str">
        <f>IF(final_data786[[#This Row],[WEATHER_CODE]]=1,"clear",IF(final_data786[[#This Row],[WEATHER_CODE]]=2,"cloudy",IF(final_data786[[#This Row],[WEATHER_CODE]]=3,"light rain",IF(final_data786[[#This Row],[WEATHER_CODE]]=4,"heavy rain",0))))</f>
        <v>cloudy</v>
      </c>
      <c r="N573">
        <v>0.22</v>
      </c>
      <c r="O573">
        <v>0.2273</v>
      </c>
      <c r="P573">
        <v>0.69</v>
      </c>
      <c r="Q573">
        <v>0.1343</v>
      </c>
      <c r="R573">
        <v>3</v>
      </c>
      <c r="S573">
        <v>14</v>
      </c>
      <c r="T573">
        <v>17</v>
      </c>
    </row>
    <row r="574" spans="1:20" x14ac:dyDescent="0.35">
      <c r="A574">
        <v>573</v>
      </c>
      <c r="B574" s="1">
        <v>40569</v>
      </c>
      <c r="C574">
        <v>1</v>
      </c>
      <c r="D574">
        <v>0</v>
      </c>
      <c r="E574">
        <v>1</v>
      </c>
      <c r="F574" t="str">
        <f>IF(final_data786[[#This Row],[MONTH_CODE]]=1,"JANUARY",IF(final_data786[[#This Row],[MONTH_CODE]]=2,"FEBRUARY"))</f>
        <v>JANUARY</v>
      </c>
      <c r="G574">
        <v>1</v>
      </c>
      <c r="H574">
        <v>0</v>
      </c>
      <c r="I574">
        <v>3</v>
      </c>
      <c r="J5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4" t="str">
        <f>IF(final_data786[[#This Row],[DAY_CODE]]=0,"weekend",IF(final_data786[[#This Row],[DAY_CODE]]=6,"weekend","weekday"))</f>
        <v>weekday</v>
      </c>
      <c r="L574">
        <v>2</v>
      </c>
      <c r="M574" t="str">
        <f>IF(final_data786[[#This Row],[WEATHER_CODE]]=1,"clear",IF(final_data786[[#This Row],[WEATHER_CODE]]=2,"cloudy",IF(final_data786[[#This Row],[WEATHER_CODE]]=3,"light rain",IF(final_data786[[#This Row],[WEATHER_CODE]]=4,"heavy rain",0))))</f>
        <v>cloudy</v>
      </c>
      <c r="N574">
        <v>0.24</v>
      </c>
      <c r="O574">
        <v>0.2424</v>
      </c>
      <c r="P574">
        <v>0.65</v>
      </c>
      <c r="Q574">
        <v>0.1343</v>
      </c>
      <c r="R574">
        <v>0</v>
      </c>
      <c r="S574">
        <v>5</v>
      </c>
      <c r="T574">
        <v>5</v>
      </c>
    </row>
    <row r="575" spans="1:20" x14ac:dyDescent="0.35">
      <c r="A575">
        <v>574</v>
      </c>
      <c r="B575" s="1">
        <v>40569</v>
      </c>
      <c r="C575">
        <v>1</v>
      </c>
      <c r="D575">
        <v>0</v>
      </c>
      <c r="E575">
        <v>1</v>
      </c>
      <c r="F575" t="str">
        <f>IF(final_data786[[#This Row],[MONTH_CODE]]=1,"JANUARY",IF(final_data786[[#This Row],[MONTH_CODE]]=2,"FEBRUARY"))</f>
        <v>JANUARY</v>
      </c>
      <c r="G575">
        <v>2</v>
      </c>
      <c r="H575">
        <v>0</v>
      </c>
      <c r="I575">
        <v>3</v>
      </c>
      <c r="J5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5" t="str">
        <f>IF(final_data786[[#This Row],[DAY_CODE]]=0,"weekend",IF(final_data786[[#This Row],[DAY_CODE]]=6,"weekend","weekday"))</f>
        <v>weekday</v>
      </c>
      <c r="L575">
        <v>3</v>
      </c>
      <c r="M575" t="str">
        <f>IF(final_data786[[#This Row],[WEATHER_CODE]]=1,"clear",IF(final_data786[[#This Row],[WEATHER_CODE]]=2,"cloudy",IF(final_data786[[#This Row],[WEATHER_CODE]]=3,"light rain",IF(final_data786[[#This Row],[WEATHER_CODE]]=4,"heavy rain",0))))</f>
        <v>light rain</v>
      </c>
      <c r="N575">
        <v>0.22</v>
      </c>
      <c r="O575">
        <v>0.2273</v>
      </c>
      <c r="P575">
        <v>0.69</v>
      </c>
      <c r="Q575">
        <v>0.19400000000000001</v>
      </c>
      <c r="R575">
        <v>3</v>
      </c>
      <c r="S575">
        <v>7</v>
      </c>
      <c r="T575">
        <v>10</v>
      </c>
    </row>
    <row r="576" spans="1:20" x14ac:dyDescent="0.35">
      <c r="A576">
        <v>575</v>
      </c>
      <c r="B576" s="1">
        <v>40569</v>
      </c>
      <c r="C576">
        <v>1</v>
      </c>
      <c r="D576">
        <v>0</v>
      </c>
      <c r="E576">
        <v>1</v>
      </c>
      <c r="F576" t="str">
        <f>IF(final_data786[[#This Row],[MONTH_CODE]]=1,"JANUARY",IF(final_data786[[#This Row],[MONTH_CODE]]=2,"FEBRUARY"))</f>
        <v>JANUARY</v>
      </c>
      <c r="G576">
        <v>5</v>
      </c>
      <c r="H576">
        <v>0</v>
      </c>
      <c r="I576">
        <v>3</v>
      </c>
      <c r="J5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6" t="str">
        <f>IF(final_data786[[#This Row],[DAY_CODE]]=0,"weekend",IF(final_data786[[#This Row],[DAY_CODE]]=6,"weekend","weekday"))</f>
        <v>weekday</v>
      </c>
      <c r="L576">
        <v>3</v>
      </c>
      <c r="M576" t="str">
        <f>IF(final_data786[[#This Row],[WEATHER_CODE]]=1,"clear",IF(final_data786[[#This Row],[WEATHER_CODE]]=2,"cloudy",IF(final_data786[[#This Row],[WEATHER_CODE]]=3,"light rain",IF(final_data786[[#This Row],[WEATHER_CODE]]=4,"heavy rain",0))))</f>
        <v>light rain</v>
      </c>
      <c r="N576">
        <v>0.2</v>
      </c>
      <c r="O576">
        <v>0.18179999999999999</v>
      </c>
      <c r="P576">
        <v>0.86</v>
      </c>
      <c r="Q576">
        <v>0.28360000000000002</v>
      </c>
      <c r="R576">
        <v>0</v>
      </c>
      <c r="S576">
        <v>1</v>
      </c>
      <c r="T576">
        <v>1</v>
      </c>
    </row>
    <row r="577" spans="1:20" x14ac:dyDescent="0.35">
      <c r="A577">
        <v>576</v>
      </c>
      <c r="B577" s="1">
        <v>40569</v>
      </c>
      <c r="C577">
        <v>1</v>
      </c>
      <c r="D577">
        <v>0</v>
      </c>
      <c r="E577">
        <v>1</v>
      </c>
      <c r="F577" t="str">
        <f>IF(final_data786[[#This Row],[MONTH_CODE]]=1,"JANUARY",IF(final_data786[[#This Row],[MONTH_CODE]]=2,"FEBRUARY"))</f>
        <v>JANUARY</v>
      </c>
      <c r="G577">
        <v>6</v>
      </c>
      <c r="H577">
        <v>0</v>
      </c>
      <c r="I577">
        <v>3</v>
      </c>
      <c r="J5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7" t="str">
        <f>IF(final_data786[[#This Row],[DAY_CODE]]=0,"weekend",IF(final_data786[[#This Row],[DAY_CODE]]=6,"weekend","weekday"))</f>
        <v>weekday</v>
      </c>
      <c r="L577">
        <v>3</v>
      </c>
      <c r="M577" t="str">
        <f>IF(final_data786[[#This Row],[WEATHER_CODE]]=1,"clear",IF(final_data786[[#This Row],[WEATHER_CODE]]=2,"cloudy",IF(final_data786[[#This Row],[WEATHER_CODE]]=3,"light rain",IF(final_data786[[#This Row],[WEATHER_CODE]]=4,"heavy rain",0))))</f>
        <v>light rain</v>
      </c>
      <c r="N577">
        <v>0.2</v>
      </c>
      <c r="O577">
        <v>0.18179999999999999</v>
      </c>
      <c r="P577">
        <v>0.86</v>
      </c>
      <c r="Q577">
        <v>0.28360000000000002</v>
      </c>
      <c r="R577">
        <v>0</v>
      </c>
      <c r="S577">
        <v>8</v>
      </c>
      <c r="T577">
        <v>8</v>
      </c>
    </row>
    <row r="578" spans="1:20" x14ac:dyDescent="0.35">
      <c r="A578">
        <v>577</v>
      </c>
      <c r="B578" s="1">
        <v>40569</v>
      </c>
      <c r="C578">
        <v>1</v>
      </c>
      <c r="D578">
        <v>0</v>
      </c>
      <c r="E578">
        <v>1</v>
      </c>
      <c r="F578" t="str">
        <f>IF(final_data786[[#This Row],[MONTH_CODE]]=1,"JANUARY",IF(final_data786[[#This Row],[MONTH_CODE]]=2,"FEBRUARY"))</f>
        <v>JANUARY</v>
      </c>
      <c r="G578">
        <v>7</v>
      </c>
      <c r="H578">
        <v>0</v>
      </c>
      <c r="I578">
        <v>3</v>
      </c>
      <c r="J5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8" t="str">
        <f>IF(final_data786[[#This Row],[DAY_CODE]]=0,"weekend",IF(final_data786[[#This Row],[DAY_CODE]]=6,"weekend","weekday"))</f>
        <v>weekday</v>
      </c>
      <c r="L578">
        <v>3</v>
      </c>
      <c r="M578" t="str">
        <f>IF(final_data786[[#This Row],[WEATHER_CODE]]=1,"clear",IF(final_data786[[#This Row],[WEATHER_CODE]]=2,"cloudy",IF(final_data786[[#This Row],[WEATHER_CODE]]=3,"light rain",IF(final_data786[[#This Row],[WEATHER_CODE]]=4,"heavy rain",0))))</f>
        <v>light rain</v>
      </c>
      <c r="N578">
        <v>0.22</v>
      </c>
      <c r="O578">
        <v>0.21210000000000001</v>
      </c>
      <c r="P578">
        <v>0.87</v>
      </c>
      <c r="Q578">
        <v>0.29849999999999999</v>
      </c>
      <c r="R578">
        <v>1</v>
      </c>
      <c r="S578">
        <v>29</v>
      </c>
      <c r="T578">
        <v>30</v>
      </c>
    </row>
    <row r="579" spans="1:20" x14ac:dyDescent="0.35">
      <c r="A579">
        <v>578</v>
      </c>
      <c r="B579" s="1">
        <v>40569</v>
      </c>
      <c r="C579">
        <v>1</v>
      </c>
      <c r="D579">
        <v>0</v>
      </c>
      <c r="E579">
        <v>1</v>
      </c>
      <c r="F579" t="str">
        <f>IF(final_data786[[#This Row],[MONTH_CODE]]=1,"JANUARY",IF(final_data786[[#This Row],[MONTH_CODE]]=2,"FEBRUARY"))</f>
        <v>JANUARY</v>
      </c>
      <c r="G579">
        <v>8</v>
      </c>
      <c r="H579">
        <v>0</v>
      </c>
      <c r="I579">
        <v>3</v>
      </c>
      <c r="J5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79" t="str">
        <f>IF(final_data786[[#This Row],[DAY_CODE]]=0,"weekend",IF(final_data786[[#This Row],[DAY_CODE]]=6,"weekend","weekday"))</f>
        <v>weekday</v>
      </c>
      <c r="L579">
        <v>3</v>
      </c>
      <c r="M579" t="str">
        <f>IF(final_data786[[#This Row],[WEATHER_CODE]]=1,"clear",IF(final_data786[[#This Row],[WEATHER_CODE]]=2,"cloudy",IF(final_data786[[#This Row],[WEATHER_CODE]]=3,"light rain",IF(final_data786[[#This Row],[WEATHER_CODE]]=4,"heavy rain",0))))</f>
        <v>light rain</v>
      </c>
      <c r="N579">
        <v>0.22</v>
      </c>
      <c r="O579">
        <v>0.21210000000000001</v>
      </c>
      <c r="P579">
        <v>0.87</v>
      </c>
      <c r="Q579">
        <v>0.29849999999999999</v>
      </c>
      <c r="R579">
        <v>3</v>
      </c>
      <c r="S579">
        <v>69</v>
      </c>
      <c r="T579">
        <v>72</v>
      </c>
    </row>
    <row r="580" spans="1:20" x14ac:dyDescent="0.35">
      <c r="A580">
        <v>579</v>
      </c>
      <c r="B580" s="1">
        <v>40569</v>
      </c>
      <c r="C580">
        <v>1</v>
      </c>
      <c r="D580">
        <v>0</v>
      </c>
      <c r="E580">
        <v>1</v>
      </c>
      <c r="F580" t="str">
        <f>IF(final_data786[[#This Row],[MONTH_CODE]]=1,"JANUARY",IF(final_data786[[#This Row],[MONTH_CODE]]=2,"FEBRUARY"))</f>
        <v>JANUARY</v>
      </c>
      <c r="G580">
        <v>9</v>
      </c>
      <c r="H580">
        <v>0</v>
      </c>
      <c r="I580">
        <v>3</v>
      </c>
      <c r="J5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0" t="str">
        <f>IF(final_data786[[#This Row],[DAY_CODE]]=0,"weekend",IF(final_data786[[#This Row],[DAY_CODE]]=6,"weekend","weekday"))</f>
        <v>weekday</v>
      </c>
      <c r="L580">
        <v>3</v>
      </c>
      <c r="M580" t="str">
        <f>IF(final_data786[[#This Row],[WEATHER_CODE]]=1,"clear",IF(final_data786[[#This Row],[WEATHER_CODE]]=2,"cloudy",IF(final_data786[[#This Row],[WEATHER_CODE]]=3,"light rain",IF(final_data786[[#This Row],[WEATHER_CODE]]=4,"heavy rain",0))))</f>
        <v>light rain</v>
      </c>
      <c r="N580">
        <v>0.22</v>
      </c>
      <c r="O580">
        <v>0.21210000000000001</v>
      </c>
      <c r="P580">
        <v>0.87</v>
      </c>
      <c r="Q580">
        <v>0.29849999999999999</v>
      </c>
      <c r="R580">
        <v>3</v>
      </c>
      <c r="S580">
        <v>55</v>
      </c>
      <c r="T580">
        <v>58</v>
      </c>
    </row>
    <row r="581" spans="1:20" x14ac:dyDescent="0.35">
      <c r="A581">
        <v>580</v>
      </c>
      <c r="B581" s="1">
        <v>40569</v>
      </c>
      <c r="C581">
        <v>1</v>
      </c>
      <c r="D581">
        <v>0</v>
      </c>
      <c r="E581">
        <v>1</v>
      </c>
      <c r="F581" t="str">
        <f>IF(final_data786[[#This Row],[MONTH_CODE]]=1,"JANUARY",IF(final_data786[[#This Row],[MONTH_CODE]]=2,"FEBRUARY"))</f>
        <v>JANUARY</v>
      </c>
      <c r="G581">
        <v>10</v>
      </c>
      <c r="H581">
        <v>0</v>
      </c>
      <c r="I581">
        <v>3</v>
      </c>
      <c r="J5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1" t="str">
        <f>IF(final_data786[[#This Row],[DAY_CODE]]=0,"weekend",IF(final_data786[[#This Row],[DAY_CODE]]=6,"weekend","weekday"))</f>
        <v>weekday</v>
      </c>
      <c r="L581">
        <v>3</v>
      </c>
      <c r="M581" t="str">
        <f>IF(final_data786[[#This Row],[WEATHER_CODE]]=1,"clear",IF(final_data786[[#This Row],[WEATHER_CODE]]=2,"cloudy",IF(final_data786[[#This Row],[WEATHER_CODE]]=3,"light rain",IF(final_data786[[#This Row],[WEATHER_CODE]]=4,"heavy rain",0))))</f>
        <v>light rain</v>
      </c>
      <c r="N581">
        <v>0.22</v>
      </c>
      <c r="O581">
        <v>0.21210000000000001</v>
      </c>
      <c r="P581">
        <v>0.93</v>
      </c>
      <c r="Q581">
        <v>0.28360000000000002</v>
      </c>
      <c r="R581">
        <v>2</v>
      </c>
      <c r="S581">
        <v>26</v>
      </c>
      <c r="T581">
        <v>28</v>
      </c>
    </row>
    <row r="582" spans="1:20" x14ac:dyDescent="0.35">
      <c r="A582">
        <v>581</v>
      </c>
      <c r="B582" s="1">
        <v>40569</v>
      </c>
      <c r="C582">
        <v>1</v>
      </c>
      <c r="D582">
        <v>0</v>
      </c>
      <c r="E582">
        <v>1</v>
      </c>
      <c r="F582" t="str">
        <f>IF(final_data786[[#This Row],[MONTH_CODE]]=1,"JANUARY",IF(final_data786[[#This Row],[MONTH_CODE]]=2,"FEBRUARY"))</f>
        <v>JANUARY</v>
      </c>
      <c r="G582">
        <v>11</v>
      </c>
      <c r="H582">
        <v>0</v>
      </c>
      <c r="I582">
        <v>3</v>
      </c>
      <c r="J5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2" t="str">
        <f>IF(final_data786[[#This Row],[DAY_CODE]]=0,"weekend",IF(final_data786[[#This Row],[DAY_CODE]]=6,"weekend","weekday"))</f>
        <v>weekday</v>
      </c>
      <c r="L582">
        <v>3</v>
      </c>
      <c r="M582" t="str">
        <f>IF(final_data786[[#This Row],[WEATHER_CODE]]=1,"clear",IF(final_data786[[#This Row],[WEATHER_CODE]]=2,"cloudy",IF(final_data786[[#This Row],[WEATHER_CODE]]=3,"light rain",IF(final_data786[[#This Row],[WEATHER_CODE]]=4,"heavy rain",0))))</f>
        <v>light rain</v>
      </c>
      <c r="N582">
        <v>0.22</v>
      </c>
      <c r="O582">
        <v>0.19700000000000001</v>
      </c>
      <c r="P582">
        <v>0.93</v>
      </c>
      <c r="Q582">
        <v>0.32840000000000003</v>
      </c>
      <c r="R582">
        <v>6</v>
      </c>
      <c r="S582">
        <v>35</v>
      </c>
      <c r="T582">
        <v>41</v>
      </c>
    </row>
    <row r="583" spans="1:20" x14ac:dyDescent="0.35">
      <c r="A583">
        <v>582</v>
      </c>
      <c r="B583" s="1">
        <v>40569</v>
      </c>
      <c r="C583">
        <v>1</v>
      </c>
      <c r="D583">
        <v>0</v>
      </c>
      <c r="E583">
        <v>1</v>
      </c>
      <c r="F583" t="str">
        <f>IF(final_data786[[#This Row],[MONTH_CODE]]=1,"JANUARY",IF(final_data786[[#This Row],[MONTH_CODE]]=2,"FEBRUARY"))</f>
        <v>JANUARY</v>
      </c>
      <c r="G583">
        <v>12</v>
      </c>
      <c r="H583">
        <v>0</v>
      </c>
      <c r="I583">
        <v>3</v>
      </c>
      <c r="J5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3" t="str">
        <f>IF(final_data786[[#This Row],[DAY_CODE]]=0,"weekend",IF(final_data786[[#This Row],[DAY_CODE]]=6,"weekend","weekday"))</f>
        <v>weekday</v>
      </c>
      <c r="L583">
        <v>3</v>
      </c>
      <c r="M583" t="str">
        <f>IF(final_data786[[#This Row],[WEATHER_CODE]]=1,"clear",IF(final_data786[[#This Row],[WEATHER_CODE]]=2,"cloudy",IF(final_data786[[#This Row],[WEATHER_CODE]]=3,"light rain",IF(final_data786[[#This Row],[WEATHER_CODE]]=4,"heavy rain",0))))</f>
        <v>light rain</v>
      </c>
      <c r="N583">
        <v>0.22</v>
      </c>
      <c r="O583">
        <v>0.19700000000000001</v>
      </c>
      <c r="P583">
        <v>0.93</v>
      </c>
      <c r="Q583">
        <v>0.32840000000000003</v>
      </c>
      <c r="R583">
        <v>7</v>
      </c>
      <c r="S583">
        <v>41</v>
      </c>
      <c r="T583">
        <v>48</v>
      </c>
    </row>
    <row r="584" spans="1:20" x14ac:dyDescent="0.35">
      <c r="A584">
        <v>583</v>
      </c>
      <c r="B584" s="1">
        <v>40569</v>
      </c>
      <c r="C584">
        <v>1</v>
      </c>
      <c r="D584">
        <v>0</v>
      </c>
      <c r="E584">
        <v>1</v>
      </c>
      <c r="F584" t="str">
        <f>IF(final_data786[[#This Row],[MONTH_CODE]]=1,"JANUARY",IF(final_data786[[#This Row],[MONTH_CODE]]=2,"FEBRUARY"))</f>
        <v>JANUARY</v>
      </c>
      <c r="G584">
        <v>13</v>
      </c>
      <c r="H584">
        <v>0</v>
      </c>
      <c r="I584">
        <v>3</v>
      </c>
      <c r="J5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4" t="str">
        <f>IF(final_data786[[#This Row],[DAY_CODE]]=0,"weekend",IF(final_data786[[#This Row],[DAY_CODE]]=6,"weekend","weekday"))</f>
        <v>weekday</v>
      </c>
      <c r="L584">
        <v>3</v>
      </c>
      <c r="M584" t="str">
        <f>IF(final_data786[[#This Row],[WEATHER_CODE]]=1,"clear",IF(final_data786[[#This Row],[WEATHER_CODE]]=2,"cloudy",IF(final_data786[[#This Row],[WEATHER_CODE]]=3,"light rain",IF(final_data786[[#This Row],[WEATHER_CODE]]=4,"heavy rain",0))))</f>
        <v>light rain</v>
      </c>
      <c r="N584">
        <v>0.22</v>
      </c>
      <c r="O584">
        <v>0.19700000000000001</v>
      </c>
      <c r="P584">
        <v>0.93</v>
      </c>
      <c r="Q584">
        <v>0.32840000000000003</v>
      </c>
      <c r="R584">
        <v>4</v>
      </c>
      <c r="S584">
        <v>43</v>
      </c>
      <c r="T584">
        <v>47</v>
      </c>
    </row>
    <row r="585" spans="1:20" x14ac:dyDescent="0.35">
      <c r="A585">
        <v>584</v>
      </c>
      <c r="B585" s="1">
        <v>40569</v>
      </c>
      <c r="C585">
        <v>1</v>
      </c>
      <c r="D585">
        <v>0</v>
      </c>
      <c r="E585">
        <v>1</v>
      </c>
      <c r="F585" t="str">
        <f>IF(final_data786[[#This Row],[MONTH_CODE]]=1,"JANUARY",IF(final_data786[[#This Row],[MONTH_CODE]]=2,"FEBRUARY"))</f>
        <v>JANUARY</v>
      </c>
      <c r="G585">
        <v>14</v>
      </c>
      <c r="H585">
        <v>0</v>
      </c>
      <c r="I585">
        <v>3</v>
      </c>
      <c r="J5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5" t="str">
        <f>IF(final_data786[[#This Row],[DAY_CODE]]=0,"weekend",IF(final_data786[[#This Row],[DAY_CODE]]=6,"weekend","weekday"))</f>
        <v>weekday</v>
      </c>
      <c r="L585">
        <v>3</v>
      </c>
      <c r="M585" t="str">
        <f>IF(final_data786[[#This Row],[WEATHER_CODE]]=1,"clear",IF(final_data786[[#This Row],[WEATHER_CODE]]=2,"cloudy",IF(final_data786[[#This Row],[WEATHER_CODE]]=3,"light rain",IF(final_data786[[#This Row],[WEATHER_CODE]]=4,"heavy rain",0))))</f>
        <v>light rain</v>
      </c>
      <c r="N585">
        <v>0.22</v>
      </c>
      <c r="O585">
        <v>0.19700000000000001</v>
      </c>
      <c r="P585">
        <v>0.93</v>
      </c>
      <c r="Q585">
        <v>0.35820000000000002</v>
      </c>
      <c r="R585">
        <v>0</v>
      </c>
      <c r="S585">
        <v>36</v>
      </c>
      <c r="T585">
        <v>36</v>
      </c>
    </row>
    <row r="586" spans="1:20" x14ac:dyDescent="0.35">
      <c r="A586">
        <v>585</v>
      </c>
      <c r="B586" s="1">
        <v>40569</v>
      </c>
      <c r="C586">
        <v>1</v>
      </c>
      <c r="D586">
        <v>0</v>
      </c>
      <c r="E586">
        <v>1</v>
      </c>
      <c r="F586" t="str">
        <f>IF(final_data786[[#This Row],[MONTH_CODE]]=1,"JANUARY",IF(final_data786[[#This Row],[MONTH_CODE]]=2,"FEBRUARY"))</f>
        <v>JANUARY</v>
      </c>
      <c r="G586">
        <v>15</v>
      </c>
      <c r="H586">
        <v>0</v>
      </c>
      <c r="I586">
        <v>3</v>
      </c>
      <c r="J5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6" t="str">
        <f>IF(final_data786[[#This Row],[DAY_CODE]]=0,"weekend",IF(final_data786[[#This Row],[DAY_CODE]]=6,"weekend","weekday"))</f>
        <v>weekday</v>
      </c>
      <c r="L586">
        <v>3</v>
      </c>
      <c r="M586" t="str">
        <f>IF(final_data786[[#This Row],[WEATHER_CODE]]=1,"clear",IF(final_data786[[#This Row],[WEATHER_CODE]]=2,"cloudy",IF(final_data786[[#This Row],[WEATHER_CODE]]=3,"light rain",IF(final_data786[[#This Row],[WEATHER_CODE]]=4,"heavy rain",0))))</f>
        <v>light rain</v>
      </c>
      <c r="N586">
        <v>0.22</v>
      </c>
      <c r="O586">
        <v>0.18179999999999999</v>
      </c>
      <c r="P586">
        <v>0.93</v>
      </c>
      <c r="Q586">
        <v>0.4627</v>
      </c>
      <c r="R586">
        <v>1</v>
      </c>
      <c r="S586">
        <v>42</v>
      </c>
      <c r="T586">
        <v>43</v>
      </c>
    </row>
    <row r="587" spans="1:20" x14ac:dyDescent="0.35">
      <c r="A587">
        <v>586</v>
      </c>
      <c r="B587" s="1">
        <v>40569</v>
      </c>
      <c r="C587">
        <v>1</v>
      </c>
      <c r="D587">
        <v>0</v>
      </c>
      <c r="E587">
        <v>1</v>
      </c>
      <c r="F587" t="str">
        <f>IF(final_data786[[#This Row],[MONTH_CODE]]=1,"JANUARY",IF(final_data786[[#This Row],[MONTH_CODE]]=2,"FEBRUARY"))</f>
        <v>JANUARY</v>
      </c>
      <c r="G587">
        <v>16</v>
      </c>
      <c r="H587">
        <v>0</v>
      </c>
      <c r="I587">
        <v>3</v>
      </c>
      <c r="J5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7" t="str">
        <f>IF(final_data786[[#This Row],[DAY_CODE]]=0,"weekend",IF(final_data786[[#This Row],[DAY_CODE]]=6,"weekend","weekday"))</f>
        <v>weekday</v>
      </c>
      <c r="L587">
        <v>4</v>
      </c>
      <c r="M587" t="str">
        <f>IF(final_data786[[#This Row],[WEATHER_CODE]]=1,"clear",IF(final_data786[[#This Row],[WEATHER_CODE]]=2,"cloudy",IF(final_data786[[#This Row],[WEATHER_CODE]]=3,"light rain",IF(final_data786[[#This Row],[WEATHER_CODE]]=4,"heavy rain",0))))</f>
        <v>heavy rain</v>
      </c>
      <c r="N587">
        <v>0.22</v>
      </c>
      <c r="O587">
        <v>0.19700000000000001</v>
      </c>
      <c r="P587">
        <v>0.93</v>
      </c>
      <c r="Q587">
        <v>0.32840000000000003</v>
      </c>
      <c r="R587">
        <v>1</v>
      </c>
      <c r="S587">
        <v>35</v>
      </c>
      <c r="T587">
        <v>36</v>
      </c>
    </row>
    <row r="588" spans="1:20" x14ac:dyDescent="0.35">
      <c r="A588">
        <v>587</v>
      </c>
      <c r="B588" s="1">
        <v>40569</v>
      </c>
      <c r="C588">
        <v>1</v>
      </c>
      <c r="D588">
        <v>0</v>
      </c>
      <c r="E588">
        <v>1</v>
      </c>
      <c r="F588" t="str">
        <f>IF(final_data786[[#This Row],[MONTH_CODE]]=1,"JANUARY",IF(final_data786[[#This Row],[MONTH_CODE]]=2,"FEBRUARY"))</f>
        <v>JANUARY</v>
      </c>
      <c r="G588">
        <v>17</v>
      </c>
      <c r="H588">
        <v>0</v>
      </c>
      <c r="I588">
        <v>3</v>
      </c>
      <c r="J5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588" t="str">
        <f>IF(final_data786[[#This Row],[DAY_CODE]]=0,"weekend",IF(final_data786[[#This Row],[DAY_CODE]]=6,"weekend","weekday"))</f>
        <v>weekday</v>
      </c>
      <c r="L588">
        <v>3</v>
      </c>
      <c r="M588" t="str">
        <f>IF(final_data786[[#This Row],[WEATHER_CODE]]=1,"clear",IF(final_data786[[#This Row],[WEATHER_CODE]]=2,"cloudy",IF(final_data786[[#This Row],[WEATHER_CODE]]=3,"light rain",IF(final_data786[[#This Row],[WEATHER_CODE]]=4,"heavy rain",0))))</f>
        <v>light rain</v>
      </c>
      <c r="N588">
        <v>0.2</v>
      </c>
      <c r="O588">
        <v>0.18179999999999999</v>
      </c>
      <c r="P588">
        <v>0.93</v>
      </c>
      <c r="Q588">
        <v>0.35820000000000002</v>
      </c>
      <c r="R588">
        <v>0</v>
      </c>
      <c r="S588">
        <v>26</v>
      </c>
      <c r="T588">
        <v>26</v>
      </c>
    </row>
    <row r="589" spans="1:20" x14ac:dyDescent="0.35">
      <c r="A589">
        <v>588</v>
      </c>
      <c r="B589" s="1">
        <v>40570</v>
      </c>
      <c r="C589">
        <v>1</v>
      </c>
      <c r="D589">
        <v>0</v>
      </c>
      <c r="E589">
        <v>1</v>
      </c>
      <c r="F589" t="str">
        <f>IF(final_data786[[#This Row],[MONTH_CODE]]=1,"JANUARY",IF(final_data786[[#This Row],[MONTH_CODE]]=2,"FEBRUARY"))</f>
        <v>JANUARY</v>
      </c>
      <c r="G589">
        <v>16</v>
      </c>
      <c r="H589">
        <v>0</v>
      </c>
      <c r="I589">
        <v>4</v>
      </c>
      <c r="J5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89" t="str">
        <f>IF(final_data786[[#This Row],[DAY_CODE]]=0,"weekend",IF(final_data786[[#This Row],[DAY_CODE]]=6,"weekend","weekday"))</f>
        <v>weekday</v>
      </c>
      <c r="L589">
        <v>1</v>
      </c>
      <c r="M589" t="str">
        <f>IF(final_data786[[#This Row],[WEATHER_CODE]]=1,"clear",IF(final_data786[[#This Row],[WEATHER_CODE]]=2,"cloudy",IF(final_data786[[#This Row],[WEATHER_CODE]]=3,"light rain",IF(final_data786[[#This Row],[WEATHER_CODE]]=4,"heavy rain",0))))</f>
        <v>clear</v>
      </c>
      <c r="N589">
        <v>0.22</v>
      </c>
      <c r="O589">
        <v>0.2273</v>
      </c>
      <c r="P589">
        <v>0.55000000000000004</v>
      </c>
      <c r="Q589">
        <v>0.19400000000000001</v>
      </c>
      <c r="R589">
        <v>1</v>
      </c>
      <c r="S589">
        <v>23</v>
      </c>
      <c r="T589">
        <v>24</v>
      </c>
    </row>
    <row r="590" spans="1:20" x14ac:dyDescent="0.35">
      <c r="A590">
        <v>589</v>
      </c>
      <c r="B590" s="1">
        <v>40570</v>
      </c>
      <c r="C590">
        <v>1</v>
      </c>
      <c r="D590">
        <v>0</v>
      </c>
      <c r="E590">
        <v>1</v>
      </c>
      <c r="F590" t="str">
        <f>IF(final_data786[[#This Row],[MONTH_CODE]]=1,"JANUARY",IF(final_data786[[#This Row],[MONTH_CODE]]=2,"FEBRUARY"))</f>
        <v>JANUARY</v>
      </c>
      <c r="G590">
        <v>17</v>
      </c>
      <c r="H590">
        <v>0</v>
      </c>
      <c r="I590">
        <v>4</v>
      </c>
      <c r="J5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0" t="str">
        <f>IF(final_data786[[#This Row],[DAY_CODE]]=0,"weekend",IF(final_data786[[#This Row],[DAY_CODE]]=6,"weekend","weekday"))</f>
        <v>weekday</v>
      </c>
      <c r="L590">
        <v>1</v>
      </c>
      <c r="M590" t="str">
        <f>IF(final_data786[[#This Row],[WEATHER_CODE]]=1,"clear",IF(final_data786[[#This Row],[WEATHER_CODE]]=2,"cloudy",IF(final_data786[[#This Row],[WEATHER_CODE]]=3,"light rain",IF(final_data786[[#This Row],[WEATHER_CODE]]=4,"heavy rain",0))))</f>
        <v>clear</v>
      </c>
      <c r="N590">
        <v>0.22</v>
      </c>
      <c r="O590">
        <v>0.2424</v>
      </c>
      <c r="P590">
        <v>0.55000000000000004</v>
      </c>
      <c r="Q590">
        <v>0.1045</v>
      </c>
      <c r="R590">
        <v>2</v>
      </c>
      <c r="S590">
        <v>82</v>
      </c>
      <c r="T590">
        <v>84</v>
      </c>
    </row>
    <row r="591" spans="1:20" x14ac:dyDescent="0.35">
      <c r="A591">
        <v>590</v>
      </c>
      <c r="B591" s="1">
        <v>40570</v>
      </c>
      <c r="C591">
        <v>1</v>
      </c>
      <c r="D591">
        <v>0</v>
      </c>
      <c r="E591">
        <v>1</v>
      </c>
      <c r="F591" t="str">
        <f>IF(final_data786[[#This Row],[MONTH_CODE]]=1,"JANUARY",IF(final_data786[[#This Row],[MONTH_CODE]]=2,"FEBRUARY"))</f>
        <v>JANUARY</v>
      </c>
      <c r="G591">
        <v>18</v>
      </c>
      <c r="H591">
        <v>0</v>
      </c>
      <c r="I591">
        <v>4</v>
      </c>
      <c r="J5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1" t="str">
        <f>IF(final_data786[[#This Row],[DAY_CODE]]=0,"weekend",IF(final_data786[[#This Row],[DAY_CODE]]=6,"weekend","weekday"))</f>
        <v>weekday</v>
      </c>
      <c r="L591">
        <v>1</v>
      </c>
      <c r="M591" t="str">
        <f>IF(final_data786[[#This Row],[WEATHER_CODE]]=1,"clear",IF(final_data786[[#This Row],[WEATHER_CODE]]=2,"cloudy",IF(final_data786[[#This Row],[WEATHER_CODE]]=3,"light rain",IF(final_data786[[#This Row],[WEATHER_CODE]]=4,"heavy rain",0))))</f>
        <v>clear</v>
      </c>
      <c r="N591">
        <v>0.2</v>
      </c>
      <c r="O591">
        <v>0.2273</v>
      </c>
      <c r="P591">
        <v>0.69</v>
      </c>
      <c r="Q591">
        <v>8.9599999999999999E-2</v>
      </c>
      <c r="R591">
        <v>3</v>
      </c>
      <c r="S591">
        <v>101</v>
      </c>
      <c r="T591">
        <v>104</v>
      </c>
    </row>
    <row r="592" spans="1:20" x14ac:dyDescent="0.35">
      <c r="A592">
        <v>591</v>
      </c>
      <c r="B592" s="1">
        <v>40570</v>
      </c>
      <c r="C592">
        <v>1</v>
      </c>
      <c r="D592">
        <v>0</v>
      </c>
      <c r="E592">
        <v>1</v>
      </c>
      <c r="F592" t="str">
        <f>IF(final_data786[[#This Row],[MONTH_CODE]]=1,"JANUARY",IF(final_data786[[#This Row],[MONTH_CODE]]=2,"FEBRUARY"))</f>
        <v>JANUARY</v>
      </c>
      <c r="G592">
        <v>19</v>
      </c>
      <c r="H592">
        <v>0</v>
      </c>
      <c r="I592">
        <v>4</v>
      </c>
      <c r="J5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2" t="str">
        <f>IF(final_data786[[#This Row],[DAY_CODE]]=0,"weekend",IF(final_data786[[#This Row],[DAY_CODE]]=6,"weekend","weekday"))</f>
        <v>weekday</v>
      </c>
      <c r="L592">
        <v>1</v>
      </c>
      <c r="M592" t="str">
        <f>IF(final_data786[[#This Row],[WEATHER_CODE]]=1,"clear",IF(final_data786[[#This Row],[WEATHER_CODE]]=2,"cloudy",IF(final_data786[[#This Row],[WEATHER_CODE]]=3,"light rain",IF(final_data786[[#This Row],[WEATHER_CODE]]=4,"heavy rain",0))))</f>
        <v>clear</v>
      </c>
      <c r="N592">
        <v>0.2</v>
      </c>
      <c r="O592">
        <v>0.2273</v>
      </c>
      <c r="P592">
        <v>0.69</v>
      </c>
      <c r="Q592">
        <v>8.9599999999999999E-2</v>
      </c>
      <c r="R592">
        <v>3</v>
      </c>
      <c r="S592">
        <v>76</v>
      </c>
      <c r="T592">
        <v>79</v>
      </c>
    </row>
    <row r="593" spans="1:20" x14ac:dyDescent="0.35">
      <c r="A593">
        <v>592</v>
      </c>
      <c r="B593" s="1">
        <v>40570</v>
      </c>
      <c r="C593">
        <v>1</v>
      </c>
      <c r="D593">
        <v>0</v>
      </c>
      <c r="E593">
        <v>1</v>
      </c>
      <c r="F593" t="str">
        <f>IF(final_data786[[#This Row],[MONTH_CODE]]=1,"JANUARY",IF(final_data786[[#This Row],[MONTH_CODE]]=2,"FEBRUARY"))</f>
        <v>JANUARY</v>
      </c>
      <c r="G593">
        <v>20</v>
      </c>
      <c r="H593">
        <v>0</v>
      </c>
      <c r="I593">
        <v>4</v>
      </c>
      <c r="J5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3" t="str">
        <f>IF(final_data786[[#This Row],[DAY_CODE]]=0,"weekend",IF(final_data786[[#This Row],[DAY_CODE]]=6,"weekend","weekday"))</f>
        <v>weekday</v>
      </c>
      <c r="L593">
        <v>1</v>
      </c>
      <c r="M593" t="str">
        <f>IF(final_data786[[#This Row],[WEATHER_CODE]]=1,"clear",IF(final_data786[[#This Row],[WEATHER_CODE]]=2,"cloudy",IF(final_data786[[#This Row],[WEATHER_CODE]]=3,"light rain",IF(final_data786[[#This Row],[WEATHER_CODE]]=4,"heavy rain",0))))</f>
        <v>clear</v>
      </c>
      <c r="N593">
        <v>0.18</v>
      </c>
      <c r="O593">
        <v>0.21210000000000001</v>
      </c>
      <c r="P593">
        <v>0.74</v>
      </c>
      <c r="Q593">
        <v>8.9599999999999999E-2</v>
      </c>
      <c r="R593">
        <v>4</v>
      </c>
      <c r="S593">
        <v>55</v>
      </c>
      <c r="T593">
        <v>59</v>
      </c>
    </row>
    <row r="594" spans="1:20" x14ac:dyDescent="0.35">
      <c r="A594">
        <v>593</v>
      </c>
      <c r="B594" s="1">
        <v>40570</v>
      </c>
      <c r="C594">
        <v>1</v>
      </c>
      <c r="D594">
        <v>0</v>
      </c>
      <c r="E594">
        <v>1</v>
      </c>
      <c r="F594" t="str">
        <f>IF(final_data786[[#This Row],[MONTH_CODE]]=1,"JANUARY",IF(final_data786[[#This Row],[MONTH_CODE]]=2,"FEBRUARY"))</f>
        <v>JANUARY</v>
      </c>
      <c r="G594">
        <v>21</v>
      </c>
      <c r="H594">
        <v>0</v>
      </c>
      <c r="I594">
        <v>4</v>
      </c>
      <c r="J5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4" t="str">
        <f>IF(final_data786[[#This Row],[DAY_CODE]]=0,"weekend",IF(final_data786[[#This Row],[DAY_CODE]]=6,"weekend","weekday"))</f>
        <v>weekday</v>
      </c>
      <c r="L594">
        <v>1</v>
      </c>
      <c r="M594" t="str">
        <f>IF(final_data786[[#This Row],[WEATHER_CODE]]=1,"clear",IF(final_data786[[#This Row],[WEATHER_CODE]]=2,"cloudy",IF(final_data786[[#This Row],[WEATHER_CODE]]=3,"light rain",IF(final_data786[[#This Row],[WEATHER_CODE]]=4,"heavy rain",0))))</f>
        <v>clear</v>
      </c>
      <c r="N594">
        <v>0.18</v>
      </c>
      <c r="O594">
        <v>0.21210000000000001</v>
      </c>
      <c r="P594">
        <v>0.74</v>
      </c>
      <c r="Q594">
        <v>8.9599999999999999E-2</v>
      </c>
      <c r="R594">
        <v>2</v>
      </c>
      <c r="S594">
        <v>36</v>
      </c>
      <c r="T594">
        <v>38</v>
      </c>
    </row>
    <row r="595" spans="1:20" x14ac:dyDescent="0.35">
      <c r="A595">
        <v>594</v>
      </c>
      <c r="B595" s="1">
        <v>40570</v>
      </c>
      <c r="C595">
        <v>1</v>
      </c>
      <c r="D595">
        <v>0</v>
      </c>
      <c r="E595">
        <v>1</v>
      </c>
      <c r="F595" t="str">
        <f>IF(final_data786[[#This Row],[MONTH_CODE]]=1,"JANUARY",IF(final_data786[[#This Row],[MONTH_CODE]]=2,"FEBRUARY"))</f>
        <v>JANUARY</v>
      </c>
      <c r="G595">
        <v>22</v>
      </c>
      <c r="H595">
        <v>0</v>
      </c>
      <c r="I595">
        <v>4</v>
      </c>
      <c r="J5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5" t="str">
        <f>IF(final_data786[[#This Row],[DAY_CODE]]=0,"weekend",IF(final_data786[[#This Row],[DAY_CODE]]=6,"weekend","weekday"))</f>
        <v>weekday</v>
      </c>
      <c r="L595">
        <v>1</v>
      </c>
      <c r="M595" t="str">
        <f>IF(final_data786[[#This Row],[WEATHER_CODE]]=1,"clear",IF(final_data786[[#This Row],[WEATHER_CODE]]=2,"cloudy",IF(final_data786[[#This Row],[WEATHER_CODE]]=3,"light rain",IF(final_data786[[#This Row],[WEATHER_CODE]]=4,"heavy rain",0))))</f>
        <v>clear</v>
      </c>
      <c r="N595">
        <v>0.18</v>
      </c>
      <c r="O595">
        <v>0.21210000000000001</v>
      </c>
      <c r="P595">
        <v>0.74</v>
      </c>
      <c r="Q595">
        <v>8.9599999999999999E-2</v>
      </c>
      <c r="R595">
        <v>0</v>
      </c>
      <c r="S595">
        <v>27</v>
      </c>
      <c r="T595">
        <v>27</v>
      </c>
    </row>
    <row r="596" spans="1:20" x14ac:dyDescent="0.35">
      <c r="A596">
        <v>595</v>
      </c>
      <c r="B596" s="1">
        <v>40570</v>
      </c>
      <c r="C596">
        <v>1</v>
      </c>
      <c r="D596">
        <v>0</v>
      </c>
      <c r="E596">
        <v>1</v>
      </c>
      <c r="F596" t="str">
        <f>IF(final_data786[[#This Row],[MONTH_CODE]]=1,"JANUARY",IF(final_data786[[#This Row],[MONTH_CODE]]=2,"FEBRUARY"))</f>
        <v>JANUARY</v>
      </c>
      <c r="G596">
        <v>23</v>
      </c>
      <c r="H596">
        <v>0</v>
      </c>
      <c r="I596">
        <v>4</v>
      </c>
      <c r="J5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596" t="str">
        <f>IF(final_data786[[#This Row],[DAY_CODE]]=0,"weekend",IF(final_data786[[#This Row],[DAY_CODE]]=6,"weekend","weekday"))</f>
        <v>weekday</v>
      </c>
      <c r="L596">
        <v>1</v>
      </c>
      <c r="M596" t="str">
        <f>IF(final_data786[[#This Row],[WEATHER_CODE]]=1,"clear",IF(final_data786[[#This Row],[WEATHER_CODE]]=2,"cloudy",IF(final_data786[[#This Row],[WEATHER_CODE]]=3,"light rain",IF(final_data786[[#This Row],[WEATHER_CODE]]=4,"heavy rain",0))))</f>
        <v>clear</v>
      </c>
      <c r="N596">
        <v>0.18</v>
      </c>
      <c r="O596">
        <v>0.19700000000000001</v>
      </c>
      <c r="P596">
        <v>0.8</v>
      </c>
      <c r="Q596">
        <v>0.16420000000000001</v>
      </c>
      <c r="R596">
        <v>0</v>
      </c>
      <c r="S596">
        <v>16</v>
      </c>
      <c r="T596">
        <v>16</v>
      </c>
    </row>
    <row r="597" spans="1:20" x14ac:dyDescent="0.35">
      <c r="A597">
        <v>596</v>
      </c>
      <c r="B597" s="1">
        <v>40571</v>
      </c>
      <c r="C597">
        <v>1</v>
      </c>
      <c r="D597">
        <v>0</v>
      </c>
      <c r="E597">
        <v>1</v>
      </c>
      <c r="F597" t="str">
        <f>IF(final_data786[[#This Row],[MONTH_CODE]]=1,"JANUARY",IF(final_data786[[#This Row],[MONTH_CODE]]=2,"FEBRUARY"))</f>
        <v>JANUARY</v>
      </c>
      <c r="G597">
        <v>0</v>
      </c>
      <c r="H597">
        <v>0</v>
      </c>
      <c r="I597">
        <v>5</v>
      </c>
      <c r="J5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597" t="str">
        <f>IF(final_data786[[#This Row],[DAY_CODE]]=0,"weekend",IF(final_data786[[#This Row],[DAY_CODE]]=6,"weekend","weekday"))</f>
        <v>weekday</v>
      </c>
      <c r="L597">
        <v>2</v>
      </c>
      <c r="M597" t="str">
        <f>IF(final_data786[[#This Row],[WEATHER_CODE]]=1,"clear",IF(final_data786[[#This Row],[WEATHER_CODE]]=2,"cloudy",IF(final_data786[[#This Row],[WEATHER_CODE]]=3,"light rain",IF(final_data786[[#This Row],[WEATHER_CODE]]=4,"heavy rain",0))))</f>
        <v>cloudy</v>
      </c>
      <c r="N597">
        <v>0.2</v>
      </c>
      <c r="O597">
        <v>0.21210000000000001</v>
      </c>
      <c r="P597">
        <v>0.75</v>
      </c>
      <c r="Q597">
        <v>0.1343</v>
      </c>
      <c r="R597">
        <v>0</v>
      </c>
      <c r="S597">
        <v>9</v>
      </c>
      <c r="T597">
        <v>9</v>
      </c>
    </row>
    <row r="598" spans="1:20" x14ac:dyDescent="0.35">
      <c r="A598">
        <v>597</v>
      </c>
      <c r="B598" s="1">
        <v>40571</v>
      </c>
      <c r="C598">
        <v>1</v>
      </c>
      <c r="D598">
        <v>0</v>
      </c>
      <c r="E598">
        <v>1</v>
      </c>
      <c r="F598" t="str">
        <f>IF(final_data786[[#This Row],[MONTH_CODE]]=1,"JANUARY",IF(final_data786[[#This Row],[MONTH_CODE]]=2,"FEBRUARY"))</f>
        <v>JANUARY</v>
      </c>
      <c r="G598">
        <v>1</v>
      </c>
      <c r="H598">
        <v>0</v>
      </c>
      <c r="I598">
        <v>5</v>
      </c>
      <c r="J5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598" t="str">
        <f>IF(final_data786[[#This Row],[DAY_CODE]]=0,"weekend",IF(final_data786[[#This Row],[DAY_CODE]]=6,"weekend","weekday"))</f>
        <v>weekday</v>
      </c>
      <c r="L598">
        <v>2</v>
      </c>
      <c r="M598" t="str">
        <f>IF(final_data786[[#This Row],[WEATHER_CODE]]=1,"clear",IF(final_data786[[#This Row],[WEATHER_CODE]]=2,"cloudy",IF(final_data786[[#This Row],[WEATHER_CODE]]=3,"light rain",IF(final_data786[[#This Row],[WEATHER_CODE]]=4,"heavy rain",0))))</f>
        <v>cloudy</v>
      </c>
      <c r="N598">
        <v>0.2</v>
      </c>
      <c r="O598">
        <v>0.21210000000000001</v>
      </c>
      <c r="P598">
        <v>0.75</v>
      </c>
      <c r="Q598">
        <v>0.1343</v>
      </c>
      <c r="R598">
        <v>1</v>
      </c>
      <c r="S598">
        <v>2</v>
      </c>
      <c r="T598">
        <v>3</v>
      </c>
    </row>
    <row r="599" spans="1:20" x14ac:dyDescent="0.35">
      <c r="A599">
        <v>598</v>
      </c>
      <c r="B599" s="1">
        <v>40571</v>
      </c>
      <c r="C599">
        <v>1</v>
      </c>
      <c r="D599">
        <v>0</v>
      </c>
      <c r="E599">
        <v>1</v>
      </c>
      <c r="F599" t="str">
        <f>IF(final_data786[[#This Row],[MONTH_CODE]]=1,"JANUARY",IF(final_data786[[#This Row],[MONTH_CODE]]=2,"FEBRUARY"))</f>
        <v>JANUARY</v>
      </c>
      <c r="G599">
        <v>2</v>
      </c>
      <c r="H599">
        <v>0</v>
      </c>
      <c r="I599">
        <v>5</v>
      </c>
      <c r="J5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599" t="str">
        <f>IF(final_data786[[#This Row],[DAY_CODE]]=0,"weekend",IF(final_data786[[#This Row],[DAY_CODE]]=6,"weekend","weekday"))</f>
        <v>weekday</v>
      </c>
      <c r="L599">
        <v>2</v>
      </c>
      <c r="M599" t="str">
        <f>IF(final_data786[[#This Row],[WEATHER_CODE]]=1,"clear",IF(final_data786[[#This Row],[WEATHER_CODE]]=2,"cloudy",IF(final_data786[[#This Row],[WEATHER_CODE]]=3,"light rain",IF(final_data786[[#This Row],[WEATHER_CODE]]=4,"heavy rain",0))))</f>
        <v>cloudy</v>
      </c>
      <c r="N599">
        <v>0.2</v>
      </c>
      <c r="O599">
        <v>0.21210000000000001</v>
      </c>
      <c r="P599">
        <v>0.75</v>
      </c>
      <c r="Q599">
        <v>0.16420000000000001</v>
      </c>
      <c r="R599">
        <v>0</v>
      </c>
      <c r="S599">
        <v>2</v>
      </c>
      <c r="T599">
        <v>2</v>
      </c>
    </row>
    <row r="600" spans="1:20" x14ac:dyDescent="0.35">
      <c r="A600">
        <v>599</v>
      </c>
      <c r="B600" s="1">
        <v>40571</v>
      </c>
      <c r="C600">
        <v>1</v>
      </c>
      <c r="D600">
        <v>0</v>
      </c>
      <c r="E600">
        <v>1</v>
      </c>
      <c r="F600" t="str">
        <f>IF(final_data786[[#This Row],[MONTH_CODE]]=1,"JANUARY",IF(final_data786[[#This Row],[MONTH_CODE]]=2,"FEBRUARY"))</f>
        <v>JANUARY</v>
      </c>
      <c r="G600">
        <v>3</v>
      </c>
      <c r="H600">
        <v>0</v>
      </c>
      <c r="I600">
        <v>5</v>
      </c>
      <c r="J6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0" t="str">
        <f>IF(final_data786[[#This Row],[DAY_CODE]]=0,"weekend",IF(final_data786[[#This Row],[DAY_CODE]]=6,"weekend","weekday"))</f>
        <v>weekday</v>
      </c>
      <c r="L600">
        <v>2</v>
      </c>
      <c r="M600" t="str">
        <f>IF(final_data786[[#This Row],[WEATHER_CODE]]=1,"clear",IF(final_data786[[#This Row],[WEATHER_CODE]]=2,"cloudy",IF(final_data786[[#This Row],[WEATHER_CODE]]=3,"light rain",IF(final_data786[[#This Row],[WEATHER_CODE]]=4,"heavy rain",0))))</f>
        <v>cloudy</v>
      </c>
      <c r="N600">
        <v>0.2</v>
      </c>
      <c r="O600">
        <v>0.2273</v>
      </c>
      <c r="P600">
        <v>0.75</v>
      </c>
      <c r="Q600">
        <v>0.1045</v>
      </c>
      <c r="R600">
        <v>1</v>
      </c>
      <c r="S600">
        <v>0</v>
      </c>
      <c r="T600">
        <v>1</v>
      </c>
    </row>
    <row r="601" spans="1:20" x14ac:dyDescent="0.35">
      <c r="A601">
        <v>600</v>
      </c>
      <c r="B601" s="1">
        <v>40571</v>
      </c>
      <c r="C601">
        <v>1</v>
      </c>
      <c r="D601">
        <v>0</v>
      </c>
      <c r="E601">
        <v>1</v>
      </c>
      <c r="F601" t="str">
        <f>IF(final_data786[[#This Row],[MONTH_CODE]]=1,"JANUARY",IF(final_data786[[#This Row],[MONTH_CODE]]=2,"FEBRUARY"))</f>
        <v>JANUARY</v>
      </c>
      <c r="G601">
        <v>5</v>
      </c>
      <c r="H601">
        <v>0</v>
      </c>
      <c r="I601">
        <v>5</v>
      </c>
      <c r="J6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1" t="str">
        <f>IF(final_data786[[#This Row],[DAY_CODE]]=0,"weekend",IF(final_data786[[#This Row],[DAY_CODE]]=6,"weekend","weekday"))</f>
        <v>weekday</v>
      </c>
      <c r="L601">
        <v>2</v>
      </c>
      <c r="M601" t="str">
        <f>IF(final_data786[[#This Row],[WEATHER_CODE]]=1,"clear",IF(final_data786[[#This Row],[WEATHER_CODE]]=2,"cloudy",IF(final_data786[[#This Row],[WEATHER_CODE]]=3,"light rain",IF(final_data786[[#This Row],[WEATHER_CODE]]=4,"heavy rain",0))))</f>
        <v>cloudy</v>
      </c>
      <c r="N601">
        <v>0.18</v>
      </c>
      <c r="O601">
        <v>0.21210000000000001</v>
      </c>
      <c r="P601">
        <v>0.8</v>
      </c>
      <c r="Q601">
        <v>0.1045</v>
      </c>
      <c r="R601">
        <v>0</v>
      </c>
      <c r="S601">
        <v>4</v>
      </c>
      <c r="T601">
        <v>4</v>
      </c>
    </row>
    <row r="602" spans="1:20" x14ac:dyDescent="0.35">
      <c r="A602">
        <v>601</v>
      </c>
      <c r="B602" s="1">
        <v>40571</v>
      </c>
      <c r="C602">
        <v>1</v>
      </c>
      <c r="D602">
        <v>0</v>
      </c>
      <c r="E602">
        <v>1</v>
      </c>
      <c r="F602" t="str">
        <f>IF(final_data786[[#This Row],[MONTH_CODE]]=1,"JANUARY",IF(final_data786[[#This Row],[MONTH_CODE]]=2,"FEBRUARY"))</f>
        <v>JANUARY</v>
      </c>
      <c r="G602">
        <v>6</v>
      </c>
      <c r="H602">
        <v>0</v>
      </c>
      <c r="I602">
        <v>5</v>
      </c>
      <c r="J6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2" t="str">
        <f>IF(final_data786[[#This Row],[DAY_CODE]]=0,"weekend",IF(final_data786[[#This Row],[DAY_CODE]]=6,"weekend","weekday"))</f>
        <v>weekday</v>
      </c>
      <c r="L602">
        <v>2</v>
      </c>
      <c r="M602" t="str">
        <f>IF(final_data786[[#This Row],[WEATHER_CODE]]=1,"clear",IF(final_data786[[#This Row],[WEATHER_CODE]]=2,"cloudy",IF(final_data786[[#This Row],[WEATHER_CODE]]=3,"light rain",IF(final_data786[[#This Row],[WEATHER_CODE]]=4,"heavy rain",0))))</f>
        <v>cloudy</v>
      </c>
      <c r="N602">
        <v>0.18</v>
      </c>
      <c r="O602">
        <v>0.19700000000000001</v>
      </c>
      <c r="P602">
        <v>0.8</v>
      </c>
      <c r="Q602">
        <v>0.1343</v>
      </c>
      <c r="R602">
        <v>0</v>
      </c>
      <c r="S602">
        <v>16</v>
      </c>
      <c r="T602">
        <v>16</v>
      </c>
    </row>
    <row r="603" spans="1:20" x14ac:dyDescent="0.35">
      <c r="A603">
        <v>602</v>
      </c>
      <c r="B603" s="1">
        <v>40571</v>
      </c>
      <c r="C603">
        <v>1</v>
      </c>
      <c r="D603">
        <v>0</v>
      </c>
      <c r="E603">
        <v>1</v>
      </c>
      <c r="F603" t="str">
        <f>IF(final_data786[[#This Row],[MONTH_CODE]]=1,"JANUARY",IF(final_data786[[#This Row],[MONTH_CODE]]=2,"FEBRUARY"))</f>
        <v>JANUARY</v>
      </c>
      <c r="G603">
        <v>7</v>
      </c>
      <c r="H603">
        <v>0</v>
      </c>
      <c r="I603">
        <v>5</v>
      </c>
      <c r="J6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3" t="str">
        <f>IF(final_data786[[#This Row],[DAY_CODE]]=0,"weekend",IF(final_data786[[#This Row],[DAY_CODE]]=6,"weekend","weekday"))</f>
        <v>weekday</v>
      </c>
      <c r="L603">
        <v>2</v>
      </c>
      <c r="M603" t="str">
        <f>IF(final_data786[[#This Row],[WEATHER_CODE]]=1,"clear",IF(final_data786[[#This Row],[WEATHER_CODE]]=2,"cloudy",IF(final_data786[[#This Row],[WEATHER_CODE]]=3,"light rain",IF(final_data786[[#This Row],[WEATHER_CODE]]=4,"heavy rain",0))))</f>
        <v>cloudy</v>
      </c>
      <c r="N603">
        <v>0.16</v>
      </c>
      <c r="O603">
        <v>0.19700000000000001</v>
      </c>
      <c r="P603">
        <v>0.86</v>
      </c>
      <c r="Q603">
        <v>8.9599999999999999E-2</v>
      </c>
      <c r="R603">
        <v>2</v>
      </c>
      <c r="S603">
        <v>58</v>
      </c>
      <c r="T603">
        <v>60</v>
      </c>
    </row>
    <row r="604" spans="1:20" x14ac:dyDescent="0.35">
      <c r="A604">
        <v>603</v>
      </c>
      <c r="B604" s="1">
        <v>40571</v>
      </c>
      <c r="C604">
        <v>1</v>
      </c>
      <c r="D604">
        <v>0</v>
      </c>
      <c r="E604">
        <v>1</v>
      </c>
      <c r="F604" t="str">
        <f>IF(final_data786[[#This Row],[MONTH_CODE]]=1,"JANUARY",IF(final_data786[[#This Row],[MONTH_CODE]]=2,"FEBRUARY"))</f>
        <v>JANUARY</v>
      </c>
      <c r="G604">
        <v>8</v>
      </c>
      <c r="H604">
        <v>0</v>
      </c>
      <c r="I604">
        <v>5</v>
      </c>
      <c r="J6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4" t="str">
        <f>IF(final_data786[[#This Row],[DAY_CODE]]=0,"weekend",IF(final_data786[[#This Row],[DAY_CODE]]=6,"weekend","weekday"))</f>
        <v>weekday</v>
      </c>
      <c r="L604">
        <v>2</v>
      </c>
      <c r="M604" t="str">
        <f>IF(final_data786[[#This Row],[WEATHER_CODE]]=1,"clear",IF(final_data786[[#This Row],[WEATHER_CODE]]=2,"cloudy",IF(final_data786[[#This Row],[WEATHER_CODE]]=3,"light rain",IF(final_data786[[#This Row],[WEATHER_CODE]]=4,"heavy rain",0))))</f>
        <v>cloudy</v>
      </c>
      <c r="N604">
        <v>0.16</v>
      </c>
      <c r="O604">
        <v>0.19700000000000001</v>
      </c>
      <c r="P604">
        <v>0.86</v>
      </c>
      <c r="Q604">
        <v>8.9599999999999999E-2</v>
      </c>
      <c r="R604">
        <v>2</v>
      </c>
      <c r="S604">
        <v>155</v>
      </c>
      <c r="T604">
        <v>157</v>
      </c>
    </row>
    <row r="605" spans="1:20" x14ac:dyDescent="0.35">
      <c r="A605">
        <v>604</v>
      </c>
      <c r="B605" s="1">
        <v>40571</v>
      </c>
      <c r="C605">
        <v>1</v>
      </c>
      <c r="D605">
        <v>0</v>
      </c>
      <c r="E605">
        <v>1</v>
      </c>
      <c r="F605" t="str">
        <f>IF(final_data786[[#This Row],[MONTH_CODE]]=1,"JANUARY",IF(final_data786[[#This Row],[MONTH_CODE]]=2,"FEBRUARY"))</f>
        <v>JANUARY</v>
      </c>
      <c r="G605">
        <v>9</v>
      </c>
      <c r="H605">
        <v>0</v>
      </c>
      <c r="I605">
        <v>5</v>
      </c>
      <c r="J6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5" t="str">
        <f>IF(final_data786[[#This Row],[DAY_CODE]]=0,"weekend",IF(final_data786[[#This Row],[DAY_CODE]]=6,"weekend","weekday"))</f>
        <v>weekday</v>
      </c>
      <c r="L605">
        <v>3</v>
      </c>
      <c r="M605" t="str">
        <f>IF(final_data786[[#This Row],[WEATHER_CODE]]=1,"clear",IF(final_data786[[#This Row],[WEATHER_CODE]]=2,"cloudy",IF(final_data786[[#This Row],[WEATHER_CODE]]=3,"light rain",IF(final_data786[[#This Row],[WEATHER_CODE]]=4,"heavy rain",0))))</f>
        <v>light rain</v>
      </c>
      <c r="N605">
        <v>0.18</v>
      </c>
      <c r="O605">
        <v>0.21210000000000001</v>
      </c>
      <c r="P605">
        <v>0.86</v>
      </c>
      <c r="Q605">
        <v>8.9599999999999999E-2</v>
      </c>
      <c r="R605">
        <v>6</v>
      </c>
      <c r="S605">
        <v>95</v>
      </c>
      <c r="T605">
        <v>101</v>
      </c>
    </row>
    <row r="606" spans="1:20" x14ac:dyDescent="0.35">
      <c r="A606">
        <v>605</v>
      </c>
      <c r="B606" s="1">
        <v>40571</v>
      </c>
      <c r="C606">
        <v>1</v>
      </c>
      <c r="D606">
        <v>0</v>
      </c>
      <c r="E606">
        <v>1</v>
      </c>
      <c r="F606" t="str">
        <f>IF(final_data786[[#This Row],[MONTH_CODE]]=1,"JANUARY",IF(final_data786[[#This Row],[MONTH_CODE]]=2,"FEBRUARY"))</f>
        <v>JANUARY</v>
      </c>
      <c r="G606">
        <v>10</v>
      </c>
      <c r="H606">
        <v>0</v>
      </c>
      <c r="I606">
        <v>5</v>
      </c>
      <c r="J6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6" t="str">
        <f>IF(final_data786[[#This Row],[DAY_CODE]]=0,"weekend",IF(final_data786[[#This Row],[DAY_CODE]]=6,"weekend","weekday"))</f>
        <v>weekday</v>
      </c>
      <c r="L606">
        <v>3</v>
      </c>
      <c r="M606" t="str">
        <f>IF(final_data786[[#This Row],[WEATHER_CODE]]=1,"clear",IF(final_data786[[#This Row],[WEATHER_CODE]]=2,"cloudy",IF(final_data786[[#This Row],[WEATHER_CODE]]=3,"light rain",IF(final_data786[[#This Row],[WEATHER_CODE]]=4,"heavy rain",0))))</f>
        <v>light rain</v>
      </c>
      <c r="N606">
        <v>0.18</v>
      </c>
      <c r="O606">
        <v>0.21210000000000001</v>
      </c>
      <c r="P606">
        <v>0.86</v>
      </c>
      <c r="Q606">
        <v>0.1045</v>
      </c>
      <c r="R606">
        <v>0</v>
      </c>
      <c r="S606">
        <v>49</v>
      </c>
      <c r="T606">
        <v>49</v>
      </c>
    </row>
    <row r="607" spans="1:20" x14ac:dyDescent="0.35">
      <c r="A607">
        <v>606</v>
      </c>
      <c r="B607" s="1">
        <v>40571</v>
      </c>
      <c r="C607">
        <v>1</v>
      </c>
      <c r="D607">
        <v>0</v>
      </c>
      <c r="E607">
        <v>1</v>
      </c>
      <c r="F607" t="str">
        <f>IF(final_data786[[#This Row],[MONTH_CODE]]=1,"JANUARY",IF(final_data786[[#This Row],[MONTH_CODE]]=2,"FEBRUARY"))</f>
        <v>JANUARY</v>
      </c>
      <c r="G607">
        <v>11</v>
      </c>
      <c r="H607">
        <v>0</v>
      </c>
      <c r="I607">
        <v>5</v>
      </c>
      <c r="J6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7" t="str">
        <f>IF(final_data786[[#This Row],[DAY_CODE]]=0,"weekend",IF(final_data786[[#This Row],[DAY_CODE]]=6,"weekend","weekday"))</f>
        <v>weekday</v>
      </c>
      <c r="L607">
        <v>3</v>
      </c>
      <c r="M607" t="str">
        <f>IF(final_data786[[#This Row],[WEATHER_CODE]]=1,"clear",IF(final_data786[[#This Row],[WEATHER_CODE]]=2,"cloudy",IF(final_data786[[#This Row],[WEATHER_CODE]]=3,"light rain",IF(final_data786[[#This Row],[WEATHER_CODE]]=4,"heavy rain",0))))</f>
        <v>light rain</v>
      </c>
      <c r="N607">
        <v>0.18</v>
      </c>
      <c r="O607">
        <v>0.21210000000000001</v>
      </c>
      <c r="P607">
        <v>0.93</v>
      </c>
      <c r="Q607">
        <v>0.1045</v>
      </c>
      <c r="R607">
        <v>0</v>
      </c>
      <c r="S607">
        <v>30</v>
      </c>
      <c r="T607">
        <v>30</v>
      </c>
    </row>
    <row r="608" spans="1:20" x14ac:dyDescent="0.35">
      <c r="A608">
        <v>607</v>
      </c>
      <c r="B608" s="1">
        <v>40571</v>
      </c>
      <c r="C608">
        <v>1</v>
      </c>
      <c r="D608">
        <v>0</v>
      </c>
      <c r="E608">
        <v>1</v>
      </c>
      <c r="F608" t="str">
        <f>IF(final_data786[[#This Row],[MONTH_CODE]]=1,"JANUARY",IF(final_data786[[#This Row],[MONTH_CODE]]=2,"FEBRUARY"))</f>
        <v>JANUARY</v>
      </c>
      <c r="G608">
        <v>12</v>
      </c>
      <c r="H608">
        <v>0</v>
      </c>
      <c r="I608">
        <v>5</v>
      </c>
      <c r="J6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8" t="str">
        <f>IF(final_data786[[#This Row],[DAY_CODE]]=0,"weekend",IF(final_data786[[#This Row],[DAY_CODE]]=6,"weekend","weekday"))</f>
        <v>weekday</v>
      </c>
      <c r="L608">
        <v>3</v>
      </c>
      <c r="M608" t="str">
        <f>IF(final_data786[[#This Row],[WEATHER_CODE]]=1,"clear",IF(final_data786[[#This Row],[WEATHER_CODE]]=2,"cloudy",IF(final_data786[[#This Row],[WEATHER_CODE]]=3,"light rain",IF(final_data786[[#This Row],[WEATHER_CODE]]=4,"heavy rain",0))))</f>
        <v>light rain</v>
      </c>
      <c r="N608">
        <v>0.18</v>
      </c>
      <c r="O608">
        <v>0.21210000000000001</v>
      </c>
      <c r="P608">
        <v>0.93</v>
      </c>
      <c r="Q608">
        <v>0.1045</v>
      </c>
      <c r="R608">
        <v>1</v>
      </c>
      <c r="S608">
        <v>28</v>
      </c>
      <c r="T608">
        <v>29</v>
      </c>
    </row>
    <row r="609" spans="1:20" x14ac:dyDescent="0.35">
      <c r="A609">
        <v>608</v>
      </c>
      <c r="B609" s="1">
        <v>40571</v>
      </c>
      <c r="C609">
        <v>1</v>
      </c>
      <c r="D609">
        <v>0</v>
      </c>
      <c r="E609">
        <v>1</v>
      </c>
      <c r="F609" t="str">
        <f>IF(final_data786[[#This Row],[MONTH_CODE]]=1,"JANUARY",IF(final_data786[[#This Row],[MONTH_CODE]]=2,"FEBRUARY"))</f>
        <v>JANUARY</v>
      </c>
      <c r="G609">
        <v>13</v>
      </c>
      <c r="H609">
        <v>0</v>
      </c>
      <c r="I609">
        <v>5</v>
      </c>
      <c r="J6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09" t="str">
        <f>IF(final_data786[[#This Row],[DAY_CODE]]=0,"weekend",IF(final_data786[[#This Row],[DAY_CODE]]=6,"weekend","weekday"))</f>
        <v>weekday</v>
      </c>
      <c r="L609">
        <v>3</v>
      </c>
      <c r="M609" t="str">
        <f>IF(final_data786[[#This Row],[WEATHER_CODE]]=1,"clear",IF(final_data786[[#This Row],[WEATHER_CODE]]=2,"cloudy",IF(final_data786[[#This Row],[WEATHER_CODE]]=3,"light rain",IF(final_data786[[#This Row],[WEATHER_CODE]]=4,"heavy rain",0))))</f>
        <v>light rain</v>
      </c>
      <c r="N609">
        <v>0.18</v>
      </c>
      <c r="O609">
        <v>0.21210000000000001</v>
      </c>
      <c r="P609">
        <v>0.93</v>
      </c>
      <c r="Q609">
        <v>0.1045</v>
      </c>
      <c r="R609">
        <v>0</v>
      </c>
      <c r="S609">
        <v>31</v>
      </c>
      <c r="T609">
        <v>31</v>
      </c>
    </row>
    <row r="610" spans="1:20" x14ac:dyDescent="0.35">
      <c r="A610">
        <v>609</v>
      </c>
      <c r="B610" s="1">
        <v>40571</v>
      </c>
      <c r="C610">
        <v>1</v>
      </c>
      <c r="D610">
        <v>0</v>
      </c>
      <c r="E610">
        <v>1</v>
      </c>
      <c r="F610" t="str">
        <f>IF(final_data786[[#This Row],[MONTH_CODE]]=1,"JANUARY",IF(final_data786[[#This Row],[MONTH_CODE]]=2,"FEBRUARY"))</f>
        <v>JANUARY</v>
      </c>
      <c r="G610">
        <v>14</v>
      </c>
      <c r="H610">
        <v>0</v>
      </c>
      <c r="I610">
        <v>5</v>
      </c>
      <c r="J6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0" t="str">
        <f>IF(final_data786[[#This Row],[DAY_CODE]]=0,"weekend",IF(final_data786[[#This Row],[DAY_CODE]]=6,"weekend","weekday"))</f>
        <v>weekday</v>
      </c>
      <c r="L610">
        <v>3</v>
      </c>
      <c r="M610" t="str">
        <f>IF(final_data786[[#This Row],[WEATHER_CODE]]=1,"clear",IF(final_data786[[#This Row],[WEATHER_CODE]]=2,"cloudy",IF(final_data786[[#This Row],[WEATHER_CODE]]=3,"light rain",IF(final_data786[[#This Row],[WEATHER_CODE]]=4,"heavy rain",0))))</f>
        <v>light rain</v>
      </c>
      <c r="N610">
        <v>0.22</v>
      </c>
      <c r="O610">
        <v>0.2727</v>
      </c>
      <c r="P610">
        <v>0.8</v>
      </c>
      <c r="Q610">
        <v>0</v>
      </c>
      <c r="R610">
        <v>2</v>
      </c>
      <c r="S610">
        <v>36</v>
      </c>
      <c r="T610">
        <v>38</v>
      </c>
    </row>
    <row r="611" spans="1:20" x14ac:dyDescent="0.35">
      <c r="A611">
        <v>610</v>
      </c>
      <c r="B611" s="1">
        <v>40571</v>
      </c>
      <c r="C611">
        <v>1</v>
      </c>
      <c r="D611">
        <v>0</v>
      </c>
      <c r="E611">
        <v>1</v>
      </c>
      <c r="F611" t="str">
        <f>IF(final_data786[[#This Row],[MONTH_CODE]]=1,"JANUARY",IF(final_data786[[#This Row],[MONTH_CODE]]=2,"FEBRUARY"))</f>
        <v>JANUARY</v>
      </c>
      <c r="G611">
        <v>15</v>
      </c>
      <c r="H611">
        <v>0</v>
      </c>
      <c r="I611">
        <v>5</v>
      </c>
      <c r="J6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1" t="str">
        <f>IF(final_data786[[#This Row],[DAY_CODE]]=0,"weekend",IF(final_data786[[#This Row],[DAY_CODE]]=6,"weekend","weekday"))</f>
        <v>weekday</v>
      </c>
      <c r="L611">
        <v>2</v>
      </c>
      <c r="M611" t="str">
        <f>IF(final_data786[[#This Row],[WEATHER_CODE]]=1,"clear",IF(final_data786[[#This Row],[WEATHER_CODE]]=2,"cloudy",IF(final_data786[[#This Row],[WEATHER_CODE]]=3,"light rain",IF(final_data786[[#This Row],[WEATHER_CODE]]=4,"heavy rain",0))))</f>
        <v>cloudy</v>
      </c>
      <c r="N611">
        <v>0.2</v>
      </c>
      <c r="O611">
        <v>0.2576</v>
      </c>
      <c r="P611">
        <v>0.86</v>
      </c>
      <c r="Q611">
        <v>0</v>
      </c>
      <c r="R611">
        <v>1</v>
      </c>
      <c r="S611">
        <v>40</v>
      </c>
      <c r="T611">
        <v>41</v>
      </c>
    </row>
    <row r="612" spans="1:20" x14ac:dyDescent="0.35">
      <c r="A612">
        <v>611</v>
      </c>
      <c r="B612" s="1">
        <v>40571</v>
      </c>
      <c r="C612">
        <v>1</v>
      </c>
      <c r="D612">
        <v>0</v>
      </c>
      <c r="E612">
        <v>1</v>
      </c>
      <c r="F612" t="str">
        <f>IF(final_data786[[#This Row],[MONTH_CODE]]=1,"JANUARY",IF(final_data786[[#This Row],[MONTH_CODE]]=2,"FEBRUARY"))</f>
        <v>JANUARY</v>
      </c>
      <c r="G612">
        <v>16</v>
      </c>
      <c r="H612">
        <v>0</v>
      </c>
      <c r="I612">
        <v>5</v>
      </c>
      <c r="J6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2" t="str">
        <f>IF(final_data786[[#This Row],[DAY_CODE]]=0,"weekend",IF(final_data786[[#This Row],[DAY_CODE]]=6,"weekend","weekday"))</f>
        <v>weekday</v>
      </c>
      <c r="L612">
        <v>1</v>
      </c>
      <c r="M612" t="str">
        <f>IF(final_data786[[#This Row],[WEATHER_CODE]]=1,"clear",IF(final_data786[[#This Row],[WEATHER_CODE]]=2,"cloudy",IF(final_data786[[#This Row],[WEATHER_CODE]]=3,"light rain",IF(final_data786[[#This Row],[WEATHER_CODE]]=4,"heavy rain",0))))</f>
        <v>clear</v>
      </c>
      <c r="N612">
        <v>0.22</v>
      </c>
      <c r="O612">
        <v>0.2727</v>
      </c>
      <c r="P612">
        <v>0.8</v>
      </c>
      <c r="Q612">
        <v>0</v>
      </c>
      <c r="R612">
        <v>10</v>
      </c>
      <c r="S612">
        <v>70</v>
      </c>
      <c r="T612">
        <v>80</v>
      </c>
    </row>
    <row r="613" spans="1:20" x14ac:dyDescent="0.35">
      <c r="A613">
        <v>612</v>
      </c>
      <c r="B613" s="1">
        <v>40571</v>
      </c>
      <c r="C613">
        <v>1</v>
      </c>
      <c r="D613">
        <v>0</v>
      </c>
      <c r="E613">
        <v>1</v>
      </c>
      <c r="F613" t="str">
        <f>IF(final_data786[[#This Row],[MONTH_CODE]]=1,"JANUARY",IF(final_data786[[#This Row],[MONTH_CODE]]=2,"FEBRUARY"))</f>
        <v>JANUARY</v>
      </c>
      <c r="G613">
        <v>17</v>
      </c>
      <c r="H613">
        <v>0</v>
      </c>
      <c r="I613">
        <v>5</v>
      </c>
      <c r="J6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3" t="str">
        <f>IF(final_data786[[#This Row],[DAY_CODE]]=0,"weekend",IF(final_data786[[#This Row],[DAY_CODE]]=6,"weekend","weekday"))</f>
        <v>weekday</v>
      </c>
      <c r="L613">
        <v>1</v>
      </c>
      <c r="M613" t="str">
        <f>IF(final_data786[[#This Row],[WEATHER_CODE]]=1,"clear",IF(final_data786[[#This Row],[WEATHER_CODE]]=2,"cloudy",IF(final_data786[[#This Row],[WEATHER_CODE]]=3,"light rain",IF(final_data786[[#This Row],[WEATHER_CODE]]=4,"heavy rain",0))))</f>
        <v>clear</v>
      </c>
      <c r="N613">
        <v>0.24</v>
      </c>
      <c r="O613">
        <v>0.2424</v>
      </c>
      <c r="P613">
        <v>0.75</v>
      </c>
      <c r="Q613">
        <v>0.1343</v>
      </c>
      <c r="R613">
        <v>2</v>
      </c>
      <c r="S613">
        <v>147</v>
      </c>
      <c r="T613">
        <v>149</v>
      </c>
    </row>
    <row r="614" spans="1:20" x14ac:dyDescent="0.35">
      <c r="A614">
        <v>613</v>
      </c>
      <c r="B614" s="1">
        <v>40571</v>
      </c>
      <c r="C614">
        <v>1</v>
      </c>
      <c r="D614">
        <v>0</v>
      </c>
      <c r="E614">
        <v>1</v>
      </c>
      <c r="F614" t="str">
        <f>IF(final_data786[[#This Row],[MONTH_CODE]]=1,"JANUARY",IF(final_data786[[#This Row],[MONTH_CODE]]=2,"FEBRUARY"))</f>
        <v>JANUARY</v>
      </c>
      <c r="G614">
        <v>18</v>
      </c>
      <c r="H614">
        <v>0</v>
      </c>
      <c r="I614">
        <v>5</v>
      </c>
      <c r="J6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4" t="str">
        <f>IF(final_data786[[#This Row],[DAY_CODE]]=0,"weekend",IF(final_data786[[#This Row],[DAY_CODE]]=6,"weekend","weekday"))</f>
        <v>weekday</v>
      </c>
      <c r="L614">
        <v>1</v>
      </c>
      <c r="M614" t="str">
        <f>IF(final_data786[[#This Row],[WEATHER_CODE]]=1,"clear",IF(final_data786[[#This Row],[WEATHER_CODE]]=2,"cloudy",IF(final_data786[[#This Row],[WEATHER_CODE]]=3,"light rain",IF(final_data786[[#This Row],[WEATHER_CODE]]=4,"heavy rain",0))))</f>
        <v>clear</v>
      </c>
      <c r="N614">
        <v>0.24</v>
      </c>
      <c r="O614">
        <v>0.2273</v>
      </c>
      <c r="P614">
        <v>0.75</v>
      </c>
      <c r="Q614">
        <v>0.19400000000000001</v>
      </c>
      <c r="R614">
        <v>2</v>
      </c>
      <c r="S614">
        <v>107</v>
      </c>
      <c r="T614">
        <v>109</v>
      </c>
    </row>
    <row r="615" spans="1:20" x14ac:dyDescent="0.35">
      <c r="A615">
        <v>614</v>
      </c>
      <c r="B615" s="1">
        <v>40571</v>
      </c>
      <c r="C615">
        <v>1</v>
      </c>
      <c r="D615">
        <v>0</v>
      </c>
      <c r="E615">
        <v>1</v>
      </c>
      <c r="F615" t="str">
        <f>IF(final_data786[[#This Row],[MONTH_CODE]]=1,"JANUARY",IF(final_data786[[#This Row],[MONTH_CODE]]=2,"FEBRUARY"))</f>
        <v>JANUARY</v>
      </c>
      <c r="G615">
        <v>19</v>
      </c>
      <c r="H615">
        <v>0</v>
      </c>
      <c r="I615">
        <v>5</v>
      </c>
      <c r="J6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5" t="str">
        <f>IF(final_data786[[#This Row],[DAY_CODE]]=0,"weekend",IF(final_data786[[#This Row],[DAY_CODE]]=6,"weekend","weekday"))</f>
        <v>weekday</v>
      </c>
      <c r="L615">
        <v>2</v>
      </c>
      <c r="M615" t="str">
        <f>IF(final_data786[[#This Row],[WEATHER_CODE]]=1,"clear",IF(final_data786[[#This Row],[WEATHER_CODE]]=2,"cloudy",IF(final_data786[[#This Row],[WEATHER_CODE]]=3,"light rain",IF(final_data786[[#This Row],[WEATHER_CODE]]=4,"heavy rain",0))))</f>
        <v>cloudy</v>
      </c>
      <c r="N615">
        <v>0.24</v>
      </c>
      <c r="O615">
        <v>0.2424</v>
      </c>
      <c r="P615">
        <v>0.75</v>
      </c>
      <c r="Q615">
        <v>0.1343</v>
      </c>
      <c r="R615">
        <v>5</v>
      </c>
      <c r="S615">
        <v>84</v>
      </c>
      <c r="T615">
        <v>89</v>
      </c>
    </row>
    <row r="616" spans="1:20" x14ac:dyDescent="0.35">
      <c r="A616">
        <v>615</v>
      </c>
      <c r="B616" s="1">
        <v>40571</v>
      </c>
      <c r="C616">
        <v>1</v>
      </c>
      <c r="D616">
        <v>0</v>
      </c>
      <c r="E616">
        <v>1</v>
      </c>
      <c r="F616" t="str">
        <f>IF(final_data786[[#This Row],[MONTH_CODE]]=1,"JANUARY",IF(final_data786[[#This Row],[MONTH_CODE]]=2,"FEBRUARY"))</f>
        <v>JANUARY</v>
      </c>
      <c r="G616">
        <v>20</v>
      </c>
      <c r="H616">
        <v>0</v>
      </c>
      <c r="I616">
        <v>5</v>
      </c>
      <c r="J6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6" t="str">
        <f>IF(final_data786[[#This Row],[DAY_CODE]]=0,"weekend",IF(final_data786[[#This Row],[DAY_CODE]]=6,"weekend","weekday"))</f>
        <v>weekday</v>
      </c>
      <c r="L616">
        <v>2</v>
      </c>
      <c r="M616" t="str">
        <f>IF(final_data786[[#This Row],[WEATHER_CODE]]=1,"clear",IF(final_data786[[#This Row],[WEATHER_CODE]]=2,"cloudy",IF(final_data786[[#This Row],[WEATHER_CODE]]=3,"light rain",IF(final_data786[[#This Row],[WEATHER_CODE]]=4,"heavy rain",0))))</f>
        <v>cloudy</v>
      </c>
      <c r="N616">
        <v>0.24</v>
      </c>
      <c r="O616">
        <v>0.2273</v>
      </c>
      <c r="P616">
        <v>0.7</v>
      </c>
      <c r="Q616">
        <v>0.19400000000000001</v>
      </c>
      <c r="R616">
        <v>1</v>
      </c>
      <c r="S616">
        <v>61</v>
      </c>
      <c r="T616">
        <v>62</v>
      </c>
    </row>
    <row r="617" spans="1:20" x14ac:dyDescent="0.35">
      <c r="A617">
        <v>616</v>
      </c>
      <c r="B617" s="1">
        <v>40571</v>
      </c>
      <c r="C617">
        <v>1</v>
      </c>
      <c r="D617">
        <v>0</v>
      </c>
      <c r="E617">
        <v>1</v>
      </c>
      <c r="F617" t="str">
        <f>IF(final_data786[[#This Row],[MONTH_CODE]]=1,"JANUARY",IF(final_data786[[#This Row],[MONTH_CODE]]=2,"FEBRUARY"))</f>
        <v>JANUARY</v>
      </c>
      <c r="G617">
        <v>21</v>
      </c>
      <c r="H617">
        <v>0</v>
      </c>
      <c r="I617">
        <v>5</v>
      </c>
      <c r="J6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7" t="str">
        <f>IF(final_data786[[#This Row],[DAY_CODE]]=0,"weekend",IF(final_data786[[#This Row],[DAY_CODE]]=6,"weekend","weekday"))</f>
        <v>weekday</v>
      </c>
      <c r="L617">
        <v>2</v>
      </c>
      <c r="M617" t="str">
        <f>IF(final_data786[[#This Row],[WEATHER_CODE]]=1,"clear",IF(final_data786[[#This Row],[WEATHER_CODE]]=2,"cloudy",IF(final_data786[[#This Row],[WEATHER_CODE]]=3,"light rain",IF(final_data786[[#This Row],[WEATHER_CODE]]=4,"heavy rain",0))))</f>
        <v>cloudy</v>
      </c>
      <c r="N617">
        <v>0.22</v>
      </c>
      <c r="O617">
        <v>0.2273</v>
      </c>
      <c r="P617">
        <v>0.75</v>
      </c>
      <c r="Q617">
        <v>0.1343</v>
      </c>
      <c r="R617">
        <v>1</v>
      </c>
      <c r="S617">
        <v>57</v>
      </c>
      <c r="T617">
        <v>58</v>
      </c>
    </row>
    <row r="618" spans="1:20" x14ac:dyDescent="0.35">
      <c r="A618">
        <v>617</v>
      </c>
      <c r="B618" s="1">
        <v>40571</v>
      </c>
      <c r="C618">
        <v>1</v>
      </c>
      <c r="D618">
        <v>0</v>
      </c>
      <c r="E618">
        <v>1</v>
      </c>
      <c r="F618" t="str">
        <f>IF(final_data786[[#This Row],[MONTH_CODE]]=1,"JANUARY",IF(final_data786[[#This Row],[MONTH_CODE]]=2,"FEBRUARY"))</f>
        <v>JANUARY</v>
      </c>
      <c r="G618">
        <v>22</v>
      </c>
      <c r="H618">
        <v>0</v>
      </c>
      <c r="I618">
        <v>5</v>
      </c>
      <c r="J6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8" t="str">
        <f>IF(final_data786[[#This Row],[DAY_CODE]]=0,"weekend",IF(final_data786[[#This Row],[DAY_CODE]]=6,"weekend","weekday"))</f>
        <v>weekday</v>
      </c>
      <c r="L618">
        <v>1</v>
      </c>
      <c r="M618" t="str">
        <f>IF(final_data786[[#This Row],[WEATHER_CODE]]=1,"clear",IF(final_data786[[#This Row],[WEATHER_CODE]]=2,"cloudy",IF(final_data786[[#This Row],[WEATHER_CODE]]=3,"light rain",IF(final_data786[[#This Row],[WEATHER_CODE]]=4,"heavy rain",0))))</f>
        <v>clear</v>
      </c>
      <c r="N618">
        <v>0.24</v>
      </c>
      <c r="O618">
        <v>0.21210000000000001</v>
      </c>
      <c r="P618">
        <v>0.65</v>
      </c>
      <c r="Q618">
        <v>0.35820000000000002</v>
      </c>
      <c r="R618">
        <v>0</v>
      </c>
      <c r="S618">
        <v>26</v>
      </c>
      <c r="T618">
        <v>26</v>
      </c>
    </row>
    <row r="619" spans="1:20" x14ac:dyDescent="0.35">
      <c r="A619">
        <v>618</v>
      </c>
      <c r="B619" s="1">
        <v>40571</v>
      </c>
      <c r="C619">
        <v>1</v>
      </c>
      <c r="D619">
        <v>0</v>
      </c>
      <c r="E619">
        <v>1</v>
      </c>
      <c r="F619" t="str">
        <f>IF(final_data786[[#This Row],[MONTH_CODE]]=1,"JANUARY",IF(final_data786[[#This Row],[MONTH_CODE]]=2,"FEBRUARY"))</f>
        <v>JANUARY</v>
      </c>
      <c r="G619">
        <v>23</v>
      </c>
      <c r="H619">
        <v>0</v>
      </c>
      <c r="I619">
        <v>5</v>
      </c>
      <c r="J6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619" t="str">
        <f>IF(final_data786[[#This Row],[DAY_CODE]]=0,"weekend",IF(final_data786[[#This Row],[DAY_CODE]]=6,"weekend","weekday"))</f>
        <v>weekday</v>
      </c>
      <c r="L619">
        <v>1</v>
      </c>
      <c r="M619" t="str">
        <f>IF(final_data786[[#This Row],[WEATHER_CODE]]=1,"clear",IF(final_data786[[#This Row],[WEATHER_CODE]]=2,"cloudy",IF(final_data786[[#This Row],[WEATHER_CODE]]=3,"light rain",IF(final_data786[[#This Row],[WEATHER_CODE]]=4,"heavy rain",0))))</f>
        <v>clear</v>
      </c>
      <c r="N619">
        <v>0.24</v>
      </c>
      <c r="O619">
        <v>0.2273</v>
      </c>
      <c r="P619">
        <v>0.6</v>
      </c>
      <c r="Q619">
        <v>0.22389999999999999</v>
      </c>
      <c r="R619">
        <v>1</v>
      </c>
      <c r="S619">
        <v>22</v>
      </c>
      <c r="T619">
        <v>23</v>
      </c>
    </row>
    <row r="620" spans="1:20" x14ac:dyDescent="0.35">
      <c r="A620">
        <v>619</v>
      </c>
      <c r="B620" s="1">
        <v>40572</v>
      </c>
      <c r="C620">
        <v>1</v>
      </c>
      <c r="D620">
        <v>0</v>
      </c>
      <c r="E620">
        <v>1</v>
      </c>
      <c r="F620" t="str">
        <f>IF(final_data786[[#This Row],[MONTH_CODE]]=1,"JANUARY",IF(final_data786[[#This Row],[MONTH_CODE]]=2,"FEBRUARY"))</f>
        <v>JANUARY</v>
      </c>
      <c r="G620">
        <v>0</v>
      </c>
      <c r="H620">
        <v>0</v>
      </c>
      <c r="I620">
        <v>6</v>
      </c>
      <c r="J6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0" t="str">
        <f>IF(final_data786[[#This Row],[DAY_CODE]]=0,"weekend",IF(final_data786[[#This Row],[DAY_CODE]]=6,"weekend","weekday"))</f>
        <v>weekend</v>
      </c>
      <c r="L620">
        <v>1</v>
      </c>
      <c r="M620" t="str">
        <f>IF(final_data786[[#This Row],[WEATHER_CODE]]=1,"clear",IF(final_data786[[#This Row],[WEATHER_CODE]]=2,"cloudy",IF(final_data786[[#This Row],[WEATHER_CODE]]=3,"light rain",IF(final_data786[[#This Row],[WEATHER_CODE]]=4,"heavy rain",0))))</f>
        <v>clear</v>
      </c>
      <c r="N620">
        <v>0.22</v>
      </c>
      <c r="O620">
        <v>0.19700000000000001</v>
      </c>
      <c r="P620">
        <v>0.64</v>
      </c>
      <c r="Q620">
        <v>0.35820000000000002</v>
      </c>
      <c r="R620">
        <v>2</v>
      </c>
      <c r="S620">
        <v>26</v>
      </c>
      <c r="T620">
        <v>28</v>
      </c>
    </row>
    <row r="621" spans="1:20" x14ac:dyDescent="0.35">
      <c r="A621">
        <v>620</v>
      </c>
      <c r="B621" s="1">
        <v>40572</v>
      </c>
      <c r="C621">
        <v>1</v>
      </c>
      <c r="D621">
        <v>0</v>
      </c>
      <c r="E621">
        <v>1</v>
      </c>
      <c r="F621" t="str">
        <f>IF(final_data786[[#This Row],[MONTH_CODE]]=1,"JANUARY",IF(final_data786[[#This Row],[MONTH_CODE]]=2,"FEBRUARY"))</f>
        <v>JANUARY</v>
      </c>
      <c r="G621">
        <v>1</v>
      </c>
      <c r="H621">
        <v>0</v>
      </c>
      <c r="I621">
        <v>6</v>
      </c>
      <c r="J6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1" t="str">
        <f>IF(final_data786[[#This Row],[DAY_CODE]]=0,"weekend",IF(final_data786[[#This Row],[DAY_CODE]]=6,"weekend","weekday"))</f>
        <v>weekend</v>
      </c>
      <c r="L621">
        <v>1</v>
      </c>
      <c r="M621" t="str">
        <f>IF(final_data786[[#This Row],[WEATHER_CODE]]=1,"clear",IF(final_data786[[#This Row],[WEATHER_CODE]]=2,"cloudy",IF(final_data786[[#This Row],[WEATHER_CODE]]=3,"light rain",IF(final_data786[[#This Row],[WEATHER_CODE]]=4,"heavy rain",0))))</f>
        <v>clear</v>
      </c>
      <c r="N621">
        <v>0.22</v>
      </c>
      <c r="O621">
        <v>0.2273</v>
      </c>
      <c r="P621">
        <v>0.64</v>
      </c>
      <c r="Q621">
        <v>0.19400000000000001</v>
      </c>
      <c r="R621">
        <v>0</v>
      </c>
      <c r="S621">
        <v>20</v>
      </c>
      <c r="T621">
        <v>20</v>
      </c>
    </row>
    <row r="622" spans="1:20" x14ac:dyDescent="0.35">
      <c r="A622">
        <v>621</v>
      </c>
      <c r="B622" s="1">
        <v>40572</v>
      </c>
      <c r="C622">
        <v>1</v>
      </c>
      <c r="D622">
        <v>0</v>
      </c>
      <c r="E622">
        <v>1</v>
      </c>
      <c r="F622" t="str">
        <f>IF(final_data786[[#This Row],[MONTH_CODE]]=1,"JANUARY",IF(final_data786[[#This Row],[MONTH_CODE]]=2,"FEBRUARY"))</f>
        <v>JANUARY</v>
      </c>
      <c r="G622">
        <v>2</v>
      </c>
      <c r="H622">
        <v>0</v>
      </c>
      <c r="I622">
        <v>6</v>
      </c>
      <c r="J6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2" t="str">
        <f>IF(final_data786[[#This Row],[DAY_CODE]]=0,"weekend",IF(final_data786[[#This Row],[DAY_CODE]]=6,"weekend","weekday"))</f>
        <v>weekend</v>
      </c>
      <c r="L622">
        <v>1</v>
      </c>
      <c r="M622" t="str">
        <f>IF(final_data786[[#This Row],[WEATHER_CODE]]=1,"clear",IF(final_data786[[#This Row],[WEATHER_CODE]]=2,"cloudy",IF(final_data786[[#This Row],[WEATHER_CODE]]=3,"light rain",IF(final_data786[[#This Row],[WEATHER_CODE]]=4,"heavy rain",0))))</f>
        <v>clear</v>
      </c>
      <c r="N622">
        <v>0.22</v>
      </c>
      <c r="O622">
        <v>0.2273</v>
      </c>
      <c r="P622">
        <v>0.64</v>
      </c>
      <c r="Q622">
        <v>0.16420000000000001</v>
      </c>
      <c r="R622">
        <v>0</v>
      </c>
      <c r="S622">
        <v>15</v>
      </c>
      <c r="T622">
        <v>15</v>
      </c>
    </row>
    <row r="623" spans="1:20" x14ac:dyDescent="0.35">
      <c r="A623">
        <v>622</v>
      </c>
      <c r="B623" s="1">
        <v>40572</v>
      </c>
      <c r="C623">
        <v>1</v>
      </c>
      <c r="D623">
        <v>0</v>
      </c>
      <c r="E623">
        <v>1</v>
      </c>
      <c r="F623" t="str">
        <f>IF(final_data786[[#This Row],[MONTH_CODE]]=1,"JANUARY",IF(final_data786[[#This Row],[MONTH_CODE]]=2,"FEBRUARY"))</f>
        <v>JANUARY</v>
      </c>
      <c r="G623">
        <v>3</v>
      </c>
      <c r="H623">
        <v>0</v>
      </c>
      <c r="I623">
        <v>6</v>
      </c>
      <c r="J6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3" t="str">
        <f>IF(final_data786[[#This Row],[DAY_CODE]]=0,"weekend",IF(final_data786[[#This Row],[DAY_CODE]]=6,"weekend","weekday"))</f>
        <v>weekend</v>
      </c>
      <c r="L623">
        <v>1</v>
      </c>
      <c r="M623" t="str">
        <f>IF(final_data786[[#This Row],[WEATHER_CODE]]=1,"clear",IF(final_data786[[#This Row],[WEATHER_CODE]]=2,"cloudy",IF(final_data786[[#This Row],[WEATHER_CODE]]=3,"light rain",IF(final_data786[[#This Row],[WEATHER_CODE]]=4,"heavy rain",0))))</f>
        <v>clear</v>
      </c>
      <c r="N623">
        <v>0.2</v>
      </c>
      <c r="O623">
        <v>0.21210000000000001</v>
      </c>
      <c r="P623">
        <v>0.64</v>
      </c>
      <c r="Q623">
        <v>0.1343</v>
      </c>
      <c r="R623">
        <v>3</v>
      </c>
      <c r="S623">
        <v>5</v>
      </c>
      <c r="T623">
        <v>8</v>
      </c>
    </row>
    <row r="624" spans="1:20" x14ac:dyDescent="0.35">
      <c r="A624">
        <v>623</v>
      </c>
      <c r="B624" s="1">
        <v>40572</v>
      </c>
      <c r="C624">
        <v>1</v>
      </c>
      <c r="D624">
        <v>0</v>
      </c>
      <c r="E624">
        <v>1</v>
      </c>
      <c r="F624" t="str">
        <f>IF(final_data786[[#This Row],[MONTH_CODE]]=1,"JANUARY",IF(final_data786[[#This Row],[MONTH_CODE]]=2,"FEBRUARY"))</f>
        <v>JANUARY</v>
      </c>
      <c r="G624">
        <v>4</v>
      </c>
      <c r="H624">
        <v>0</v>
      </c>
      <c r="I624">
        <v>6</v>
      </c>
      <c r="J6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4" t="str">
        <f>IF(final_data786[[#This Row],[DAY_CODE]]=0,"weekend",IF(final_data786[[#This Row],[DAY_CODE]]=6,"weekend","weekday"))</f>
        <v>weekend</v>
      </c>
      <c r="L624">
        <v>1</v>
      </c>
      <c r="M624" t="str">
        <f>IF(final_data786[[#This Row],[WEATHER_CODE]]=1,"clear",IF(final_data786[[#This Row],[WEATHER_CODE]]=2,"cloudy",IF(final_data786[[#This Row],[WEATHER_CODE]]=3,"light rain",IF(final_data786[[#This Row],[WEATHER_CODE]]=4,"heavy rain",0))))</f>
        <v>clear</v>
      </c>
      <c r="N624">
        <v>0.16</v>
      </c>
      <c r="O624">
        <v>0.18179999999999999</v>
      </c>
      <c r="P624">
        <v>0.69</v>
      </c>
      <c r="Q624">
        <v>0.1045</v>
      </c>
      <c r="R624">
        <v>1</v>
      </c>
      <c r="S624">
        <v>2</v>
      </c>
      <c r="T624">
        <v>3</v>
      </c>
    </row>
    <row r="625" spans="1:20" x14ac:dyDescent="0.35">
      <c r="A625">
        <v>624</v>
      </c>
      <c r="B625" s="1">
        <v>40572</v>
      </c>
      <c r="C625">
        <v>1</v>
      </c>
      <c r="D625">
        <v>0</v>
      </c>
      <c r="E625">
        <v>1</v>
      </c>
      <c r="F625" t="str">
        <f>IF(final_data786[[#This Row],[MONTH_CODE]]=1,"JANUARY",IF(final_data786[[#This Row],[MONTH_CODE]]=2,"FEBRUARY"))</f>
        <v>JANUARY</v>
      </c>
      <c r="G625">
        <v>6</v>
      </c>
      <c r="H625">
        <v>0</v>
      </c>
      <c r="I625">
        <v>6</v>
      </c>
      <c r="J6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5" t="str">
        <f>IF(final_data786[[#This Row],[DAY_CODE]]=0,"weekend",IF(final_data786[[#This Row],[DAY_CODE]]=6,"weekend","weekday"))</f>
        <v>weekend</v>
      </c>
      <c r="L625">
        <v>1</v>
      </c>
      <c r="M625" t="str">
        <f>IF(final_data786[[#This Row],[WEATHER_CODE]]=1,"clear",IF(final_data786[[#This Row],[WEATHER_CODE]]=2,"cloudy",IF(final_data786[[#This Row],[WEATHER_CODE]]=3,"light rain",IF(final_data786[[#This Row],[WEATHER_CODE]]=4,"heavy rain",0))))</f>
        <v>clear</v>
      </c>
      <c r="N625">
        <v>0.16</v>
      </c>
      <c r="O625">
        <v>0.18179999999999999</v>
      </c>
      <c r="P625">
        <v>0.64</v>
      </c>
      <c r="Q625">
        <v>0.1343</v>
      </c>
      <c r="R625">
        <v>0</v>
      </c>
      <c r="S625">
        <v>2</v>
      </c>
      <c r="T625">
        <v>2</v>
      </c>
    </row>
    <row r="626" spans="1:20" x14ac:dyDescent="0.35">
      <c r="A626">
        <v>625</v>
      </c>
      <c r="B626" s="1">
        <v>40572</v>
      </c>
      <c r="C626">
        <v>1</v>
      </c>
      <c r="D626">
        <v>0</v>
      </c>
      <c r="E626">
        <v>1</v>
      </c>
      <c r="F626" t="str">
        <f>IF(final_data786[[#This Row],[MONTH_CODE]]=1,"JANUARY",IF(final_data786[[#This Row],[MONTH_CODE]]=2,"FEBRUARY"))</f>
        <v>JANUARY</v>
      </c>
      <c r="G626">
        <v>7</v>
      </c>
      <c r="H626">
        <v>0</v>
      </c>
      <c r="I626">
        <v>6</v>
      </c>
      <c r="J6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6" t="str">
        <f>IF(final_data786[[#This Row],[DAY_CODE]]=0,"weekend",IF(final_data786[[#This Row],[DAY_CODE]]=6,"weekend","weekday"))</f>
        <v>weekend</v>
      </c>
      <c r="L626">
        <v>1</v>
      </c>
      <c r="M626" t="str">
        <f>IF(final_data786[[#This Row],[WEATHER_CODE]]=1,"clear",IF(final_data786[[#This Row],[WEATHER_CODE]]=2,"cloudy",IF(final_data786[[#This Row],[WEATHER_CODE]]=3,"light rain",IF(final_data786[[#This Row],[WEATHER_CODE]]=4,"heavy rain",0))))</f>
        <v>clear</v>
      </c>
      <c r="N626">
        <v>0.16</v>
      </c>
      <c r="O626">
        <v>0.18179999999999999</v>
      </c>
      <c r="P626">
        <v>0.59</v>
      </c>
      <c r="Q626">
        <v>0.1045</v>
      </c>
      <c r="R626">
        <v>1</v>
      </c>
      <c r="S626">
        <v>4</v>
      </c>
      <c r="T626">
        <v>5</v>
      </c>
    </row>
    <row r="627" spans="1:20" x14ac:dyDescent="0.35">
      <c r="A627">
        <v>626</v>
      </c>
      <c r="B627" s="1">
        <v>40572</v>
      </c>
      <c r="C627">
        <v>1</v>
      </c>
      <c r="D627">
        <v>0</v>
      </c>
      <c r="E627">
        <v>1</v>
      </c>
      <c r="F627" t="str">
        <f>IF(final_data786[[#This Row],[MONTH_CODE]]=1,"JANUARY",IF(final_data786[[#This Row],[MONTH_CODE]]=2,"FEBRUARY"))</f>
        <v>JANUARY</v>
      </c>
      <c r="G627">
        <v>8</v>
      </c>
      <c r="H627">
        <v>0</v>
      </c>
      <c r="I627">
        <v>6</v>
      </c>
      <c r="J6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7" t="str">
        <f>IF(final_data786[[#This Row],[DAY_CODE]]=0,"weekend",IF(final_data786[[#This Row],[DAY_CODE]]=6,"weekend","weekday"))</f>
        <v>weekend</v>
      </c>
      <c r="L627">
        <v>1</v>
      </c>
      <c r="M627" t="str">
        <f>IF(final_data786[[#This Row],[WEATHER_CODE]]=1,"clear",IF(final_data786[[#This Row],[WEATHER_CODE]]=2,"cloudy",IF(final_data786[[#This Row],[WEATHER_CODE]]=3,"light rain",IF(final_data786[[#This Row],[WEATHER_CODE]]=4,"heavy rain",0))))</f>
        <v>clear</v>
      </c>
      <c r="N627">
        <v>0.18</v>
      </c>
      <c r="O627">
        <v>0.19700000000000001</v>
      </c>
      <c r="P627">
        <v>0.55000000000000004</v>
      </c>
      <c r="Q627">
        <v>0.16420000000000001</v>
      </c>
      <c r="R627">
        <v>3</v>
      </c>
      <c r="S627">
        <v>31</v>
      </c>
      <c r="T627">
        <v>34</v>
      </c>
    </row>
    <row r="628" spans="1:20" x14ac:dyDescent="0.35">
      <c r="A628">
        <v>627</v>
      </c>
      <c r="B628" s="1">
        <v>40572</v>
      </c>
      <c r="C628">
        <v>1</v>
      </c>
      <c r="D628">
        <v>0</v>
      </c>
      <c r="E628">
        <v>1</v>
      </c>
      <c r="F628" t="str">
        <f>IF(final_data786[[#This Row],[MONTH_CODE]]=1,"JANUARY",IF(final_data786[[#This Row],[MONTH_CODE]]=2,"FEBRUARY"))</f>
        <v>JANUARY</v>
      </c>
      <c r="G628">
        <v>9</v>
      </c>
      <c r="H628">
        <v>0</v>
      </c>
      <c r="I628">
        <v>6</v>
      </c>
      <c r="J6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8" t="str">
        <f>IF(final_data786[[#This Row],[DAY_CODE]]=0,"weekend",IF(final_data786[[#This Row],[DAY_CODE]]=6,"weekend","weekday"))</f>
        <v>weekend</v>
      </c>
      <c r="L628">
        <v>1</v>
      </c>
      <c r="M628" t="str">
        <f>IF(final_data786[[#This Row],[WEATHER_CODE]]=1,"clear",IF(final_data786[[#This Row],[WEATHER_CODE]]=2,"cloudy",IF(final_data786[[#This Row],[WEATHER_CODE]]=3,"light rain",IF(final_data786[[#This Row],[WEATHER_CODE]]=4,"heavy rain",0))))</f>
        <v>clear</v>
      </c>
      <c r="N628">
        <v>0.18</v>
      </c>
      <c r="O628">
        <v>0.21210000000000001</v>
      </c>
      <c r="P628">
        <v>0.59</v>
      </c>
      <c r="Q628">
        <v>8.9599999999999999E-2</v>
      </c>
      <c r="R628">
        <v>0</v>
      </c>
      <c r="S628">
        <v>34</v>
      </c>
      <c r="T628">
        <v>34</v>
      </c>
    </row>
    <row r="629" spans="1:20" x14ac:dyDescent="0.35">
      <c r="A629">
        <v>628</v>
      </c>
      <c r="B629" s="1">
        <v>40572</v>
      </c>
      <c r="C629">
        <v>1</v>
      </c>
      <c r="D629">
        <v>0</v>
      </c>
      <c r="E629">
        <v>1</v>
      </c>
      <c r="F629" t="str">
        <f>IF(final_data786[[#This Row],[MONTH_CODE]]=1,"JANUARY",IF(final_data786[[#This Row],[MONTH_CODE]]=2,"FEBRUARY"))</f>
        <v>JANUARY</v>
      </c>
      <c r="G629">
        <v>10</v>
      </c>
      <c r="H629">
        <v>0</v>
      </c>
      <c r="I629">
        <v>6</v>
      </c>
      <c r="J6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29" t="str">
        <f>IF(final_data786[[#This Row],[DAY_CODE]]=0,"weekend",IF(final_data786[[#This Row],[DAY_CODE]]=6,"weekend","weekday"))</f>
        <v>weekend</v>
      </c>
      <c r="L629">
        <v>2</v>
      </c>
      <c r="M629" t="str">
        <f>IF(final_data786[[#This Row],[WEATHER_CODE]]=1,"clear",IF(final_data786[[#This Row],[WEATHER_CODE]]=2,"cloudy",IF(final_data786[[#This Row],[WEATHER_CODE]]=3,"light rain",IF(final_data786[[#This Row],[WEATHER_CODE]]=4,"heavy rain",0))))</f>
        <v>cloudy</v>
      </c>
      <c r="N629">
        <v>0.18</v>
      </c>
      <c r="O629">
        <v>0.21210000000000001</v>
      </c>
      <c r="P629">
        <v>0.64</v>
      </c>
      <c r="Q629">
        <v>0.1045</v>
      </c>
      <c r="R629">
        <v>4</v>
      </c>
      <c r="S629">
        <v>51</v>
      </c>
      <c r="T629">
        <v>55</v>
      </c>
    </row>
    <row r="630" spans="1:20" x14ac:dyDescent="0.35">
      <c r="A630">
        <v>629</v>
      </c>
      <c r="B630" s="1">
        <v>40572</v>
      </c>
      <c r="C630">
        <v>1</v>
      </c>
      <c r="D630">
        <v>0</v>
      </c>
      <c r="E630">
        <v>1</v>
      </c>
      <c r="F630" t="str">
        <f>IF(final_data786[[#This Row],[MONTH_CODE]]=1,"JANUARY",IF(final_data786[[#This Row],[MONTH_CODE]]=2,"FEBRUARY"))</f>
        <v>JANUARY</v>
      </c>
      <c r="G630">
        <v>11</v>
      </c>
      <c r="H630">
        <v>0</v>
      </c>
      <c r="I630">
        <v>6</v>
      </c>
      <c r="J6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0" t="str">
        <f>IF(final_data786[[#This Row],[DAY_CODE]]=0,"weekend",IF(final_data786[[#This Row],[DAY_CODE]]=6,"weekend","weekday"))</f>
        <v>weekend</v>
      </c>
      <c r="L630">
        <v>2</v>
      </c>
      <c r="M630" t="str">
        <f>IF(final_data786[[#This Row],[WEATHER_CODE]]=1,"clear",IF(final_data786[[#This Row],[WEATHER_CODE]]=2,"cloudy",IF(final_data786[[#This Row],[WEATHER_CODE]]=3,"light rain",IF(final_data786[[#This Row],[WEATHER_CODE]]=4,"heavy rain",0))))</f>
        <v>cloudy</v>
      </c>
      <c r="N630">
        <v>0.18</v>
      </c>
      <c r="O630">
        <v>0.19700000000000001</v>
      </c>
      <c r="P630">
        <v>0.64</v>
      </c>
      <c r="Q630">
        <v>0.1343</v>
      </c>
      <c r="R630">
        <v>4</v>
      </c>
      <c r="S630">
        <v>60</v>
      </c>
      <c r="T630">
        <v>64</v>
      </c>
    </row>
    <row r="631" spans="1:20" x14ac:dyDescent="0.35">
      <c r="A631">
        <v>630</v>
      </c>
      <c r="B631" s="1">
        <v>40572</v>
      </c>
      <c r="C631">
        <v>1</v>
      </c>
      <c r="D631">
        <v>0</v>
      </c>
      <c r="E631">
        <v>1</v>
      </c>
      <c r="F631" t="str">
        <f>IF(final_data786[[#This Row],[MONTH_CODE]]=1,"JANUARY",IF(final_data786[[#This Row],[MONTH_CODE]]=2,"FEBRUARY"))</f>
        <v>JANUARY</v>
      </c>
      <c r="G631">
        <v>12</v>
      </c>
      <c r="H631">
        <v>0</v>
      </c>
      <c r="I631">
        <v>6</v>
      </c>
      <c r="J6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1" t="str">
        <f>IF(final_data786[[#This Row],[DAY_CODE]]=0,"weekend",IF(final_data786[[#This Row],[DAY_CODE]]=6,"weekend","weekday"))</f>
        <v>weekend</v>
      </c>
      <c r="L631">
        <v>2</v>
      </c>
      <c r="M631" t="str">
        <f>IF(final_data786[[#This Row],[WEATHER_CODE]]=1,"clear",IF(final_data786[[#This Row],[WEATHER_CODE]]=2,"cloudy",IF(final_data786[[#This Row],[WEATHER_CODE]]=3,"light rain",IF(final_data786[[#This Row],[WEATHER_CODE]]=4,"heavy rain",0))))</f>
        <v>cloudy</v>
      </c>
      <c r="N631">
        <v>0.2</v>
      </c>
      <c r="O631">
        <v>0.19700000000000001</v>
      </c>
      <c r="P631">
        <v>0.59</v>
      </c>
      <c r="Q631">
        <v>0.19400000000000001</v>
      </c>
      <c r="R631">
        <v>12</v>
      </c>
      <c r="S631">
        <v>66</v>
      </c>
      <c r="T631">
        <v>78</v>
      </c>
    </row>
    <row r="632" spans="1:20" x14ac:dyDescent="0.35">
      <c r="A632">
        <v>631</v>
      </c>
      <c r="B632" s="1">
        <v>40572</v>
      </c>
      <c r="C632">
        <v>1</v>
      </c>
      <c r="D632">
        <v>0</v>
      </c>
      <c r="E632">
        <v>1</v>
      </c>
      <c r="F632" t="str">
        <f>IF(final_data786[[#This Row],[MONTH_CODE]]=1,"JANUARY",IF(final_data786[[#This Row],[MONTH_CODE]]=2,"FEBRUARY"))</f>
        <v>JANUARY</v>
      </c>
      <c r="G632">
        <v>13</v>
      </c>
      <c r="H632">
        <v>0</v>
      </c>
      <c r="I632">
        <v>6</v>
      </c>
      <c r="J6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2" t="str">
        <f>IF(final_data786[[#This Row],[DAY_CODE]]=0,"weekend",IF(final_data786[[#This Row],[DAY_CODE]]=6,"weekend","weekday"))</f>
        <v>weekend</v>
      </c>
      <c r="L632">
        <v>2</v>
      </c>
      <c r="M632" t="str">
        <f>IF(final_data786[[#This Row],[WEATHER_CODE]]=1,"clear",IF(final_data786[[#This Row],[WEATHER_CODE]]=2,"cloudy",IF(final_data786[[#This Row],[WEATHER_CODE]]=3,"light rain",IF(final_data786[[#This Row],[WEATHER_CODE]]=4,"heavy rain",0))))</f>
        <v>cloudy</v>
      </c>
      <c r="N632">
        <v>0.22</v>
      </c>
      <c r="O632">
        <v>0.2273</v>
      </c>
      <c r="P632">
        <v>0.55000000000000004</v>
      </c>
      <c r="Q632">
        <v>0.16420000000000001</v>
      </c>
      <c r="R632">
        <v>9</v>
      </c>
      <c r="S632">
        <v>56</v>
      </c>
      <c r="T632">
        <v>65</v>
      </c>
    </row>
    <row r="633" spans="1:20" x14ac:dyDescent="0.35">
      <c r="A633">
        <v>632</v>
      </c>
      <c r="B633" s="1">
        <v>40572</v>
      </c>
      <c r="C633">
        <v>1</v>
      </c>
      <c r="D633">
        <v>0</v>
      </c>
      <c r="E633">
        <v>1</v>
      </c>
      <c r="F633" t="str">
        <f>IF(final_data786[[#This Row],[MONTH_CODE]]=1,"JANUARY",IF(final_data786[[#This Row],[MONTH_CODE]]=2,"FEBRUARY"))</f>
        <v>JANUARY</v>
      </c>
      <c r="G633">
        <v>14</v>
      </c>
      <c r="H633">
        <v>0</v>
      </c>
      <c r="I633">
        <v>6</v>
      </c>
      <c r="J6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3" t="str">
        <f>IF(final_data786[[#This Row],[DAY_CODE]]=0,"weekend",IF(final_data786[[#This Row],[DAY_CODE]]=6,"weekend","weekday"))</f>
        <v>weekend</v>
      </c>
      <c r="L633">
        <v>2</v>
      </c>
      <c r="M633" t="str">
        <f>IF(final_data786[[#This Row],[WEATHER_CODE]]=1,"clear",IF(final_data786[[#This Row],[WEATHER_CODE]]=2,"cloudy",IF(final_data786[[#This Row],[WEATHER_CODE]]=3,"light rain",IF(final_data786[[#This Row],[WEATHER_CODE]]=4,"heavy rain",0))))</f>
        <v>cloudy</v>
      </c>
      <c r="N633">
        <v>0.22</v>
      </c>
      <c r="O633">
        <v>0.2273</v>
      </c>
      <c r="P633">
        <v>0.6</v>
      </c>
      <c r="Q633">
        <v>0.1343</v>
      </c>
      <c r="R633">
        <v>10</v>
      </c>
      <c r="S633">
        <v>89</v>
      </c>
      <c r="T633">
        <v>99</v>
      </c>
    </row>
    <row r="634" spans="1:20" x14ac:dyDescent="0.35">
      <c r="A634">
        <v>633</v>
      </c>
      <c r="B634" s="1">
        <v>40572</v>
      </c>
      <c r="C634">
        <v>1</v>
      </c>
      <c r="D634">
        <v>0</v>
      </c>
      <c r="E634">
        <v>1</v>
      </c>
      <c r="F634" t="str">
        <f>IF(final_data786[[#This Row],[MONTH_CODE]]=1,"JANUARY",IF(final_data786[[#This Row],[MONTH_CODE]]=2,"FEBRUARY"))</f>
        <v>JANUARY</v>
      </c>
      <c r="G634">
        <v>15</v>
      </c>
      <c r="H634">
        <v>0</v>
      </c>
      <c r="I634">
        <v>6</v>
      </c>
      <c r="J6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4" t="str">
        <f>IF(final_data786[[#This Row],[DAY_CODE]]=0,"weekend",IF(final_data786[[#This Row],[DAY_CODE]]=6,"weekend","weekday"))</f>
        <v>weekend</v>
      </c>
      <c r="L634">
        <v>1</v>
      </c>
      <c r="M634" t="str">
        <f>IF(final_data786[[#This Row],[WEATHER_CODE]]=1,"clear",IF(final_data786[[#This Row],[WEATHER_CODE]]=2,"cloudy",IF(final_data786[[#This Row],[WEATHER_CODE]]=3,"light rain",IF(final_data786[[#This Row],[WEATHER_CODE]]=4,"heavy rain",0))))</f>
        <v>clear</v>
      </c>
      <c r="N634">
        <v>0.22</v>
      </c>
      <c r="O634">
        <v>0.21210000000000001</v>
      </c>
      <c r="P634">
        <v>0.69</v>
      </c>
      <c r="Q634">
        <v>0.25369999999999998</v>
      </c>
      <c r="R634">
        <v>22</v>
      </c>
      <c r="S634">
        <v>98</v>
      </c>
      <c r="T634">
        <v>120</v>
      </c>
    </row>
    <row r="635" spans="1:20" x14ac:dyDescent="0.35">
      <c r="A635">
        <v>634</v>
      </c>
      <c r="B635" s="1">
        <v>40572</v>
      </c>
      <c r="C635">
        <v>1</v>
      </c>
      <c r="D635">
        <v>0</v>
      </c>
      <c r="E635">
        <v>1</v>
      </c>
      <c r="F635" t="str">
        <f>IF(final_data786[[#This Row],[MONTH_CODE]]=1,"JANUARY",IF(final_data786[[#This Row],[MONTH_CODE]]=2,"FEBRUARY"))</f>
        <v>JANUARY</v>
      </c>
      <c r="G635">
        <v>16</v>
      </c>
      <c r="H635">
        <v>0</v>
      </c>
      <c r="I635">
        <v>6</v>
      </c>
      <c r="J6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5" t="str">
        <f>IF(final_data786[[#This Row],[DAY_CODE]]=0,"weekend",IF(final_data786[[#This Row],[DAY_CODE]]=6,"weekend","weekday"))</f>
        <v>weekend</v>
      </c>
      <c r="L635">
        <v>1</v>
      </c>
      <c r="M635" t="str">
        <f>IF(final_data786[[#This Row],[WEATHER_CODE]]=1,"clear",IF(final_data786[[#This Row],[WEATHER_CODE]]=2,"cloudy",IF(final_data786[[#This Row],[WEATHER_CODE]]=3,"light rain",IF(final_data786[[#This Row],[WEATHER_CODE]]=4,"heavy rain",0))))</f>
        <v>clear</v>
      </c>
      <c r="N635">
        <v>0.24</v>
      </c>
      <c r="O635">
        <v>0.2424</v>
      </c>
      <c r="P635">
        <v>0.6</v>
      </c>
      <c r="Q635">
        <v>0.16420000000000001</v>
      </c>
      <c r="R635">
        <v>19</v>
      </c>
      <c r="S635">
        <v>88</v>
      </c>
      <c r="T635">
        <v>107</v>
      </c>
    </row>
    <row r="636" spans="1:20" x14ac:dyDescent="0.35">
      <c r="A636">
        <v>635</v>
      </c>
      <c r="B636" s="1">
        <v>40572</v>
      </c>
      <c r="C636">
        <v>1</v>
      </c>
      <c r="D636">
        <v>0</v>
      </c>
      <c r="E636">
        <v>1</v>
      </c>
      <c r="F636" t="str">
        <f>IF(final_data786[[#This Row],[MONTH_CODE]]=1,"JANUARY",IF(final_data786[[#This Row],[MONTH_CODE]]=2,"FEBRUARY"))</f>
        <v>JANUARY</v>
      </c>
      <c r="G636">
        <v>17</v>
      </c>
      <c r="H636">
        <v>0</v>
      </c>
      <c r="I636">
        <v>6</v>
      </c>
      <c r="J6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6" t="str">
        <f>IF(final_data786[[#This Row],[DAY_CODE]]=0,"weekend",IF(final_data786[[#This Row],[DAY_CODE]]=6,"weekend","weekday"))</f>
        <v>weekend</v>
      </c>
      <c r="L636">
        <v>1</v>
      </c>
      <c r="M636" t="str">
        <f>IF(final_data786[[#This Row],[WEATHER_CODE]]=1,"clear",IF(final_data786[[#This Row],[WEATHER_CODE]]=2,"cloudy",IF(final_data786[[#This Row],[WEATHER_CODE]]=3,"light rain",IF(final_data786[[#This Row],[WEATHER_CODE]]=4,"heavy rain",0))))</f>
        <v>clear</v>
      </c>
      <c r="N636">
        <v>0.24</v>
      </c>
      <c r="O636">
        <v>0.28789999999999999</v>
      </c>
      <c r="P636">
        <v>0.6</v>
      </c>
      <c r="Q636">
        <v>0</v>
      </c>
      <c r="R636">
        <v>9</v>
      </c>
      <c r="S636">
        <v>82</v>
      </c>
      <c r="T636">
        <v>91</v>
      </c>
    </row>
    <row r="637" spans="1:20" x14ac:dyDescent="0.35">
      <c r="A637">
        <v>636</v>
      </c>
      <c r="B637" s="1">
        <v>40572</v>
      </c>
      <c r="C637">
        <v>1</v>
      </c>
      <c r="D637">
        <v>0</v>
      </c>
      <c r="E637">
        <v>1</v>
      </c>
      <c r="F637" t="str">
        <f>IF(final_data786[[#This Row],[MONTH_CODE]]=1,"JANUARY",IF(final_data786[[#This Row],[MONTH_CODE]]=2,"FEBRUARY"))</f>
        <v>JANUARY</v>
      </c>
      <c r="G637">
        <v>18</v>
      </c>
      <c r="H637">
        <v>0</v>
      </c>
      <c r="I637">
        <v>6</v>
      </c>
      <c r="J6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7" t="str">
        <f>IF(final_data786[[#This Row],[DAY_CODE]]=0,"weekend",IF(final_data786[[#This Row],[DAY_CODE]]=6,"weekend","weekday"))</f>
        <v>weekend</v>
      </c>
      <c r="L637">
        <v>1</v>
      </c>
      <c r="M637" t="str">
        <f>IF(final_data786[[#This Row],[WEATHER_CODE]]=1,"clear",IF(final_data786[[#This Row],[WEATHER_CODE]]=2,"cloudy",IF(final_data786[[#This Row],[WEATHER_CODE]]=3,"light rain",IF(final_data786[[#This Row],[WEATHER_CODE]]=4,"heavy rain",0))))</f>
        <v>clear</v>
      </c>
      <c r="N637">
        <v>0.22</v>
      </c>
      <c r="O637">
        <v>0.2273</v>
      </c>
      <c r="P637">
        <v>0.69</v>
      </c>
      <c r="Q637">
        <v>0.1343</v>
      </c>
      <c r="R637">
        <v>9</v>
      </c>
      <c r="S637">
        <v>59</v>
      </c>
      <c r="T637">
        <v>68</v>
      </c>
    </row>
    <row r="638" spans="1:20" x14ac:dyDescent="0.35">
      <c r="A638">
        <v>637</v>
      </c>
      <c r="B638" s="1">
        <v>40572</v>
      </c>
      <c r="C638">
        <v>1</v>
      </c>
      <c r="D638">
        <v>0</v>
      </c>
      <c r="E638">
        <v>1</v>
      </c>
      <c r="F638" t="str">
        <f>IF(final_data786[[#This Row],[MONTH_CODE]]=1,"JANUARY",IF(final_data786[[#This Row],[MONTH_CODE]]=2,"FEBRUARY"))</f>
        <v>JANUARY</v>
      </c>
      <c r="G638">
        <v>19</v>
      </c>
      <c r="H638">
        <v>0</v>
      </c>
      <c r="I638">
        <v>6</v>
      </c>
      <c r="J6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8" t="str">
        <f>IF(final_data786[[#This Row],[DAY_CODE]]=0,"weekend",IF(final_data786[[#This Row],[DAY_CODE]]=6,"weekend","weekday"))</f>
        <v>weekend</v>
      </c>
      <c r="L638">
        <v>2</v>
      </c>
      <c r="M638" t="str">
        <f>IF(final_data786[[#This Row],[WEATHER_CODE]]=1,"clear",IF(final_data786[[#This Row],[WEATHER_CODE]]=2,"cloudy",IF(final_data786[[#This Row],[WEATHER_CODE]]=3,"light rain",IF(final_data786[[#This Row],[WEATHER_CODE]]=4,"heavy rain",0))))</f>
        <v>cloudy</v>
      </c>
      <c r="N638">
        <v>0.22</v>
      </c>
      <c r="O638">
        <v>0.21210000000000001</v>
      </c>
      <c r="P638">
        <v>0.69</v>
      </c>
      <c r="Q638">
        <v>0.25369999999999998</v>
      </c>
      <c r="R638">
        <v>6</v>
      </c>
      <c r="S638">
        <v>52</v>
      </c>
      <c r="T638">
        <v>58</v>
      </c>
    </row>
    <row r="639" spans="1:20" x14ac:dyDescent="0.35">
      <c r="A639">
        <v>638</v>
      </c>
      <c r="B639" s="1">
        <v>40572</v>
      </c>
      <c r="C639">
        <v>1</v>
      </c>
      <c r="D639">
        <v>0</v>
      </c>
      <c r="E639">
        <v>1</v>
      </c>
      <c r="F639" t="str">
        <f>IF(final_data786[[#This Row],[MONTH_CODE]]=1,"JANUARY",IF(final_data786[[#This Row],[MONTH_CODE]]=2,"FEBRUARY"))</f>
        <v>JANUARY</v>
      </c>
      <c r="G639">
        <v>20</v>
      </c>
      <c r="H639">
        <v>0</v>
      </c>
      <c r="I639">
        <v>6</v>
      </c>
      <c r="J6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39" t="str">
        <f>IF(final_data786[[#This Row],[DAY_CODE]]=0,"weekend",IF(final_data786[[#This Row],[DAY_CODE]]=6,"weekend","weekday"))</f>
        <v>weekend</v>
      </c>
      <c r="L639">
        <v>1</v>
      </c>
      <c r="M639" t="str">
        <f>IF(final_data786[[#This Row],[WEATHER_CODE]]=1,"clear",IF(final_data786[[#This Row],[WEATHER_CODE]]=2,"cloudy",IF(final_data786[[#This Row],[WEATHER_CODE]]=3,"light rain",IF(final_data786[[#This Row],[WEATHER_CODE]]=4,"heavy rain",0))))</f>
        <v>clear</v>
      </c>
      <c r="N639">
        <v>0.18</v>
      </c>
      <c r="O639">
        <v>0.21210000000000001</v>
      </c>
      <c r="P639">
        <v>0.74</v>
      </c>
      <c r="Q639">
        <v>8.9599999999999999E-2</v>
      </c>
      <c r="R639">
        <v>1</v>
      </c>
      <c r="S639">
        <v>42</v>
      </c>
      <c r="T639">
        <v>43</v>
      </c>
    </row>
    <row r="640" spans="1:20" x14ac:dyDescent="0.35">
      <c r="A640">
        <v>639</v>
      </c>
      <c r="B640" s="1">
        <v>40572</v>
      </c>
      <c r="C640">
        <v>1</v>
      </c>
      <c r="D640">
        <v>0</v>
      </c>
      <c r="E640">
        <v>1</v>
      </c>
      <c r="F640" t="str">
        <f>IF(final_data786[[#This Row],[MONTH_CODE]]=1,"JANUARY",IF(final_data786[[#This Row],[MONTH_CODE]]=2,"FEBRUARY"))</f>
        <v>JANUARY</v>
      </c>
      <c r="G640">
        <v>21</v>
      </c>
      <c r="H640">
        <v>0</v>
      </c>
      <c r="I640">
        <v>6</v>
      </c>
      <c r="J6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40" t="str">
        <f>IF(final_data786[[#This Row],[DAY_CODE]]=0,"weekend",IF(final_data786[[#This Row],[DAY_CODE]]=6,"weekend","weekday"))</f>
        <v>weekend</v>
      </c>
      <c r="L640">
        <v>1</v>
      </c>
      <c r="M640" t="str">
        <f>IF(final_data786[[#This Row],[WEATHER_CODE]]=1,"clear",IF(final_data786[[#This Row],[WEATHER_CODE]]=2,"cloudy",IF(final_data786[[#This Row],[WEATHER_CODE]]=3,"light rain",IF(final_data786[[#This Row],[WEATHER_CODE]]=4,"heavy rain",0))))</f>
        <v>clear</v>
      </c>
      <c r="N640">
        <v>0.18</v>
      </c>
      <c r="O640">
        <v>0.21210000000000001</v>
      </c>
      <c r="P640">
        <v>0.74</v>
      </c>
      <c r="Q640">
        <v>8.9599999999999999E-2</v>
      </c>
      <c r="R640">
        <v>1</v>
      </c>
      <c r="S640">
        <v>35</v>
      </c>
      <c r="T640">
        <v>36</v>
      </c>
    </row>
    <row r="641" spans="1:20" x14ac:dyDescent="0.35">
      <c r="A641">
        <v>640</v>
      </c>
      <c r="B641" s="1">
        <v>40572</v>
      </c>
      <c r="C641">
        <v>1</v>
      </c>
      <c r="D641">
        <v>0</v>
      </c>
      <c r="E641">
        <v>1</v>
      </c>
      <c r="F641" t="str">
        <f>IF(final_data786[[#This Row],[MONTH_CODE]]=1,"JANUARY",IF(final_data786[[#This Row],[MONTH_CODE]]=2,"FEBRUARY"))</f>
        <v>JANUARY</v>
      </c>
      <c r="G641">
        <v>22</v>
      </c>
      <c r="H641">
        <v>0</v>
      </c>
      <c r="I641">
        <v>6</v>
      </c>
      <c r="J6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41" t="str">
        <f>IF(final_data786[[#This Row],[DAY_CODE]]=0,"weekend",IF(final_data786[[#This Row],[DAY_CODE]]=6,"weekend","weekday"))</f>
        <v>weekend</v>
      </c>
      <c r="L641">
        <v>1</v>
      </c>
      <c r="M641" t="str">
        <f>IF(final_data786[[#This Row],[WEATHER_CODE]]=1,"clear",IF(final_data786[[#This Row],[WEATHER_CODE]]=2,"cloudy",IF(final_data786[[#This Row],[WEATHER_CODE]]=3,"light rain",IF(final_data786[[#This Row],[WEATHER_CODE]]=4,"heavy rain",0))))</f>
        <v>clear</v>
      </c>
      <c r="N641">
        <v>0.16</v>
      </c>
      <c r="O641">
        <v>0.19700000000000001</v>
      </c>
      <c r="P641">
        <v>0.8</v>
      </c>
      <c r="Q641">
        <v>8.9599999999999999E-2</v>
      </c>
      <c r="R641">
        <v>4</v>
      </c>
      <c r="S641">
        <v>28</v>
      </c>
      <c r="T641">
        <v>32</v>
      </c>
    </row>
    <row r="642" spans="1:20" x14ac:dyDescent="0.35">
      <c r="A642">
        <v>641</v>
      </c>
      <c r="B642" s="1">
        <v>40572</v>
      </c>
      <c r="C642">
        <v>1</v>
      </c>
      <c r="D642">
        <v>0</v>
      </c>
      <c r="E642">
        <v>1</v>
      </c>
      <c r="F642" t="str">
        <f>IF(final_data786[[#This Row],[MONTH_CODE]]=1,"JANUARY",IF(final_data786[[#This Row],[MONTH_CODE]]=2,"FEBRUARY"))</f>
        <v>JANUARY</v>
      </c>
      <c r="G642">
        <v>23</v>
      </c>
      <c r="H642">
        <v>0</v>
      </c>
      <c r="I642">
        <v>6</v>
      </c>
      <c r="J6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642" t="str">
        <f>IF(final_data786[[#This Row],[DAY_CODE]]=0,"weekend",IF(final_data786[[#This Row],[DAY_CODE]]=6,"weekend","weekday"))</f>
        <v>weekend</v>
      </c>
      <c r="L642">
        <v>1</v>
      </c>
      <c r="M642" t="str">
        <f>IF(final_data786[[#This Row],[WEATHER_CODE]]=1,"clear",IF(final_data786[[#This Row],[WEATHER_CODE]]=2,"cloudy",IF(final_data786[[#This Row],[WEATHER_CODE]]=3,"light rain",IF(final_data786[[#This Row],[WEATHER_CODE]]=4,"heavy rain",0))))</f>
        <v>clear</v>
      </c>
      <c r="N642">
        <v>0.16</v>
      </c>
      <c r="O642">
        <v>0.19700000000000001</v>
      </c>
      <c r="P642">
        <v>0.8</v>
      </c>
      <c r="Q642">
        <v>8.9599999999999999E-2</v>
      </c>
      <c r="R642">
        <v>3</v>
      </c>
      <c r="S642">
        <v>30</v>
      </c>
      <c r="T642">
        <v>33</v>
      </c>
    </row>
    <row r="643" spans="1:20" x14ac:dyDescent="0.35">
      <c r="A643">
        <v>642</v>
      </c>
      <c r="B643" s="1">
        <v>40573</v>
      </c>
      <c r="C643">
        <v>1</v>
      </c>
      <c r="D643">
        <v>0</v>
      </c>
      <c r="E643">
        <v>1</v>
      </c>
      <c r="F643" t="str">
        <f>IF(final_data786[[#This Row],[MONTH_CODE]]=1,"JANUARY",IF(final_data786[[#This Row],[MONTH_CODE]]=2,"FEBRUARY"))</f>
        <v>JANUARY</v>
      </c>
      <c r="G643">
        <v>0</v>
      </c>
      <c r="H643">
        <v>0</v>
      </c>
      <c r="I643">
        <v>0</v>
      </c>
      <c r="J6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3" t="str">
        <f>IF(final_data786[[#This Row],[DAY_CODE]]=0,"weekend",IF(final_data786[[#This Row],[DAY_CODE]]=6,"weekend","weekday"))</f>
        <v>weekend</v>
      </c>
      <c r="L643">
        <v>1</v>
      </c>
      <c r="M643" t="str">
        <f>IF(final_data786[[#This Row],[WEATHER_CODE]]=1,"clear",IF(final_data786[[#This Row],[WEATHER_CODE]]=2,"cloudy",IF(final_data786[[#This Row],[WEATHER_CODE]]=3,"light rain",IF(final_data786[[#This Row],[WEATHER_CODE]]=4,"heavy rain",0))))</f>
        <v>clear</v>
      </c>
      <c r="N643">
        <v>0.16</v>
      </c>
      <c r="O643">
        <v>0.18179999999999999</v>
      </c>
      <c r="P643">
        <v>0.8</v>
      </c>
      <c r="Q643">
        <v>0.1045</v>
      </c>
      <c r="R643">
        <v>0</v>
      </c>
      <c r="S643">
        <v>33</v>
      </c>
      <c r="T643">
        <v>33</v>
      </c>
    </row>
    <row r="644" spans="1:20" x14ac:dyDescent="0.35">
      <c r="A644">
        <v>643</v>
      </c>
      <c r="B644" s="1">
        <v>40573</v>
      </c>
      <c r="C644">
        <v>1</v>
      </c>
      <c r="D644">
        <v>0</v>
      </c>
      <c r="E644">
        <v>1</v>
      </c>
      <c r="F644" t="str">
        <f>IF(final_data786[[#This Row],[MONTH_CODE]]=1,"JANUARY",IF(final_data786[[#This Row],[MONTH_CODE]]=2,"FEBRUARY"))</f>
        <v>JANUARY</v>
      </c>
      <c r="G644">
        <v>1</v>
      </c>
      <c r="H644">
        <v>0</v>
      </c>
      <c r="I644">
        <v>0</v>
      </c>
      <c r="J6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4" t="str">
        <f>IF(final_data786[[#This Row],[DAY_CODE]]=0,"weekend",IF(final_data786[[#This Row],[DAY_CODE]]=6,"weekend","weekday"))</f>
        <v>weekend</v>
      </c>
      <c r="L644">
        <v>1</v>
      </c>
      <c r="M644" t="str">
        <f>IF(final_data786[[#This Row],[WEATHER_CODE]]=1,"clear",IF(final_data786[[#This Row],[WEATHER_CODE]]=2,"cloudy",IF(final_data786[[#This Row],[WEATHER_CODE]]=3,"light rain",IF(final_data786[[#This Row],[WEATHER_CODE]]=4,"heavy rain",0))))</f>
        <v>clear</v>
      </c>
      <c r="N644">
        <v>0.14000000000000001</v>
      </c>
      <c r="O644">
        <v>0.21210000000000001</v>
      </c>
      <c r="P644">
        <v>0.8</v>
      </c>
      <c r="Q644">
        <v>0</v>
      </c>
      <c r="R644">
        <v>7</v>
      </c>
      <c r="S644">
        <v>22</v>
      </c>
      <c r="T644">
        <v>29</v>
      </c>
    </row>
    <row r="645" spans="1:20" x14ac:dyDescent="0.35">
      <c r="A645">
        <v>644</v>
      </c>
      <c r="B645" s="1">
        <v>40573</v>
      </c>
      <c r="C645">
        <v>1</v>
      </c>
      <c r="D645">
        <v>0</v>
      </c>
      <c r="E645">
        <v>1</v>
      </c>
      <c r="F645" t="str">
        <f>IF(final_data786[[#This Row],[MONTH_CODE]]=1,"JANUARY",IF(final_data786[[#This Row],[MONTH_CODE]]=2,"FEBRUARY"))</f>
        <v>JANUARY</v>
      </c>
      <c r="G645">
        <v>2</v>
      </c>
      <c r="H645">
        <v>0</v>
      </c>
      <c r="I645">
        <v>0</v>
      </c>
      <c r="J6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5" t="str">
        <f>IF(final_data786[[#This Row],[DAY_CODE]]=0,"weekend",IF(final_data786[[#This Row],[DAY_CODE]]=6,"weekend","weekday"))</f>
        <v>weekend</v>
      </c>
      <c r="L645">
        <v>1</v>
      </c>
      <c r="M645" t="str">
        <f>IF(final_data786[[#This Row],[WEATHER_CODE]]=1,"clear",IF(final_data786[[#This Row],[WEATHER_CODE]]=2,"cloudy",IF(final_data786[[#This Row],[WEATHER_CODE]]=3,"light rain",IF(final_data786[[#This Row],[WEATHER_CODE]]=4,"heavy rain",0))))</f>
        <v>clear</v>
      </c>
      <c r="N645">
        <v>0.16</v>
      </c>
      <c r="O645">
        <v>0.2273</v>
      </c>
      <c r="P645">
        <v>0.8</v>
      </c>
      <c r="Q645">
        <v>0</v>
      </c>
      <c r="R645">
        <v>1</v>
      </c>
      <c r="S645">
        <v>10</v>
      </c>
      <c r="T645">
        <v>11</v>
      </c>
    </row>
    <row r="646" spans="1:20" x14ac:dyDescent="0.35">
      <c r="A646">
        <v>645</v>
      </c>
      <c r="B646" s="1">
        <v>40573</v>
      </c>
      <c r="C646">
        <v>1</v>
      </c>
      <c r="D646">
        <v>0</v>
      </c>
      <c r="E646">
        <v>1</v>
      </c>
      <c r="F646" t="str">
        <f>IF(final_data786[[#This Row],[MONTH_CODE]]=1,"JANUARY",IF(final_data786[[#This Row],[MONTH_CODE]]=2,"FEBRUARY"))</f>
        <v>JANUARY</v>
      </c>
      <c r="G646">
        <v>3</v>
      </c>
      <c r="H646">
        <v>0</v>
      </c>
      <c r="I646">
        <v>0</v>
      </c>
      <c r="J6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6" t="str">
        <f>IF(final_data786[[#This Row],[DAY_CODE]]=0,"weekend",IF(final_data786[[#This Row],[DAY_CODE]]=6,"weekend","weekday"))</f>
        <v>weekend</v>
      </c>
      <c r="L646">
        <v>1</v>
      </c>
      <c r="M646" t="str">
        <f>IF(final_data786[[#This Row],[WEATHER_CODE]]=1,"clear",IF(final_data786[[#This Row],[WEATHER_CODE]]=2,"cloudy",IF(final_data786[[#This Row],[WEATHER_CODE]]=3,"light rain",IF(final_data786[[#This Row],[WEATHER_CODE]]=4,"heavy rain",0))))</f>
        <v>clear</v>
      </c>
      <c r="N646">
        <v>0.14000000000000001</v>
      </c>
      <c r="O646">
        <v>0.21210000000000001</v>
      </c>
      <c r="P646">
        <v>0.93</v>
      </c>
      <c r="Q646">
        <v>0</v>
      </c>
      <c r="R646">
        <v>1</v>
      </c>
      <c r="S646">
        <v>7</v>
      </c>
      <c r="T646">
        <v>8</v>
      </c>
    </row>
    <row r="647" spans="1:20" x14ac:dyDescent="0.35">
      <c r="A647">
        <v>646</v>
      </c>
      <c r="B647" s="1">
        <v>40573</v>
      </c>
      <c r="C647">
        <v>1</v>
      </c>
      <c r="D647">
        <v>0</v>
      </c>
      <c r="E647">
        <v>1</v>
      </c>
      <c r="F647" t="str">
        <f>IF(final_data786[[#This Row],[MONTH_CODE]]=1,"JANUARY",IF(final_data786[[#This Row],[MONTH_CODE]]=2,"FEBRUARY"))</f>
        <v>JANUARY</v>
      </c>
      <c r="G647">
        <v>4</v>
      </c>
      <c r="H647">
        <v>0</v>
      </c>
      <c r="I647">
        <v>0</v>
      </c>
      <c r="J6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7" t="str">
        <f>IF(final_data786[[#This Row],[DAY_CODE]]=0,"weekend",IF(final_data786[[#This Row],[DAY_CODE]]=6,"weekend","weekday"))</f>
        <v>weekend</v>
      </c>
      <c r="L647">
        <v>1</v>
      </c>
      <c r="M647" t="str">
        <f>IF(final_data786[[#This Row],[WEATHER_CODE]]=1,"clear",IF(final_data786[[#This Row],[WEATHER_CODE]]=2,"cloudy",IF(final_data786[[#This Row],[WEATHER_CODE]]=3,"light rain",IF(final_data786[[#This Row],[WEATHER_CODE]]=4,"heavy rain",0))))</f>
        <v>clear</v>
      </c>
      <c r="N647">
        <v>0.14000000000000001</v>
      </c>
      <c r="O647">
        <v>0.21210000000000001</v>
      </c>
      <c r="P647">
        <v>0.93</v>
      </c>
      <c r="Q647">
        <v>0</v>
      </c>
      <c r="R647">
        <v>0</v>
      </c>
      <c r="S647">
        <v>1</v>
      </c>
      <c r="T647">
        <v>1</v>
      </c>
    </row>
    <row r="648" spans="1:20" x14ac:dyDescent="0.35">
      <c r="A648">
        <v>647</v>
      </c>
      <c r="B648" s="1">
        <v>40573</v>
      </c>
      <c r="C648">
        <v>1</v>
      </c>
      <c r="D648">
        <v>0</v>
      </c>
      <c r="E648">
        <v>1</v>
      </c>
      <c r="F648" t="str">
        <f>IF(final_data786[[#This Row],[MONTH_CODE]]=1,"JANUARY",IF(final_data786[[#This Row],[MONTH_CODE]]=2,"FEBRUARY"))</f>
        <v>JANUARY</v>
      </c>
      <c r="G648">
        <v>5</v>
      </c>
      <c r="H648">
        <v>0</v>
      </c>
      <c r="I648">
        <v>0</v>
      </c>
      <c r="J6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8" t="str">
        <f>IF(final_data786[[#This Row],[DAY_CODE]]=0,"weekend",IF(final_data786[[#This Row],[DAY_CODE]]=6,"weekend","weekday"))</f>
        <v>weekend</v>
      </c>
      <c r="L648">
        <v>1</v>
      </c>
      <c r="M648" t="str">
        <f>IF(final_data786[[#This Row],[WEATHER_CODE]]=1,"clear",IF(final_data786[[#This Row],[WEATHER_CODE]]=2,"cloudy",IF(final_data786[[#This Row],[WEATHER_CODE]]=3,"light rain",IF(final_data786[[#This Row],[WEATHER_CODE]]=4,"heavy rain",0))))</f>
        <v>clear</v>
      </c>
      <c r="N648">
        <v>0.14000000000000001</v>
      </c>
      <c r="O648">
        <v>0.21210000000000001</v>
      </c>
      <c r="P648">
        <v>0.86</v>
      </c>
      <c r="Q648">
        <v>0</v>
      </c>
      <c r="R648">
        <v>0</v>
      </c>
      <c r="S648">
        <v>3</v>
      </c>
      <c r="T648">
        <v>3</v>
      </c>
    </row>
    <row r="649" spans="1:20" x14ac:dyDescent="0.35">
      <c r="A649">
        <v>648</v>
      </c>
      <c r="B649" s="1">
        <v>40573</v>
      </c>
      <c r="C649">
        <v>1</v>
      </c>
      <c r="D649">
        <v>0</v>
      </c>
      <c r="E649">
        <v>1</v>
      </c>
      <c r="F649" t="str">
        <f>IF(final_data786[[#This Row],[MONTH_CODE]]=1,"JANUARY",IF(final_data786[[#This Row],[MONTH_CODE]]=2,"FEBRUARY"))</f>
        <v>JANUARY</v>
      </c>
      <c r="G649">
        <v>7</v>
      </c>
      <c r="H649">
        <v>0</v>
      </c>
      <c r="I649">
        <v>0</v>
      </c>
      <c r="J6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49" t="str">
        <f>IF(final_data786[[#This Row],[DAY_CODE]]=0,"weekend",IF(final_data786[[#This Row],[DAY_CODE]]=6,"weekend","weekday"))</f>
        <v>weekend</v>
      </c>
      <c r="L649">
        <v>1</v>
      </c>
      <c r="M649" t="str">
        <f>IF(final_data786[[#This Row],[WEATHER_CODE]]=1,"clear",IF(final_data786[[#This Row],[WEATHER_CODE]]=2,"cloudy",IF(final_data786[[#This Row],[WEATHER_CODE]]=3,"light rain",IF(final_data786[[#This Row],[WEATHER_CODE]]=4,"heavy rain",0))))</f>
        <v>clear</v>
      </c>
      <c r="N649">
        <v>0.14000000000000001</v>
      </c>
      <c r="O649">
        <v>0.21210000000000001</v>
      </c>
      <c r="P649">
        <v>0.86</v>
      </c>
      <c r="Q649">
        <v>0</v>
      </c>
      <c r="R649">
        <v>0</v>
      </c>
      <c r="S649">
        <v>3</v>
      </c>
      <c r="T649">
        <v>3</v>
      </c>
    </row>
    <row r="650" spans="1:20" x14ac:dyDescent="0.35">
      <c r="A650">
        <v>649</v>
      </c>
      <c r="B650" s="1">
        <v>40573</v>
      </c>
      <c r="C650">
        <v>1</v>
      </c>
      <c r="D650">
        <v>0</v>
      </c>
      <c r="E650">
        <v>1</v>
      </c>
      <c r="F650" t="str">
        <f>IF(final_data786[[#This Row],[MONTH_CODE]]=1,"JANUARY",IF(final_data786[[#This Row],[MONTH_CODE]]=2,"FEBRUARY"))</f>
        <v>JANUARY</v>
      </c>
      <c r="G650">
        <v>8</v>
      </c>
      <c r="H650">
        <v>0</v>
      </c>
      <c r="I650">
        <v>0</v>
      </c>
      <c r="J6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0" t="str">
        <f>IF(final_data786[[#This Row],[DAY_CODE]]=0,"weekend",IF(final_data786[[#This Row],[DAY_CODE]]=6,"weekend","weekday"))</f>
        <v>weekend</v>
      </c>
      <c r="L650">
        <v>2</v>
      </c>
      <c r="M650" t="str">
        <f>IF(final_data786[[#This Row],[WEATHER_CODE]]=1,"clear",IF(final_data786[[#This Row],[WEATHER_CODE]]=2,"cloudy",IF(final_data786[[#This Row],[WEATHER_CODE]]=3,"light rain",IF(final_data786[[#This Row],[WEATHER_CODE]]=4,"heavy rain",0))))</f>
        <v>cloudy</v>
      </c>
      <c r="N650">
        <v>0.14000000000000001</v>
      </c>
      <c r="O650">
        <v>0.21210000000000001</v>
      </c>
      <c r="P650">
        <v>0.86</v>
      </c>
      <c r="Q650">
        <v>0</v>
      </c>
      <c r="R650">
        <v>1</v>
      </c>
      <c r="S650">
        <v>11</v>
      </c>
      <c r="T650">
        <v>12</v>
      </c>
    </row>
    <row r="651" spans="1:20" x14ac:dyDescent="0.35">
      <c r="A651">
        <v>650</v>
      </c>
      <c r="B651" s="1">
        <v>40573</v>
      </c>
      <c r="C651">
        <v>1</v>
      </c>
      <c r="D651">
        <v>0</v>
      </c>
      <c r="E651">
        <v>1</v>
      </c>
      <c r="F651" t="str">
        <f>IF(final_data786[[#This Row],[MONTH_CODE]]=1,"JANUARY",IF(final_data786[[#This Row],[MONTH_CODE]]=2,"FEBRUARY"))</f>
        <v>JANUARY</v>
      </c>
      <c r="G651">
        <v>9</v>
      </c>
      <c r="H651">
        <v>0</v>
      </c>
      <c r="I651">
        <v>0</v>
      </c>
      <c r="J6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1" t="str">
        <f>IF(final_data786[[#This Row],[DAY_CODE]]=0,"weekend",IF(final_data786[[#This Row],[DAY_CODE]]=6,"weekend","weekday"))</f>
        <v>weekend</v>
      </c>
      <c r="L651">
        <v>2</v>
      </c>
      <c r="M651" t="str">
        <f>IF(final_data786[[#This Row],[WEATHER_CODE]]=1,"clear",IF(final_data786[[#This Row],[WEATHER_CODE]]=2,"cloudy",IF(final_data786[[#This Row],[WEATHER_CODE]]=3,"light rain",IF(final_data786[[#This Row],[WEATHER_CODE]]=4,"heavy rain",0))))</f>
        <v>cloudy</v>
      </c>
      <c r="N651">
        <v>0.16</v>
      </c>
      <c r="O651">
        <v>0.2273</v>
      </c>
      <c r="P651">
        <v>0.8</v>
      </c>
      <c r="Q651">
        <v>0</v>
      </c>
      <c r="R651">
        <v>4</v>
      </c>
      <c r="S651">
        <v>34</v>
      </c>
      <c r="T651">
        <v>38</v>
      </c>
    </row>
    <row r="652" spans="1:20" x14ac:dyDescent="0.35">
      <c r="A652">
        <v>651</v>
      </c>
      <c r="B652" s="1">
        <v>40573</v>
      </c>
      <c r="C652">
        <v>1</v>
      </c>
      <c r="D652">
        <v>0</v>
      </c>
      <c r="E652">
        <v>1</v>
      </c>
      <c r="F652" t="str">
        <f>IF(final_data786[[#This Row],[MONTH_CODE]]=1,"JANUARY",IF(final_data786[[#This Row],[MONTH_CODE]]=2,"FEBRUARY"))</f>
        <v>JANUARY</v>
      </c>
      <c r="G652">
        <v>10</v>
      </c>
      <c r="H652">
        <v>0</v>
      </c>
      <c r="I652">
        <v>0</v>
      </c>
      <c r="J6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2" t="str">
        <f>IF(final_data786[[#This Row],[DAY_CODE]]=0,"weekend",IF(final_data786[[#This Row],[DAY_CODE]]=6,"weekend","weekday"))</f>
        <v>weekend</v>
      </c>
      <c r="L652">
        <v>2</v>
      </c>
      <c r="M652" t="str">
        <f>IF(final_data786[[#This Row],[WEATHER_CODE]]=1,"clear",IF(final_data786[[#This Row],[WEATHER_CODE]]=2,"cloudy",IF(final_data786[[#This Row],[WEATHER_CODE]]=3,"light rain",IF(final_data786[[#This Row],[WEATHER_CODE]]=4,"heavy rain",0))))</f>
        <v>cloudy</v>
      </c>
      <c r="N652">
        <v>0.18</v>
      </c>
      <c r="O652">
        <v>0.2424</v>
      </c>
      <c r="P652">
        <v>0.8</v>
      </c>
      <c r="Q652">
        <v>0</v>
      </c>
      <c r="R652">
        <v>7</v>
      </c>
      <c r="S652">
        <v>57</v>
      </c>
      <c r="T652">
        <v>64</v>
      </c>
    </row>
    <row r="653" spans="1:20" x14ac:dyDescent="0.35">
      <c r="A653">
        <v>652</v>
      </c>
      <c r="B653" s="1">
        <v>40573</v>
      </c>
      <c r="C653">
        <v>1</v>
      </c>
      <c r="D653">
        <v>0</v>
      </c>
      <c r="E653">
        <v>1</v>
      </c>
      <c r="F653" t="str">
        <f>IF(final_data786[[#This Row],[MONTH_CODE]]=1,"JANUARY",IF(final_data786[[#This Row],[MONTH_CODE]]=2,"FEBRUARY"))</f>
        <v>JANUARY</v>
      </c>
      <c r="G653">
        <v>11</v>
      </c>
      <c r="H653">
        <v>0</v>
      </c>
      <c r="I653">
        <v>0</v>
      </c>
      <c r="J6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3" t="str">
        <f>IF(final_data786[[#This Row],[DAY_CODE]]=0,"weekend",IF(final_data786[[#This Row],[DAY_CODE]]=6,"weekend","weekday"))</f>
        <v>weekend</v>
      </c>
      <c r="L653">
        <v>1</v>
      </c>
      <c r="M653" t="str">
        <f>IF(final_data786[[#This Row],[WEATHER_CODE]]=1,"clear",IF(final_data786[[#This Row],[WEATHER_CODE]]=2,"cloudy",IF(final_data786[[#This Row],[WEATHER_CODE]]=3,"light rain",IF(final_data786[[#This Row],[WEATHER_CODE]]=4,"heavy rain",0))))</f>
        <v>clear</v>
      </c>
      <c r="N653">
        <v>0.22</v>
      </c>
      <c r="O653">
        <v>0.2727</v>
      </c>
      <c r="P653">
        <v>0.75</v>
      </c>
      <c r="Q653">
        <v>0</v>
      </c>
      <c r="R653">
        <v>9</v>
      </c>
      <c r="S653">
        <v>50</v>
      </c>
      <c r="T653">
        <v>59</v>
      </c>
    </row>
    <row r="654" spans="1:20" x14ac:dyDescent="0.35">
      <c r="A654">
        <v>653</v>
      </c>
      <c r="B654" s="1">
        <v>40573</v>
      </c>
      <c r="C654">
        <v>1</v>
      </c>
      <c r="D654">
        <v>0</v>
      </c>
      <c r="E654">
        <v>1</v>
      </c>
      <c r="F654" t="str">
        <f>IF(final_data786[[#This Row],[MONTH_CODE]]=1,"JANUARY",IF(final_data786[[#This Row],[MONTH_CODE]]=2,"FEBRUARY"))</f>
        <v>JANUARY</v>
      </c>
      <c r="G654">
        <v>12</v>
      </c>
      <c r="H654">
        <v>0</v>
      </c>
      <c r="I654">
        <v>0</v>
      </c>
      <c r="J6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4" t="str">
        <f>IF(final_data786[[#This Row],[DAY_CODE]]=0,"weekend",IF(final_data786[[#This Row],[DAY_CODE]]=6,"weekend","weekday"))</f>
        <v>weekend</v>
      </c>
      <c r="L654">
        <v>1</v>
      </c>
      <c r="M654" t="str">
        <f>IF(final_data786[[#This Row],[WEATHER_CODE]]=1,"clear",IF(final_data786[[#This Row],[WEATHER_CODE]]=2,"cloudy",IF(final_data786[[#This Row],[WEATHER_CODE]]=3,"light rain",IF(final_data786[[#This Row],[WEATHER_CODE]]=4,"heavy rain",0))))</f>
        <v>clear</v>
      </c>
      <c r="N654">
        <v>0.3</v>
      </c>
      <c r="O654">
        <v>0.31819999999999998</v>
      </c>
      <c r="P654">
        <v>0.52</v>
      </c>
      <c r="Q654">
        <v>0.1045</v>
      </c>
      <c r="R654">
        <v>10</v>
      </c>
      <c r="S654">
        <v>87</v>
      </c>
      <c r="T654">
        <v>97</v>
      </c>
    </row>
    <row r="655" spans="1:20" x14ac:dyDescent="0.35">
      <c r="A655">
        <v>654</v>
      </c>
      <c r="B655" s="1">
        <v>40573</v>
      </c>
      <c r="C655">
        <v>1</v>
      </c>
      <c r="D655">
        <v>0</v>
      </c>
      <c r="E655">
        <v>1</v>
      </c>
      <c r="F655" t="str">
        <f>IF(final_data786[[#This Row],[MONTH_CODE]]=1,"JANUARY",IF(final_data786[[#This Row],[MONTH_CODE]]=2,"FEBRUARY"))</f>
        <v>JANUARY</v>
      </c>
      <c r="G655">
        <v>13</v>
      </c>
      <c r="H655">
        <v>0</v>
      </c>
      <c r="I655">
        <v>0</v>
      </c>
      <c r="J6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5" t="str">
        <f>IF(final_data786[[#This Row],[DAY_CODE]]=0,"weekend",IF(final_data786[[#This Row],[DAY_CODE]]=6,"weekend","weekday"))</f>
        <v>weekend</v>
      </c>
      <c r="L655">
        <v>1</v>
      </c>
      <c r="M655" t="str">
        <f>IF(final_data786[[#This Row],[WEATHER_CODE]]=1,"clear",IF(final_data786[[#This Row],[WEATHER_CODE]]=2,"cloudy",IF(final_data786[[#This Row],[WEATHER_CODE]]=3,"light rain",IF(final_data786[[#This Row],[WEATHER_CODE]]=4,"heavy rain",0))))</f>
        <v>clear</v>
      </c>
      <c r="N655">
        <v>0.28000000000000003</v>
      </c>
      <c r="O655">
        <v>0.28789999999999999</v>
      </c>
      <c r="P655">
        <v>0.61</v>
      </c>
      <c r="Q655">
        <v>0.1045</v>
      </c>
      <c r="R655">
        <v>13</v>
      </c>
      <c r="S655">
        <v>71</v>
      </c>
      <c r="T655">
        <v>84</v>
      </c>
    </row>
    <row r="656" spans="1:20" x14ac:dyDescent="0.35">
      <c r="A656">
        <v>655</v>
      </c>
      <c r="B656" s="1">
        <v>40573</v>
      </c>
      <c r="C656">
        <v>1</v>
      </c>
      <c r="D656">
        <v>0</v>
      </c>
      <c r="E656">
        <v>1</v>
      </c>
      <c r="F656" t="str">
        <f>IF(final_data786[[#This Row],[MONTH_CODE]]=1,"JANUARY",IF(final_data786[[#This Row],[MONTH_CODE]]=2,"FEBRUARY"))</f>
        <v>JANUARY</v>
      </c>
      <c r="G656">
        <v>14</v>
      </c>
      <c r="H656">
        <v>0</v>
      </c>
      <c r="I656">
        <v>0</v>
      </c>
      <c r="J6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6" t="str">
        <f>IF(final_data786[[#This Row],[DAY_CODE]]=0,"weekend",IF(final_data786[[#This Row],[DAY_CODE]]=6,"weekend","weekday"))</f>
        <v>weekend</v>
      </c>
      <c r="L656">
        <v>1</v>
      </c>
      <c r="M656" t="str">
        <f>IF(final_data786[[#This Row],[WEATHER_CODE]]=1,"clear",IF(final_data786[[#This Row],[WEATHER_CODE]]=2,"cloudy",IF(final_data786[[#This Row],[WEATHER_CODE]]=3,"light rain",IF(final_data786[[#This Row],[WEATHER_CODE]]=4,"heavy rain",0))))</f>
        <v>clear</v>
      </c>
      <c r="N656">
        <v>0.28000000000000003</v>
      </c>
      <c r="O656">
        <v>0.30299999999999999</v>
      </c>
      <c r="P656">
        <v>0.61</v>
      </c>
      <c r="Q656">
        <v>8.9599999999999999E-2</v>
      </c>
      <c r="R656">
        <v>18</v>
      </c>
      <c r="S656">
        <v>104</v>
      </c>
      <c r="T656">
        <v>122</v>
      </c>
    </row>
    <row r="657" spans="1:20" x14ac:dyDescent="0.35">
      <c r="A657">
        <v>656</v>
      </c>
      <c r="B657" s="1">
        <v>40573</v>
      </c>
      <c r="C657">
        <v>1</v>
      </c>
      <c r="D657">
        <v>0</v>
      </c>
      <c r="E657">
        <v>1</v>
      </c>
      <c r="F657" t="str">
        <f>IF(final_data786[[#This Row],[MONTH_CODE]]=1,"JANUARY",IF(final_data786[[#This Row],[MONTH_CODE]]=2,"FEBRUARY"))</f>
        <v>JANUARY</v>
      </c>
      <c r="G657">
        <v>15</v>
      </c>
      <c r="H657">
        <v>0</v>
      </c>
      <c r="I657">
        <v>0</v>
      </c>
      <c r="J6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7" t="str">
        <f>IF(final_data786[[#This Row],[DAY_CODE]]=0,"weekend",IF(final_data786[[#This Row],[DAY_CODE]]=6,"weekend","weekday"))</f>
        <v>weekend</v>
      </c>
      <c r="L657">
        <v>1</v>
      </c>
      <c r="M657" t="str">
        <f>IF(final_data786[[#This Row],[WEATHER_CODE]]=1,"clear",IF(final_data786[[#This Row],[WEATHER_CODE]]=2,"cloudy",IF(final_data786[[#This Row],[WEATHER_CODE]]=3,"light rain",IF(final_data786[[#This Row],[WEATHER_CODE]]=4,"heavy rain",0))))</f>
        <v>clear</v>
      </c>
      <c r="N657">
        <v>0.3</v>
      </c>
      <c r="O657">
        <v>0.33329999999999999</v>
      </c>
      <c r="P657">
        <v>0.56000000000000005</v>
      </c>
      <c r="Q657">
        <v>0</v>
      </c>
      <c r="R657">
        <v>14</v>
      </c>
      <c r="S657">
        <v>95</v>
      </c>
      <c r="T657">
        <v>109</v>
      </c>
    </row>
    <row r="658" spans="1:20" x14ac:dyDescent="0.35">
      <c r="A658">
        <v>657</v>
      </c>
      <c r="B658" s="1">
        <v>40573</v>
      </c>
      <c r="C658">
        <v>1</v>
      </c>
      <c r="D658">
        <v>0</v>
      </c>
      <c r="E658">
        <v>1</v>
      </c>
      <c r="F658" t="str">
        <f>IF(final_data786[[#This Row],[MONTH_CODE]]=1,"JANUARY",IF(final_data786[[#This Row],[MONTH_CODE]]=2,"FEBRUARY"))</f>
        <v>JANUARY</v>
      </c>
      <c r="G658">
        <v>16</v>
      </c>
      <c r="H658">
        <v>0</v>
      </c>
      <c r="I658">
        <v>0</v>
      </c>
      <c r="J6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8" t="str">
        <f>IF(final_data786[[#This Row],[DAY_CODE]]=0,"weekend",IF(final_data786[[#This Row],[DAY_CODE]]=6,"weekend","weekday"))</f>
        <v>weekend</v>
      </c>
      <c r="L658">
        <v>1</v>
      </c>
      <c r="M658" t="str">
        <f>IF(final_data786[[#This Row],[WEATHER_CODE]]=1,"clear",IF(final_data786[[#This Row],[WEATHER_CODE]]=2,"cloudy",IF(final_data786[[#This Row],[WEATHER_CODE]]=3,"light rain",IF(final_data786[[#This Row],[WEATHER_CODE]]=4,"heavy rain",0))))</f>
        <v>clear</v>
      </c>
      <c r="N658">
        <v>0.3</v>
      </c>
      <c r="O658">
        <v>0.33329999999999999</v>
      </c>
      <c r="P658">
        <v>0.56000000000000005</v>
      </c>
      <c r="Q658">
        <v>0</v>
      </c>
      <c r="R658">
        <v>19</v>
      </c>
      <c r="S658">
        <v>104</v>
      </c>
      <c r="T658">
        <v>123</v>
      </c>
    </row>
    <row r="659" spans="1:20" x14ac:dyDescent="0.35">
      <c r="A659">
        <v>658</v>
      </c>
      <c r="B659" s="1">
        <v>40573</v>
      </c>
      <c r="C659">
        <v>1</v>
      </c>
      <c r="D659">
        <v>0</v>
      </c>
      <c r="E659">
        <v>1</v>
      </c>
      <c r="F659" t="str">
        <f>IF(final_data786[[#This Row],[MONTH_CODE]]=1,"JANUARY",IF(final_data786[[#This Row],[MONTH_CODE]]=2,"FEBRUARY"))</f>
        <v>JANUARY</v>
      </c>
      <c r="G659">
        <v>17</v>
      </c>
      <c r="H659">
        <v>0</v>
      </c>
      <c r="I659">
        <v>0</v>
      </c>
      <c r="J6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59" t="str">
        <f>IF(final_data786[[#This Row],[DAY_CODE]]=0,"weekend",IF(final_data786[[#This Row],[DAY_CODE]]=6,"weekend","weekday"))</f>
        <v>weekend</v>
      </c>
      <c r="L659">
        <v>1</v>
      </c>
      <c r="M659" t="str">
        <f>IF(final_data786[[#This Row],[WEATHER_CODE]]=1,"clear",IF(final_data786[[#This Row],[WEATHER_CODE]]=2,"cloudy",IF(final_data786[[#This Row],[WEATHER_CODE]]=3,"light rain",IF(final_data786[[#This Row],[WEATHER_CODE]]=4,"heavy rain",0))))</f>
        <v>clear</v>
      </c>
      <c r="N659">
        <v>0.3</v>
      </c>
      <c r="O659">
        <v>0.28789999999999999</v>
      </c>
      <c r="P659">
        <v>0.56000000000000005</v>
      </c>
      <c r="Q659">
        <v>0.19400000000000001</v>
      </c>
      <c r="R659">
        <v>6</v>
      </c>
      <c r="S659">
        <v>71</v>
      </c>
      <c r="T659">
        <v>77</v>
      </c>
    </row>
    <row r="660" spans="1:20" x14ac:dyDescent="0.35">
      <c r="A660">
        <v>659</v>
      </c>
      <c r="B660" s="1">
        <v>40573</v>
      </c>
      <c r="C660">
        <v>1</v>
      </c>
      <c r="D660">
        <v>0</v>
      </c>
      <c r="E660">
        <v>1</v>
      </c>
      <c r="F660" t="str">
        <f>IF(final_data786[[#This Row],[MONTH_CODE]]=1,"JANUARY",IF(final_data786[[#This Row],[MONTH_CODE]]=2,"FEBRUARY"))</f>
        <v>JANUARY</v>
      </c>
      <c r="G660">
        <v>18</v>
      </c>
      <c r="H660">
        <v>0</v>
      </c>
      <c r="I660">
        <v>0</v>
      </c>
      <c r="J6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0" t="str">
        <f>IF(final_data786[[#This Row],[DAY_CODE]]=0,"weekend",IF(final_data786[[#This Row],[DAY_CODE]]=6,"weekend","weekday"))</f>
        <v>weekend</v>
      </c>
      <c r="L660">
        <v>1</v>
      </c>
      <c r="M660" t="str">
        <f>IF(final_data786[[#This Row],[WEATHER_CODE]]=1,"clear",IF(final_data786[[#This Row],[WEATHER_CODE]]=2,"cloudy",IF(final_data786[[#This Row],[WEATHER_CODE]]=3,"light rain",IF(final_data786[[#This Row],[WEATHER_CODE]]=4,"heavy rain",0))))</f>
        <v>clear</v>
      </c>
      <c r="N660">
        <v>0.26</v>
      </c>
      <c r="O660">
        <v>0.2576</v>
      </c>
      <c r="P660">
        <v>0.65</v>
      </c>
      <c r="Q660">
        <v>0.16420000000000001</v>
      </c>
      <c r="R660">
        <v>8</v>
      </c>
      <c r="S660">
        <v>57</v>
      </c>
      <c r="T660">
        <v>65</v>
      </c>
    </row>
    <row r="661" spans="1:20" x14ac:dyDescent="0.35">
      <c r="A661">
        <v>660</v>
      </c>
      <c r="B661" s="1">
        <v>40573</v>
      </c>
      <c r="C661">
        <v>1</v>
      </c>
      <c r="D661">
        <v>0</v>
      </c>
      <c r="E661">
        <v>1</v>
      </c>
      <c r="F661" t="str">
        <f>IF(final_data786[[#This Row],[MONTH_CODE]]=1,"JANUARY",IF(final_data786[[#This Row],[MONTH_CODE]]=2,"FEBRUARY"))</f>
        <v>JANUARY</v>
      </c>
      <c r="G661">
        <v>19</v>
      </c>
      <c r="H661">
        <v>0</v>
      </c>
      <c r="I661">
        <v>0</v>
      </c>
      <c r="J6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1" t="str">
        <f>IF(final_data786[[#This Row],[DAY_CODE]]=0,"weekend",IF(final_data786[[#This Row],[DAY_CODE]]=6,"weekend","weekday"))</f>
        <v>weekend</v>
      </c>
      <c r="L661">
        <v>1</v>
      </c>
      <c r="M661" t="str">
        <f>IF(final_data786[[#This Row],[WEATHER_CODE]]=1,"clear",IF(final_data786[[#This Row],[WEATHER_CODE]]=2,"cloudy",IF(final_data786[[#This Row],[WEATHER_CODE]]=3,"light rain",IF(final_data786[[#This Row],[WEATHER_CODE]]=4,"heavy rain",0))))</f>
        <v>clear</v>
      </c>
      <c r="N661">
        <v>0.26</v>
      </c>
      <c r="O661">
        <v>0.2576</v>
      </c>
      <c r="P661">
        <v>0.65</v>
      </c>
      <c r="Q661">
        <v>0.19400000000000001</v>
      </c>
      <c r="R661">
        <v>9</v>
      </c>
      <c r="S661">
        <v>46</v>
      </c>
      <c r="T661">
        <v>55</v>
      </c>
    </row>
    <row r="662" spans="1:20" x14ac:dyDescent="0.35">
      <c r="A662">
        <v>661</v>
      </c>
      <c r="B662" s="1">
        <v>40573</v>
      </c>
      <c r="C662">
        <v>1</v>
      </c>
      <c r="D662">
        <v>0</v>
      </c>
      <c r="E662">
        <v>1</v>
      </c>
      <c r="F662" t="str">
        <f>IF(final_data786[[#This Row],[MONTH_CODE]]=1,"JANUARY",IF(final_data786[[#This Row],[MONTH_CODE]]=2,"FEBRUARY"))</f>
        <v>JANUARY</v>
      </c>
      <c r="G662">
        <v>20</v>
      </c>
      <c r="H662">
        <v>0</v>
      </c>
      <c r="I662">
        <v>0</v>
      </c>
      <c r="J6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2" t="str">
        <f>IF(final_data786[[#This Row],[DAY_CODE]]=0,"weekend",IF(final_data786[[#This Row],[DAY_CODE]]=6,"weekend","weekday"))</f>
        <v>weekend</v>
      </c>
      <c r="L662">
        <v>2</v>
      </c>
      <c r="M662" t="str">
        <f>IF(final_data786[[#This Row],[WEATHER_CODE]]=1,"clear",IF(final_data786[[#This Row],[WEATHER_CODE]]=2,"cloudy",IF(final_data786[[#This Row],[WEATHER_CODE]]=3,"light rain",IF(final_data786[[#This Row],[WEATHER_CODE]]=4,"heavy rain",0))))</f>
        <v>cloudy</v>
      </c>
      <c r="N662">
        <v>0.26</v>
      </c>
      <c r="O662">
        <v>0.2727</v>
      </c>
      <c r="P662">
        <v>0.65</v>
      </c>
      <c r="Q662">
        <v>0.1045</v>
      </c>
      <c r="R662">
        <v>3</v>
      </c>
      <c r="S662">
        <v>30</v>
      </c>
      <c r="T662">
        <v>33</v>
      </c>
    </row>
    <row r="663" spans="1:20" x14ac:dyDescent="0.35">
      <c r="A663">
        <v>662</v>
      </c>
      <c r="B663" s="1">
        <v>40573</v>
      </c>
      <c r="C663">
        <v>1</v>
      </c>
      <c r="D663">
        <v>0</v>
      </c>
      <c r="E663">
        <v>1</v>
      </c>
      <c r="F663" t="str">
        <f>IF(final_data786[[#This Row],[MONTH_CODE]]=1,"JANUARY",IF(final_data786[[#This Row],[MONTH_CODE]]=2,"FEBRUARY"))</f>
        <v>JANUARY</v>
      </c>
      <c r="G663">
        <v>21</v>
      </c>
      <c r="H663">
        <v>0</v>
      </c>
      <c r="I663">
        <v>0</v>
      </c>
      <c r="J6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3" t="str">
        <f>IF(final_data786[[#This Row],[DAY_CODE]]=0,"weekend",IF(final_data786[[#This Row],[DAY_CODE]]=6,"weekend","weekday"))</f>
        <v>weekend</v>
      </c>
      <c r="L663">
        <v>2</v>
      </c>
      <c r="M663" t="str">
        <f>IF(final_data786[[#This Row],[WEATHER_CODE]]=1,"clear",IF(final_data786[[#This Row],[WEATHER_CODE]]=2,"cloudy",IF(final_data786[[#This Row],[WEATHER_CODE]]=3,"light rain",IF(final_data786[[#This Row],[WEATHER_CODE]]=4,"heavy rain",0))))</f>
        <v>cloudy</v>
      </c>
      <c r="N663">
        <v>0.24</v>
      </c>
      <c r="O663">
        <v>0.2424</v>
      </c>
      <c r="P663">
        <v>0.7</v>
      </c>
      <c r="Q663">
        <v>0.16420000000000001</v>
      </c>
      <c r="R663">
        <v>3</v>
      </c>
      <c r="S663">
        <v>25</v>
      </c>
      <c r="T663">
        <v>28</v>
      </c>
    </row>
    <row r="664" spans="1:20" x14ac:dyDescent="0.35">
      <c r="A664">
        <v>663</v>
      </c>
      <c r="B664" s="1">
        <v>40573</v>
      </c>
      <c r="C664">
        <v>1</v>
      </c>
      <c r="D664">
        <v>0</v>
      </c>
      <c r="E664">
        <v>1</v>
      </c>
      <c r="F664" t="str">
        <f>IF(final_data786[[#This Row],[MONTH_CODE]]=1,"JANUARY",IF(final_data786[[#This Row],[MONTH_CODE]]=2,"FEBRUARY"))</f>
        <v>JANUARY</v>
      </c>
      <c r="G664">
        <v>22</v>
      </c>
      <c r="H664">
        <v>0</v>
      </c>
      <c r="I664">
        <v>0</v>
      </c>
      <c r="J6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4" t="str">
        <f>IF(final_data786[[#This Row],[DAY_CODE]]=0,"weekend",IF(final_data786[[#This Row],[DAY_CODE]]=6,"weekend","weekday"))</f>
        <v>weekend</v>
      </c>
      <c r="L664">
        <v>2</v>
      </c>
      <c r="M664" t="str">
        <f>IF(final_data786[[#This Row],[WEATHER_CODE]]=1,"clear",IF(final_data786[[#This Row],[WEATHER_CODE]]=2,"cloudy",IF(final_data786[[#This Row],[WEATHER_CODE]]=3,"light rain",IF(final_data786[[#This Row],[WEATHER_CODE]]=4,"heavy rain",0))))</f>
        <v>cloudy</v>
      </c>
      <c r="N664">
        <v>0.24</v>
      </c>
      <c r="O664">
        <v>0.2273</v>
      </c>
      <c r="P664">
        <v>0.7</v>
      </c>
      <c r="Q664">
        <v>0.19400000000000001</v>
      </c>
      <c r="R664">
        <v>2</v>
      </c>
      <c r="S664">
        <v>19</v>
      </c>
      <c r="T664">
        <v>21</v>
      </c>
    </row>
    <row r="665" spans="1:20" x14ac:dyDescent="0.35">
      <c r="A665">
        <v>664</v>
      </c>
      <c r="B665" s="1">
        <v>40573</v>
      </c>
      <c r="C665">
        <v>1</v>
      </c>
      <c r="D665">
        <v>0</v>
      </c>
      <c r="E665">
        <v>1</v>
      </c>
      <c r="F665" t="str">
        <f>IF(final_data786[[#This Row],[MONTH_CODE]]=1,"JANUARY",IF(final_data786[[#This Row],[MONTH_CODE]]=2,"FEBRUARY"))</f>
        <v>JANUARY</v>
      </c>
      <c r="G665">
        <v>23</v>
      </c>
      <c r="H665">
        <v>0</v>
      </c>
      <c r="I665">
        <v>0</v>
      </c>
      <c r="J6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665" t="str">
        <f>IF(final_data786[[#This Row],[DAY_CODE]]=0,"weekend",IF(final_data786[[#This Row],[DAY_CODE]]=6,"weekend","weekday"))</f>
        <v>weekend</v>
      </c>
      <c r="L665">
        <v>2</v>
      </c>
      <c r="M665" t="str">
        <f>IF(final_data786[[#This Row],[WEATHER_CODE]]=1,"clear",IF(final_data786[[#This Row],[WEATHER_CODE]]=2,"cloudy",IF(final_data786[[#This Row],[WEATHER_CODE]]=3,"light rain",IF(final_data786[[#This Row],[WEATHER_CODE]]=4,"heavy rain",0))))</f>
        <v>cloudy</v>
      </c>
      <c r="N665">
        <v>0.24</v>
      </c>
      <c r="O665">
        <v>0.21210000000000001</v>
      </c>
      <c r="P665">
        <v>0.65</v>
      </c>
      <c r="Q665">
        <v>0.28360000000000002</v>
      </c>
      <c r="R665">
        <v>5</v>
      </c>
      <c r="S665">
        <v>16</v>
      </c>
      <c r="T665">
        <v>21</v>
      </c>
    </row>
    <row r="666" spans="1:20" x14ac:dyDescent="0.35">
      <c r="A666">
        <v>665</v>
      </c>
      <c r="B666" s="1">
        <v>40574</v>
      </c>
      <c r="C666">
        <v>1</v>
      </c>
      <c r="D666">
        <v>0</v>
      </c>
      <c r="E666">
        <v>1</v>
      </c>
      <c r="F666" t="str">
        <f>IF(final_data786[[#This Row],[MONTH_CODE]]=1,"JANUARY",IF(final_data786[[#This Row],[MONTH_CODE]]=2,"FEBRUARY"))</f>
        <v>JANUARY</v>
      </c>
      <c r="G666">
        <v>0</v>
      </c>
      <c r="H666">
        <v>0</v>
      </c>
      <c r="I666">
        <v>1</v>
      </c>
      <c r="J6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66" t="str">
        <f>IF(final_data786[[#This Row],[DAY_CODE]]=0,"weekend",IF(final_data786[[#This Row],[DAY_CODE]]=6,"weekend","weekday"))</f>
        <v>weekday</v>
      </c>
      <c r="L666">
        <v>2</v>
      </c>
      <c r="M666" t="str">
        <f>IF(final_data786[[#This Row],[WEATHER_CODE]]=1,"clear",IF(final_data786[[#This Row],[WEATHER_CODE]]=2,"cloudy",IF(final_data786[[#This Row],[WEATHER_CODE]]=3,"light rain",IF(final_data786[[#This Row],[WEATHER_CODE]]=4,"heavy rain",0))))</f>
        <v>cloudy</v>
      </c>
      <c r="N666">
        <v>0.24</v>
      </c>
      <c r="O666">
        <v>0.2273</v>
      </c>
      <c r="P666">
        <v>0.65</v>
      </c>
      <c r="Q666">
        <v>0.22389999999999999</v>
      </c>
      <c r="R666">
        <v>1</v>
      </c>
      <c r="S666">
        <v>6</v>
      </c>
      <c r="T666">
        <v>7</v>
      </c>
    </row>
    <row r="667" spans="1:20" x14ac:dyDescent="0.35">
      <c r="A667">
        <v>666</v>
      </c>
      <c r="B667" s="1">
        <v>40574</v>
      </c>
      <c r="C667">
        <v>1</v>
      </c>
      <c r="D667">
        <v>0</v>
      </c>
      <c r="E667">
        <v>1</v>
      </c>
      <c r="F667" t="str">
        <f>IF(final_data786[[#This Row],[MONTH_CODE]]=1,"JANUARY",IF(final_data786[[#This Row],[MONTH_CODE]]=2,"FEBRUARY"))</f>
        <v>JANUARY</v>
      </c>
      <c r="G667">
        <v>1</v>
      </c>
      <c r="H667">
        <v>0</v>
      </c>
      <c r="I667">
        <v>1</v>
      </c>
      <c r="J6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67" t="str">
        <f>IF(final_data786[[#This Row],[DAY_CODE]]=0,"weekend",IF(final_data786[[#This Row],[DAY_CODE]]=6,"weekend","weekday"))</f>
        <v>weekday</v>
      </c>
      <c r="L667">
        <v>1</v>
      </c>
      <c r="M667" t="str">
        <f>IF(final_data786[[#This Row],[WEATHER_CODE]]=1,"clear",IF(final_data786[[#This Row],[WEATHER_CODE]]=2,"cloudy",IF(final_data786[[#This Row],[WEATHER_CODE]]=3,"light rain",IF(final_data786[[#This Row],[WEATHER_CODE]]=4,"heavy rain",0))))</f>
        <v>clear</v>
      </c>
      <c r="N667">
        <v>0.22</v>
      </c>
      <c r="O667">
        <v>0.21210000000000001</v>
      </c>
      <c r="P667">
        <v>0.64</v>
      </c>
      <c r="Q667">
        <v>0.25369999999999998</v>
      </c>
      <c r="R667">
        <v>2</v>
      </c>
      <c r="S667">
        <v>5</v>
      </c>
      <c r="T667">
        <v>7</v>
      </c>
    </row>
    <row r="668" spans="1:20" x14ac:dyDescent="0.35">
      <c r="A668">
        <v>667</v>
      </c>
      <c r="B668" s="1">
        <v>40574</v>
      </c>
      <c r="C668">
        <v>1</v>
      </c>
      <c r="D668">
        <v>0</v>
      </c>
      <c r="E668">
        <v>1</v>
      </c>
      <c r="F668" t="str">
        <f>IF(final_data786[[#This Row],[MONTH_CODE]]=1,"JANUARY",IF(final_data786[[#This Row],[MONTH_CODE]]=2,"FEBRUARY"))</f>
        <v>JANUARY</v>
      </c>
      <c r="G668">
        <v>2</v>
      </c>
      <c r="H668">
        <v>0</v>
      </c>
      <c r="I668">
        <v>1</v>
      </c>
      <c r="J6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68" t="str">
        <f>IF(final_data786[[#This Row],[DAY_CODE]]=0,"weekend",IF(final_data786[[#This Row],[DAY_CODE]]=6,"weekend","weekday"))</f>
        <v>weekday</v>
      </c>
      <c r="L668">
        <v>1</v>
      </c>
      <c r="M668" t="str">
        <f>IF(final_data786[[#This Row],[WEATHER_CODE]]=1,"clear",IF(final_data786[[#This Row],[WEATHER_CODE]]=2,"cloudy",IF(final_data786[[#This Row],[WEATHER_CODE]]=3,"light rain",IF(final_data786[[#This Row],[WEATHER_CODE]]=4,"heavy rain",0))))</f>
        <v>clear</v>
      </c>
      <c r="N668">
        <v>0.22</v>
      </c>
      <c r="O668">
        <v>0.2273</v>
      </c>
      <c r="P668">
        <v>0.64</v>
      </c>
      <c r="Q668">
        <v>0.19400000000000001</v>
      </c>
      <c r="R668">
        <v>0</v>
      </c>
      <c r="S668">
        <v>1</v>
      </c>
      <c r="T668">
        <v>1</v>
      </c>
    </row>
    <row r="669" spans="1:20" x14ac:dyDescent="0.35">
      <c r="A669">
        <v>668</v>
      </c>
      <c r="B669" s="1">
        <v>40574</v>
      </c>
      <c r="C669">
        <v>1</v>
      </c>
      <c r="D669">
        <v>0</v>
      </c>
      <c r="E669">
        <v>1</v>
      </c>
      <c r="F669" t="str">
        <f>IF(final_data786[[#This Row],[MONTH_CODE]]=1,"JANUARY",IF(final_data786[[#This Row],[MONTH_CODE]]=2,"FEBRUARY"))</f>
        <v>JANUARY</v>
      </c>
      <c r="G669">
        <v>3</v>
      </c>
      <c r="H669">
        <v>0</v>
      </c>
      <c r="I669">
        <v>1</v>
      </c>
      <c r="J6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69" t="str">
        <f>IF(final_data786[[#This Row],[DAY_CODE]]=0,"weekend",IF(final_data786[[#This Row],[DAY_CODE]]=6,"weekend","weekday"))</f>
        <v>weekday</v>
      </c>
      <c r="L669">
        <v>1</v>
      </c>
      <c r="M669" t="str">
        <f>IF(final_data786[[#This Row],[WEATHER_CODE]]=1,"clear",IF(final_data786[[#This Row],[WEATHER_CODE]]=2,"cloudy",IF(final_data786[[#This Row],[WEATHER_CODE]]=3,"light rain",IF(final_data786[[#This Row],[WEATHER_CODE]]=4,"heavy rain",0))))</f>
        <v>clear</v>
      </c>
      <c r="N669">
        <v>0.22</v>
      </c>
      <c r="O669">
        <v>0.2273</v>
      </c>
      <c r="P669">
        <v>0.64</v>
      </c>
      <c r="Q669">
        <v>0.19400000000000001</v>
      </c>
      <c r="R669">
        <v>0</v>
      </c>
      <c r="S669">
        <v>2</v>
      </c>
      <c r="T669">
        <v>2</v>
      </c>
    </row>
    <row r="670" spans="1:20" x14ac:dyDescent="0.35">
      <c r="A670">
        <v>669</v>
      </c>
      <c r="B670" s="1">
        <v>40574</v>
      </c>
      <c r="C670">
        <v>1</v>
      </c>
      <c r="D670">
        <v>0</v>
      </c>
      <c r="E670">
        <v>1</v>
      </c>
      <c r="F670" t="str">
        <f>IF(final_data786[[#This Row],[MONTH_CODE]]=1,"JANUARY",IF(final_data786[[#This Row],[MONTH_CODE]]=2,"FEBRUARY"))</f>
        <v>JANUARY</v>
      </c>
      <c r="G670">
        <v>4</v>
      </c>
      <c r="H670">
        <v>0</v>
      </c>
      <c r="I670">
        <v>1</v>
      </c>
      <c r="J6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0" t="str">
        <f>IF(final_data786[[#This Row],[DAY_CODE]]=0,"weekend",IF(final_data786[[#This Row],[DAY_CODE]]=6,"weekend","weekday"))</f>
        <v>weekday</v>
      </c>
      <c r="L670">
        <v>1</v>
      </c>
      <c r="M670" t="str">
        <f>IF(final_data786[[#This Row],[WEATHER_CODE]]=1,"clear",IF(final_data786[[#This Row],[WEATHER_CODE]]=2,"cloudy",IF(final_data786[[#This Row],[WEATHER_CODE]]=3,"light rain",IF(final_data786[[#This Row],[WEATHER_CODE]]=4,"heavy rain",0))))</f>
        <v>clear</v>
      </c>
      <c r="N670">
        <v>0.2</v>
      </c>
      <c r="O670">
        <v>0.19700000000000001</v>
      </c>
      <c r="P670">
        <v>0.59</v>
      </c>
      <c r="Q670">
        <v>0.22389999999999999</v>
      </c>
      <c r="R670">
        <v>0</v>
      </c>
      <c r="S670">
        <v>2</v>
      </c>
      <c r="T670">
        <v>2</v>
      </c>
    </row>
    <row r="671" spans="1:20" x14ac:dyDescent="0.35">
      <c r="A671">
        <v>670</v>
      </c>
      <c r="B671" s="1">
        <v>40574</v>
      </c>
      <c r="C671">
        <v>1</v>
      </c>
      <c r="D671">
        <v>0</v>
      </c>
      <c r="E671">
        <v>1</v>
      </c>
      <c r="F671" t="str">
        <f>IF(final_data786[[#This Row],[MONTH_CODE]]=1,"JANUARY",IF(final_data786[[#This Row],[MONTH_CODE]]=2,"FEBRUARY"))</f>
        <v>JANUARY</v>
      </c>
      <c r="G671">
        <v>5</v>
      </c>
      <c r="H671">
        <v>0</v>
      </c>
      <c r="I671">
        <v>1</v>
      </c>
      <c r="J6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1" t="str">
        <f>IF(final_data786[[#This Row],[DAY_CODE]]=0,"weekend",IF(final_data786[[#This Row],[DAY_CODE]]=6,"weekend","weekday"))</f>
        <v>weekday</v>
      </c>
      <c r="L671">
        <v>1</v>
      </c>
      <c r="M671" t="str">
        <f>IF(final_data786[[#This Row],[WEATHER_CODE]]=1,"clear",IF(final_data786[[#This Row],[WEATHER_CODE]]=2,"cloudy",IF(final_data786[[#This Row],[WEATHER_CODE]]=3,"light rain",IF(final_data786[[#This Row],[WEATHER_CODE]]=4,"heavy rain",0))))</f>
        <v>clear</v>
      </c>
      <c r="N671">
        <v>0.18</v>
      </c>
      <c r="O671">
        <v>0.16669999999999999</v>
      </c>
      <c r="P671">
        <v>0.64</v>
      </c>
      <c r="Q671">
        <v>0.28360000000000002</v>
      </c>
      <c r="R671">
        <v>0</v>
      </c>
      <c r="S671">
        <v>8</v>
      </c>
      <c r="T671">
        <v>8</v>
      </c>
    </row>
    <row r="672" spans="1:20" x14ac:dyDescent="0.35">
      <c r="A672">
        <v>671</v>
      </c>
      <c r="B672" s="1">
        <v>40574</v>
      </c>
      <c r="C672">
        <v>1</v>
      </c>
      <c r="D672">
        <v>0</v>
      </c>
      <c r="E672">
        <v>1</v>
      </c>
      <c r="F672" t="str">
        <f>IF(final_data786[[#This Row],[MONTH_CODE]]=1,"JANUARY",IF(final_data786[[#This Row],[MONTH_CODE]]=2,"FEBRUARY"))</f>
        <v>JANUARY</v>
      </c>
      <c r="G672">
        <v>6</v>
      </c>
      <c r="H672">
        <v>0</v>
      </c>
      <c r="I672">
        <v>1</v>
      </c>
      <c r="J6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2" t="str">
        <f>IF(final_data786[[#This Row],[DAY_CODE]]=0,"weekend",IF(final_data786[[#This Row],[DAY_CODE]]=6,"weekend","weekday"))</f>
        <v>weekday</v>
      </c>
      <c r="L672">
        <v>1</v>
      </c>
      <c r="M672" t="str">
        <f>IF(final_data786[[#This Row],[WEATHER_CODE]]=1,"clear",IF(final_data786[[#This Row],[WEATHER_CODE]]=2,"cloudy",IF(final_data786[[#This Row],[WEATHER_CODE]]=3,"light rain",IF(final_data786[[#This Row],[WEATHER_CODE]]=4,"heavy rain",0))))</f>
        <v>clear</v>
      </c>
      <c r="N672">
        <v>0.16</v>
      </c>
      <c r="O672">
        <v>0.13639999999999999</v>
      </c>
      <c r="P672">
        <v>0.69</v>
      </c>
      <c r="Q672">
        <v>0.32840000000000003</v>
      </c>
      <c r="R672">
        <v>0</v>
      </c>
      <c r="S672">
        <v>37</v>
      </c>
      <c r="T672">
        <v>37</v>
      </c>
    </row>
    <row r="673" spans="1:20" x14ac:dyDescent="0.35">
      <c r="A673">
        <v>672</v>
      </c>
      <c r="B673" s="1">
        <v>40574</v>
      </c>
      <c r="C673">
        <v>1</v>
      </c>
      <c r="D673">
        <v>0</v>
      </c>
      <c r="E673">
        <v>1</v>
      </c>
      <c r="F673" t="str">
        <f>IF(final_data786[[#This Row],[MONTH_CODE]]=1,"JANUARY",IF(final_data786[[#This Row],[MONTH_CODE]]=2,"FEBRUARY"))</f>
        <v>JANUARY</v>
      </c>
      <c r="G673">
        <v>7</v>
      </c>
      <c r="H673">
        <v>0</v>
      </c>
      <c r="I673">
        <v>1</v>
      </c>
      <c r="J6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3" t="str">
        <f>IF(final_data786[[#This Row],[DAY_CODE]]=0,"weekend",IF(final_data786[[#This Row],[DAY_CODE]]=6,"weekend","weekday"))</f>
        <v>weekday</v>
      </c>
      <c r="L673">
        <v>2</v>
      </c>
      <c r="M673" t="str">
        <f>IF(final_data786[[#This Row],[WEATHER_CODE]]=1,"clear",IF(final_data786[[#This Row],[WEATHER_CODE]]=2,"cloudy",IF(final_data786[[#This Row],[WEATHER_CODE]]=3,"light rain",IF(final_data786[[#This Row],[WEATHER_CODE]]=4,"heavy rain",0))))</f>
        <v>cloudy</v>
      </c>
      <c r="N673">
        <v>0.16</v>
      </c>
      <c r="O673">
        <v>0.13639999999999999</v>
      </c>
      <c r="P673">
        <v>0.64</v>
      </c>
      <c r="Q673">
        <v>0.28360000000000002</v>
      </c>
      <c r="R673">
        <v>1</v>
      </c>
      <c r="S673">
        <v>71</v>
      </c>
      <c r="T673">
        <v>72</v>
      </c>
    </row>
    <row r="674" spans="1:20" x14ac:dyDescent="0.35">
      <c r="A674">
        <v>673</v>
      </c>
      <c r="B674" s="1">
        <v>40574</v>
      </c>
      <c r="C674">
        <v>1</v>
      </c>
      <c r="D674">
        <v>0</v>
      </c>
      <c r="E674">
        <v>1</v>
      </c>
      <c r="F674" t="str">
        <f>IF(final_data786[[#This Row],[MONTH_CODE]]=1,"JANUARY",IF(final_data786[[#This Row],[MONTH_CODE]]=2,"FEBRUARY"))</f>
        <v>JANUARY</v>
      </c>
      <c r="G674">
        <v>8</v>
      </c>
      <c r="H674">
        <v>0</v>
      </c>
      <c r="I674">
        <v>1</v>
      </c>
      <c r="J6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4" t="str">
        <f>IF(final_data786[[#This Row],[DAY_CODE]]=0,"weekend",IF(final_data786[[#This Row],[DAY_CODE]]=6,"weekend","weekday"))</f>
        <v>weekday</v>
      </c>
      <c r="L674">
        <v>2</v>
      </c>
      <c r="M674" t="str">
        <f>IF(final_data786[[#This Row],[WEATHER_CODE]]=1,"clear",IF(final_data786[[#This Row],[WEATHER_CODE]]=2,"cloudy",IF(final_data786[[#This Row],[WEATHER_CODE]]=3,"light rain",IF(final_data786[[#This Row],[WEATHER_CODE]]=4,"heavy rain",0))))</f>
        <v>cloudy</v>
      </c>
      <c r="N674">
        <v>0.16</v>
      </c>
      <c r="O674">
        <v>0.13639999999999999</v>
      </c>
      <c r="P674">
        <v>0.59</v>
      </c>
      <c r="Q674">
        <v>0.28360000000000002</v>
      </c>
      <c r="R674">
        <v>3</v>
      </c>
      <c r="S674">
        <v>182</v>
      </c>
      <c r="T674">
        <v>185</v>
      </c>
    </row>
    <row r="675" spans="1:20" x14ac:dyDescent="0.35">
      <c r="A675">
        <v>674</v>
      </c>
      <c r="B675" s="1">
        <v>40574</v>
      </c>
      <c r="C675">
        <v>1</v>
      </c>
      <c r="D675">
        <v>0</v>
      </c>
      <c r="E675">
        <v>1</v>
      </c>
      <c r="F675" t="str">
        <f>IF(final_data786[[#This Row],[MONTH_CODE]]=1,"JANUARY",IF(final_data786[[#This Row],[MONTH_CODE]]=2,"FEBRUARY"))</f>
        <v>JANUARY</v>
      </c>
      <c r="G675">
        <v>9</v>
      </c>
      <c r="H675">
        <v>0</v>
      </c>
      <c r="I675">
        <v>1</v>
      </c>
      <c r="J6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5" t="str">
        <f>IF(final_data786[[#This Row],[DAY_CODE]]=0,"weekend",IF(final_data786[[#This Row],[DAY_CODE]]=6,"weekend","weekday"))</f>
        <v>weekday</v>
      </c>
      <c r="L675">
        <v>2</v>
      </c>
      <c r="M675" t="str">
        <f>IF(final_data786[[#This Row],[WEATHER_CODE]]=1,"clear",IF(final_data786[[#This Row],[WEATHER_CODE]]=2,"cloudy",IF(final_data786[[#This Row],[WEATHER_CODE]]=3,"light rain",IF(final_data786[[#This Row],[WEATHER_CODE]]=4,"heavy rain",0))))</f>
        <v>cloudy</v>
      </c>
      <c r="N675">
        <v>0.16</v>
      </c>
      <c r="O675">
        <v>0.13639999999999999</v>
      </c>
      <c r="P675">
        <v>0.59</v>
      </c>
      <c r="Q675">
        <v>0.29849999999999999</v>
      </c>
      <c r="R675">
        <v>0</v>
      </c>
      <c r="S675">
        <v>112</v>
      </c>
      <c r="T675">
        <v>112</v>
      </c>
    </row>
    <row r="676" spans="1:20" x14ac:dyDescent="0.35">
      <c r="A676">
        <v>675</v>
      </c>
      <c r="B676" s="1">
        <v>40574</v>
      </c>
      <c r="C676">
        <v>1</v>
      </c>
      <c r="D676">
        <v>0</v>
      </c>
      <c r="E676">
        <v>1</v>
      </c>
      <c r="F676" t="str">
        <f>IF(final_data786[[#This Row],[MONTH_CODE]]=1,"JANUARY",IF(final_data786[[#This Row],[MONTH_CODE]]=2,"FEBRUARY"))</f>
        <v>JANUARY</v>
      </c>
      <c r="G676">
        <v>10</v>
      </c>
      <c r="H676">
        <v>0</v>
      </c>
      <c r="I676">
        <v>1</v>
      </c>
      <c r="J6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6" t="str">
        <f>IF(final_data786[[#This Row],[DAY_CODE]]=0,"weekend",IF(final_data786[[#This Row],[DAY_CODE]]=6,"weekend","weekday"))</f>
        <v>weekday</v>
      </c>
      <c r="L676">
        <v>2</v>
      </c>
      <c r="M676" t="str">
        <f>IF(final_data786[[#This Row],[WEATHER_CODE]]=1,"clear",IF(final_data786[[#This Row],[WEATHER_CODE]]=2,"cloudy",IF(final_data786[[#This Row],[WEATHER_CODE]]=3,"light rain",IF(final_data786[[#This Row],[WEATHER_CODE]]=4,"heavy rain",0))))</f>
        <v>cloudy</v>
      </c>
      <c r="N676">
        <v>0.16</v>
      </c>
      <c r="O676">
        <v>0.1515</v>
      </c>
      <c r="P676">
        <v>0.59</v>
      </c>
      <c r="Q676">
        <v>0.19400000000000001</v>
      </c>
      <c r="R676">
        <v>1</v>
      </c>
      <c r="S676">
        <v>68</v>
      </c>
      <c r="T676">
        <v>69</v>
      </c>
    </row>
    <row r="677" spans="1:20" x14ac:dyDescent="0.35">
      <c r="A677">
        <v>676</v>
      </c>
      <c r="B677" s="1">
        <v>40574</v>
      </c>
      <c r="C677">
        <v>1</v>
      </c>
      <c r="D677">
        <v>0</v>
      </c>
      <c r="E677">
        <v>1</v>
      </c>
      <c r="F677" t="str">
        <f>IF(final_data786[[#This Row],[MONTH_CODE]]=1,"JANUARY",IF(final_data786[[#This Row],[MONTH_CODE]]=2,"FEBRUARY"))</f>
        <v>JANUARY</v>
      </c>
      <c r="G677">
        <v>11</v>
      </c>
      <c r="H677">
        <v>0</v>
      </c>
      <c r="I677">
        <v>1</v>
      </c>
      <c r="J6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7" t="str">
        <f>IF(final_data786[[#This Row],[DAY_CODE]]=0,"weekend",IF(final_data786[[#This Row],[DAY_CODE]]=6,"weekend","weekday"))</f>
        <v>weekday</v>
      </c>
      <c r="L677">
        <v>2</v>
      </c>
      <c r="M677" t="str">
        <f>IF(final_data786[[#This Row],[WEATHER_CODE]]=1,"clear",IF(final_data786[[#This Row],[WEATHER_CODE]]=2,"cloudy",IF(final_data786[[#This Row],[WEATHER_CODE]]=3,"light rain",IF(final_data786[[#This Row],[WEATHER_CODE]]=4,"heavy rain",0))))</f>
        <v>cloudy</v>
      </c>
      <c r="N677">
        <v>0.16</v>
      </c>
      <c r="O677">
        <v>0.1515</v>
      </c>
      <c r="P677">
        <v>0.59</v>
      </c>
      <c r="Q677">
        <v>0.19400000000000001</v>
      </c>
      <c r="R677">
        <v>2</v>
      </c>
      <c r="S677">
        <v>46</v>
      </c>
      <c r="T677">
        <v>48</v>
      </c>
    </row>
    <row r="678" spans="1:20" x14ac:dyDescent="0.35">
      <c r="A678">
        <v>677</v>
      </c>
      <c r="B678" s="1">
        <v>40574</v>
      </c>
      <c r="C678">
        <v>1</v>
      </c>
      <c r="D678">
        <v>0</v>
      </c>
      <c r="E678">
        <v>1</v>
      </c>
      <c r="F678" t="str">
        <f>IF(final_data786[[#This Row],[MONTH_CODE]]=1,"JANUARY",IF(final_data786[[#This Row],[MONTH_CODE]]=2,"FEBRUARY"))</f>
        <v>JANUARY</v>
      </c>
      <c r="G678">
        <v>12</v>
      </c>
      <c r="H678">
        <v>0</v>
      </c>
      <c r="I678">
        <v>1</v>
      </c>
      <c r="J6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8" t="str">
        <f>IF(final_data786[[#This Row],[DAY_CODE]]=0,"weekend",IF(final_data786[[#This Row],[DAY_CODE]]=6,"weekend","weekday"))</f>
        <v>weekday</v>
      </c>
      <c r="L678">
        <v>2</v>
      </c>
      <c r="M678" t="str">
        <f>IF(final_data786[[#This Row],[WEATHER_CODE]]=1,"clear",IF(final_data786[[#This Row],[WEATHER_CODE]]=2,"cloudy",IF(final_data786[[#This Row],[WEATHER_CODE]]=3,"light rain",IF(final_data786[[#This Row],[WEATHER_CODE]]=4,"heavy rain",0))))</f>
        <v>cloudy</v>
      </c>
      <c r="N678">
        <v>0.18</v>
      </c>
      <c r="O678">
        <v>0.21210000000000001</v>
      </c>
      <c r="P678">
        <v>0.55000000000000004</v>
      </c>
      <c r="Q678">
        <v>0.1045</v>
      </c>
      <c r="R678">
        <v>6</v>
      </c>
      <c r="S678">
        <v>62</v>
      </c>
      <c r="T678">
        <v>68</v>
      </c>
    </row>
    <row r="679" spans="1:20" x14ac:dyDescent="0.35">
      <c r="A679">
        <v>678</v>
      </c>
      <c r="B679" s="1">
        <v>40574</v>
      </c>
      <c r="C679">
        <v>1</v>
      </c>
      <c r="D679">
        <v>0</v>
      </c>
      <c r="E679">
        <v>1</v>
      </c>
      <c r="F679" t="str">
        <f>IF(final_data786[[#This Row],[MONTH_CODE]]=1,"JANUARY",IF(final_data786[[#This Row],[MONTH_CODE]]=2,"FEBRUARY"))</f>
        <v>JANUARY</v>
      </c>
      <c r="G679">
        <v>13</v>
      </c>
      <c r="H679">
        <v>0</v>
      </c>
      <c r="I679">
        <v>1</v>
      </c>
      <c r="J6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79" t="str">
        <f>IF(final_data786[[#This Row],[DAY_CODE]]=0,"weekend",IF(final_data786[[#This Row],[DAY_CODE]]=6,"weekend","weekday"))</f>
        <v>weekday</v>
      </c>
      <c r="L679">
        <v>2</v>
      </c>
      <c r="M679" t="str">
        <f>IF(final_data786[[#This Row],[WEATHER_CODE]]=1,"clear",IF(final_data786[[#This Row],[WEATHER_CODE]]=2,"cloudy",IF(final_data786[[#This Row],[WEATHER_CODE]]=3,"light rain",IF(final_data786[[#This Row],[WEATHER_CODE]]=4,"heavy rain",0))))</f>
        <v>cloudy</v>
      </c>
      <c r="N679">
        <v>0.16</v>
      </c>
      <c r="O679">
        <v>0.2273</v>
      </c>
      <c r="P679">
        <v>0.59</v>
      </c>
      <c r="Q679">
        <v>0</v>
      </c>
      <c r="R679">
        <v>2</v>
      </c>
      <c r="S679">
        <v>52</v>
      </c>
      <c r="T679">
        <v>54</v>
      </c>
    </row>
    <row r="680" spans="1:20" x14ac:dyDescent="0.35">
      <c r="A680">
        <v>679</v>
      </c>
      <c r="B680" s="1">
        <v>40574</v>
      </c>
      <c r="C680">
        <v>1</v>
      </c>
      <c r="D680">
        <v>0</v>
      </c>
      <c r="E680">
        <v>1</v>
      </c>
      <c r="F680" t="str">
        <f>IF(final_data786[[#This Row],[MONTH_CODE]]=1,"JANUARY",IF(final_data786[[#This Row],[MONTH_CODE]]=2,"FEBRUARY"))</f>
        <v>JANUARY</v>
      </c>
      <c r="G680">
        <v>14</v>
      </c>
      <c r="H680">
        <v>0</v>
      </c>
      <c r="I680">
        <v>1</v>
      </c>
      <c r="J6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0" t="str">
        <f>IF(final_data786[[#This Row],[DAY_CODE]]=0,"weekend",IF(final_data786[[#This Row],[DAY_CODE]]=6,"weekend","weekday"))</f>
        <v>weekday</v>
      </c>
      <c r="L680">
        <v>2</v>
      </c>
      <c r="M680" t="str">
        <f>IF(final_data786[[#This Row],[WEATHER_CODE]]=1,"clear",IF(final_data786[[#This Row],[WEATHER_CODE]]=2,"cloudy",IF(final_data786[[#This Row],[WEATHER_CODE]]=3,"light rain",IF(final_data786[[#This Row],[WEATHER_CODE]]=4,"heavy rain",0))))</f>
        <v>cloudy</v>
      </c>
      <c r="N680">
        <v>0.18</v>
      </c>
      <c r="O680">
        <v>0.19700000000000001</v>
      </c>
      <c r="P680">
        <v>0.55000000000000004</v>
      </c>
      <c r="Q680">
        <v>0.1343</v>
      </c>
      <c r="R680">
        <v>1</v>
      </c>
      <c r="S680">
        <v>85</v>
      </c>
      <c r="T680">
        <v>86</v>
      </c>
    </row>
    <row r="681" spans="1:20" x14ac:dyDescent="0.35">
      <c r="A681">
        <v>680</v>
      </c>
      <c r="B681" s="1">
        <v>40574</v>
      </c>
      <c r="C681">
        <v>1</v>
      </c>
      <c r="D681">
        <v>0</v>
      </c>
      <c r="E681">
        <v>1</v>
      </c>
      <c r="F681" t="str">
        <f>IF(final_data786[[#This Row],[MONTH_CODE]]=1,"JANUARY",IF(final_data786[[#This Row],[MONTH_CODE]]=2,"FEBRUARY"))</f>
        <v>JANUARY</v>
      </c>
      <c r="G681">
        <v>15</v>
      </c>
      <c r="H681">
        <v>0</v>
      </c>
      <c r="I681">
        <v>1</v>
      </c>
      <c r="J6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1" t="str">
        <f>IF(final_data786[[#This Row],[DAY_CODE]]=0,"weekend",IF(final_data786[[#This Row],[DAY_CODE]]=6,"weekend","weekday"))</f>
        <v>weekday</v>
      </c>
      <c r="L681">
        <v>2</v>
      </c>
      <c r="M681" t="str">
        <f>IF(final_data786[[#This Row],[WEATHER_CODE]]=1,"clear",IF(final_data786[[#This Row],[WEATHER_CODE]]=2,"cloudy",IF(final_data786[[#This Row],[WEATHER_CODE]]=3,"light rain",IF(final_data786[[#This Row],[WEATHER_CODE]]=4,"heavy rain",0))))</f>
        <v>cloudy</v>
      </c>
      <c r="N681">
        <v>0.16</v>
      </c>
      <c r="O681">
        <v>0.18179999999999999</v>
      </c>
      <c r="P681">
        <v>0.59</v>
      </c>
      <c r="Q681">
        <v>0.1343</v>
      </c>
      <c r="R681">
        <v>3</v>
      </c>
      <c r="S681">
        <v>41</v>
      </c>
      <c r="T681">
        <v>44</v>
      </c>
    </row>
    <row r="682" spans="1:20" x14ac:dyDescent="0.35">
      <c r="A682">
        <v>681</v>
      </c>
      <c r="B682" s="1">
        <v>40574</v>
      </c>
      <c r="C682">
        <v>1</v>
      </c>
      <c r="D682">
        <v>0</v>
      </c>
      <c r="E682">
        <v>1</v>
      </c>
      <c r="F682" t="str">
        <f>IF(final_data786[[#This Row],[MONTH_CODE]]=1,"JANUARY",IF(final_data786[[#This Row],[MONTH_CODE]]=2,"FEBRUARY"))</f>
        <v>JANUARY</v>
      </c>
      <c r="G682">
        <v>16</v>
      </c>
      <c r="H682">
        <v>0</v>
      </c>
      <c r="I682">
        <v>1</v>
      </c>
      <c r="J6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2" t="str">
        <f>IF(final_data786[[#This Row],[DAY_CODE]]=0,"weekend",IF(final_data786[[#This Row],[DAY_CODE]]=6,"weekend","weekday"))</f>
        <v>weekday</v>
      </c>
      <c r="L682">
        <v>2</v>
      </c>
      <c r="M682" t="str">
        <f>IF(final_data786[[#This Row],[WEATHER_CODE]]=1,"clear",IF(final_data786[[#This Row],[WEATHER_CODE]]=2,"cloudy",IF(final_data786[[#This Row],[WEATHER_CODE]]=3,"light rain",IF(final_data786[[#This Row],[WEATHER_CODE]]=4,"heavy rain",0))))</f>
        <v>cloudy</v>
      </c>
      <c r="N682">
        <v>0.16</v>
      </c>
      <c r="O682">
        <v>0.18179999999999999</v>
      </c>
      <c r="P682">
        <v>0.56000000000000005</v>
      </c>
      <c r="Q682">
        <v>0.19400000000000001</v>
      </c>
      <c r="R682">
        <v>3</v>
      </c>
      <c r="S682">
        <v>83</v>
      </c>
      <c r="T682">
        <v>86</v>
      </c>
    </row>
    <row r="683" spans="1:20" x14ac:dyDescent="0.35">
      <c r="A683">
        <v>682</v>
      </c>
      <c r="B683" s="1">
        <v>40574</v>
      </c>
      <c r="C683">
        <v>1</v>
      </c>
      <c r="D683">
        <v>0</v>
      </c>
      <c r="E683">
        <v>1</v>
      </c>
      <c r="F683" t="str">
        <f>IF(final_data786[[#This Row],[MONTH_CODE]]=1,"JANUARY",IF(final_data786[[#This Row],[MONTH_CODE]]=2,"FEBRUARY"))</f>
        <v>JANUARY</v>
      </c>
      <c r="G683">
        <v>17</v>
      </c>
      <c r="H683">
        <v>0</v>
      </c>
      <c r="I683">
        <v>1</v>
      </c>
      <c r="J6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3" t="str">
        <f>IF(final_data786[[#This Row],[DAY_CODE]]=0,"weekend",IF(final_data786[[#This Row],[DAY_CODE]]=6,"weekend","weekday"))</f>
        <v>weekday</v>
      </c>
      <c r="L683">
        <v>2</v>
      </c>
      <c r="M683" t="str">
        <f>IF(final_data786[[#This Row],[WEATHER_CODE]]=1,"clear",IF(final_data786[[#This Row],[WEATHER_CODE]]=2,"cloudy",IF(final_data786[[#This Row],[WEATHER_CODE]]=3,"light rain",IF(final_data786[[#This Row],[WEATHER_CODE]]=4,"heavy rain",0))))</f>
        <v>cloudy</v>
      </c>
      <c r="N683">
        <v>0.16</v>
      </c>
      <c r="O683">
        <v>0.1515</v>
      </c>
      <c r="P683">
        <v>0.59</v>
      </c>
      <c r="Q683">
        <v>0.19400000000000001</v>
      </c>
      <c r="R683">
        <v>6</v>
      </c>
      <c r="S683">
        <v>155</v>
      </c>
      <c r="T683">
        <v>161</v>
      </c>
    </row>
    <row r="684" spans="1:20" x14ac:dyDescent="0.35">
      <c r="A684">
        <v>683</v>
      </c>
      <c r="B684" s="1">
        <v>40574</v>
      </c>
      <c r="C684">
        <v>1</v>
      </c>
      <c r="D684">
        <v>0</v>
      </c>
      <c r="E684">
        <v>1</v>
      </c>
      <c r="F684" t="str">
        <f>IF(final_data786[[#This Row],[MONTH_CODE]]=1,"JANUARY",IF(final_data786[[#This Row],[MONTH_CODE]]=2,"FEBRUARY"))</f>
        <v>JANUARY</v>
      </c>
      <c r="G684">
        <v>18</v>
      </c>
      <c r="H684">
        <v>0</v>
      </c>
      <c r="I684">
        <v>1</v>
      </c>
      <c r="J6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4" t="str">
        <f>IF(final_data786[[#This Row],[DAY_CODE]]=0,"weekend",IF(final_data786[[#This Row],[DAY_CODE]]=6,"weekend","weekday"))</f>
        <v>weekday</v>
      </c>
      <c r="L684">
        <v>2</v>
      </c>
      <c r="M684" t="str">
        <f>IF(final_data786[[#This Row],[WEATHER_CODE]]=1,"clear",IF(final_data786[[#This Row],[WEATHER_CODE]]=2,"cloudy",IF(final_data786[[#This Row],[WEATHER_CODE]]=3,"light rain",IF(final_data786[[#This Row],[WEATHER_CODE]]=4,"heavy rain",0))))</f>
        <v>cloudy</v>
      </c>
      <c r="N684">
        <v>0.16</v>
      </c>
      <c r="O684">
        <v>0.1515</v>
      </c>
      <c r="P684">
        <v>0.55000000000000004</v>
      </c>
      <c r="Q684">
        <v>0.22389999999999999</v>
      </c>
      <c r="R684">
        <v>3</v>
      </c>
      <c r="S684">
        <v>153</v>
      </c>
      <c r="T684">
        <v>156</v>
      </c>
    </row>
    <row r="685" spans="1:20" x14ac:dyDescent="0.35">
      <c r="A685">
        <v>684</v>
      </c>
      <c r="B685" s="1">
        <v>40574</v>
      </c>
      <c r="C685">
        <v>1</v>
      </c>
      <c r="D685">
        <v>0</v>
      </c>
      <c r="E685">
        <v>1</v>
      </c>
      <c r="F685" t="str">
        <f>IF(final_data786[[#This Row],[MONTH_CODE]]=1,"JANUARY",IF(final_data786[[#This Row],[MONTH_CODE]]=2,"FEBRUARY"))</f>
        <v>JANUARY</v>
      </c>
      <c r="G685">
        <v>19</v>
      </c>
      <c r="H685">
        <v>0</v>
      </c>
      <c r="I685">
        <v>1</v>
      </c>
      <c r="J6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5" t="str">
        <f>IF(final_data786[[#This Row],[DAY_CODE]]=0,"weekend",IF(final_data786[[#This Row],[DAY_CODE]]=6,"weekend","weekday"))</f>
        <v>weekday</v>
      </c>
      <c r="L685">
        <v>1</v>
      </c>
      <c r="M685" t="str">
        <f>IF(final_data786[[#This Row],[WEATHER_CODE]]=1,"clear",IF(final_data786[[#This Row],[WEATHER_CODE]]=2,"cloudy",IF(final_data786[[#This Row],[WEATHER_CODE]]=3,"light rain",IF(final_data786[[#This Row],[WEATHER_CODE]]=4,"heavy rain",0))))</f>
        <v>clear</v>
      </c>
      <c r="N685">
        <v>0.3</v>
      </c>
      <c r="O685">
        <v>0.31819999999999998</v>
      </c>
      <c r="P685">
        <v>0.61</v>
      </c>
      <c r="Q685">
        <v>0.1045</v>
      </c>
      <c r="R685">
        <v>3</v>
      </c>
      <c r="S685">
        <v>108</v>
      </c>
      <c r="T685">
        <v>111</v>
      </c>
    </row>
    <row r="686" spans="1:20" x14ac:dyDescent="0.35">
      <c r="A686">
        <v>685</v>
      </c>
      <c r="B686" s="1">
        <v>40574</v>
      </c>
      <c r="C686">
        <v>1</v>
      </c>
      <c r="D686">
        <v>0</v>
      </c>
      <c r="E686">
        <v>1</v>
      </c>
      <c r="F686" t="str">
        <f>IF(final_data786[[#This Row],[MONTH_CODE]]=1,"JANUARY",IF(final_data786[[#This Row],[MONTH_CODE]]=2,"FEBRUARY"))</f>
        <v>JANUARY</v>
      </c>
      <c r="G686">
        <v>20</v>
      </c>
      <c r="H686">
        <v>0</v>
      </c>
      <c r="I686">
        <v>1</v>
      </c>
      <c r="J6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6" t="str">
        <f>IF(final_data786[[#This Row],[DAY_CODE]]=0,"weekend",IF(final_data786[[#This Row],[DAY_CODE]]=6,"weekend","weekday"))</f>
        <v>weekday</v>
      </c>
      <c r="L686">
        <v>3</v>
      </c>
      <c r="M686" t="str">
        <f>IF(final_data786[[#This Row],[WEATHER_CODE]]=1,"clear",IF(final_data786[[#This Row],[WEATHER_CODE]]=2,"cloudy",IF(final_data786[[#This Row],[WEATHER_CODE]]=3,"light rain",IF(final_data786[[#This Row],[WEATHER_CODE]]=4,"heavy rain",0))))</f>
        <v>light rain</v>
      </c>
      <c r="N686">
        <v>0.16</v>
      </c>
      <c r="O686">
        <v>0.16669999999999999</v>
      </c>
      <c r="P686">
        <v>0.59</v>
      </c>
      <c r="Q686">
        <v>0.16420000000000001</v>
      </c>
      <c r="R686">
        <v>0</v>
      </c>
      <c r="S686">
        <v>78</v>
      </c>
      <c r="T686">
        <v>78</v>
      </c>
    </row>
    <row r="687" spans="1:20" x14ac:dyDescent="0.35">
      <c r="A687">
        <v>686</v>
      </c>
      <c r="B687" s="1">
        <v>40574</v>
      </c>
      <c r="C687">
        <v>1</v>
      </c>
      <c r="D687">
        <v>0</v>
      </c>
      <c r="E687">
        <v>1</v>
      </c>
      <c r="F687" t="str">
        <f>IF(final_data786[[#This Row],[MONTH_CODE]]=1,"JANUARY",IF(final_data786[[#This Row],[MONTH_CODE]]=2,"FEBRUARY"))</f>
        <v>JANUARY</v>
      </c>
      <c r="G687">
        <v>21</v>
      </c>
      <c r="H687">
        <v>0</v>
      </c>
      <c r="I687">
        <v>1</v>
      </c>
      <c r="J6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7" t="str">
        <f>IF(final_data786[[#This Row],[DAY_CODE]]=0,"weekend",IF(final_data786[[#This Row],[DAY_CODE]]=6,"weekend","weekday"))</f>
        <v>weekday</v>
      </c>
      <c r="L687">
        <v>3</v>
      </c>
      <c r="M687" t="str">
        <f>IF(final_data786[[#This Row],[WEATHER_CODE]]=1,"clear",IF(final_data786[[#This Row],[WEATHER_CODE]]=2,"cloudy",IF(final_data786[[#This Row],[WEATHER_CODE]]=3,"light rain",IF(final_data786[[#This Row],[WEATHER_CODE]]=4,"heavy rain",0))))</f>
        <v>light rain</v>
      </c>
      <c r="N687">
        <v>0.16</v>
      </c>
      <c r="O687">
        <v>0.19700000000000001</v>
      </c>
      <c r="P687">
        <v>0.59</v>
      </c>
      <c r="Q687">
        <v>8.9599999999999999E-2</v>
      </c>
      <c r="R687">
        <v>3</v>
      </c>
      <c r="S687">
        <v>53</v>
      </c>
      <c r="T687">
        <v>56</v>
      </c>
    </row>
    <row r="688" spans="1:20" x14ac:dyDescent="0.35">
      <c r="A688">
        <v>687</v>
      </c>
      <c r="B688" s="1">
        <v>40574</v>
      </c>
      <c r="C688">
        <v>1</v>
      </c>
      <c r="D688">
        <v>0</v>
      </c>
      <c r="E688">
        <v>1</v>
      </c>
      <c r="F688" t="str">
        <f>IF(final_data786[[#This Row],[MONTH_CODE]]=1,"JANUARY",IF(final_data786[[#This Row],[MONTH_CODE]]=2,"FEBRUARY"))</f>
        <v>JANUARY</v>
      </c>
      <c r="G688">
        <v>22</v>
      </c>
      <c r="H688">
        <v>0</v>
      </c>
      <c r="I688">
        <v>1</v>
      </c>
      <c r="J6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8" t="str">
        <f>IF(final_data786[[#This Row],[DAY_CODE]]=0,"weekend",IF(final_data786[[#This Row],[DAY_CODE]]=6,"weekend","weekday"))</f>
        <v>weekday</v>
      </c>
      <c r="L688">
        <v>2</v>
      </c>
      <c r="M688" t="str">
        <f>IF(final_data786[[#This Row],[WEATHER_CODE]]=1,"clear",IF(final_data786[[#This Row],[WEATHER_CODE]]=2,"cloudy",IF(final_data786[[#This Row],[WEATHER_CODE]]=3,"light rain",IF(final_data786[[#This Row],[WEATHER_CODE]]=4,"heavy rain",0))))</f>
        <v>cloudy</v>
      </c>
      <c r="N688">
        <v>0.16</v>
      </c>
      <c r="O688">
        <v>0.18179999999999999</v>
      </c>
      <c r="P688">
        <v>0.59</v>
      </c>
      <c r="Q688">
        <v>0.1045</v>
      </c>
      <c r="R688">
        <v>0</v>
      </c>
      <c r="S688">
        <v>34</v>
      </c>
      <c r="T688">
        <v>34</v>
      </c>
    </row>
    <row r="689" spans="1:20" x14ac:dyDescent="0.35">
      <c r="A689">
        <v>688</v>
      </c>
      <c r="B689" s="1">
        <v>40574</v>
      </c>
      <c r="C689">
        <v>1</v>
      </c>
      <c r="D689">
        <v>0</v>
      </c>
      <c r="E689">
        <v>1</v>
      </c>
      <c r="F689" t="str">
        <f>IF(final_data786[[#This Row],[MONTH_CODE]]=1,"JANUARY",IF(final_data786[[#This Row],[MONTH_CODE]]=2,"FEBRUARY"))</f>
        <v>JANUARY</v>
      </c>
      <c r="G689">
        <v>23</v>
      </c>
      <c r="H689">
        <v>0</v>
      </c>
      <c r="I689">
        <v>1</v>
      </c>
      <c r="J6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689" t="str">
        <f>IF(final_data786[[#This Row],[DAY_CODE]]=0,"weekend",IF(final_data786[[#This Row],[DAY_CODE]]=6,"weekend","weekday"))</f>
        <v>weekday</v>
      </c>
      <c r="L689">
        <v>2</v>
      </c>
      <c r="M689" t="str">
        <f>IF(final_data786[[#This Row],[WEATHER_CODE]]=1,"clear",IF(final_data786[[#This Row],[WEATHER_CODE]]=2,"cloudy",IF(final_data786[[#This Row],[WEATHER_CODE]]=3,"light rain",IF(final_data786[[#This Row],[WEATHER_CODE]]=4,"heavy rain",0))))</f>
        <v>cloudy</v>
      </c>
      <c r="N689">
        <v>0.16</v>
      </c>
      <c r="O689">
        <v>0.19700000000000001</v>
      </c>
      <c r="P689">
        <v>0.64</v>
      </c>
      <c r="Q689">
        <v>8.9599999999999999E-2</v>
      </c>
      <c r="R689">
        <v>2</v>
      </c>
      <c r="S689">
        <v>15</v>
      </c>
      <c r="T689">
        <v>17</v>
      </c>
    </row>
    <row r="690" spans="1:20" x14ac:dyDescent="0.35">
      <c r="A690">
        <v>689</v>
      </c>
      <c r="B690" s="1">
        <v>40575</v>
      </c>
      <c r="C690">
        <v>1</v>
      </c>
      <c r="D690">
        <v>0</v>
      </c>
      <c r="E690">
        <v>2</v>
      </c>
      <c r="F690" t="str">
        <f>IF(final_data786[[#This Row],[MONTH_CODE]]=1,"JANUARY",IF(final_data786[[#This Row],[MONTH_CODE]]=2,"FEBRUARY"))</f>
        <v>FEBRUARY</v>
      </c>
      <c r="G690">
        <v>0</v>
      </c>
      <c r="H690">
        <v>0</v>
      </c>
      <c r="I690">
        <v>2</v>
      </c>
      <c r="J6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0" t="str">
        <f>IF(final_data786[[#This Row],[DAY_CODE]]=0,"weekend",IF(final_data786[[#This Row],[DAY_CODE]]=6,"weekend","weekday"))</f>
        <v>weekday</v>
      </c>
      <c r="L690">
        <v>2</v>
      </c>
      <c r="M690" t="str">
        <f>IF(final_data786[[#This Row],[WEATHER_CODE]]=1,"clear",IF(final_data786[[#This Row],[WEATHER_CODE]]=2,"cloudy",IF(final_data786[[#This Row],[WEATHER_CODE]]=3,"light rain",IF(final_data786[[#This Row],[WEATHER_CODE]]=4,"heavy rain",0))))</f>
        <v>cloudy</v>
      </c>
      <c r="N690">
        <v>0.16</v>
      </c>
      <c r="O690">
        <v>0.18179999999999999</v>
      </c>
      <c r="P690">
        <v>0.64</v>
      </c>
      <c r="Q690">
        <v>0.1045</v>
      </c>
      <c r="R690">
        <v>2</v>
      </c>
      <c r="S690">
        <v>6</v>
      </c>
      <c r="T690">
        <v>8</v>
      </c>
    </row>
    <row r="691" spans="1:20" x14ac:dyDescent="0.35">
      <c r="A691">
        <v>690</v>
      </c>
      <c r="B691" s="1">
        <v>40575</v>
      </c>
      <c r="C691">
        <v>1</v>
      </c>
      <c r="D691">
        <v>0</v>
      </c>
      <c r="E691">
        <v>2</v>
      </c>
      <c r="F691" t="str">
        <f>IF(final_data786[[#This Row],[MONTH_CODE]]=1,"JANUARY",IF(final_data786[[#This Row],[MONTH_CODE]]=2,"FEBRUARY"))</f>
        <v>FEBRUARY</v>
      </c>
      <c r="G691">
        <v>1</v>
      </c>
      <c r="H691">
        <v>0</v>
      </c>
      <c r="I691">
        <v>2</v>
      </c>
      <c r="J6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1" t="str">
        <f>IF(final_data786[[#This Row],[DAY_CODE]]=0,"weekend",IF(final_data786[[#This Row],[DAY_CODE]]=6,"weekend","weekday"))</f>
        <v>weekday</v>
      </c>
      <c r="L691">
        <v>2</v>
      </c>
      <c r="M691" t="str">
        <f>IF(final_data786[[#This Row],[WEATHER_CODE]]=1,"clear",IF(final_data786[[#This Row],[WEATHER_CODE]]=2,"cloudy",IF(final_data786[[#This Row],[WEATHER_CODE]]=3,"light rain",IF(final_data786[[#This Row],[WEATHER_CODE]]=4,"heavy rain",0))))</f>
        <v>cloudy</v>
      </c>
      <c r="N691">
        <v>0.16</v>
      </c>
      <c r="O691">
        <v>0.18179999999999999</v>
      </c>
      <c r="P691">
        <v>0.69</v>
      </c>
      <c r="Q691">
        <v>0.1045</v>
      </c>
      <c r="R691">
        <v>0</v>
      </c>
      <c r="S691">
        <v>3</v>
      </c>
      <c r="T691">
        <v>3</v>
      </c>
    </row>
    <row r="692" spans="1:20" x14ac:dyDescent="0.35">
      <c r="A692">
        <v>691</v>
      </c>
      <c r="B692" s="1">
        <v>40575</v>
      </c>
      <c r="C692">
        <v>1</v>
      </c>
      <c r="D692">
        <v>0</v>
      </c>
      <c r="E692">
        <v>2</v>
      </c>
      <c r="F692" t="str">
        <f>IF(final_data786[[#This Row],[MONTH_CODE]]=1,"JANUARY",IF(final_data786[[#This Row],[MONTH_CODE]]=2,"FEBRUARY"))</f>
        <v>FEBRUARY</v>
      </c>
      <c r="G692">
        <v>2</v>
      </c>
      <c r="H692">
        <v>0</v>
      </c>
      <c r="I692">
        <v>2</v>
      </c>
      <c r="J6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2" t="str">
        <f>IF(final_data786[[#This Row],[DAY_CODE]]=0,"weekend",IF(final_data786[[#This Row],[DAY_CODE]]=6,"weekend","weekday"))</f>
        <v>weekday</v>
      </c>
      <c r="L692">
        <v>2</v>
      </c>
      <c r="M692" t="str">
        <f>IF(final_data786[[#This Row],[WEATHER_CODE]]=1,"clear",IF(final_data786[[#This Row],[WEATHER_CODE]]=2,"cloudy",IF(final_data786[[#This Row],[WEATHER_CODE]]=3,"light rain",IF(final_data786[[#This Row],[WEATHER_CODE]]=4,"heavy rain",0))))</f>
        <v>cloudy</v>
      </c>
      <c r="N692">
        <v>0.16</v>
      </c>
      <c r="O692">
        <v>0.2273</v>
      </c>
      <c r="P692">
        <v>0.69</v>
      </c>
      <c r="Q692">
        <v>0</v>
      </c>
      <c r="R692">
        <v>0</v>
      </c>
      <c r="S692">
        <v>2</v>
      </c>
      <c r="T692">
        <v>2</v>
      </c>
    </row>
    <row r="693" spans="1:20" x14ac:dyDescent="0.35">
      <c r="A693">
        <v>692</v>
      </c>
      <c r="B693" s="1">
        <v>40575</v>
      </c>
      <c r="C693">
        <v>1</v>
      </c>
      <c r="D693">
        <v>0</v>
      </c>
      <c r="E693">
        <v>2</v>
      </c>
      <c r="F693" t="str">
        <f>IF(final_data786[[#This Row],[MONTH_CODE]]=1,"JANUARY",IF(final_data786[[#This Row],[MONTH_CODE]]=2,"FEBRUARY"))</f>
        <v>FEBRUARY</v>
      </c>
      <c r="G693">
        <v>3</v>
      </c>
      <c r="H693">
        <v>0</v>
      </c>
      <c r="I693">
        <v>2</v>
      </c>
      <c r="J6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3" t="str">
        <f>IF(final_data786[[#This Row],[DAY_CODE]]=0,"weekend",IF(final_data786[[#This Row],[DAY_CODE]]=6,"weekend","weekday"))</f>
        <v>weekday</v>
      </c>
      <c r="L693">
        <v>2</v>
      </c>
      <c r="M693" t="str">
        <f>IF(final_data786[[#This Row],[WEATHER_CODE]]=1,"clear",IF(final_data786[[#This Row],[WEATHER_CODE]]=2,"cloudy",IF(final_data786[[#This Row],[WEATHER_CODE]]=3,"light rain",IF(final_data786[[#This Row],[WEATHER_CODE]]=4,"heavy rain",0))))</f>
        <v>cloudy</v>
      </c>
      <c r="N693">
        <v>0.16</v>
      </c>
      <c r="O693">
        <v>0.2273</v>
      </c>
      <c r="P693">
        <v>0.69</v>
      </c>
      <c r="Q693">
        <v>0</v>
      </c>
      <c r="R693">
        <v>0</v>
      </c>
      <c r="S693">
        <v>2</v>
      </c>
      <c r="T693">
        <v>2</v>
      </c>
    </row>
    <row r="694" spans="1:20" x14ac:dyDescent="0.35">
      <c r="A694">
        <v>693</v>
      </c>
      <c r="B694" s="1">
        <v>40575</v>
      </c>
      <c r="C694">
        <v>1</v>
      </c>
      <c r="D694">
        <v>0</v>
      </c>
      <c r="E694">
        <v>2</v>
      </c>
      <c r="F694" t="str">
        <f>IF(final_data786[[#This Row],[MONTH_CODE]]=1,"JANUARY",IF(final_data786[[#This Row],[MONTH_CODE]]=2,"FEBRUARY"))</f>
        <v>FEBRUARY</v>
      </c>
      <c r="G694">
        <v>5</v>
      </c>
      <c r="H694">
        <v>0</v>
      </c>
      <c r="I694">
        <v>2</v>
      </c>
      <c r="J6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4" t="str">
        <f>IF(final_data786[[#This Row],[DAY_CODE]]=0,"weekend",IF(final_data786[[#This Row],[DAY_CODE]]=6,"weekend","weekday"))</f>
        <v>weekday</v>
      </c>
      <c r="L694">
        <v>3</v>
      </c>
      <c r="M694" t="str">
        <f>IF(final_data786[[#This Row],[WEATHER_CODE]]=1,"clear",IF(final_data786[[#This Row],[WEATHER_CODE]]=2,"cloudy",IF(final_data786[[#This Row],[WEATHER_CODE]]=3,"light rain",IF(final_data786[[#This Row],[WEATHER_CODE]]=4,"heavy rain",0))))</f>
        <v>light rain</v>
      </c>
      <c r="N694">
        <v>0.14000000000000001</v>
      </c>
      <c r="O694">
        <v>0.21210000000000001</v>
      </c>
      <c r="P694">
        <v>0.93</v>
      </c>
      <c r="Q694">
        <v>0</v>
      </c>
      <c r="R694">
        <v>0</v>
      </c>
      <c r="S694">
        <v>3</v>
      </c>
      <c r="T694">
        <v>3</v>
      </c>
    </row>
    <row r="695" spans="1:20" x14ac:dyDescent="0.35">
      <c r="A695">
        <v>694</v>
      </c>
      <c r="B695" s="1">
        <v>40575</v>
      </c>
      <c r="C695">
        <v>1</v>
      </c>
      <c r="D695">
        <v>0</v>
      </c>
      <c r="E695">
        <v>2</v>
      </c>
      <c r="F695" t="str">
        <f>IF(final_data786[[#This Row],[MONTH_CODE]]=1,"JANUARY",IF(final_data786[[#This Row],[MONTH_CODE]]=2,"FEBRUARY"))</f>
        <v>FEBRUARY</v>
      </c>
      <c r="G695">
        <v>6</v>
      </c>
      <c r="H695">
        <v>0</v>
      </c>
      <c r="I695">
        <v>2</v>
      </c>
      <c r="J6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5" t="str">
        <f>IF(final_data786[[#This Row],[DAY_CODE]]=0,"weekend",IF(final_data786[[#This Row],[DAY_CODE]]=6,"weekend","weekday"))</f>
        <v>weekday</v>
      </c>
      <c r="L695">
        <v>3</v>
      </c>
      <c r="M695" t="str">
        <f>IF(final_data786[[#This Row],[WEATHER_CODE]]=1,"clear",IF(final_data786[[#This Row],[WEATHER_CODE]]=2,"cloudy",IF(final_data786[[#This Row],[WEATHER_CODE]]=3,"light rain",IF(final_data786[[#This Row],[WEATHER_CODE]]=4,"heavy rain",0))))</f>
        <v>light rain</v>
      </c>
      <c r="N695">
        <v>0.14000000000000001</v>
      </c>
      <c r="O695">
        <v>0.21210000000000001</v>
      </c>
      <c r="P695">
        <v>0.93</v>
      </c>
      <c r="Q695">
        <v>0</v>
      </c>
      <c r="R695">
        <v>0</v>
      </c>
      <c r="S695">
        <v>22</v>
      </c>
      <c r="T695">
        <v>22</v>
      </c>
    </row>
    <row r="696" spans="1:20" x14ac:dyDescent="0.35">
      <c r="A696">
        <v>695</v>
      </c>
      <c r="B696" s="1">
        <v>40575</v>
      </c>
      <c r="C696">
        <v>1</v>
      </c>
      <c r="D696">
        <v>0</v>
      </c>
      <c r="E696">
        <v>2</v>
      </c>
      <c r="F696" t="str">
        <f>IF(final_data786[[#This Row],[MONTH_CODE]]=1,"JANUARY",IF(final_data786[[#This Row],[MONTH_CODE]]=2,"FEBRUARY"))</f>
        <v>FEBRUARY</v>
      </c>
      <c r="G696">
        <v>7</v>
      </c>
      <c r="H696">
        <v>0</v>
      </c>
      <c r="I696">
        <v>2</v>
      </c>
      <c r="J6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6" t="str">
        <f>IF(final_data786[[#This Row],[DAY_CODE]]=0,"weekend",IF(final_data786[[#This Row],[DAY_CODE]]=6,"weekend","weekday"))</f>
        <v>weekday</v>
      </c>
      <c r="L696">
        <v>3</v>
      </c>
      <c r="M696" t="str">
        <f>IF(final_data786[[#This Row],[WEATHER_CODE]]=1,"clear",IF(final_data786[[#This Row],[WEATHER_CODE]]=2,"cloudy",IF(final_data786[[#This Row],[WEATHER_CODE]]=3,"light rain",IF(final_data786[[#This Row],[WEATHER_CODE]]=4,"heavy rain",0))))</f>
        <v>light rain</v>
      </c>
      <c r="N696">
        <v>0.16</v>
      </c>
      <c r="O696">
        <v>0.2273</v>
      </c>
      <c r="P696">
        <v>0.93</v>
      </c>
      <c r="Q696">
        <v>0</v>
      </c>
      <c r="R696">
        <v>0</v>
      </c>
      <c r="S696">
        <v>52</v>
      </c>
      <c r="T696">
        <v>52</v>
      </c>
    </row>
    <row r="697" spans="1:20" x14ac:dyDescent="0.35">
      <c r="A697">
        <v>696</v>
      </c>
      <c r="B697" s="1">
        <v>40575</v>
      </c>
      <c r="C697">
        <v>1</v>
      </c>
      <c r="D697">
        <v>0</v>
      </c>
      <c r="E697">
        <v>2</v>
      </c>
      <c r="F697" t="str">
        <f>IF(final_data786[[#This Row],[MONTH_CODE]]=1,"JANUARY",IF(final_data786[[#This Row],[MONTH_CODE]]=2,"FEBRUARY"))</f>
        <v>FEBRUARY</v>
      </c>
      <c r="G697">
        <v>8</v>
      </c>
      <c r="H697">
        <v>0</v>
      </c>
      <c r="I697">
        <v>2</v>
      </c>
      <c r="J6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7" t="str">
        <f>IF(final_data786[[#This Row],[DAY_CODE]]=0,"weekend",IF(final_data786[[#This Row],[DAY_CODE]]=6,"weekend","weekday"))</f>
        <v>weekday</v>
      </c>
      <c r="L697">
        <v>3</v>
      </c>
      <c r="M697" t="str">
        <f>IF(final_data786[[#This Row],[WEATHER_CODE]]=1,"clear",IF(final_data786[[#This Row],[WEATHER_CODE]]=2,"cloudy",IF(final_data786[[#This Row],[WEATHER_CODE]]=3,"light rain",IF(final_data786[[#This Row],[WEATHER_CODE]]=4,"heavy rain",0))))</f>
        <v>light rain</v>
      </c>
      <c r="N697">
        <v>0.16</v>
      </c>
      <c r="O697">
        <v>0.2273</v>
      </c>
      <c r="P697">
        <v>0.93</v>
      </c>
      <c r="Q697">
        <v>0</v>
      </c>
      <c r="R697">
        <v>3</v>
      </c>
      <c r="S697">
        <v>132</v>
      </c>
      <c r="T697">
        <v>135</v>
      </c>
    </row>
    <row r="698" spans="1:20" x14ac:dyDescent="0.35">
      <c r="A698">
        <v>697</v>
      </c>
      <c r="B698" s="1">
        <v>40575</v>
      </c>
      <c r="C698">
        <v>1</v>
      </c>
      <c r="D698">
        <v>0</v>
      </c>
      <c r="E698">
        <v>2</v>
      </c>
      <c r="F698" t="str">
        <f>IF(final_data786[[#This Row],[MONTH_CODE]]=1,"JANUARY",IF(final_data786[[#This Row],[MONTH_CODE]]=2,"FEBRUARY"))</f>
        <v>FEBRUARY</v>
      </c>
      <c r="G698">
        <v>9</v>
      </c>
      <c r="H698">
        <v>0</v>
      </c>
      <c r="I698">
        <v>2</v>
      </c>
      <c r="J6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8" t="str">
        <f>IF(final_data786[[#This Row],[DAY_CODE]]=0,"weekend",IF(final_data786[[#This Row],[DAY_CODE]]=6,"weekend","weekday"))</f>
        <v>weekday</v>
      </c>
      <c r="L698">
        <v>2</v>
      </c>
      <c r="M698" t="str">
        <f>IF(final_data786[[#This Row],[WEATHER_CODE]]=1,"clear",IF(final_data786[[#This Row],[WEATHER_CODE]]=2,"cloudy",IF(final_data786[[#This Row],[WEATHER_CODE]]=3,"light rain",IF(final_data786[[#This Row],[WEATHER_CODE]]=4,"heavy rain",0))))</f>
        <v>cloudy</v>
      </c>
      <c r="N698">
        <v>0.16</v>
      </c>
      <c r="O698">
        <v>0.2273</v>
      </c>
      <c r="P698">
        <v>0.93</v>
      </c>
      <c r="Q698">
        <v>0</v>
      </c>
      <c r="R698">
        <v>2</v>
      </c>
      <c r="S698">
        <v>114</v>
      </c>
      <c r="T698">
        <v>116</v>
      </c>
    </row>
    <row r="699" spans="1:20" x14ac:dyDescent="0.35">
      <c r="A699">
        <v>698</v>
      </c>
      <c r="B699" s="1">
        <v>40575</v>
      </c>
      <c r="C699">
        <v>1</v>
      </c>
      <c r="D699">
        <v>0</v>
      </c>
      <c r="E699">
        <v>2</v>
      </c>
      <c r="F699" t="str">
        <f>IF(final_data786[[#This Row],[MONTH_CODE]]=1,"JANUARY",IF(final_data786[[#This Row],[MONTH_CODE]]=2,"FEBRUARY"))</f>
        <v>FEBRUARY</v>
      </c>
      <c r="G699">
        <v>10</v>
      </c>
      <c r="H699">
        <v>0</v>
      </c>
      <c r="I699">
        <v>2</v>
      </c>
      <c r="J6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699" t="str">
        <f>IF(final_data786[[#This Row],[DAY_CODE]]=0,"weekend",IF(final_data786[[#This Row],[DAY_CODE]]=6,"weekend","weekday"))</f>
        <v>weekday</v>
      </c>
      <c r="L699">
        <v>2</v>
      </c>
      <c r="M699" t="str">
        <f>IF(final_data786[[#This Row],[WEATHER_CODE]]=1,"clear",IF(final_data786[[#This Row],[WEATHER_CODE]]=2,"cloudy",IF(final_data786[[#This Row],[WEATHER_CODE]]=3,"light rain",IF(final_data786[[#This Row],[WEATHER_CODE]]=4,"heavy rain",0))))</f>
        <v>cloudy</v>
      </c>
      <c r="N699">
        <v>0.16</v>
      </c>
      <c r="O699">
        <v>0.2273</v>
      </c>
      <c r="P699">
        <v>0.93</v>
      </c>
      <c r="Q699">
        <v>0</v>
      </c>
      <c r="R699">
        <v>0</v>
      </c>
      <c r="S699">
        <v>47</v>
      </c>
      <c r="T699">
        <v>47</v>
      </c>
    </row>
    <row r="700" spans="1:20" x14ac:dyDescent="0.35">
      <c r="A700">
        <v>699</v>
      </c>
      <c r="B700" s="1">
        <v>40575</v>
      </c>
      <c r="C700">
        <v>1</v>
      </c>
      <c r="D700">
        <v>0</v>
      </c>
      <c r="E700">
        <v>2</v>
      </c>
      <c r="F700" t="str">
        <f>IF(final_data786[[#This Row],[MONTH_CODE]]=1,"JANUARY",IF(final_data786[[#This Row],[MONTH_CODE]]=2,"FEBRUARY"))</f>
        <v>FEBRUARY</v>
      </c>
      <c r="G700">
        <v>11</v>
      </c>
      <c r="H700">
        <v>0</v>
      </c>
      <c r="I700">
        <v>2</v>
      </c>
      <c r="J7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0" t="str">
        <f>IF(final_data786[[#This Row],[DAY_CODE]]=0,"weekend",IF(final_data786[[#This Row],[DAY_CODE]]=6,"weekend","weekday"))</f>
        <v>weekday</v>
      </c>
      <c r="L700">
        <v>2</v>
      </c>
      <c r="M700" t="str">
        <f>IF(final_data786[[#This Row],[WEATHER_CODE]]=1,"clear",IF(final_data786[[#This Row],[WEATHER_CODE]]=2,"cloudy",IF(final_data786[[#This Row],[WEATHER_CODE]]=3,"light rain",IF(final_data786[[#This Row],[WEATHER_CODE]]=4,"heavy rain",0))))</f>
        <v>cloudy</v>
      </c>
      <c r="N700">
        <v>0.18</v>
      </c>
      <c r="O700">
        <v>0.2424</v>
      </c>
      <c r="P700">
        <v>0.86</v>
      </c>
      <c r="Q700">
        <v>0</v>
      </c>
      <c r="R700">
        <v>2</v>
      </c>
      <c r="S700">
        <v>49</v>
      </c>
      <c r="T700">
        <v>51</v>
      </c>
    </row>
    <row r="701" spans="1:20" x14ac:dyDescent="0.35">
      <c r="A701">
        <v>700</v>
      </c>
      <c r="B701" s="1">
        <v>40575</v>
      </c>
      <c r="C701">
        <v>1</v>
      </c>
      <c r="D701">
        <v>0</v>
      </c>
      <c r="E701">
        <v>2</v>
      </c>
      <c r="F701" t="str">
        <f>IF(final_data786[[#This Row],[MONTH_CODE]]=1,"JANUARY",IF(final_data786[[#This Row],[MONTH_CODE]]=2,"FEBRUARY"))</f>
        <v>FEBRUARY</v>
      </c>
      <c r="G701">
        <v>12</v>
      </c>
      <c r="H701">
        <v>0</v>
      </c>
      <c r="I701">
        <v>2</v>
      </c>
      <c r="J7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1" t="str">
        <f>IF(final_data786[[#This Row],[DAY_CODE]]=0,"weekend",IF(final_data786[[#This Row],[DAY_CODE]]=6,"weekend","weekday"))</f>
        <v>weekday</v>
      </c>
      <c r="L701">
        <v>2</v>
      </c>
      <c r="M701" t="str">
        <f>IF(final_data786[[#This Row],[WEATHER_CODE]]=1,"clear",IF(final_data786[[#This Row],[WEATHER_CODE]]=2,"cloudy",IF(final_data786[[#This Row],[WEATHER_CODE]]=3,"light rain",IF(final_data786[[#This Row],[WEATHER_CODE]]=4,"heavy rain",0))))</f>
        <v>cloudy</v>
      </c>
      <c r="N701">
        <v>0.2</v>
      </c>
      <c r="O701">
        <v>0.2576</v>
      </c>
      <c r="P701">
        <v>0.86</v>
      </c>
      <c r="Q701">
        <v>0</v>
      </c>
      <c r="R701">
        <v>2</v>
      </c>
      <c r="S701">
        <v>53</v>
      </c>
      <c r="T701">
        <v>55</v>
      </c>
    </row>
    <row r="702" spans="1:20" x14ac:dyDescent="0.35">
      <c r="A702">
        <v>701</v>
      </c>
      <c r="B702" s="1">
        <v>40575</v>
      </c>
      <c r="C702">
        <v>1</v>
      </c>
      <c r="D702">
        <v>0</v>
      </c>
      <c r="E702">
        <v>2</v>
      </c>
      <c r="F702" t="str">
        <f>IF(final_data786[[#This Row],[MONTH_CODE]]=1,"JANUARY",IF(final_data786[[#This Row],[MONTH_CODE]]=2,"FEBRUARY"))</f>
        <v>FEBRUARY</v>
      </c>
      <c r="G702">
        <v>13</v>
      </c>
      <c r="H702">
        <v>0</v>
      </c>
      <c r="I702">
        <v>2</v>
      </c>
      <c r="J7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2" t="str">
        <f>IF(final_data786[[#This Row],[DAY_CODE]]=0,"weekend",IF(final_data786[[#This Row],[DAY_CODE]]=6,"weekend","weekday"))</f>
        <v>weekday</v>
      </c>
      <c r="L702">
        <v>2</v>
      </c>
      <c r="M702" t="str">
        <f>IF(final_data786[[#This Row],[WEATHER_CODE]]=1,"clear",IF(final_data786[[#This Row],[WEATHER_CODE]]=2,"cloudy",IF(final_data786[[#This Row],[WEATHER_CODE]]=3,"light rain",IF(final_data786[[#This Row],[WEATHER_CODE]]=4,"heavy rain",0))))</f>
        <v>cloudy</v>
      </c>
      <c r="N702">
        <v>0.2</v>
      </c>
      <c r="O702">
        <v>0.2576</v>
      </c>
      <c r="P702">
        <v>0.86</v>
      </c>
      <c r="Q702">
        <v>0</v>
      </c>
      <c r="R702">
        <v>3</v>
      </c>
      <c r="S702">
        <v>49</v>
      </c>
      <c r="T702">
        <v>52</v>
      </c>
    </row>
    <row r="703" spans="1:20" x14ac:dyDescent="0.35">
      <c r="A703">
        <v>702</v>
      </c>
      <c r="B703" s="1">
        <v>40575</v>
      </c>
      <c r="C703">
        <v>1</v>
      </c>
      <c r="D703">
        <v>0</v>
      </c>
      <c r="E703">
        <v>2</v>
      </c>
      <c r="F703" t="str">
        <f>IF(final_data786[[#This Row],[MONTH_CODE]]=1,"JANUARY",IF(final_data786[[#This Row],[MONTH_CODE]]=2,"FEBRUARY"))</f>
        <v>FEBRUARY</v>
      </c>
      <c r="G703">
        <v>14</v>
      </c>
      <c r="H703">
        <v>0</v>
      </c>
      <c r="I703">
        <v>2</v>
      </c>
      <c r="J7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3" t="str">
        <f>IF(final_data786[[#This Row],[DAY_CODE]]=0,"weekend",IF(final_data786[[#This Row],[DAY_CODE]]=6,"weekend","weekday"))</f>
        <v>weekday</v>
      </c>
      <c r="L703">
        <v>2</v>
      </c>
      <c r="M703" t="str">
        <f>IF(final_data786[[#This Row],[WEATHER_CODE]]=1,"clear",IF(final_data786[[#This Row],[WEATHER_CODE]]=2,"cloudy",IF(final_data786[[#This Row],[WEATHER_CODE]]=3,"light rain",IF(final_data786[[#This Row],[WEATHER_CODE]]=4,"heavy rain",0))))</f>
        <v>cloudy</v>
      </c>
      <c r="N703">
        <v>0.22</v>
      </c>
      <c r="O703">
        <v>0.2576</v>
      </c>
      <c r="P703">
        <v>0.8</v>
      </c>
      <c r="Q703">
        <v>8.9599999999999999E-2</v>
      </c>
      <c r="R703">
        <v>5</v>
      </c>
      <c r="S703">
        <v>49</v>
      </c>
      <c r="T703">
        <v>54</v>
      </c>
    </row>
    <row r="704" spans="1:20" x14ac:dyDescent="0.35">
      <c r="A704">
        <v>703</v>
      </c>
      <c r="B704" s="1">
        <v>40575</v>
      </c>
      <c r="C704">
        <v>1</v>
      </c>
      <c r="D704">
        <v>0</v>
      </c>
      <c r="E704">
        <v>2</v>
      </c>
      <c r="F704" t="str">
        <f>IF(final_data786[[#This Row],[MONTH_CODE]]=1,"JANUARY",IF(final_data786[[#This Row],[MONTH_CODE]]=2,"FEBRUARY"))</f>
        <v>FEBRUARY</v>
      </c>
      <c r="G704">
        <v>15</v>
      </c>
      <c r="H704">
        <v>0</v>
      </c>
      <c r="I704">
        <v>2</v>
      </c>
      <c r="J7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4" t="str">
        <f>IF(final_data786[[#This Row],[DAY_CODE]]=0,"weekend",IF(final_data786[[#This Row],[DAY_CODE]]=6,"weekend","weekday"))</f>
        <v>weekday</v>
      </c>
      <c r="L704">
        <v>2</v>
      </c>
      <c r="M704" t="str">
        <f>IF(final_data786[[#This Row],[WEATHER_CODE]]=1,"clear",IF(final_data786[[#This Row],[WEATHER_CODE]]=2,"cloudy",IF(final_data786[[#This Row],[WEATHER_CODE]]=3,"light rain",IF(final_data786[[#This Row],[WEATHER_CODE]]=4,"heavy rain",0))))</f>
        <v>cloudy</v>
      </c>
      <c r="N704">
        <v>0.24</v>
      </c>
      <c r="O704">
        <v>0.28789999999999999</v>
      </c>
      <c r="P704">
        <v>0.75</v>
      </c>
      <c r="Q704">
        <v>0</v>
      </c>
      <c r="R704">
        <v>7</v>
      </c>
      <c r="S704">
        <v>45</v>
      </c>
      <c r="T704">
        <v>52</v>
      </c>
    </row>
    <row r="705" spans="1:20" x14ac:dyDescent="0.35">
      <c r="A705">
        <v>704</v>
      </c>
      <c r="B705" s="1">
        <v>40575</v>
      </c>
      <c r="C705">
        <v>1</v>
      </c>
      <c r="D705">
        <v>0</v>
      </c>
      <c r="E705">
        <v>2</v>
      </c>
      <c r="F705" t="str">
        <f>IF(final_data786[[#This Row],[MONTH_CODE]]=1,"JANUARY",IF(final_data786[[#This Row],[MONTH_CODE]]=2,"FEBRUARY"))</f>
        <v>FEBRUARY</v>
      </c>
      <c r="G705">
        <v>16</v>
      </c>
      <c r="H705">
        <v>0</v>
      </c>
      <c r="I705">
        <v>2</v>
      </c>
      <c r="J7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5" t="str">
        <f>IF(final_data786[[#This Row],[DAY_CODE]]=0,"weekend",IF(final_data786[[#This Row],[DAY_CODE]]=6,"weekend","weekday"))</f>
        <v>weekday</v>
      </c>
      <c r="L705">
        <v>2</v>
      </c>
      <c r="M705" t="str">
        <f>IF(final_data786[[#This Row],[WEATHER_CODE]]=1,"clear",IF(final_data786[[#This Row],[WEATHER_CODE]]=2,"cloudy",IF(final_data786[[#This Row],[WEATHER_CODE]]=3,"light rain",IF(final_data786[[#This Row],[WEATHER_CODE]]=4,"heavy rain",0))))</f>
        <v>cloudy</v>
      </c>
      <c r="N705">
        <v>0.24</v>
      </c>
      <c r="O705">
        <v>0.2424</v>
      </c>
      <c r="P705">
        <v>0.75</v>
      </c>
      <c r="Q705">
        <v>0.1343</v>
      </c>
      <c r="R705">
        <v>3</v>
      </c>
      <c r="S705">
        <v>61</v>
      </c>
      <c r="T705">
        <v>64</v>
      </c>
    </row>
    <row r="706" spans="1:20" x14ac:dyDescent="0.35">
      <c r="A706">
        <v>705</v>
      </c>
      <c r="B706" s="1">
        <v>40575</v>
      </c>
      <c r="C706">
        <v>1</v>
      </c>
      <c r="D706">
        <v>0</v>
      </c>
      <c r="E706">
        <v>2</v>
      </c>
      <c r="F706" t="str">
        <f>IF(final_data786[[#This Row],[MONTH_CODE]]=1,"JANUARY",IF(final_data786[[#This Row],[MONTH_CODE]]=2,"FEBRUARY"))</f>
        <v>FEBRUARY</v>
      </c>
      <c r="G706">
        <v>17</v>
      </c>
      <c r="H706">
        <v>0</v>
      </c>
      <c r="I706">
        <v>2</v>
      </c>
      <c r="J7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6" t="str">
        <f>IF(final_data786[[#This Row],[DAY_CODE]]=0,"weekend",IF(final_data786[[#This Row],[DAY_CODE]]=6,"weekend","weekday"))</f>
        <v>weekday</v>
      </c>
      <c r="L706">
        <v>2</v>
      </c>
      <c r="M706" t="str">
        <f>IF(final_data786[[#This Row],[WEATHER_CODE]]=1,"clear",IF(final_data786[[#This Row],[WEATHER_CODE]]=2,"cloudy",IF(final_data786[[#This Row],[WEATHER_CODE]]=3,"light rain",IF(final_data786[[#This Row],[WEATHER_CODE]]=4,"heavy rain",0))))</f>
        <v>cloudy</v>
      </c>
      <c r="N706">
        <v>0.24</v>
      </c>
      <c r="O706">
        <v>0.28789999999999999</v>
      </c>
      <c r="P706">
        <v>0.75</v>
      </c>
      <c r="Q706">
        <v>0</v>
      </c>
      <c r="R706">
        <v>4</v>
      </c>
      <c r="S706">
        <v>172</v>
      </c>
      <c r="T706">
        <v>176</v>
      </c>
    </row>
    <row r="707" spans="1:20" x14ac:dyDescent="0.35">
      <c r="A707">
        <v>706</v>
      </c>
      <c r="B707" s="1">
        <v>40575</v>
      </c>
      <c r="C707">
        <v>1</v>
      </c>
      <c r="D707">
        <v>0</v>
      </c>
      <c r="E707">
        <v>2</v>
      </c>
      <c r="F707" t="str">
        <f>IF(final_data786[[#This Row],[MONTH_CODE]]=1,"JANUARY",IF(final_data786[[#This Row],[MONTH_CODE]]=2,"FEBRUARY"))</f>
        <v>FEBRUARY</v>
      </c>
      <c r="G707">
        <v>18</v>
      </c>
      <c r="H707">
        <v>0</v>
      </c>
      <c r="I707">
        <v>2</v>
      </c>
      <c r="J7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7" t="str">
        <f>IF(final_data786[[#This Row],[DAY_CODE]]=0,"weekend",IF(final_data786[[#This Row],[DAY_CODE]]=6,"weekend","weekday"))</f>
        <v>weekday</v>
      </c>
      <c r="L707">
        <v>2</v>
      </c>
      <c r="M707" t="str">
        <f>IF(final_data786[[#This Row],[WEATHER_CODE]]=1,"clear",IF(final_data786[[#This Row],[WEATHER_CODE]]=2,"cloudy",IF(final_data786[[#This Row],[WEATHER_CODE]]=3,"light rain",IF(final_data786[[#This Row],[WEATHER_CODE]]=4,"heavy rain",0))))</f>
        <v>cloudy</v>
      </c>
      <c r="N707">
        <v>0.24</v>
      </c>
      <c r="O707">
        <v>0.2576</v>
      </c>
      <c r="P707">
        <v>0.81</v>
      </c>
      <c r="Q707">
        <v>0.1045</v>
      </c>
      <c r="R707">
        <v>3</v>
      </c>
      <c r="S707">
        <v>165</v>
      </c>
      <c r="T707">
        <v>168</v>
      </c>
    </row>
    <row r="708" spans="1:20" x14ac:dyDescent="0.35">
      <c r="A708">
        <v>707</v>
      </c>
      <c r="B708" s="1">
        <v>40575</v>
      </c>
      <c r="C708">
        <v>1</v>
      </c>
      <c r="D708">
        <v>0</v>
      </c>
      <c r="E708">
        <v>2</v>
      </c>
      <c r="F708" t="str">
        <f>IF(final_data786[[#This Row],[MONTH_CODE]]=1,"JANUARY",IF(final_data786[[#This Row],[MONTH_CODE]]=2,"FEBRUARY"))</f>
        <v>FEBRUARY</v>
      </c>
      <c r="G708">
        <v>19</v>
      </c>
      <c r="H708">
        <v>0</v>
      </c>
      <c r="I708">
        <v>2</v>
      </c>
      <c r="J7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8" t="str">
        <f>IF(final_data786[[#This Row],[DAY_CODE]]=0,"weekend",IF(final_data786[[#This Row],[DAY_CODE]]=6,"weekend","weekday"))</f>
        <v>weekday</v>
      </c>
      <c r="L708">
        <v>2</v>
      </c>
      <c r="M708" t="str">
        <f>IF(final_data786[[#This Row],[WEATHER_CODE]]=1,"clear",IF(final_data786[[#This Row],[WEATHER_CODE]]=2,"cloudy",IF(final_data786[[#This Row],[WEATHER_CODE]]=3,"light rain",IF(final_data786[[#This Row],[WEATHER_CODE]]=4,"heavy rain",0))))</f>
        <v>cloudy</v>
      </c>
      <c r="N708">
        <v>0.24</v>
      </c>
      <c r="O708">
        <v>0.2424</v>
      </c>
      <c r="P708">
        <v>0.81</v>
      </c>
      <c r="Q708">
        <v>0.1343</v>
      </c>
      <c r="R708">
        <v>3</v>
      </c>
      <c r="S708">
        <v>105</v>
      </c>
      <c r="T708">
        <v>108</v>
      </c>
    </row>
    <row r="709" spans="1:20" x14ac:dyDescent="0.35">
      <c r="A709">
        <v>708</v>
      </c>
      <c r="B709" s="1">
        <v>40575</v>
      </c>
      <c r="C709">
        <v>1</v>
      </c>
      <c r="D709">
        <v>0</v>
      </c>
      <c r="E709">
        <v>2</v>
      </c>
      <c r="F709" t="str">
        <f>IF(final_data786[[#This Row],[MONTH_CODE]]=1,"JANUARY",IF(final_data786[[#This Row],[MONTH_CODE]]=2,"FEBRUARY"))</f>
        <v>FEBRUARY</v>
      </c>
      <c r="G709">
        <v>20</v>
      </c>
      <c r="H709">
        <v>0</v>
      </c>
      <c r="I709">
        <v>2</v>
      </c>
      <c r="J7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09" t="str">
        <f>IF(final_data786[[#This Row],[DAY_CODE]]=0,"weekend",IF(final_data786[[#This Row],[DAY_CODE]]=6,"weekend","weekday"))</f>
        <v>weekday</v>
      </c>
      <c r="L709">
        <v>2</v>
      </c>
      <c r="M709" t="str">
        <f>IF(final_data786[[#This Row],[WEATHER_CODE]]=1,"clear",IF(final_data786[[#This Row],[WEATHER_CODE]]=2,"cloudy",IF(final_data786[[#This Row],[WEATHER_CODE]]=3,"light rain",IF(final_data786[[#This Row],[WEATHER_CODE]]=4,"heavy rain",0))))</f>
        <v>cloudy</v>
      </c>
      <c r="N709">
        <v>0.22</v>
      </c>
      <c r="O709">
        <v>0.2273</v>
      </c>
      <c r="P709">
        <v>0.87</v>
      </c>
      <c r="Q709">
        <v>0.1343</v>
      </c>
      <c r="R709">
        <v>5</v>
      </c>
      <c r="S709">
        <v>69</v>
      </c>
      <c r="T709">
        <v>74</v>
      </c>
    </row>
    <row r="710" spans="1:20" x14ac:dyDescent="0.35">
      <c r="A710">
        <v>709</v>
      </c>
      <c r="B710" s="1">
        <v>40575</v>
      </c>
      <c r="C710">
        <v>1</v>
      </c>
      <c r="D710">
        <v>0</v>
      </c>
      <c r="E710">
        <v>2</v>
      </c>
      <c r="F710" t="str">
        <f>IF(final_data786[[#This Row],[MONTH_CODE]]=1,"JANUARY",IF(final_data786[[#This Row],[MONTH_CODE]]=2,"FEBRUARY"))</f>
        <v>FEBRUARY</v>
      </c>
      <c r="G710">
        <v>21</v>
      </c>
      <c r="H710">
        <v>0</v>
      </c>
      <c r="I710">
        <v>2</v>
      </c>
      <c r="J7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10" t="str">
        <f>IF(final_data786[[#This Row],[DAY_CODE]]=0,"weekend",IF(final_data786[[#This Row],[DAY_CODE]]=6,"weekend","weekday"))</f>
        <v>weekday</v>
      </c>
      <c r="L710">
        <v>2</v>
      </c>
      <c r="M710" t="str">
        <f>IF(final_data786[[#This Row],[WEATHER_CODE]]=1,"clear",IF(final_data786[[#This Row],[WEATHER_CODE]]=2,"cloudy",IF(final_data786[[#This Row],[WEATHER_CODE]]=3,"light rain",IF(final_data786[[#This Row],[WEATHER_CODE]]=4,"heavy rain",0))))</f>
        <v>cloudy</v>
      </c>
      <c r="N710">
        <v>0.22</v>
      </c>
      <c r="O710">
        <v>0.2273</v>
      </c>
      <c r="P710">
        <v>0.87</v>
      </c>
      <c r="Q710">
        <v>0.1343</v>
      </c>
      <c r="R710">
        <v>0</v>
      </c>
      <c r="S710">
        <v>64</v>
      </c>
      <c r="T710">
        <v>64</v>
      </c>
    </row>
    <row r="711" spans="1:20" x14ac:dyDescent="0.35">
      <c r="A711">
        <v>710</v>
      </c>
      <c r="B711" s="1">
        <v>40575</v>
      </c>
      <c r="C711">
        <v>1</v>
      </c>
      <c r="D711">
        <v>0</v>
      </c>
      <c r="E711">
        <v>2</v>
      </c>
      <c r="F711" t="str">
        <f>IF(final_data786[[#This Row],[MONTH_CODE]]=1,"JANUARY",IF(final_data786[[#This Row],[MONTH_CODE]]=2,"FEBRUARY"))</f>
        <v>FEBRUARY</v>
      </c>
      <c r="G711">
        <v>22</v>
      </c>
      <c r="H711">
        <v>0</v>
      </c>
      <c r="I711">
        <v>2</v>
      </c>
      <c r="J7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11" t="str">
        <f>IF(final_data786[[#This Row],[DAY_CODE]]=0,"weekend",IF(final_data786[[#This Row],[DAY_CODE]]=6,"weekend","weekday"))</f>
        <v>weekday</v>
      </c>
      <c r="L711">
        <v>2</v>
      </c>
      <c r="M711" t="str">
        <f>IF(final_data786[[#This Row],[WEATHER_CODE]]=1,"clear",IF(final_data786[[#This Row],[WEATHER_CODE]]=2,"cloudy",IF(final_data786[[#This Row],[WEATHER_CODE]]=3,"light rain",IF(final_data786[[#This Row],[WEATHER_CODE]]=4,"heavy rain",0))))</f>
        <v>cloudy</v>
      </c>
      <c r="N711">
        <v>0.22</v>
      </c>
      <c r="O711">
        <v>0.2576</v>
      </c>
      <c r="P711">
        <v>0.87</v>
      </c>
      <c r="Q711">
        <v>8.9599999999999999E-2</v>
      </c>
      <c r="R711">
        <v>2</v>
      </c>
      <c r="S711">
        <v>34</v>
      </c>
      <c r="T711">
        <v>36</v>
      </c>
    </row>
    <row r="712" spans="1:20" x14ac:dyDescent="0.35">
      <c r="A712">
        <v>711</v>
      </c>
      <c r="B712" s="1">
        <v>40575</v>
      </c>
      <c r="C712">
        <v>1</v>
      </c>
      <c r="D712">
        <v>0</v>
      </c>
      <c r="E712">
        <v>2</v>
      </c>
      <c r="F712" t="str">
        <f>IF(final_data786[[#This Row],[MONTH_CODE]]=1,"JANUARY",IF(final_data786[[#This Row],[MONTH_CODE]]=2,"FEBRUARY"))</f>
        <v>FEBRUARY</v>
      </c>
      <c r="G712">
        <v>23</v>
      </c>
      <c r="H712">
        <v>0</v>
      </c>
      <c r="I712">
        <v>2</v>
      </c>
      <c r="J7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712" t="str">
        <f>IF(final_data786[[#This Row],[DAY_CODE]]=0,"weekend",IF(final_data786[[#This Row],[DAY_CODE]]=6,"weekend","weekday"))</f>
        <v>weekday</v>
      </c>
      <c r="L712">
        <v>3</v>
      </c>
      <c r="M712" t="str">
        <f>IF(final_data786[[#This Row],[WEATHER_CODE]]=1,"clear",IF(final_data786[[#This Row],[WEATHER_CODE]]=2,"cloudy",IF(final_data786[[#This Row],[WEATHER_CODE]]=3,"light rain",IF(final_data786[[#This Row],[WEATHER_CODE]]=4,"heavy rain",0))))</f>
        <v>light rain</v>
      </c>
      <c r="N712">
        <v>0.2</v>
      </c>
      <c r="O712">
        <v>0.19700000000000001</v>
      </c>
      <c r="P712">
        <v>0.93</v>
      </c>
      <c r="Q712">
        <v>0.19400000000000001</v>
      </c>
      <c r="R712">
        <v>1</v>
      </c>
      <c r="S712">
        <v>15</v>
      </c>
      <c r="T712">
        <v>16</v>
      </c>
    </row>
    <row r="713" spans="1:20" x14ac:dyDescent="0.35">
      <c r="A713">
        <v>712</v>
      </c>
      <c r="B713" s="1">
        <v>40576</v>
      </c>
      <c r="C713">
        <v>1</v>
      </c>
      <c r="D713">
        <v>0</v>
      </c>
      <c r="E713">
        <v>2</v>
      </c>
      <c r="F713" t="str">
        <f>IF(final_data786[[#This Row],[MONTH_CODE]]=1,"JANUARY",IF(final_data786[[#This Row],[MONTH_CODE]]=2,"FEBRUARY"))</f>
        <v>FEBRUARY</v>
      </c>
      <c r="G713">
        <v>0</v>
      </c>
      <c r="H713">
        <v>0</v>
      </c>
      <c r="I713">
        <v>3</v>
      </c>
      <c r="J7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3" t="str">
        <f>IF(final_data786[[#This Row],[DAY_CODE]]=0,"weekend",IF(final_data786[[#This Row],[DAY_CODE]]=6,"weekend","weekday"))</f>
        <v>weekday</v>
      </c>
      <c r="L713">
        <v>3</v>
      </c>
      <c r="M713" t="str">
        <f>IF(final_data786[[#This Row],[WEATHER_CODE]]=1,"clear",IF(final_data786[[#This Row],[WEATHER_CODE]]=2,"cloudy",IF(final_data786[[#This Row],[WEATHER_CODE]]=3,"light rain",IF(final_data786[[#This Row],[WEATHER_CODE]]=4,"heavy rain",0))))</f>
        <v>light rain</v>
      </c>
      <c r="N713">
        <v>0.22</v>
      </c>
      <c r="O713">
        <v>0.2424</v>
      </c>
      <c r="P713">
        <v>0.93</v>
      </c>
      <c r="Q713">
        <v>0.1045</v>
      </c>
      <c r="R713">
        <v>0</v>
      </c>
      <c r="S713">
        <v>2</v>
      </c>
      <c r="T713">
        <v>2</v>
      </c>
    </row>
    <row r="714" spans="1:20" x14ac:dyDescent="0.35">
      <c r="A714">
        <v>713</v>
      </c>
      <c r="B714" s="1">
        <v>40576</v>
      </c>
      <c r="C714">
        <v>1</v>
      </c>
      <c r="D714">
        <v>0</v>
      </c>
      <c r="E714">
        <v>2</v>
      </c>
      <c r="F714" t="str">
        <f>IF(final_data786[[#This Row],[MONTH_CODE]]=1,"JANUARY",IF(final_data786[[#This Row],[MONTH_CODE]]=2,"FEBRUARY"))</f>
        <v>FEBRUARY</v>
      </c>
      <c r="G714">
        <v>1</v>
      </c>
      <c r="H714">
        <v>0</v>
      </c>
      <c r="I714">
        <v>3</v>
      </c>
      <c r="J7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4" t="str">
        <f>IF(final_data786[[#This Row],[DAY_CODE]]=0,"weekend",IF(final_data786[[#This Row],[DAY_CODE]]=6,"weekend","weekday"))</f>
        <v>weekday</v>
      </c>
      <c r="L714">
        <v>3</v>
      </c>
      <c r="M714" t="str">
        <f>IF(final_data786[[#This Row],[WEATHER_CODE]]=1,"clear",IF(final_data786[[#This Row],[WEATHER_CODE]]=2,"cloudy",IF(final_data786[[#This Row],[WEATHER_CODE]]=3,"light rain",IF(final_data786[[#This Row],[WEATHER_CODE]]=4,"heavy rain",0))))</f>
        <v>light rain</v>
      </c>
      <c r="N714">
        <v>0.22</v>
      </c>
      <c r="O714">
        <v>0.2273</v>
      </c>
      <c r="P714">
        <v>0.93</v>
      </c>
      <c r="Q714">
        <v>0.19400000000000001</v>
      </c>
      <c r="R714">
        <v>0</v>
      </c>
      <c r="S714">
        <v>3</v>
      </c>
      <c r="T714">
        <v>3</v>
      </c>
    </row>
    <row r="715" spans="1:20" x14ac:dyDescent="0.35">
      <c r="A715">
        <v>714</v>
      </c>
      <c r="B715" s="1">
        <v>40576</v>
      </c>
      <c r="C715">
        <v>1</v>
      </c>
      <c r="D715">
        <v>0</v>
      </c>
      <c r="E715">
        <v>2</v>
      </c>
      <c r="F715" t="str">
        <f>IF(final_data786[[#This Row],[MONTH_CODE]]=1,"JANUARY",IF(final_data786[[#This Row],[MONTH_CODE]]=2,"FEBRUARY"))</f>
        <v>FEBRUARY</v>
      </c>
      <c r="G715">
        <v>2</v>
      </c>
      <c r="H715">
        <v>0</v>
      </c>
      <c r="I715">
        <v>3</v>
      </c>
      <c r="J7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5" t="str">
        <f>IF(final_data786[[#This Row],[DAY_CODE]]=0,"weekend",IF(final_data786[[#This Row],[DAY_CODE]]=6,"weekend","weekday"))</f>
        <v>weekday</v>
      </c>
      <c r="L715">
        <v>3</v>
      </c>
      <c r="M715" t="str">
        <f>IF(final_data786[[#This Row],[WEATHER_CODE]]=1,"clear",IF(final_data786[[#This Row],[WEATHER_CODE]]=2,"cloudy",IF(final_data786[[#This Row],[WEATHER_CODE]]=3,"light rain",IF(final_data786[[#This Row],[WEATHER_CODE]]=4,"heavy rain",0))))</f>
        <v>light rain</v>
      </c>
      <c r="N715">
        <v>0.22</v>
      </c>
      <c r="O715">
        <v>0.2273</v>
      </c>
      <c r="P715">
        <v>0.93</v>
      </c>
      <c r="Q715">
        <v>0.1343</v>
      </c>
      <c r="R715">
        <v>4</v>
      </c>
      <c r="S715">
        <v>0</v>
      </c>
      <c r="T715">
        <v>4</v>
      </c>
    </row>
    <row r="716" spans="1:20" x14ac:dyDescent="0.35">
      <c r="A716">
        <v>715</v>
      </c>
      <c r="B716" s="1">
        <v>40576</v>
      </c>
      <c r="C716">
        <v>1</v>
      </c>
      <c r="D716">
        <v>0</v>
      </c>
      <c r="E716">
        <v>2</v>
      </c>
      <c r="F716" t="str">
        <f>IF(final_data786[[#This Row],[MONTH_CODE]]=1,"JANUARY",IF(final_data786[[#This Row],[MONTH_CODE]]=2,"FEBRUARY"))</f>
        <v>FEBRUARY</v>
      </c>
      <c r="G716">
        <v>3</v>
      </c>
      <c r="H716">
        <v>0</v>
      </c>
      <c r="I716">
        <v>3</v>
      </c>
      <c r="J7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6" t="str">
        <f>IF(final_data786[[#This Row],[DAY_CODE]]=0,"weekend",IF(final_data786[[#This Row],[DAY_CODE]]=6,"weekend","weekday"))</f>
        <v>weekday</v>
      </c>
      <c r="L716">
        <v>3</v>
      </c>
      <c r="M716" t="str">
        <f>IF(final_data786[[#This Row],[WEATHER_CODE]]=1,"clear",IF(final_data786[[#This Row],[WEATHER_CODE]]=2,"cloudy",IF(final_data786[[#This Row],[WEATHER_CODE]]=3,"light rain",IF(final_data786[[#This Row],[WEATHER_CODE]]=4,"heavy rain",0))))</f>
        <v>light rain</v>
      </c>
      <c r="N716">
        <v>0.22</v>
      </c>
      <c r="O716">
        <v>0.2273</v>
      </c>
      <c r="P716">
        <v>0.93</v>
      </c>
      <c r="Q716">
        <v>0.1343</v>
      </c>
      <c r="R716">
        <v>0</v>
      </c>
      <c r="S716">
        <v>1</v>
      </c>
      <c r="T716">
        <v>1</v>
      </c>
    </row>
    <row r="717" spans="1:20" x14ac:dyDescent="0.35">
      <c r="A717">
        <v>716</v>
      </c>
      <c r="B717" s="1">
        <v>40576</v>
      </c>
      <c r="C717">
        <v>1</v>
      </c>
      <c r="D717">
        <v>0</v>
      </c>
      <c r="E717">
        <v>2</v>
      </c>
      <c r="F717" t="str">
        <f>IF(final_data786[[#This Row],[MONTH_CODE]]=1,"JANUARY",IF(final_data786[[#This Row],[MONTH_CODE]]=2,"FEBRUARY"))</f>
        <v>FEBRUARY</v>
      </c>
      <c r="G717">
        <v>4</v>
      </c>
      <c r="H717">
        <v>0</v>
      </c>
      <c r="I717">
        <v>3</v>
      </c>
      <c r="J7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7" t="str">
        <f>IF(final_data786[[#This Row],[DAY_CODE]]=0,"weekend",IF(final_data786[[#This Row],[DAY_CODE]]=6,"weekend","weekday"))</f>
        <v>weekday</v>
      </c>
      <c r="L717">
        <v>3</v>
      </c>
      <c r="M717" t="str">
        <f>IF(final_data786[[#This Row],[WEATHER_CODE]]=1,"clear",IF(final_data786[[#This Row],[WEATHER_CODE]]=2,"cloudy",IF(final_data786[[#This Row],[WEATHER_CODE]]=3,"light rain",IF(final_data786[[#This Row],[WEATHER_CODE]]=4,"heavy rain",0))))</f>
        <v>light rain</v>
      </c>
      <c r="N717">
        <v>0.22</v>
      </c>
      <c r="O717">
        <v>0.21210000000000001</v>
      </c>
      <c r="P717">
        <v>0.93</v>
      </c>
      <c r="Q717">
        <v>0.28360000000000002</v>
      </c>
      <c r="R717">
        <v>0</v>
      </c>
      <c r="S717">
        <v>1</v>
      </c>
      <c r="T717">
        <v>1</v>
      </c>
    </row>
    <row r="718" spans="1:20" x14ac:dyDescent="0.35">
      <c r="A718">
        <v>717</v>
      </c>
      <c r="B718" s="1">
        <v>40576</v>
      </c>
      <c r="C718">
        <v>1</v>
      </c>
      <c r="D718">
        <v>0</v>
      </c>
      <c r="E718">
        <v>2</v>
      </c>
      <c r="F718" t="str">
        <f>IF(final_data786[[#This Row],[MONTH_CODE]]=1,"JANUARY",IF(final_data786[[#This Row],[MONTH_CODE]]=2,"FEBRUARY"))</f>
        <v>FEBRUARY</v>
      </c>
      <c r="G718">
        <v>5</v>
      </c>
      <c r="H718">
        <v>0</v>
      </c>
      <c r="I718">
        <v>3</v>
      </c>
      <c r="J7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8" t="str">
        <f>IF(final_data786[[#This Row],[DAY_CODE]]=0,"weekend",IF(final_data786[[#This Row],[DAY_CODE]]=6,"weekend","weekday"))</f>
        <v>weekday</v>
      </c>
      <c r="L718">
        <v>3</v>
      </c>
      <c r="M718" t="str">
        <f>IF(final_data786[[#This Row],[WEATHER_CODE]]=1,"clear",IF(final_data786[[#This Row],[WEATHER_CODE]]=2,"cloudy",IF(final_data786[[#This Row],[WEATHER_CODE]]=3,"light rain",IF(final_data786[[#This Row],[WEATHER_CODE]]=4,"heavy rain",0))))</f>
        <v>light rain</v>
      </c>
      <c r="N718">
        <v>0.22</v>
      </c>
      <c r="O718">
        <v>0.2424</v>
      </c>
      <c r="P718">
        <v>0.93</v>
      </c>
      <c r="Q718">
        <v>0.1045</v>
      </c>
      <c r="R718">
        <v>0</v>
      </c>
      <c r="S718">
        <v>3</v>
      </c>
      <c r="T718">
        <v>3</v>
      </c>
    </row>
    <row r="719" spans="1:20" x14ac:dyDescent="0.35">
      <c r="A719">
        <v>718</v>
      </c>
      <c r="B719" s="1">
        <v>40576</v>
      </c>
      <c r="C719">
        <v>1</v>
      </c>
      <c r="D719">
        <v>0</v>
      </c>
      <c r="E719">
        <v>2</v>
      </c>
      <c r="F719" t="str">
        <f>IF(final_data786[[#This Row],[MONTH_CODE]]=1,"JANUARY",IF(final_data786[[#This Row],[MONTH_CODE]]=2,"FEBRUARY"))</f>
        <v>FEBRUARY</v>
      </c>
      <c r="G719">
        <v>6</v>
      </c>
      <c r="H719">
        <v>0</v>
      </c>
      <c r="I719">
        <v>3</v>
      </c>
      <c r="J7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19" t="str">
        <f>IF(final_data786[[#This Row],[DAY_CODE]]=0,"weekend",IF(final_data786[[#This Row],[DAY_CODE]]=6,"weekend","weekday"))</f>
        <v>weekday</v>
      </c>
      <c r="L719">
        <v>3</v>
      </c>
      <c r="M719" t="str">
        <f>IF(final_data786[[#This Row],[WEATHER_CODE]]=1,"clear",IF(final_data786[[#This Row],[WEATHER_CODE]]=2,"cloudy",IF(final_data786[[#This Row],[WEATHER_CODE]]=3,"light rain",IF(final_data786[[#This Row],[WEATHER_CODE]]=4,"heavy rain",0))))</f>
        <v>light rain</v>
      </c>
      <c r="N719">
        <v>0.22</v>
      </c>
      <c r="O719">
        <v>0.2424</v>
      </c>
      <c r="P719">
        <v>0.93</v>
      </c>
      <c r="Q719">
        <v>0.1045</v>
      </c>
      <c r="R719">
        <v>1</v>
      </c>
      <c r="S719">
        <v>17</v>
      </c>
      <c r="T719">
        <v>18</v>
      </c>
    </row>
    <row r="720" spans="1:20" x14ac:dyDescent="0.35">
      <c r="A720">
        <v>719</v>
      </c>
      <c r="B720" s="1">
        <v>40576</v>
      </c>
      <c r="C720">
        <v>1</v>
      </c>
      <c r="D720">
        <v>0</v>
      </c>
      <c r="E720">
        <v>2</v>
      </c>
      <c r="F720" t="str">
        <f>IF(final_data786[[#This Row],[MONTH_CODE]]=1,"JANUARY",IF(final_data786[[#This Row],[MONTH_CODE]]=2,"FEBRUARY"))</f>
        <v>FEBRUARY</v>
      </c>
      <c r="G720">
        <v>7</v>
      </c>
      <c r="H720">
        <v>0</v>
      </c>
      <c r="I720">
        <v>3</v>
      </c>
      <c r="J7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0" t="str">
        <f>IF(final_data786[[#This Row],[DAY_CODE]]=0,"weekend",IF(final_data786[[#This Row],[DAY_CODE]]=6,"weekend","weekday"))</f>
        <v>weekday</v>
      </c>
      <c r="L720">
        <v>3</v>
      </c>
      <c r="M720" t="str">
        <f>IF(final_data786[[#This Row],[WEATHER_CODE]]=1,"clear",IF(final_data786[[#This Row],[WEATHER_CODE]]=2,"cloudy",IF(final_data786[[#This Row],[WEATHER_CODE]]=3,"light rain",IF(final_data786[[#This Row],[WEATHER_CODE]]=4,"heavy rain",0))))</f>
        <v>light rain</v>
      </c>
      <c r="N720">
        <v>0.22</v>
      </c>
      <c r="O720">
        <v>0.21210000000000001</v>
      </c>
      <c r="P720">
        <v>0.93</v>
      </c>
      <c r="Q720">
        <v>0.22389999999999999</v>
      </c>
      <c r="R720">
        <v>1</v>
      </c>
      <c r="S720">
        <v>48</v>
      </c>
      <c r="T720">
        <v>49</v>
      </c>
    </row>
    <row r="721" spans="1:20" x14ac:dyDescent="0.35">
      <c r="A721">
        <v>720</v>
      </c>
      <c r="B721" s="1">
        <v>40576</v>
      </c>
      <c r="C721">
        <v>1</v>
      </c>
      <c r="D721">
        <v>0</v>
      </c>
      <c r="E721">
        <v>2</v>
      </c>
      <c r="F721" t="str">
        <f>IF(final_data786[[#This Row],[MONTH_CODE]]=1,"JANUARY",IF(final_data786[[#This Row],[MONTH_CODE]]=2,"FEBRUARY"))</f>
        <v>FEBRUARY</v>
      </c>
      <c r="G721">
        <v>8</v>
      </c>
      <c r="H721">
        <v>0</v>
      </c>
      <c r="I721">
        <v>3</v>
      </c>
      <c r="J7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1" t="str">
        <f>IF(final_data786[[#This Row],[DAY_CODE]]=0,"weekend",IF(final_data786[[#This Row],[DAY_CODE]]=6,"weekend","weekday"))</f>
        <v>weekday</v>
      </c>
      <c r="L721">
        <v>3</v>
      </c>
      <c r="M721" t="str">
        <f>IF(final_data786[[#This Row],[WEATHER_CODE]]=1,"clear",IF(final_data786[[#This Row],[WEATHER_CODE]]=2,"cloudy",IF(final_data786[[#This Row],[WEATHER_CODE]]=3,"light rain",IF(final_data786[[#This Row],[WEATHER_CODE]]=4,"heavy rain",0))))</f>
        <v>light rain</v>
      </c>
      <c r="N721">
        <v>0.22</v>
      </c>
      <c r="O721">
        <v>0.21210000000000001</v>
      </c>
      <c r="P721">
        <v>0.93</v>
      </c>
      <c r="Q721">
        <v>0.22389999999999999</v>
      </c>
      <c r="R721">
        <v>1</v>
      </c>
      <c r="S721">
        <v>154</v>
      </c>
      <c r="T721">
        <v>155</v>
      </c>
    </row>
    <row r="722" spans="1:20" x14ac:dyDescent="0.35">
      <c r="A722">
        <v>721</v>
      </c>
      <c r="B722" s="1">
        <v>40576</v>
      </c>
      <c r="C722">
        <v>1</v>
      </c>
      <c r="D722">
        <v>0</v>
      </c>
      <c r="E722">
        <v>2</v>
      </c>
      <c r="F722" t="str">
        <f>IF(final_data786[[#This Row],[MONTH_CODE]]=1,"JANUARY",IF(final_data786[[#This Row],[MONTH_CODE]]=2,"FEBRUARY"))</f>
        <v>FEBRUARY</v>
      </c>
      <c r="G722">
        <v>9</v>
      </c>
      <c r="H722">
        <v>0</v>
      </c>
      <c r="I722">
        <v>3</v>
      </c>
      <c r="J7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2" t="str">
        <f>IF(final_data786[[#This Row],[DAY_CODE]]=0,"weekend",IF(final_data786[[#This Row],[DAY_CODE]]=6,"weekend","weekday"))</f>
        <v>weekday</v>
      </c>
      <c r="L722">
        <v>2</v>
      </c>
      <c r="M722" t="str">
        <f>IF(final_data786[[#This Row],[WEATHER_CODE]]=1,"clear",IF(final_data786[[#This Row],[WEATHER_CODE]]=2,"cloudy",IF(final_data786[[#This Row],[WEATHER_CODE]]=3,"light rain",IF(final_data786[[#This Row],[WEATHER_CODE]]=4,"heavy rain",0))))</f>
        <v>cloudy</v>
      </c>
      <c r="N722">
        <v>0.24</v>
      </c>
      <c r="O722">
        <v>0.2576</v>
      </c>
      <c r="P722">
        <v>0.93</v>
      </c>
      <c r="Q722">
        <v>8.9599999999999999E-2</v>
      </c>
      <c r="R722">
        <v>4</v>
      </c>
      <c r="S722">
        <v>119</v>
      </c>
      <c r="T722">
        <v>123</v>
      </c>
    </row>
    <row r="723" spans="1:20" x14ac:dyDescent="0.35">
      <c r="A723">
        <v>722</v>
      </c>
      <c r="B723" s="1">
        <v>40576</v>
      </c>
      <c r="C723">
        <v>1</v>
      </c>
      <c r="D723">
        <v>0</v>
      </c>
      <c r="E723">
        <v>2</v>
      </c>
      <c r="F723" t="str">
        <f>IF(final_data786[[#This Row],[MONTH_CODE]]=1,"JANUARY",IF(final_data786[[#This Row],[MONTH_CODE]]=2,"FEBRUARY"))</f>
        <v>FEBRUARY</v>
      </c>
      <c r="G723">
        <v>10</v>
      </c>
      <c r="H723">
        <v>0</v>
      </c>
      <c r="I723">
        <v>3</v>
      </c>
      <c r="J7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3" t="str">
        <f>IF(final_data786[[#This Row],[DAY_CODE]]=0,"weekend",IF(final_data786[[#This Row],[DAY_CODE]]=6,"weekend","weekday"))</f>
        <v>weekday</v>
      </c>
      <c r="L723">
        <v>2</v>
      </c>
      <c r="M723" t="str">
        <f>IF(final_data786[[#This Row],[WEATHER_CODE]]=1,"clear",IF(final_data786[[#This Row],[WEATHER_CODE]]=2,"cloudy",IF(final_data786[[#This Row],[WEATHER_CODE]]=3,"light rain",IF(final_data786[[#This Row],[WEATHER_CODE]]=4,"heavy rain",0))))</f>
        <v>cloudy</v>
      </c>
      <c r="N723">
        <v>0.22</v>
      </c>
      <c r="O723">
        <v>0.2727</v>
      </c>
      <c r="P723">
        <v>1</v>
      </c>
      <c r="Q723">
        <v>0</v>
      </c>
      <c r="R723">
        <v>2</v>
      </c>
      <c r="S723">
        <v>59</v>
      </c>
      <c r="T723">
        <v>61</v>
      </c>
    </row>
    <row r="724" spans="1:20" x14ac:dyDescent="0.35">
      <c r="A724">
        <v>723</v>
      </c>
      <c r="B724" s="1">
        <v>40576</v>
      </c>
      <c r="C724">
        <v>1</v>
      </c>
      <c r="D724">
        <v>0</v>
      </c>
      <c r="E724">
        <v>2</v>
      </c>
      <c r="F724" t="str">
        <f>IF(final_data786[[#This Row],[MONTH_CODE]]=1,"JANUARY",IF(final_data786[[#This Row],[MONTH_CODE]]=2,"FEBRUARY"))</f>
        <v>FEBRUARY</v>
      </c>
      <c r="G724">
        <v>11</v>
      </c>
      <c r="H724">
        <v>0</v>
      </c>
      <c r="I724">
        <v>3</v>
      </c>
      <c r="J7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4" t="str">
        <f>IF(final_data786[[#This Row],[DAY_CODE]]=0,"weekend",IF(final_data786[[#This Row],[DAY_CODE]]=6,"weekend","weekday"))</f>
        <v>weekday</v>
      </c>
      <c r="L724">
        <v>2</v>
      </c>
      <c r="M724" t="str">
        <f>IF(final_data786[[#This Row],[WEATHER_CODE]]=1,"clear",IF(final_data786[[#This Row],[WEATHER_CODE]]=2,"cloudy",IF(final_data786[[#This Row],[WEATHER_CODE]]=3,"light rain",IF(final_data786[[#This Row],[WEATHER_CODE]]=4,"heavy rain",0))))</f>
        <v>cloudy</v>
      </c>
      <c r="N724">
        <v>0.24</v>
      </c>
      <c r="O724">
        <v>0.2273</v>
      </c>
      <c r="P724">
        <v>0.93</v>
      </c>
      <c r="Q724">
        <v>0.19400000000000001</v>
      </c>
      <c r="R724">
        <v>5</v>
      </c>
      <c r="S724">
        <v>47</v>
      </c>
      <c r="T724">
        <v>52</v>
      </c>
    </row>
    <row r="725" spans="1:20" x14ac:dyDescent="0.35">
      <c r="A725">
        <v>724</v>
      </c>
      <c r="B725" s="1">
        <v>40576</v>
      </c>
      <c r="C725">
        <v>1</v>
      </c>
      <c r="D725">
        <v>0</v>
      </c>
      <c r="E725">
        <v>2</v>
      </c>
      <c r="F725" t="str">
        <f>IF(final_data786[[#This Row],[MONTH_CODE]]=1,"JANUARY",IF(final_data786[[#This Row],[MONTH_CODE]]=2,"FEBRUARY"))</f>
        <v>FEBRUARY</v>
      </c>
      <c r="G725">
        <v>12</v>
      </c>
      <c r="H725">
        <v>0</v>
      </c>
      <c r="I725">
        <v>3</v>
      </c>
      <c r="J7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5" t="str">
        <f>IF(final_data786[[#This Row],[DAY_CODE]]=0,"weekend",IF(final_data786[[#This Row],[DAY_CODE]]=6,"weekend","weekday"))</f>
        <v>weekday</v>
      </c>
      <c r="L725">
        <v>2</v>
      </c>
      <c r="M725" t="str">
        <f>IF(final_data786[[#This Row],[WEATHER_CODE]]=1,"clear",IF(final_data786[[#This Row],[WEATHER_CODE]]=2,"cloudy",IF(final_data786[[#This Row],[WEATHER_CODE]]=3,"light rain",IF(final_data786[[#This Row],[WEATHER_CODE]]=4,"heavy rain",0))))</f>
        <v>cloudy</v>
      </c>
      <c r="N725">
        <v>0.24</v>
      </c>
      <c r="O725">
        <v>0.2273</v>
      </c>
      <c r="P725">
        <v>0.93</v>
      </c>
      <c r="Q725">
        <v>0.22389999999999999</v>
      </c>
      <c r="R725">
        <v>3</v>
      </c>
      <c r="S725">
        <v>61</v>
      </c>
      <c r="T725">
        <v>64</v>
      </c>
    </row>
    <row r="726" spans="1:20" x14ac:dyDescent="0.35">
      <c r="A726">
        <v>725</v>
      </c>
      <c r="B726" s="1">
        <v>40576</v>
      </c>
      <c r="C726">
        <v>1</v>
      </c>
      <c r="D726">
        <v>0</v>
      </c>
      <c r="E726">
        <v>2</v>
      </c>
      <c r="F726" t="str">
        <f>IF(final_data786[[#This Row],[MONTH_CODE]]=1,"JANUARY",IF(final_data786[[#This Row],[MONTH_CODE]]=2,"FEBRUARY"))</f>
        <v>FEBRUARY</v>
      </c>
      <c r="G726">
        <v>13</v>
      </c>
      <c r="H726">
        <v>0</v>
      </c>
      <c r="I726">
        <v>3</v>
      </c>
      <c r="J7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6" t="str">
        <f>IF(final_data786[[#This Row],[DAY_CODE]]=0,"weekend",IF(final_data786[[#This Row],[DAY_CODE]]=6,"weekend","weekday"))</f>
        <v>weekday</v>
      </c>
      <c r="L726">
        <v>1</v>
      </c>
      <c r="M726" t="str">
        <f>IF(final_data786[[#This Row],[WEATHER_CODE]]=1,"clear",IF(final_data786[[#This Row],[WEATHER_CODE]]=2,"cloudy",IF(final_data786[[#This Row],[WEATHER_CODE]]=3,"light rain",IF(final_data786[[#This Row],[WEATHER_CODE]]=4,"heavy rain",0))))</f>
        <v>clear</v>
      </c>
      <c r="N726">
        <v>0.34</v>
      </c>
      <c r="O726">
        <v>0.33329999999999999</v>
      </c>
      <c r="P726">
        <v>0.93</v>
      </c>
      <c r="Q726">
        <v>0.16420000000000001</v>
      </c>
      <c r="R726">
        <v>1</v>
      </c>
      <c r="S726">
        <v>74</v>
      </c>
      <c r="T726">
        <v>75</v>
      </c>
    </row>
    <row r="727" spans="1:20" x14ac:dyDescent="0.35">
      <c r="A727">
        <v>726</v>
      </c>
      <c r="B727" s="1">
        <v>40576</v>
      </c>
      <c r="C727">
        <v>1</v>
      </c>
      <c r="D727">
        <v>0</v>
      </c>
      <c r="E727">
        <v>2</v>
      </c>
      <c r="F727" t="str">
        <f>IF(final_data786[[#This Row],[MONTH_CODE]]=1,"JANUARY",IF(final_data786[[#This Row],[MONTH_CODE]]=2,"FEBRUARY"))</f>
        <v>FEBRUARY</v>
      </c>
      <c r="G727">
        <v>14</v>
      </c>
      <c r="H727">
        <v>0</v>
      </c>
      <c r="I727">
        <v>3</v>
      </c>
      <c r="J7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7" t="str">
        <f>IF(final_data786[[#This Row],[DAY_CODE]]=0,"weekend",IF(final_data786[[#This Row],[DAY_CODE]]=6,"weekend","weekday"))</f>
        <v>weekday</v>
      </c>
      <c r="L727">
        <v>1</v>
      </c>
      <c r="M727" t="str">
        <f>IF(final_data786[[#This Row],[WEATHER_CODE]]=1,"clear",IF(final_data786[[#This Row],[WEATHER_CODE]]=2,"cloudy",IF(final_data786[[#This Row],[WEATHER_CODE]]=3,"light rain",IF(final_data786[[#This Row],[WEATHER_CODE]]=4,"heavy rain",0))))</f>
        <v>clear</v>
      </c>
      <c r="N727">
        <v>0.38</v>
      </c>
      <c r="O727">
        <v>0.39389999999999997</v>
      </c>
      <c r="P727">
        <v>0.82</v>
      </c>
      <c r="Q727">
        <v>0.3881</v>
      </c>
      <c r="R727">
        <v>2</v>
      </c>
      <c r="S727">
        <v>61</v>
      </c>
      <c r="T727">
        <v>63</v>
      </c>
    </row>
    <row r="728" spans="1:20" x14ac:dyDescent="0.35">
      <c r="A728">
        <v>727</v>
      </c>
      <c r="B728" s="1">
        <v>40576</v>
      </c>
      <c r="C728">
        <v>1</v>
      </c>
      <c r="D728">
        <v>0</v>
      </c>
      <c r="E728">
        <v>2</v>
      </c>
      <c r="F728" t="str">
        <f>IF(final_data786[[#This Row],[MONTH_CODE]]=1,"JANUARY",IF(final_data786[[#This Row],[MONTH_CODE]]=2,"FEBRUARY"))</f>
        <v>FEBRUARY</v>
      </c>
      <c r="G728">
        <v>15</v>
      </c>
      <c r="H728">
        <v>0</v>
      </c>
      <c r="I728">
        <v>3</v>
      </c>
      <c r="J7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8" t="str">
        <f>IF(final_data786[[#This Row],[DAY_CODE]]=0,"weekend",IF(final_data786[[#This Row],[DAY_CODE]]=6,"weekend","weekday"))</f>
        <v>weekday</v>
      </c>
      <c r="L728">
        <v>1</v>
      </c>
      <c r="M728" t="str">
        <f>IF(final_data786[[#This Row],[WEATHER_CODE]]=1,"clear",IF(final_data786[[#This Row],[WEATHER_CODE]]=2,"cloudy",IF(final_data786[[#This Row],[WEATHER_CODE]]=3,"light rain",IF(final_data786[[#This Row],[WEATHER_CODE]]=4,"heavy rain",0))))</f>
        <v>clear</v>
      </c>
      <c r="N728">
        <v>0.38</v>
      </c>
      <c r="O728">
        <v>0.39389999999999997</v>
      </c>
      <c r="P728">
        <v>0.76</v>
      </c>
      <c r="Q728">
        <v>0.32840000000000003</v>
      </c>
      <c r="R728">
        <v>10</v>
      </c>
      <c r="S728">
        <v>66</v>
      </c>
      <c r="T728">
        <v>76</v>
      </c>
    </row>
    <row r="729" spans="1:20" x14ac:dyDescent="0.35">
      <c r="A729">
        <v>728</v>
      </c>
      <c r="B729" s="1">
        <v>40576</v>
      </c>
      <c r="C729">
        <v>1</v>
      </c>
      <c r="D729">
        <v>0</v>
      </c>
      <c r="E729">
        <v>2</v>
      </c>
      <c r="F729" t="str">
        <f>IF(final_data786[[#This Row],[MONTH_CODE]]=1,"JANUARY",IF(final_data786[[#This Row],[MONTH_CODE]]=2,"FEBRUARY"))</f>
        <v>FEBRUARY</v>
      </c>
      <c r="G729">
        <v>16</v>
      </c>
      <c r="H729">
        <v>0</v>
      </c>
      <c r="I729">
        <v>3</v>
      </c>
      <c r="J7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29" t="str">
        <f>IF(final_data786[[#This Row],[DAY_CODE]]=0,"weekend",IF(final_data786[[#This Row],[DAY_CODE]]=6,"weekend","weekday"))</f>
        <v>weekday</v>
      </c>
      <c r="L729">
        <v>1</v>
      </c>
      <c r="M729" t="str">
        <f>IF(final_data786[[#This Row],[WEATHER_CODE]]=1,"clear",IF(final_data786[[#This Row],[WEATHER_CODE]]=2,"cloudy",IF(final_data786[[#This Row],[WEATHER_CODE]]=3,"light rain",IF(final_data786[[#This Row],[WEATHER_CODE]]=4,"heavy rain",0))))</f>
        <v>clear</v>
      </c>
      <c r="N729">
        <v>0.36</v>
      </c>
      <c r="O729">
        <v>0.33329999999999999</v>
      </c>
      <c r="P729">
        <v>0.71</v>
      </c>
      <c r="Q729">
        <v>0.29849999999999999</v>
      </c>
      <c r="R729">
        <v>8</v>
      </c>
      <c r="S729">
        <v>95</v>
      </c>
      <c r="T729">
        <v>103</v>
      </c>
    </row>
    <row r="730" spans="1:20" x14ac:dyDescent="0.35">
      <c r="A730">
        <v>729</v>
      </c>
      <c r="B730" s="1">
        <v>40576</v>
      </c>
      <c r="C730">
        <v>1</v>
      </c>
      <c r="D730">
        <v>0</v>
      </c>
      <c r="E730">
        <v>2</v>
      </c>
      <c r="F730" t="str">
        <f>IF(final_data786[[#This Row],[MONTH_CODE]]=1,"JANUARY",IF(final_data786[[#This Row],[MONTH_CODE]]=2,"FEBRUARY"))</f>
        <v>FEBRUARY</v>
      </c>
      <c r="G730">
        <v>17</v>
      </c>
      <c r="H730">
        <v>0</v>
      </c>
      <c r="I730">
        <v>3</v>
      </c>
      <c r="J7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0" t="str">
        <f>IF(final_data786[[#This Row],[DAY_CODE]]=0,"weekend",IF(final_data786[[#This Row],[DAY_CODE]]=6,"weekend","weekday"))</f>
        <v>weekday</v>
      </c>
      <c r="L730">
        <v>1</v>
      </c>
      <c r="M730" t="str">
        <f>IF(final_data786[[#This Row],[WEATHER_CODE]]=1,"clear",IF(final_data786[[#This Row],[WEATHER_CODE]]=2,"cloudy",IF(final_data786[[#This Row],[WEATHER_CODE]]=3,"light rain",IF(final_data786[[#This Row],[WEATHER_CODE]]=4,"heavy rain",0))))</f>
        <v>clear</v>
      </c>
      <c r="N730">
        <v>0.36</v>
      </c>
      <c r="O730">
        <v>0.31819999999999998</v>
      </c>
      <c r="P730">
        <v>0.53</v>
      </c>
      <c r="Q730">
        <v>0.52239999999999998</v>
      </c>
      <c r="R730">
        <v>7</v>
      </c>
      <c r="S730">
        <v>183</v>
      </c>
      <c r="T730">
        <v>190</v>
      </c>
    </row>
    <row r="731" spans="1:20" x14ac:dyDescent="0.35">
      <c r="A731">
        <v>730</v>
      </c>
      <c r="B731" s="1">
        <v>40576</v>
      </c>
      <c r="C731">
        <v>1</v>
      </c>
      <c r="D731">
        <v>0</v>
      </c>
      <c r="E731">
        <v>2</v>
      </c>
      <c r="F731" t="str">
        <f>IF(final_data786[[#This Row],[MONTH_CODE]]=1,"JANUARY",IF(final_data786[[#This Row],[MONTH_CODE]]=2,"FEBRUARY"))</f>
        <v>FEBRUARY</v>
      </c>
      <c r="G731">
        <v>18</v>
      </c>
      <c r="H731">
        <v>0</v>
      </c>
      <c r="I731">
        <v>3</v>
      </c>
      <c r="J7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1" t="str">
        <f>IF(final_data786[[#This Row],[DAY_CODE]]=0,"weekend",IF(final_data786[[#This Row],[DAY_CODE]]=6,"weekend","weekday"))</f>
        <v>weekday</v>
      </c>
      <c r="L731">
        <v>1</v>
      </c>
      <c r="M731" t="str">
        <f>IF(final_data786[[#This Row],[WEATHER_CODE]]=1,"clear",IF(final_data786[[#This Row],[WEATHER_CODE]]=2,"cloudy",IF(final_data786[[#This Row],[WEATHER_CODE]]=3,"light rain",IF(final_data786[[#This Row],[WEATHER_CODE]]=4,"heavy rain",0))))</f>
        <v>clear</v>
      </c>
      <c r="N731">
        <v>0.34</v>
      </c>
      <c r="O731">
        <v>0.28789999999999999</v>
      </c>
      <c r="P731">
        <v>0.42</v>
      </c>
      <c r="Q731">
        <v>0.55220000000000002</v>
      </c>
      <c r="R731">
        <v>7</v>
      </c>
      <c r="S731">
        <v>175</v>
      </c>
      <c r="T731">
        <v>182</v>
      </c>
    </row>
    <row r="732" spans="1:20" x14ac:dyDescent="0.35">
      <c r="A732">
        <v>731</v>
      </c>
      <c r="B732" s="1">
        <v>40576</v>
      </c>
      <c r="C732">
        <v>1</v>
      </c>
      <c r="D732">
        <v>0</v>
      </c>
      <c r="E732">
        <v>2</v>
      </c>
      <c r="F732" t="str">
        <f>IF(final_data786[[#This Row],[MONTH_CODE]]=1,"JANUARY",IF(final_data786[[#This Row],[MONTH_CODE]]=2,"FEBRUARY"))</f>
        <v>FEBRUARY</v>
      </c>
      <c r="G732">
        <v>19</v>
      </c>
      <c r="H732">
        <v>0</v>
      </c>
      <c r="I732">
        <v>3</v>
      </c>
      <c r="J7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2" t="str">
        <f>IF(final_data786[[#This Row],[DAY_CODE]]=0,"weekend",IF(final_data786[[#This Row],[DAY_CODE]]=6,"weekend","weekday"))</f>
        <v>weekday</v>
      </c>
      <c r="L732">
        <v>1</v>
      </c>
      <c r="M732" t="str">
        <f>IF(final_data786[[#This Row],[WEATHER_CODE]]=1,"clear",IF(final_data786[[#This Row],[WEATHER_CODE]]=2,"cloudy",IF(final_data786[[#This Row],[WEATHER_CODE]]=3,"light rain",IF(final_data786[[#This Row],[WEATHER_CODE]]=4,"heavy rain",0))))</f>
        <v>clear</v>
      </c>
      <c r="N732">
        <v>0.28000000000000003</v>
      </c>
      <c r="O732">
        <v>0.2424</v>
      </c>
      <c r="P732">
        <v>0.45</v>
      </c>
      <c r="Q732">
        <v>0.49249999999999999</v>
      </c>
      <c r="R732">
        <v>3</v>
      </c>
      <c r="S732">
        <v>88</v>
      </c>
      <c r="T732">
        <v>91</v>
      </c>
    </row>
    <row r="733" spans="1:20" x14ac:dyDescent="0.35">
      <c r="A733">
        <v>732</v>
      </c>
      <c r="B733" s="1">
        <v>40576</v>
      </c>
      <c r="C733">
        <v>1</v>
      </c>
      <c r="D733">
        <v>0</v>
      </c>
      <c r="E733">
        <v>2</v>
      </c>
      <c r="F733" t="str">
        <f>IF(final_data786[[#This Row],[MONTH_CODE]]=1,"JANUARY",IF(final_data786[[#This Row],[MONTH_CODE]]=2,"FEBRUARY"))</f>
        <v>FEBRUARY</v>
      </c>
      <c r="G733">
        <v>20</v>
      </c>
      <c r="H733">
        <v>0</v>
      </c>
      <c r="I733">
        <v>3</v>
      </c>
      <c r="J7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3" t="str">
        <f>IF(final_data786[[#This Row],[DAY_CODE]]=0,"weekend",IF(final_data786[[#This Row],[DAY_CODE]]=6,"weekend","weekday"))</f>
        <v>weekday</v>
      </c>
      <c r="L733">
        <v>1</v>
      </c>
      <c r="M733" t="str">
        <f>IF(final_data786[[#This Row],[WEATHER_CODE]]=1,"clear",IF(final_data786[[#This Row],[WEATHER_CODE]]=2,"cloudy",IF(final_data786[[#This Row],[WEATHER_CODE]]=3,"light rain",IF(final_data786[[#This Row],[WEATHER_CODE]]=4,"heavy rain",0))))</f>
        <v>clear</v>
      </c>
      <c r="N733">
        <v>0.24</v>
      </c>
      <c r="O733">
        <v>0.19700000000000001</v>
      </c>
      <c r="P733">
        <v>0.48</v>
      </c>
      <c r="Q733">
        <v>0.55220000000000002</v>
      </c>
      <c r="R733">
        <v>4</v>
      </c>
      <c r="S733">
        <v>71</v>
      </c>
      <c r="T733">
        <v>75</v>
      </c>
    </row>
    <row r="734" spans="1:20" x14ac:dyDescent="0.35">
      <c r="A734">
        <v>733</v>
      </c>
      <c r="B734" s="1">
        <v>40576</v>
      </c>
      <c r="C734">
        <v>1</v>
      </c>
      <c r="D734">
        <v>0</v>
      </c>
      <c r="E734">
        <v>2</v>
      </c>
      <c r="F734" t="str">
        <f>IF(final_data786[[#This Row],[MONTH_CODE]]=1,"JANUARY",IF(final_data786[[#This Row],[MONTH_CODE]]=2,"FEBRUARY"))</f>
        <v>FEBRUARY</v>
      </c>
      <c r="G734">
        <v>21</v>
      </c>
      <c r="H734">
        <v>0</v>
      </c>
      <c r="I734">
        <v>3</v>
      </c>
      <c r="J7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4" t="str">
        <f>IF(final_data786[[#This Row],[DAY_CODE]]=0,"weekend",IF(final_data786[[#This Row],[DAY_CODE]]=6,"weekend","weekday"))</f>
        <v>weekday</v>
      </c>
      <c r="L734">
        <v>1</v>
      </c>
      <c r="M734" t="str">
        <f>IF(final_data786[[#This Row],[WEATHER_CODE]]=1,"clear",IF(final_data786[[#This Row],[WEATHER_CODE]]=2,"cloudy",IF(final_data786[[#This Row],[WEATHER_CODE]]=3,"light rain",IF(final_data786[[#This Row],[WEATHER_CODE]]=4,"heavy rain",0))))</f>
        <v>clear</v>
      </c>
      <c r="N734">
        <v>0.22</v>
      </c>
      <c r="O734">
        <v>0.19700000000000001</v>
      </c>
      <c r="P734">
        <v>0.47</v>
      </c>
      <c r="Q734">
        <v>0.32840000000000003</v>
      </c>
      <c r="R734">
        <v>1</v>
      </c>
      <c r="S734">
        <v>62</v>
      </c>
      <c r="T734">
        <v>63</v>
      </c>
    </row>
    <row r="735" spans="1:20" x14ac:dyDescent="0.35">
      <c r="A735">
        <v>734</v>
      </c>
      <c r="B735" s="1">
        <v>40576</v>
      </c>
      <c r="C735">
        <v>1</v>
      </c>
      <c r="D735">
        <v>0</v>
      </c>
      <c r="E735">
        <v>2</v>
      </c>
      <c r="F735" t="str">
        <f>IF(final_data786[[#This Row],[MONTH_CODE]]=1,"JANUARY",IF(final_data786[[#This Row],[MONTH_CODE]]=2,"FEBRUARY"))</f>
        <v>FEBRUARY</v>
      </c>
      <c r="G735">
        <v>22</v>
      </c>
      <c r="H735">
        <v>0</v>
      </c>
      <c r="I735">
        <v>3</v>
      </c>
      <c r="J7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5" t="str">
        <f>IF(final_data786[[#This Row],[DAY_CODE]]=0,"weekend",IF(final_data786[[#This Row],[DAY_CODE]]=6,"weekend","weekday"))</f>
        <v>weekday</v>
      </c>
      <c r="L735">
        <v>1</v>
      </c>
      <c r="M735" t="str">
        <f>IF(final_data786[[#This Row],[WEATHER_CODE]]=1,"clear",IF(final_data786[[#This Row],[WEATHER_CODE]]=2,"cloudy",IF(final_data786[[#This Row],[WEATHER_CODE]]=3,"light rain",IF(final_data786[[#This Row],[WEATHER_CODE]]=4,"heavy rain",0))))</f>
        <v>clear</v>
      </c>
      <c r="N735">
        <v>0.22</v>
      </c>
      <c r="O735">
        <v>0.21210000000000001</v>
      </c>
      <c r="P735">
        <v>0.44</v>
      </c>
      <c r="Q735">
        <v>0.25369999999999998</v>
      </c>
      <c r="R735">
        <v>5</v>
      </c>
      <c r="S735">
        <v>35</v>
      </c>
      <c r="T735">
        <v>40</v>
      </c>
    </row>
    <row r="736" spans="1:20" x14ac:dyDescent="0.35">
      <c r="A736">
        <v>735</v>
      </c>
      <c r="B736" s="1">
        <v>40576</v>
      </c>
      <c r="C736">
        <v>1</v>
      </c>
      <c r="D736">
        <v>0</v>
      </c>
      <c r="E736">
        <v>2</v>
      </c>
      <c r="F736" t="str">
        <f>IF(final_data786[[#This Row],[MONTH_CODE]]=1,"JANUARY",IF(final_data786[[#This Row],[MONTH_CODE]]=2,"FEBRUARY"))</f>
        <v>FEBRUARY</v>
      </c>
      <c r="G736">
        <v>23</v>
      </c>
      <c r="H736">
        <v>0</v>
      </c>
      <c r="I736">
        <v>3</v>
      </c>
      <c r="J7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736" t="str">
        <f>IF(final_data786[[#This Row],[DAY_CODE]]=0,"weekend",IF(final_data786[[#This Row],[DAY_CODE]]=6,"weekend","weekday"))</f>
        <v>weekday</v>
      </c>
      <c r="L736">
        <v>1</v>
      </c>
      <c r="M736" t="str">
        <f>IF(final_data786[[#This Row],[WEATHER_CODE]]=1,"clear",IF(final_data786[[#This Row],[WEATHER_CODE]]=2,"cloudy",IF(final_data786[[#This Row],[WEATHER_CODE]]=3,"light rain",IF(final_data786[[#This Row],[WEATHER_CODE]]=4,"heavy rain",0))))</f>
        <v>clear</v>
      </c>
      <c r="N736">
        <v>0.2</v>
      </c>
      <c r="O736">
        <v>0.16669999999999999</v>
      </c>
      <c r="P736">
        <v>0.44</v>
      </c>
      <c r="Q736">
        <v>0.44779999999999998</v>
      </c>
      <c r="R736">
        <v>3</v>
      </c>
      <c r="S736">
        <v>29</v>
      </c>
      <c r="T736">
        <v>32</v>
      </c>
    </row>
    <row r="737" spans="1:20" x14ac:dyDescent="0.35">
      <c r="A737">
        <v>736</v>
      </c>
      <c r="B737" s="1">
        <v>40577</v>
      </c>
      <c r="C737">
        <v>1</v>
      </c>
      <c r="D737">
        <v>0</v>
      </c>
      <c r="E737">
        <v>2</v>
      </c>
      <c r="F737" t="str">
        <f>IF(final_data786[[#This Row],[MONTH_CODE]]=1,"JANUARY",IF(final_data786[[#This Row],[MONTH_CODE]]=2,"FEBRUARY"))</f>
        <v>FEBRUARY</v>
      </c>
      <c r="G737">
        <v>0</v>
      </c>
      <c r="H737">
        <v>0</v>
      </c>
      <c r="I737">
        <v>4</v>
      </c>
      <c r="J7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37" t="str">
        <f>IF(final_data786[[#This Row],[DAY_CODE]]=0,"weekend",IF(final_data786[[#This Row],[DAY_CODE]]=6,"weekend","weekday"))</f>
        <v>weekday</v>
      </c>
      <c r="L737">
        <v>1</v>
      </c>
      <c r="M737" t="str">
        <f>IF(final_data786[[#This Row],[WEATHER_CODE]]=1,"clear",IF(final_data786[[#This Row],[WEATHER_CODE]]=2,"cloudy",IF(final_data786[[#This Row],[WEATHER_CODE]]=3,"light rain",IF(final_data786[[#This Row],[WEATHER_CODE]]=4,"heavy rain",0))))</f>
        <v>clear</v>
      </c>
      <c r="N737">
        <v>0.2</v>
      </c>
      <c r="O737">
        <v>0.16669999999999999</v>
      </c>
      <c r="P737">
        <v>0.4</v>
      </c>
      <c r="Q737">
        <v>0.44779999999999998</v>
      </c>
      <c r="R737">
        <v>1</v>
      </c>
      <c r="S737">
        <v>11</v>
      </c>
      <c r="T737">
        <v>12</v>
      </c>
    </row>
    <row r="738" spans="1:20" x14ac:dyDescent="0.35">
      <c r="A738">
        <v>737</v>
      </c>
      <c r="B738" s="1">
        <v>40577</v>
      </c>
      <c r="C738">
        <v>1</v>
      </c>
      <c r="D738">
        <v>0</v>
      </c>
      <c r="E738">
        <v>2</v>
      </c>
      <c r="F738" t="str">
        <f>IF(final_data786[[#This Row],[MONTH_CODE]]=1,"JANUARY",IF(final_data786[[#This Row],[MONTH_CODE]]=2,"FEBRUARY"))</f>
        <v>FEBRUARY</v>
      </c>
      <c r="G738">
        <v>1</v>
      </c>
      <c r="H738">
        <v>0</v>
      </c>
      <c r="I738">
        <v>4</v>
      </c>
      <c r="J7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38" t="str">
        <f>IF(final_data786[[#This Row],[DAY_CODE]]=0,"weekend",IF(final_data786[[#This Row],[DAY_CODE]]=6,"weekend","weekday"))</f>
        <v>weekday</v>
      </c>
      <c r="L738">
        <v>1</v>
      </c>
      <c r="M738" t="str">
        <f>IF(final_data786[[#This Row],[WEATHER_CODE]]=1,"clear",IF(final_data786[[#This Row],[WEATHER_CODE]]=2,"cloudy",IF(final_data786[[#This Row],[WEATHER_CODE]]=3,"light rain",IF(final_data786[[#This Row],[WEATHER_CODE]]=4,"heavy rain",0))))</f>
        <v>clear</v>
      </c>
      <c r="N738">
        <v>0.2</v>
      </c>
      <c r="O738">
        <v>0.1515</v>
      </c>
      <c r="P738">
        <v>0.44</v>
      </c>
      <c r="Q738">
        <v>0.52239999999999998</v>
      </c>
      <c r="R738">
        <v>0</v>
      </c>
      <c r="S738">
        <v>5</v>
      </c>
      <c r="T738">
        <v>5</v>
      </c>
    </row>
    <row r="739" spans="1:20" x14ac:dyDescent="0.35">
      <c r="A739">
        <v>738</v>
      </c>
      <c r="B739" s="1">
        <v>40577</v>
      </c>
      <c r="C739">
        <v>1</v>
      </c>
      <c r="D739">
        <v>0</v>
      </c>
      <c r="E739">
        <v>2</v>
      </c>
      <c r="F739" t="str">
        <f>IF(final_data786[[#This Row],[MONTH_CODE]]=1,"JANUARY",IF(final_data786[[#This Row],[MONTH_CODE]]=2,"FEBRUARY"))</f>
        <v>FEBRUARY</v>
      </c>
      <c r="G739">
        <v>2</v>
      </c>
      <c r="H739">
        <v>0</v>
      </c>
      <c r="I739">
        <v>4</v>
      </c>
      <c r="J7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39" t="str">
        <f>IF(final_data786[[#This Row],[DAY_CODE]]=0,"weekend",IF(final_data786[[#This Row],[DAY_CODE]]=6,"weekend","weekday"))</f>
        <v>weekday</v>
      </c>
      <c r="L739">
        <v>1</v>
      </c>
      <c r="M739" t="str">
        <f>IF(final_data786[[#This Row],[WEATHER_CODE]]=1,"clear",IF(final_data786[[#This Row],[WEATHER_CODE]]=2,"cloudy",IF(final_data786[[#This Row],[WEATHER_CODE]]=3,"light rain",IF(final_data786[[#This Row],[WEATHER_CODE]]=4,"heavy rain",0))))</f>
        <v>clear</v>
      </c>
      <c r="N739">
        <v>0.18</v>
      </c>
      <c r="O739">
        <v>0.16669999999999999</v>
      </c>
      <c r="P739">
        <v>0.43</v>
      </c>
      <c r="Q739">
        <v>0.25369999999999998</v>
      </c>
      <c r="R739">
        <v>0</v>
      </c>
      <c r="S739">
        <v>2</v>
      </c>
      <c r="T739">
        <v>2</v>
      </c>
    </row>
    <row r="740" spans="1:20" x14ac:dyDescent="0.35">
      <c r="A740">
        <v>739</v>
      </c>
      <c r="B740" s="1">
        <v>40577</v>
      </c>
      <c r="C740">
        <v>1</v>
      </c>
      <c r="D740">
        <v>0</v>
      </c>
      <c r="E740">
        <v>2</v>
      </c>
      <c r="F740" t="str">
        <f>IF(final_data786[[#This Row],[MONTH_CODE]]=1,"JANUARY",IF(final_data786[[#This Row],[MONTH_CODE]]=2,"FEBRUARY"))</f>
        <v>FEBRUARY</v>
      </c>
      <c r="G740">
        <v>3</v>
      </c>
      <c r="H740">
        <v>0</v>
      </c>
      <c r="I740">
        <v>4</v>
      </c>
      <c r="J7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0" t="str">
        <f>IF(final_data786[[#This Row],[DAY_CODE]]=0,"weekend",IF(final_data786[[#This Row],[DAY_CODE]]=6,"weekend","weekday"))</f>
        <v>weekday</v>
      </c>
      <c r="L740">
        <v>1</v>
      </c>
      <c r="M740" t="str">
        <f>IF(final_data786[[#This Row],[WEATHER_CODE]]=1,"clear",IF(final_data786[[#This Row],[WEATHER_CODE]]=2,"cloudy",IF(final_data786[[#This Row],[WEATHER_CODE]]=3,"light rain",IF(final_data786[[#This Row],[WEATHER_CODE]]=4,"heavy rain",0))))</f>
        <v>clear</v>
      </c>
      <c r="N740">
        <v>0.18</v>
      </c>
      <c r="O740">
        <v>0.16669999999999999</v>
      </c>
      <c r="P740">
        <v>0.43</v>
      </c>
      <c r="Q740">
        <v>0.25369999999999998</v>
      </c>
      <c r="R740">
        <v>0</v>
      </c>
      <c r="S740">
        <v>1</v>
      </c>
      <c r="T740">
        <v>1</v>
      </c>
    </row>
    <row r="741" spans="1:20" x14ac:dyDescent="0.35">
      <c r="A741">
        <v>740</v>
      </c>
      <c r="B741" s="1">
        <v>40577</v>
      </c>
      <c r="C741">
        <v>1</v>
      </c>
      <c r="D741">
        <v>0</v>
      </c>
      <c r="E741">
        <v>2</v>
      </c>
      <c r="F741" t="str">
        <f>IF(final_data786[[#This Row],[MONTH_CODE]]=1,"JANUARY",IF(final_data786[[#This Row],[MONTH_CODE]]=2,"FEBRUARY"))</f>
        <v>FEBRUARY</v>
      </c>
      <c r="G741">
        <v>5</v>
      </c>
      <c r="H741">
        <v>0</v>
      </c>
      <c r="I741">
        <v>4</v>
      </c>
      <c r="J7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1" t="str">
        <f>IF(final_data786[[#This Row],[DAY_CODE]]=0,"weekend",IF(final_data786[[#This Row],[DAY_CODE]]=6,"weekend","weekday"))</f>
        <v>weekday</v>
      </c>
      <c r="L741">
        <v>1</v>
      </c>
      <c r="M741" t="str">
        <f>IF(final_data786[[#This Row],[WEATHER_CODE]]=1,"clear",IF(final_data786[[#This Row],[WEATHER_CODE]]=2,"cloudy",IF(final_data786[[#This Row],[WEATHER_CODE]]=3,"light rain",IF(final_data786[[#This Row],[WEATHER_CODE]]=4,"heavy rain",0))))</f>
        <v>clear</v>
      </c>
      <c r="N741">
        <v>0.16</v>
      </c>
      <c r="O741">
        <v>0.13639999999999999</v>
      </c>
      <c r="P741">
        <v>0.5</v>
      </c>
      <c r="Q741">
        <v>0.29849999999999999</v>
      </c>
      <c r="R741">
        <v>0</v>
      </c>
      <c r="S741">
        <v>2</v>
      </c>
      <c r="T741">
        <v>2</v>
      </c>
    </row>
    <row r="742" spans="1:20" x14ac:dyDescent="0.35">
      <c r="A742">
        <v>741</v>
      </c>
      <c r="B742" s="1">
        <v>40577</v>
      </c>
      <c r="C742">
        <v>1</v>
      </c>
      <c r="D742">
        <v>0</v>
      </c>
      <c r="E742">
        <v>2</v>
      </c>
      <c r="F742" t="str">
        <f>IF(final_data786[[#This Row],[MONTH_CODE]]=1,"JANUARY",IF(final_data786[[#This Row],[MONTH_CODE]]=2,"FEBRUARY"))</f>
        <v>FEBRUARY</v>
      </c>
      <c r="G742">
        <v>6</v>
      </c>
      <c r="H742">
        <v>0</v>
      </c>
      <c r="I742">
        <v>4</v>
      </c>
      <c r="J7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2" t="str">
        <f>IF(final_data786[[#This Row],[DAY_CODE]]=0,"weekend",IF(final_data786[[#This Row],[DAY_CODE]]=6,"weekend","weekday"))</f>
        <v>weekday</v>
      </c>
      <c r="L742">
        <v>1</v>
      </c>
      <c r="M742" t="str">
        <f>IF(final_data786[[#This Row],[WEATHER_CODE]]=1,"clear",IF(final_data786[[#This Row],[WEATHER_CODE]]=2,"cloudy",IF(final_data786[[#This Row],[WEATHER_CODE]]=3,"light rain",IF(final_data786[[#This Row],[WEATHER_CODE]]=4,"heavy rain",0))))</f>
        <v>clear</v>
      </c>
      <c r="N742">
        <v>0.16</v>
      </c>
      <c r="O742">
        <v>0.13639999999999999</v>
      </c>
      <c r="P742">
        <v>0.43</v>
      </c>
      <c r="Q742">
        <v>0.35820000000000002</v>
      </c>
      <c r="R742">
        <v>0</v>
      </c>
      <c r="S742">
        <v>39</v>
      </c>
      <c r="T742">
        <v>39</v>
      </c>
    </row>
    <row r="743" spans="1:20" x14ac:dyDescent="0.35">
      <c r="A743">
        <v>742</v>
      </c>
      <c r="B743" s="1">
        <v>40577</v>
      </c>
      <c r="C743">
        <v>1</v>
      </c>
      <c r="D743">
        <v>0</v>
      </c>
      <c r="E743">
        <v>2</v>
      </c>
      <c r="F743" t="str">
        <f>IF(final_data786[[#This Row],[MONTH_CODE]]=1,"JANUARY",IF(final_data786[[#This Row],[MONTH_CODE]]=2,"FEBRUARY"))</f>
        <v>FEBRUARY</v>
      </c>
      <c r="G743">
        <v>7</v>
      </c>
      <c r="H743">
        <v>0</v>
      </c>
      <c r="I743">
        <v>4</v>
      </c>
      <c r="J7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3" t="str">
        <f>IF(final_data786[[#This Row],[DAY_CODE]]=0,"weekend",IF(final_data786[[#This Row],[DAY_CODE]]=6,"weekend","weekday"))</f>
        <v>weekday</v>
      </c>
      <c r="L743">
        <v>1</v>
      </c>
      <c r="M743" t="str">
        <f>IF(final_data786[[#This Row],[WEATHER_CODE]]=1,"clear",IF(final_data786[[#This Row],[WEATHER_CODE]]=2,"cloudy",IF(final_data786[[#This Row],[WEATHER_CODE]]=3,"light rain",IF(final_data786[[#This Row],[WEATHER_CODE]]=4,"heavy rain",0))))</f>
        <v>clear</v>
      </c>
      <c r="N743">
        <v>0.14000000000000001</v>
      </c>
      <c r="O743">
        <v>0.1212</v>
      </c>
      <c r="P743">
        <v>0.5</v>
      </c>
      <c r="Q743">
        <v>0.32840000000000003</v>
      </c>
      <c r="R743">
        <v>1</v>
      </c>
      <c r="S743">
        <v>86</v>
      </c>
      <c r="T743">
        <v>87</v>
      </c>
    </row>
    <row r="744" spans="1:20" x14ac:dyDescent="0.35">
      <c r="A744">
        <v>743</v>
      </c>
      <c r="B744" s="1">
        <v>40577</v>
      </c>
      <c r="C744">
        <v>1</v>
      </c>
      <c r="D744">
        <v>0</v>
      </c>
      <c r="E744">
        <v>2</v>
      </c>
      <c r="F744" t="str">
        <f>IF(final_data786[[#This Row],[MONTH_CODE]]=1,"JANUARY",IF(final_data786[[#This Row],[MONTH_CODE]]=2,"FEBRUARY"))</f>
        <v>FEBRUARY</v>
      </c>
      <c r="G744">
        <v>8</v>
      </c>
      <c r="H744">
        <v>0</v>
      </c>
      <c r="I744">
        <v>4</v>
      </c>
      <c r="J7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4" t="str">
        <f>IF(final_data786[[#This Row],[DAY_CODE]]=0,"weekend",IF(final_data786[[#This Row],[DAY_CODE]]=6,"weekend","weekday"))</f>
        <v>weekday</v>
      </c>
      <c r="L744">
        <v>1</v>
      </c>
      <c r="M744" t="str">
        <f>IF(final_data786[[#This Row],[WEATHER_CODE]]=1,"clear",IF(final_data786[[#This Row],[WEATHER_CODE]]=2,"cloudy",IF(final_data786[[#This Row],[WEATHER_CODE]]=3,"light rain",IF(final_data786[[#This Row],[WEATHER_CODE]]=4,"heavy rain",0))))</f>
        <v>clear</v>
      </c>
      <c r="N744">
        <v>0.14000000000000001</v>
      </c>
      <c r="O744">
        <v>0.1212</v>
      </c>
      <c r="P744">
        <v>0.5</v>
      </c>
      <c r="Q744">
        <v>0.35820000000000002</v>
      </c>
      <c r="R744">
        <v>4</v>
      </c>
      <c r="S744">
        <v>184</v>
      </c>
      <c r="T744">
        <v>188</v>
      </c>
    </row>
    <row r="745" spans="1:20" x14ac:dyDescent="0.35">
      <c r="A745">
        <v>744</v>
      </c>
      <c r="B745" s="1">
        <v>40577</v>
      </c>
      <c r="C745">
        <v>1</v>
      </c>
      <c r="D745">
        <v>0</v>
      </c>
      <c r="E745">
        <v>2</v>
      </c>
      <c r="F745" t="str">
        <f>IF(final_data786[[#This Row],[MONTH_CODE]]=1,"JANUARY",IF(final_data786[[#This Row],[MONTH_CODE]]=2,"FEBRUARY"))</f>
        <v>FEBRUARY</v>
      </c>
      <c r="G745">
        <v>9</v>
      </c>
      <c r="H745">
        <v>0</v>
      </c>
      <c r="I745">
        <v>4</v>
      </c>
      <c r="J7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5" t="str">
        <f>IF(final_data786[[#This Row],[DAY_CODE]]=0,"weekend",IF(final_data786[[#This Row],[DAY_CODE]]=6,"weekend","weekday"))</f>
        <v>weekday</v>
      </c>
      <c r="L745">
        <v>1</v>
      </c>
      <c r="M745" t="str">
        <f>IF(final_data786[[#This Row],[WEATHER_CODE]]=1,"clear",IF(final_data786[[#This Row],[WEATHER_CODE]]=2,"cloudy",IF(final_data786[[#This Row],[WEATHER_CODE]]=3,"light rain",IF(final_data786[[#This Row],[WEATHER_CODE]]=4,"heavy rain",0))))</f>
        <v>clear</v>
      </c>
      <c r="N745">
        <v>0.16</v>
      </c>
      <c r="O745">
        <v>0.13639999999999999</v>
      </c>
      <c r="P745">
        <v>0.47</v>
      </c>
      <c r="Q745">
        <v>0.29849999999999999</v>
      </c>
      <c r="R745">
        <v>6</v>
      </c>
      <c r="S745">
        <v>127</v>
      </c>
      <c r="T745">
        <v>133</v>
      </c>
    </row>
    <row r="746" spans="1:20" x14ac:dyDescent="0.35">
      <c r="A746">
        <v>745</v>
      </c>
      <c r="B746" s="1">
        <v>40577</v>
      </c>
      <c r="C746">
        <v>1</v>
      </c>
      <c r="D746">
        <v>0</v>
      </c>
      <c r="E746">
        <v>2</v>
      </c>
      <c r="F746" t="str">
        <f>IF(final_data786[[#This Row],[MONTH_CODE]]=1,"JANUARY",IF(final_data786[[#This Row],[MONTH_CODE]]=2,"FEBRUARY"))</f>
        <v>FEBRUARY</v>
      </c>
      <c r="G746">
        <v>10</v>
      </c>
      <c r="H746">
        <v>0</v>
      </c>
      <c r="I746">
        <v>4</v>
      </c>
      <c r="J7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6" t="str">
        <f>IF(final_data786[[#This Row],[DAY_CODE]]=0,"weekend",IF(final_data786[[#This Row],[DAY_CODE]]=6,"weekend","weekday"))</f>
        <v>weekday</v>
      </c>
      <c r="L746">
        <v>1</v>
      </c>
      <c r="M746" t="str">
        <f>IF(final_data786[[#This Row],[WEATHER_CODE]]=1,"clear",IF(final_data786[[#This Row],[WEATHER_CODE]]=2,"cloudy",IF(final_data786[[#This Row],[WEATHER_CODE]]=3,"light rain",IF(final_data786[[#This Row],[WEATHER_CODE]]=4,"heavy rain",0))))</f>
        <v>clear</v>
      </c>
      <c r="N746">
        <v>0.18</v>
      </c>
      <c r="O746">
        <v>0.1515</v>
      </c>
      <c r="P746">
        <v>0.43</v>
      </c>
      <c r="Q746">
        <v>0.32840000000000003</v>
      </c>
      <c r="R746">
        <v>2</v>
      </c>
      <c r="S746">
        <v>50</v>
      </c>
      <c r="T746">
        <v>52</v>
      </c>
    </row>
    <row r="747" spans="1:20" x14ac:dyDescent="0.35">
      <c r="A747">
        <v>746</v>
      </c>
      <c r="B747" s="1">
        <v>40577</v>
      </c>
      <c r="C747">
        <v>1</v>
      </c>
      <c r="D747">
        <v>0</v>
      </c>
      <c r="E747">
        <v>2</v>
      </c>
      <c r="F747" t="str">
        <f>IF(final_data786[[#This Row],[MONTH_CODE]]=1,"JANUARY",IF(final_data786[[#This Row],[MONTH_CODE]]=2,"FEBRUARY"))</f>
        <v>FEBRUARY</v>
      </c>
      <c r="G747">
        <v>11</v>
      </c>
      <c r="H747">
        <v>0</v>
      </c>
      <c r="I747">
        <v>4</v>
      </c>
      <c r="J7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7" t="str">
        <f>IF(final_data786[[#This Row],[DAY_CODE]]=0,"weekend",IF(final_data786[[#This Row],[DAY_CODE]]=6,"weekend","weekday"))</f>
        <v>weekday</v>
      </c>
      <c r="L747">
        <v>1</v>
      </c>
      <c r="M747" t="str">
        <f>IF(final_data786[[#This Row],[WEATHER_CODE]]=1,"clear",IF(final_data786[[#This Row],[WEATHER_CODE]]=2,"cloudy",IF(final_data786[[#This Row],[WEATHER_CODE]]=3,"light rain",IF(final_data786[[#This Row],[WEATHER_CODE]]=4,"heavy rain",0))))</f>
        <v>clear</v>
      </c>
      <c r="N747">
        <v>0.18</v>
      </c>
      <c r="O747">
        <v>0.13639999999999999</v>
      </c>
      <c r="P747">
        <v>0.43</v>
      </c>
      <c r="Q747">
        <v>0.44779999999999998</v>
      </c>
      <c r="R747">
        <v>9</v>
      </c>
      <c r="S747">
        <v>55</v>
      </c>
      <c r="T747">
        <v>64</v>
      </c>
    </row>
    <row r="748" spans="1:20" x14ac:dyDescent="0.35">
      <c r="A748">
        <v>747</v>
      </c>
      <c r="B748" s="1">
        <v>40577</v>
      </c>
      <c r="C748">
        <v>1</v>
      </c>
      <c r="D748">
        <v>0</v>
      </c>
      <c r="E748">
        <v>2</v>
      </c>
      <c r="F748" t="str">
        <f>IF(final_data786[[#This Row],[MONTH_CODE]]=1,"JANUARY",IF(final_data786[[#This Row],[MONTH_CODE]]=2,"FEBRUARY"))</f>
        <v>FEBRUARY</v>
      </c>
      <c r="G748">
        <v>12</v>
      </c>
      <c r="H748">
        <v>0</v>
      </c>
      <c r="I748">
        <v>4</v>
      </c>
      <c r="J7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8" t="str">
        <f>IF(final_data786[[#This Row],[DAY_CODE]]=0,"weekend",IF(final_data786[[#This Row],[DAY_CODE]]=6,"weekend","weekday"))</f>
        <v>weekday</v>
      </c>
      <c r="L748">
        <v>1</v>
      </c>
      <c r="M748" t="str">
        <f>IF(final_data786[[#This Row],[WEATHER_CODE]]=1,"clear",IF(final_data786[[#This Row],[WEATHER_CODE]]=2,"cloudy",IF(final_data786[[#This Row],[WEATHER_CODE]]=3,"light rain",IF(final_data786[[#This Row],[WEATHER_CODE]]=4,"heavy rain",0))))</f>
        <v>clear</v>
      </c>
      <c r="N748">
        <v>0.2</v>
      </c>
      <c r="O748">
        <v>0.18179999999999999</v>
      </c>
      <c r="P748">
        <v>0.4</v>
      </c>
      <c r="Q748">
        <v>0.35820000000000002</v>
      </c>
      <c r="R748">
        <v>2</v>
      </c>
      <c r="S748">
        <v>67</v>
      </c>
      <c r="T748">
        <v>69</v>
      </c>
    </row>
    <row r="749" spans="1:20" x14ac:dyDescent="0.35">
      <c r="A749">
        <v>748</v>
      </c>
      <c r="B749" s="1">
        <v>40577</v>
      </c>
      <c r="C749">
        <v>1</v>
      </c>
      <c r="D749">
        <v>0</v>
      </c>
      <c r="E749">
        <v>2</v>
      </c>
      <c r="F749" t="str">
        <f>IF(final_data786[[#This Row],[MONTH_CODE]]=1,"JANUARY",IF(final_data786[[#This Row],[MONTH_CODE]]=2,"FEBRUARY"))</f>
        <v>FEBRUARY</v>
      </c>
      <c r="G749">
        <v>13</v>
      </c>
      <c r="H749">
        <v>0</v>
      </c>
      <c r="I749">
        <v>4</v>
      </c>
      <c r="J7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49" t="str">
        <f>IF(final_data786[[#This Row],[DAY_CODE]]=0,"weekend",IF(final_data786[[#This Row],[DAY_CODE]]=6,"weekend","weekday"))</f>
        <v>weekday</v>
      </c>
      <c r="L749">
        <v>1</v>
      </c>
      <c r="M749" t="str">
        <f>IF(final_data786[[#This Row],[WEATHER_CODE]]=1,"clear",IF(final_data786[[#This Row],[WEATHER_CODE]]=2,"cloudy",IF(final_data786[[#This Row],[WEATHER_CODE]]=3,"light rain",IF(final_data786[[#This Row],[WEATHER_CODE]]=4,"heavy rain",0))))</f>
        <v>clear</v>
      </c>
      <c r="N749">
        <v>0.2</v>
      </c>
      <c r="O749">
        <v>0.16669999999999999</v>
      </c>
      <c r="P749">
        <v>0.4</v>
      </c>
      <c r="Q749">
        <v>0.41789999999999999</v>
      </c>
      <c r="R749">
        <v>4</v>
      </c>
      <c r="S749">
        <v>47</v>
      </c>
      <c r="T749">
        <v>51</v>
      </c>
    </row>
    <row r="750" spans="1:20" x14ac:dyDescent="0.35">
      <c r="A750">
        <v>749</v>
      </c>
      <c r="B750" s="1">
        <v>40577</v>
      </c>
      <c r="C750">
        <v>1</v>
      </c>
      <c r="D750">
        <v>0</v>
      </c>
      <c r="E750">
        <v>2</v>
      </c>
      <c r="F750" t="str">
        <f>IF(final_data786[[#This Row],[MONTH_CODE]]=1,"JANUARY",IF(final_data786[[#This Row],[MONTH_CODE]]=2,"FEBRUARY"))</f>
        <v>FEBRUARY</v>
      </c>
      <c r="G750">
        <v>14</v>
      </c>
      <c r="H750">
        <v>0</v>
      </c>
      <c r="I750">
        <v>4</v>
      </c>
      <c r="J7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0" t="str">
        <f>IF(final_data786[[#This Row],[DAY_CODE]]=0,"weekend",IF(final_data786[[#This Row],[DAY_CODE]]=6,"weekend","weekday"))</f>
        <v>weekday</v>
      </c>
      <c r="L750">
        <v>1</v>
      </c>
      <c r="M750" t="str">
        <f>IF(final_data786[[#This Row],[WEATHER_CODE]]=1,"clear",IF(final_data786[[#This Row],[WEATHER_CODE]]=2,"cloudy",IF(final_data786[[#This Row],[WEATHER_CODE]]=3,"light rain",IF(final_data786[[#This Row],[WEATHER_CODE]]=4,"heavy rain",0))))</f>
        <v>clear</v>
      </c>
      <c r="N750">
        <v>0.22</v>
      </c>
      <c r="O750">
        <v>0.19700000000000001</v>
      </c>
      <c r="P750">
        <v>0.37</v>
      </c>
      <c r="Q750">
        <v>0.3881</v>
      </c>
      <c r="R750">
        <v>4</v>
      </c>
      <c r="S750">
        <v>43</v>
      </c>
      <c r="T750">
        <v>47</v>
      </c>
    </row>
    <row r="751" spans="1:20" x14ac:dyDescent="0.35">
      <c r="A751">
        <v>750</v>
      </c>
      <c r="B751" s="1">
        <v>40577</v>
      </c>
      <c r="C751">
        <v>1</v>
      </c>
      <c r="D751">
        <v>0</v>
      </c>
      <c r="E751">
        <v>2</v>
      </c>
      <c r="F751" t="str">
        <f>IF(final_data786[[#This Row],[MONTH_CODE]]=1,"JANUARY",IF(final_data786[[#This Row],[MONTH_CODE]]=2,"FEBRUARY"))</f>
        <v>FEBRUARY</v>
      </c>
      <c r="G751">
        <v>15</v>
      </c>
      <c r="H751">
        <v>0</v>
      </c>
      <c r="I751">
        <v>4</v>
      </c>
      <c r="J7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1" t="str">
        <f>IF(final_data786[[#This Row],[DAY_CODE]]=0,"weekend",IF(final_data786[[#This Row],[DAY_CODE]]=6,"weekend","weekday"))</f>
        <v>weekday</v>
      </c>
      <c r="L751">
        <v>1</v>
      </c>
      <c r="M751" t="str">
        <f>IF(final_data786[[#This Row],[WEATHER_CODE]]=1,"clear",IF(final_data786[[#This Row],[WEATHER_CODE]]=2,"cloudy",IF(final_data786[[#This Row],[WEATHER_CODE]]=3,"light rain",IF(final_data786[[#This Row],[WEATHER_CODE]]=4,"heavy rain",0))))</f>
        <v>clear</v>
      </c>
      <c r="N751">
        <v>0.22</v>
      </c>
      <c r="O751">
        <v>0.19700000000000001</v>
      </c>
      <c r="P751">
        <v>0.37</v>
      </c>
      <c r="Q751">
        <v>0.32840000000000003</v>
      </c>
      <c r="R751">
        <v>4</v>
      </c>
      <c r="S751">
        <v>56</v>
      </c>
      <c r="T751">
        <v>60</v>
      </c>
    </row>
    <row r="752" spans="1:20" x14ac:dyDescent="0.35">
      <c r="A752">
        <v>751</v>
      </c>
      <c r="B752" s="1">
        <v>40577</v>
      </c>
      <c r="C752">
        <v>1</v>
      </c>
      <c r="D752">
        <v>0</v>
      </c>
      <c r="E752">
        <v>2</v>
      </c>
      <c r="F752" t="str">
        <f>IF(final_data786[[#This Row],[MONTH_CODE]]=1,"JANUARY",IF(final_data786[[#This Row],[MONTH_CODE]]=2,"FEBRUARY"))</f>
        <v>FEBRUARY</v>
      </c>
      <c r="G752">
        <v>16</v>
      </c>
      <c r="H752">
        <v>0</v>
      </c>
      <c r="I752">
        <v>4</v>
      </c>
      <c r="J7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2" t="str">
        <f>IF(final_data786[[#This Row],[DAY_CODE]]=0,"weekend",IF(final_data786[[#This Row],[DAY_CODE]]=6,"weekend","weekday"))</f>
        <v>weekday</v>
      </c>
      <c r="L752">
        <v>1</v>
      </c>
      <c r="M752" t="str">
        <f>IF(final_data786[[#This Row],[WEATHER_CODE]]=1,"clear",IF(final_data786[[#This Row],[WEATHER_CODE]]=2,"cloudy",IF(final_data786[[#This Row],[WEATHER_CODE]]=3,"light rain",IF(final_data786[[#This Row],[WEATHER_CODE]]=4,"heavy rain",0))))</f>
        <v>clear</v>
      </c>
      <c r="N752">
        <v>0.22</v>
      </c>
      <c r="O752">
        <v>0.21210000000000001</v>
      </c>
      <c r="P752">
        <v>0.37</v>
      </c>
      <c r="Q752">
        <v>0.25369999999999998</v>
      </c>
      <c r="R752">
        <v>5</v>
      </c>
      <c r="S752">
        <v>73</v>
      </c>
      <c r="T752">
        <v>78</v>
      </c>
    </row>
    <row r="753" spans="1:20" x14ac:dyDescent="0.35">
      <c r="A753">
        <v>752</v>
      </c>
      <c r="B753" s="1">
        <v>40577</v>
      </c>
      <c r="C753">
        <v>1</v>
      </c>
      <c r="D753">
        <v>0</v>
      </c>
      <c r="E753">
        <v>2</v>
      </c>
      <c r="F753" t="str">
        <f>IF(final_data786[[#This Row],[MONTH_CODE]]=1,"JANUARY",IF(final_data786[[#This Row],[MONTH_CODE]]=2,"FEBRUARY"))</f>
        <v>FEBRUARY</v>
      </c>
      <c r="G753">
        <v>17</v>
      </c>
      <c r="H753">
        <v>0</v>
      </c>
      <c r="I753">
        <v>4</v>
      </c>
      <c r="J7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3" t="str">
        <f>IF(final_data786[[#This Row],[DAY_CODE]]=0,"weekend",IF(final_data786[[#This Row],[DAY_CODE]]=6,"weekend","weekday"))</f>
        <v>weekday</v>
      </c>
      <c r="L753">
        <v>1</v>
      </c>
      <c r="M753" t="str">
        <f>IF(final_data786[[#This Row],[WEATHER_CODE]]=1,"clear",IF(final_data786[[#This Row],[WEATHER_CODE]]=2,"cloudy",IF(final_data786[[#This Row],[WEATHER_CODE]]=3,"light rain",IF(final_data786[[#This Row],[WEATHER_CODE]]=4,"heavy rain",0))))</f>
        <v>clear</v>
      </c>
      <c r="N753">
        <v>0.2</v>
      </c>
      <c r="O753">
        <v>0.19700000000000001</v>
      </c>
      <c r="P753">
        <v>0.4</v>
      </c>
      <c r="Q753">
        <v>0.19400000000000001</v>
      </c>
      <c r="R753">
        <v>5</v>
      </c>
      <c r="S753">
        <v>170</v>
      </c>
      <c r="T753">
        <v>175</v>
      </c>
    </row>
    <row r="754" spans="1:20" x14ac:dyDescent="0.35">
      <c r="A754">
        <v>753</v>
      </c>
      <c r="B754" s="1">
        <v>40577</v>
      </c>
      <c r="C754">
        <v>1</v>
      </c>
      <c r="D754">
        <v>0</v>
      </c>
      <c r="E754">
        <v>2</v>
      </c>
      <c r="F754" t="str">
        <f>IF(final_data786[[#This Row],[MONTH_CODE]]=1,"JANUARY",IF(final_data786[[#This Row],[MONTH_CODE]]=2,"FEBRUARY"))</f>
        <v>FEBRUARY</v>
      </c>
      <c r="G754">
        <v>18</v>
      </c>
      <c r="H754">
        <v>0</v>
      </c>
      <c r="I754">
        <v>4</v>
      </c>
      <c r="J7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4" t="str">
        <f>IF(final_data786[[#This Row],[DAY_CODE]]=0,"weekend",IF(final_data786[[#This Row],[DAY_CODE]]=6,"weekend","weekday"))</f>
        <v>weekday</v>
      </c>
      <c r="L754">
        <v>1</v>
      </c>
      <c r="M754" t="str">
        <f>IF(final_data786[[#This Row],[WEATHER_CODE]]=1,"clear",IF(final_data786[[#This Row],[WEATHER_CODE]]=2,"cloudy",IF(final_data786[[#This Row],[WEATHER_CODE]]=3,"light rain",IF(final_data786[[#This Row],[WEATHER_CODE]]=4,"heavy rain",0))))</f>
        <v>clear</v>
      </c>
      <c r="N754">
        <v>0.2</v>
      </c>
      <c r="O754">
        <v>0.21210000000000001</v>
      </c>
      <c r="P754">
        <v>0.4</v>
      </c>
      <c r="Q754">
        <v>0.16420000000000001</v>
      </c>
      <c r="R754">
        <v>2</v>
      </c>
      <c r="S754">
        <v>145</v>
      </c>
      <c r="T754">
        <v>147</v>
      </c>
    </row>
    <row r="755" spans="1:20" x14ac:dyDescent="0.35">
      <c r="A755">
        <v>754</v>
      </c>
      <c r="B755" s="1">
        <v>40577</v>
      </c>
      <c r="C755">
        <v>1</v>
      </c>
      <c r="D755">
        <v>0</v>
      </c>
      <c r="E755">
        <v>2</v>
      </c>
      <c r="F755" t="str">
        <f>IF(final_data786[[#This Row],[MONTH_CODE]]=1,"JANUARY",IF(final_data786[[#This Row],[MONTH_CODE]]=2,"FEBRUARY"))</f>
        <v>FEBRUARY</v>
      </c>
      <c r="G755">
        <v>19</v>
      </c>
      <c r="H755">
        <v>0</v>
      </c>
      <c r="I755">
        <v>4</v>
      </c>
      <c r="J7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5" t="str">
        <f>IF(final_data786[[#This Row],[DAY_CODE]]=0,"weekend",IF(final_data786[[#This Row],[DAY_CODE]]=6,"weekend","weekday"))</f>
        <v>weekday</v>
      </c>
      <c r="L755">
        <v>1</v>
      </c>
      <c r="M755" t="str">
        <f>IF(final_data786[[#This Row],[WEATHER_CODE]]=1,"clear",IF(final_data786[[#This Row],[WEATHER_CODE]]=2,"cloudy",IF(final_data786[[#This Row],[WEATHER_CODE]]=3,"light rain",IF(final_data786[[#This Row],[WEATHER_CODE]]=4,"heavy rain",0))))</f>
        <v>clear</v>
      </c>
      <c r="N755">
        <v>0.2</v>
      </c>
      <c r="O755">
        <v>0.2576</v>
      </c>
      <c r="P755">
        <v>0.4</v>
      </c>
      <c r="Q755">
        <v>0</v>
      </c>
      <c r="R755">
        <v>4</v>
      </c>
      <c r="S755">
        <v>92</v>
      </c>
      <c r="T755">
        <v>96</v>
      </c>
    </row>
    <row r="756" spans="1:20" x14ac:dyDescent="0.35">
      <c r="A756">
        <v>755</v>
      </c>
      <c r="B756" s="1">
        <v>40577</v>
      </c>
      <c r="C756">
        <v>1</v>
      </c>
      <c r="D756">
        <v>0</v>
      </c>
      <c r="E756">
        <v>2</v>
      </c>
      <c r="F756" t="str">
        <f>IF(final_data786[[#This Row],[MONTH_CODE]]=1,"JANUARY",IF(final_data786[[#This Row],[MONTH_CODE]]=2,"FEBRUARY"))</f>
        <v>FEBRUARY</v>
      </c>
      <c r="G756">
        <v>20</v>
      </c>
      <c r="H756">
        <v>0</v>
      </c>
      <c r="I756">
        <v>4</v>
      </c>
      <c r="J7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6" t="str">
        <f>IF(final_data786[[#This Row],[DAY_CODE]]=0,"weekend",IF(final_data786[[#This Row],[DAY_CODE]]=6,"weekend","weekday"))</f>
        <v>weekday</v>
      </c>
      <c r="L756">
        <v>1</v>
      </c>
      <c r="M756" t="str">
        <f>IF(final_data786[[#This Row],[WEATHER_CODE]]=1,"clear",IF(final_data786[[#This Row],[WEATHER_CODE]]=2,"cloudy",IF(final_data786[[#This Row],[WEATHER_CODE]]=3,"light rain",IF(final_data786[[#This Row],[WEATHER_CODE]]=4,"heavy rain",0))))</f>
        <v>clear</v>
      </c>
      <c r="N756">
        <v>0.2</v>
      </c>
      <c r="O756">
        <v>0.2273</v>
      </c>
      <c r="P756">
        <v>0.47</v>
      </c>
      <c r="Q756">
        <v>8.9599999999999999E-2</v>
      </c>
      <c r="R756">
        <v>1</v>
      </c>
      <c r="S756">
        <v>108</v>
      </c>
      <c r="T756">
        <v>109</v>
      </c>
    </row>
    <row r="757" spans="1:20" x14ac:dyDescent="0.35">
      <c r="A757">
        <v>756</v>
      </c>
      <c r="B757" s="1">
        <v>40577</v>
      </c>
      <c r="C757">
        <v>1</v>
      </c>
      <c r="D757">
        <v>0</v>
      </c>
      <c r="E757">
        <v>2</v>
      </c>
      <c r="F757" t="str">
        <f>IF(final_data786[[#This Row],[MONTH_CODE]]=1,"JANUARY",IF(final_data786[[#This Row],[MONTH_CODE]]=2,"FEBRUARY"))</f>
        <v>FEBRUARY</v>
      </c>
      <c r="G757">
        <v>21</v>
      </c>
      <c r="H757">
        <v>0</v>
      </c>
      <c r="I757">
        <v>4</v>
      </c>
      <c r="J7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7" t="str">
        <f>IF(final_data786[[#This Row],[DAY_CODE]]=0,"weekend",IF(final_data786[[#This Row],[DAY_CODE]]=6,"weekend","weekday"))</f>
        <v>weekday</v>
      </c>
      <c r="L757">
        <v>1</v>
      </c>
      <c r="M757" t="str">
        <f>IF(final_data786[[#This Row],[WEATHER_CODE]]=1,"clear",IF(final_data786[[#This Row],[WEATHER_CODE]]=2,"cloudy",IF(final_data786[[#This Row],[WEATHER_CODE]]=3,"light rain",IF(final_data786[[#This Row],[WEATHER_CODE]]=4,"heavy rain",0))))</f>
        <v>clear</v>
      </c>
      <c r="N757">
        <v>0.18</v>
      </c>
      <c r="O757">
        <v>0.21210000000000001</v>
      </c>
      <c r="P757">
        <v>0.55000000000000004</v>
      </c>
      <c r="Q757">
        <v>0.1045</v>
      </c>
      <c r="R757">
        <v>1</v>
      </c>
      <c r="S757">
        <v>53</v>
      </c>
      <c r="T757">
        <v>54</v>
      </c>
    </row>
    <row r="758" spans="1:20" x14ac:dyDescent="0.35">
      <c r="A758">
        <v>757</v>
      </c>
      <c r="B758" s="1">
        <v>40577</v>
      </c>
      <c r="C758">
        <v>1</v>
      </c>
      <c r="D758">
        <v>0</v>
      </c>
      <c r="E758">
        <v>2</v>
      </c>
      <c r="F758" t="str">
        <f>IF(final_data786[[#This Row],[MONTH_CODE]]=1,"JANUARY",IF(final_data786[[#This Row],[MONTH_CODE]]=2,"FEBRUARY"))</f>
        <v>FEBRUARY</v>
      </c>
      <c r="G758">
        <v>22</v>
      </c>
      <c r="H758">
        <v>0</v>
      </c>
      <c r="I758">
        <v>4</v>
      </c>
      <c r="J7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8" t="str">
        <f>IF(final_data786[[#This Row],[DAY_CODE]]=0,"weekend",IF(final_data786[[#This Row],[DAY_CODE]]=6,"weekend","weekday"))</f>
        <v>weekday</v>
      </c>
      <c r="L758">
        <v>1</v>
      </c>
      <c r="M758" t="str">
        <f>IF(final_data786[[#This Row],[WEATHER_CODE]]=1,"clear",IF(final_data786[[#This Row],[WEATHER_CODE]]=2,"cloudy",IF(final_data786[[#This Row],[WEATHER_CODE]]=3,"light rain",IF(final_data786[[#This Row],[WEATHER_CODE]]=4,"heavy rain",0))))</f>
        <v>clear</v>
      </c>
      <c r="N758">
        <v>0.18</v>
      </c>
      <c r="O758">
        <v>0.21210000000000001</v>
      </c>
      <c r="P758">
        <v>0.51</v>
      </c>
      <c r="Q758">
        <v>8.9599999999999999E-2</v>
      </c>
      <c r="R758">
        <v>2</v>
      </c>
      <c r="S758">
        <v>39</v>
      </c>
      <c r="T758">
        <v>41</v>
      </c>
    </row>
    <row r="759" spans="1:20" x14ac:dyDescent="0.35">
      <c r="A759">
        <v>758</v>
      </c>
      <c r="B759" s="1">
        <v>40577</v>
      </c>
      <c r="C759">
        <v>1</v>
      </c>
      <c r="D759">
        <v>0</v>
      </c>
      <c r="E759">
        <v>2</v>
      </c>
      <c r="F759" t="str">
        <f>IF(final_data786[[#This Row],[MONTH_CODE]]=1,"JANUARY",IF(final_data786[[#This Row],[MONTH_CODE]]=2,"FEBRUARY"))</f>
        <v>FEBRUARY</v>
      </c>
      <c r="G759">
        <v>23</v>
      </c>
      <c r="H759">
        <v>0</v>
      </c>
      <c r="I759">
        <v>4</v>
      </c>
      <c r="J7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759" t="str">
        <f>IF(final_data786[[#This Row],[DAY_CODE]]=0,"weekend",IF(final_data786[[#This Row],[DAY_CODE]]=6,"weekend","weekday"))</f>
        <v>weekday</v>
      </c>
      <c r="L759">
        <v>1</v>
      </c>
      <c r="M759" t="str">
        <f>IF(final_data786[[#This Row],[WEATHER_CODE]]=1,"clear",IF(final_data786[[#This Row],[WEATHER_CODE]]=2,"cloudy",IF(final_data786[[#This Row],[WEATHER_CODE]]=3,"light rain",IF(final_data786[[#This Row],[WEATHER_CODE]]=4,"heavy rain",0))))</f>
        <v>clear</v>
      </c>
      <c r="N759">
        <v>0.2</v>
      </c>
      <c r="O759">
        <v>0.2273</v>
      </c>
      <c r="P759">
        <v>0.47</v>
      </c>
      <c r="Q759">
        <v>0.1045</v>
      </c>
      <c r="R759">
        <v>4</v>
      </c>
      <c r="S759">
        <v>34</v>
      </c>
      <c r="T759">
        <v>38</v>
      </c>
    </row>
    <row r="760" spans="1:20" x14ac:dyDescent="0.35">
      <c r="A760">
        <v>759</v>
      </c>
      <c r="B760" s="1">
        <v>40578</v>
      </c>
      <c r="C760">
        <v>1</v>
      </c>
      <c r="D760">
        <v>0</v>
      </c>
      <c r="E760">
        <v>2</v>
      </c>
      <c r="F760" t="str">
        <f>IF(final_data786[[#This Row],[MONTH_CODE]]=1,"JANUARY",IF(final_data786[[#This Row],[MONTH_CODE]]=2,"FEBRUARY"))</f>
        <v>FEBRUARY</v>
      </c>
      <c r="G760">
        <v>0</v>
      </c>
      <c r="H760">
        <v>0</v>
      </c>
      <c r="I760">
        <v>5</v>
      </c>
      <c r="J7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0" t="str">
        <f>IF(final_data786[[#This Row],[DAY_CODE]]=0,"weekend",IF(final_data786[[#This Row],[DAY_CODE]]=6,"weekend","weekday"))</f>
        <v>weekday</v>
      </c>
      <c r="L760">
        <v>2</v>
      </c>
      <c r="M760" t="str">
        <f>IF(final_data786[[#This Row],[WEATHER_CODE]]=1,"clear",IF(final_data786[[#This Row],[WEATHER_CODE]]=2,"cloudy",IF(final_data786[[#This Row],[WEATHER_CODE]]=3,"light rain",IF(final_data786[[#This Row],[WEATHER_CODE]]=4,"heavy rain",0))))</f>
        <v>cloudy</v>
      </c>
      <c r="N760">
        <v>0.2</v>
      </c>
      <c r="O760">
        <v>0.2576</v>
      </c>
      <c r="P760">
        <v>0.44</v>
      </c>
      <c r="Q760">
        <v>0</v>
      </c>
      <c r="R760">
        <v>3</v>
      </c>
      <c r="S760">
        <v>10</v>
      </c>
      <c r="T760">
        <v>13</v>
      </c>
    </row>
    <row r="761" spans="1:20" x14ac:dyDescent="0.35">
      <c r="A761">
        <v>760</v>
      </c>
      <c r="B761" s="1">
        <v>40578</v>
      </c>
      <c r="C761">
        <v>1</v>
      </c>
      <c r="D761">
        <v>0</v>
      </c>
      <c r="E761">
        <v>2</v>
      </c>
      <c r="F761" t="str">
        <f>IF(final_data786[[#This Row],[MONTH_CODE]]=1,"JANUARY",IF(final_data786[[#This Row],[MONTH_CODE]]=2,"FEBRUARY"))</f>
        <v>FEBRUARY</v>
      </c>
      <c r="G761">
        <v>1</v>
      </c>
      <c r="H761">
        <v>0</v>
      </c>
      <c r="I761">
        <v>5</v>
      </c>
      <c r="J7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1" t="str">
        <f>IF(final_data786[[#This Row],[DAY_CODE]]=0,"weekend",IF(final_data786[[#This Row],[DAY_CODE]]=6,"weekend","weekday"))</f>
        <v>weekday</v>
      </c>
      <c r="L761">
        <v>2</v>
      </c>
      <c r="M761" t="str">
        <f>IF(final_data786[[#This Row],[WEATHER_CODE]]=1,"clear",IF(final_data786[[#This Row],[WEATHER_CODE]]=2,"cloudy",IF(final_data786[[#This Row],[WEATHER_CODE]]=3,"light rain",IF(final_data786[[#This Row],[WEATHER_CODE]]=4,"heavy rain",0))))</f>
        <v>cloudy</v>
      </c>
      <c r="N761">
        <v>0.16</v>
      </c>
      <c r="O761">
        <v>0.2273</v>
      </c>
      <c r="P761">
        <v>0.59</v>
      </c>
      <c r="Q761">
        <v>0</v>
      </c>
      <c r="R761">
        <v>0</v>
      </c>
      <c r="S761">
        <v>7</v>
      </c>
      <c r="T761">
        <v>7</v>
      </c>
    </row>
    <row r="762" spans="1:20" x14ac:dyDescent="0.35">
      <c r="A762">
        <v>761</v>
      </c>
      <c r="B762" s="1">
        <v>40578</v>
      </c>
      <c r="C762">
        <v>1</v>
      </c>
      <c r="D762">
        <v>0</v>
      </c>
      <c r="E762">
        <v>2</v>
      </c>
      <c r="F762" t="str">
        <f>IF(final_data786[[#This Row],[MONTH_CODE]]=1,"JANUARY",IF(final_data786[[#This Row],[MONTH_CODE]]=2,"FEBRUARY"))</f>
        <v>FEBRUARY</v>
      </c>
      <c r="G762">
        <v>2</v>
      </c>
      <c r="H762">
        <v>0</v>
      </c>
      <c r="I762">
        <v>5</v>
      </c>
      <c r="J7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2" t="str">
        <f>IF(final_data786[[#This Row],[DAY_CODE]]=0,"weekend",IF(final_data786[[#This Row],[DAY_CODE]]=6,"weekend","weekday"))</f>
        <v>weekday</v>
      </c>
      <c r="L762">
        <v>2</v>
      </c>
      <c r="M762" t="str">
        <f>IF(final_data786[[#This Row],[WEATHER_CODE]]=1,"clear",IF(final_data786[[#This Row],[WEATHER_CODE]]=2,"cloudy",IF(final_data786[[#This Row],[WEATHER_CODE]]=3,"light rain",IF(final_data786[[#This Row],[WEATHER_CODE]]=4,"heavy rain",0))))</f>
        <v>cloudy</v>
      </c>
      <c r="N762">
        <v>0.14000000000000001</v>
      </c>
      <c r="O762">
        <v>0.16669999999999999</v>
      </c>
      <c r="P762">
        <v>0.63</v>
      </c>
      <c r="Q762">
        <v>0.1045</v>
      </c>
      <c r="R762">
        <v>0</v>
      </c>
      <c r="S762">
        <v>1</v>
      </c>
      <c r="T762">
        <v>1</v>
      </c>
    </row>
    <row r="763" spans="1:20" x14ac:dyDescent="0.35">
      <c r="A763">
        <v>762</v>
      </c>
      <c r="B763" s="1">
        <v>40578</v>
      </c>
      <c r="C763">
        <v>1</v>
      </c>
      <c r="D763">
        <v>0</v>
      </c>
      <c r="E763">
        <v>2</v>
      </c>
      <c r="F763" t="str">
        <f>IF(final_data786[[#This Row],[MONTH_CODE]]=1,"JANUARY",IF(final_data786[[#This Row],[MONTH_CODE]]=2,"FEBRUARY"))</f>
        <v>FEBRUARY</v>
      </c>
      <c r="G763">
        <v>3</v>
      </c>
      <c r="H763">
        <v>0</v>
      </c>
      <c r="I763">
        <v>5</v>
      </c>
      <c r="J7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3" t="str">
        <f>IF(final_data786[[#This Row],[DAY_CODE]]=0,"weekend",IF(final_data786[[#This Row],[DAY_CODE]]=6,"weekend","weekday"))</f>
        <v>weekday</v>
      </c>
      <c r="L763">
        <v>2</v>
      </c>
      <c r="M763" t="str">
        <f>IF(final_data786[[#This Row],[WEATHER_CODE]]=1,"clear",IF(final_data786[[#This Row],[WEATHER_CODE]]=2,"cloudy",IF(final_data786[[#This Row],[WEATHER_CODE]]=3,"light rain",IF(final_data786[[#This Row],[WEATHER_CODE]]=4,"heavy rain",0))))</f>
        <v>cloudy</v>
      </c>
      <c r="N763">
        <v>0.14000000000000001</v>
      </c>
      <c r="O763">
        <v>0.16669999999999999</v>
      </c>
      <c r="P763">
        <v>0.63</v>
      </c>
      <c r="Q763">
        <v>0.1045</v>
      </c>
      <c r="R763">
        <v>0</v>
      </c>
      <c r="S763">
        <v>1</v>
      </c>
      <c r="T763">
        <v>1</v>
      </c>
    </row>
    <row r="764" spans="1:20" x14ac:dyDescent="0.35">
      <c r="A764">
        <v>763</v>
      </c>
      <c r="B764" s="1">
        <v>40578</v>
      </c>
      <c r="C764">
        <v>1</v>
      </c>
      <c r="D764">
        <v>0</v>
      </c>
      <c r="E764">
        <v>2</v>
      </c>
      <c r="F764" t="str">
        <f>IF(final_data786[[#This Row],[MONTH_CODE]]=1,"JANUARY",IF(final_data786[[#This Row],[MONTH_CODE]]=2,"FEBRUARY"))</f>
        <v>FEBRUARY</v>
      </c>
      <c r="G764">
        <v>5</v>
      </c>
      <c r="H764">
        <v>0</v>
      </c>
      <c r="I764">
        <v>5</v>
      </c>
      <c r="J7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4" t="str">
        <f>IF(final_data786[[#This Row],[DAY_CODE]]=0,"weekend",IF(final_data786[[#This Row],[DAY_CODE]]=6,"weekend","weekday"))</f>
        <v>weekday</v>
      </c>
      <c r="L764">
        <v>2</v>
      </c>
      <c r="M764" t="str">
        <f>IF(final_data786[[#This Row],[WEATHER_CODE]]=1,"clear",IF(final_data786[[#This Row],[WEATHER_CODE]]=2,"cloudy",IF(final_data786[[#This Row],[WEATHER_CODE]]=3,"light rain",IF(final_data786[[#This Row],[WEATHER_CODE]]=4,"heavy rain",0))))</f>
        <v>cloudy</v>
      </c>
      <c r="N764">
        <v>0.14000000000000001</v>
      </c>
      <c r="O764">
        <v>0.1515</v>
      </c>
      <c r="P764">
        <v>0.63</v>
      </c>
      <c r="Q764">
        <v>0.1343</v>
      </c>
      <c r="R764">
        <v>0</v>
      </c>
      <c r="S764">
        <v>7</v>
      </c>
      <c r="T764">
        <v>7</v>
      </c>
    </row>
    <row r="765" spans="1:20" x14ac:dyDescent="0.35">
      <c r="A765">
        <v>764</v>
      </c>
      <c r="B765" s="1">
        <v>40578</v>
      </c>
      <c r="C765">
        <v>1</v>
      </c>
      <c r="D765">
        <v>0</v>
      </c>
      <c r="E765">
        <v>2</v>
      </c>
      <c r="F765" t="str">
        <f>IF(final_data786[[#This Row],[MONTH_CODE]]=1,"JANUARY",IF(final_data786[[#This Row],[MONTH_CODE]]=2,"FEBRUARY"))</f>
        <v>FEBRUARY</v>
      </c>
      <c r="G765">
        <v>6</v>
      </c>
      <c r="H765">
        <v>0</v>
      </c>
      <c r="I765">
        <v>5</v>
      </c>
      <c r="J7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5" t="str">
        <f>IF(final_data786[[#This Row],[DAY_CODE]]=0,"weekend",IF(final_data786[[#This Row],[DAY_CODE]]=6,"weekend","weekday"))</f>
        <v>weekday</v>
      </c>
      <c r="L765">
        <v>2</v>
      </c>
      <c r="M765" t="str">
        <f>IF(final_data786[[#This Row],[WEATHER_CODE]]=1,"clear",IF(final_data786[[#This Row],[WEATHER_CODE]]=2,"cloudy",IF(final_data786[[#This Row],[WEATHER_CODE]]=3,"light rain",IF(final_data786[[#This Row],[WEATHER_CODE]]=4,"heavy rain",0))))</f>
        <v>cloudy</v>
      </c>
      <c r="N765">
        <v>0.16</v>
      </c>
      <c r="O765">
        <v>0.2273</v>
      </c>
      <c r="P765">
        <v>0.55000000000000004</v>
      </c>
      <c r="Q765">
        <v>0</v>
      </c>
      <c r="R765">
        <v>2</v>
      </c>
      <c r="S765">
        <v>26</v>
      </c>
      <c r="T765">
        <v>28</v>
      </c>
    </row>
    <row r="766" spans="1:20" x14ac:dyDescent="0.35">
      <c r="A766">
        <v>765</v>
      </c>
      <c r="B766" s="1">
        <v>40578</v>
      </c>
      <c r="C766">
        <v>1</v>
      </c>
      <c r="D766">
        <v>0</v>
      </c>
      <c r="E766">
        <v>2</v>
      </c>
      <c r="F766" t="str">
        <f>IF(final_data786[[#This Row],[MONTH_CODE]]=1,"JANUARY",IF(final_data786[[#This Row],[MONTH_CODE]]=2,"FEBRUARY"))</f>
        <v>FEBRUARY</v>
      </c>
      <c r="G766">
        <v>7</v>
      </c>
      <c r="H766">
        <v>0</v>
      </c>
      <c r="I766">
        <v>5</v>
      </c>
      <c r="J7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6" t="str">
        <f>IF(final_data786[[#This Row],[DAY_CODE]]=0,"weekend",IF(final_data786[[#This Row],[DAY_CODE]]=6,"weekend","weekday"))</f>
        <v>weekday</v>
      </c>
      <c r="L766">
        <v>1</v>
      </c>
      <c r="M766" t="str">
        <f>IF(final_data786[[#This Row],[WEATHER_CODE]]=1,"clear",IF(final_data786[[#This Row],[WEATHER_CODE]]=2,"cloudy",IF(final_data786[[#This Row],[WEATHER_CODE]]=3,"light rain",IF(final_data786[[#This Row],[WEATHER_CODE]]=4,"heavy rain",0))))</f>
        <v>clear</v>
      </c>
      <c r="N766">
        <v>0.14000000000000001</v>
      </c>
      <c r="O766">
        <v>0.21210000000000001</v>
      </c>
      <c r="P766">
        <v>0.59</v>
      </c>
      <c r="Q766">
        <v>0</v>
      </c>
      <c r="R766">
        <v>0</v>
      </c>
      <c r="S766">
        <v>87</v>
      </c>
      <c r="T766">
        <v>87</v>
      </c>
    </row>
    <row r="767" spans="1:20" x14ac:dyDescent="0.35">
      <c r="A767">
        <v>766</v>
      </c>
      <c r="B767" s="1">
        <v>40578</v>
      </c>
      <c r="C767">
        <v>1</v>
      </c>
      <c r="D767">
        <v>0</v>
      </c>
      <c r="E767">
        <v>2</v>
      </c>
      <c r="F767" t="str">
        <f>IF(final_data786[[#This Row],[MONTH_CODE]]=1,"JANUARY",IF(final_data786[[#This Row],[MONTH_CODE]]=2,"FEBRUARY"))</f>
        <v>FEBRUARY</v>
      </c>
      <c r="G767">
        <v>8</v>
      </c>
      <c r="H767">
        <v>0</v>
      </c>
      <c r="I767">
        <v>5</v>
      </c>
      <c r="J7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7" t="str">
        <f>IF(final_data786[[#This Row],[DAY_CODE]]=0,"weekend",IF(final_data786[[#This Row],[DAY_CODE]]=6,"weekend","weekday"))</f>
        <v>weekday</v>
      </c>
      <c r="L767">
        <v>1</v>
      </c>
      <c r="M767" t="str">
        <f>IF(final_data786[[#This Row],[WEATHER_CODE]]=1,"clear",IF(final_data786[[#This Row],[WEATHER_CODE]]=2,"cloudy",IF(final_data786[[#This Row],[WEATHER_CODE]]=3,"light rain",IF(final_data786[[#This Row],[WEATHER_CODE]]=4,"heavy rain",0))))</f>
        <v>clear</v>
      </c>
      <c r="N767">
        <v>0.14000000000000001</v>
      </c>
      <c r="O767">
        <v>0.1515</v>
      </c>
      <c r="P767">
        <v>0.74</v>
      </c>
      <c r="Q767">
        <v>0.1343</v>
      </c>
      <c r="R767">
        <v>3</v>
      </c>
      <c r="S767">
        <v>217</v>
      </c>
      <c r="T767">
        <v>220</v>
      </c>
    </row>
    <row r="768" spans="1:20" x14ac:dyDescent="0.35">
      <c r="A768">
        <v>767</v>
      </c>
      <c r="B768" s="1">
        <v>40578</v>
      </c>
      <c r="C768">
        <v>1</v>
      </c>
      <c r="D768">
        <v>0</v>
      </c>
      <c r="E768">
        <v>2</v>
      </c>
      <c r="F768" t="str">
        <f>IF(final_data786[[#This Row],[MONTH_CODE]]=1,"JANUARY",IF(final_data786[[#This Row],[MONTH_CODE]]=2,"FEBRUARY"))</f>
        <v>FEBRUARY</v>
      </c>
      <c r="G768">
        <v>9</v>
      </c>
      <c r="H768">
        <v>0</v>
      </c>
      <c r="I768">
        <v>5</v>
      </c>
      <c r="J7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8" t="str">
        <f>IF(final_data786[[#This Row],[DAY_CODE]]=0,"weekend",IF(final_data786[[#This Row],[DAY_CODE]]=6,"weekend","weekday"))</f>
        <v>weekday</v>
      </c>
      <c r="L768">
        <v>2</v>
      </c>
      <c r="M768" t="str">
        <f>IF(final_data786[[#This Row],[WEATHER_CODE]]=1,"clear",IF(final_data786[[#This Row],[WEATHER_CODE]]=2,"cloudy",IF(final_data786[[#This Row],[WEATHER_CODE]]=3,"light rain",IF(final_data786[[#This Row],[WEATHER_CODE]]=4,"heavy rain",0))))</f>
        <v>cloudy</v>
      </c>
      <c r="N768">
        <v>0.16</v>
      </c>
      <c r="O768">
        <v>0.18179999999999999</v>
      </c>
      <c r="P768">
        <v>0.8</v>
      </c>
      <c r="Q768">
        <v>0.1343</v>
      </c>
      <c r="R768">
        <v>3</v>
      </c>
      <c r="S768">
        <v>124</v>
      </c>
      <c r="T768">
        <v>127</v>
      </c>
    </row>
    <row r="769" spans="1:20" x14ac:dyDescent="0.35">
      <c r="A769">
        <v>768</v>
      </c>
      <c r="B769" s="1">
        <v>40578</v>
      </c>
      <c r="C769">
        <v>1</v>
      </c>
      <c r="D769">
        <v>0</v>
      </c>
      <c r="E769">
        <v>2</v>
      </c>
      <c r="F769" t="str">
        <f>IF(final_data786[[#This Row],[MONTH_CODE]]=1,"JANUARY",IF(final_data786[[#This Row],[MONTH_CODE]]=2,"FEBRUARY"))</f>
        <v>FEBRUARY</v>
      </c>
      <c r="G769">
        <v>10</v>
      </c>
      <c r="H769">
        <v>0</v>
      </c>
      <c r="I769">
        <v>5</v>
      </c>
      <c r="J7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69" t="str">
        <f>IF(final_data786[[#This Row],[DAY_CODE]]=0,"weekend",IF(final_data786[[#This Row],[DAY_CODE]]=6,"weekend","weekday"))</f>
        <v>weekday</v>
      </c>
      <c r="L769">
        <v>2</v>
      </c>
      <c r="M769" t="str">
        <f>IF(final_data786[[#This Row],[WEATHER_CODE]]=1,"clear",IF(final_data786[[#This Row],[WEATHER_CODE]]=2,"cloudy",IF(final_data786[[#This Row],[WEATHER_CODE]]=3,"light rain",IF(final_data786[[#This Row],[WEATHER_CODE]]=4,"heavy rain",0))))</f>
        <v>cloudy</v>
      </c>
      <c r="N769">
        <v>0.2</v>
      </c>
      <c r="O769">
        <v>0.21210000000000001</v>
      </c>
      <c r="P769">
        <v>0.51</v>
      </c>
      <c r="Q769">
        <v>0.1343</v>
      </c>
      <c r="R769">
        <v>5</v>
      </c>
      <c r="S769">
        <v>46</v>
      </c>
      <c r="T769">
        <v>51</v>
      </c>
    </row>
    <row r="770" spans="1:20" x14ac:dyDescent="0.35">
      <c r="A770">
        <v>769</v>
      </c>
      <c r="B770" s="1">
        <v>40578</v>
      </c>
      <c r="C770">
        <v>1</v>
      </c>
      <c r="D770">
        <v>0</v>
      </c>
      <c r="E770">
        <v>2</v>
      </c>
      <c r="F770" t="str">
        <f>IF(final_data786[[#This Row],[MONTH_CODE]]=1,"JANUARY",IF(final_data786[[#This Row],[MONTH_CODE]]=2,"FEBRUARY"))</f>
        <v>FEBRUARY</v>
      </c>
      <c r="G770">
        <v>11</v>
      </c>
      <c r="H770">
        <v>0</v>
      </c>
      <c r="I770">
        <v>5</v>
      </c>
      <c r="J7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0" t="str">
        <f>IF(final_data786[[#This Row],[DAY_CODE]]=0,"weekend",IF(final_data786[[#This Row],[DAY_CODE]]=6,"weekend","weekday"))</f>
        <v>weekday</v>
      </c>
      <c r="L770">
        <v>1</v>
      </c>
      <c r="M770" t="str">
        <f>IF(final_data786[[#This Row],[WEATHER_CODE]]=1,"clear",IF(final_data786[[#This Row],[WEATHER_CODE]]=2,"cloudy",IF(final_data786[[#This Row],[WEATHER_CODE]]=3,"light rain",IF(final_data786[[#This Row],[WEATHER_CODE]]=4,"heavy rain",0))))</f>
        <v>clear</v>
      </c>
      <c r="N770">
        <v>0.22</v>
      </c>
      <c r="O770">
        <v>0.2273</v>
      </c>
      <c r="P770">
        <v>0.51</v>
      </c>
      <c r="Q770">
        <v>0.16420000000000001</v>
      </c>
      <c r="R770">
        <v>3</v>
      </c>
      <c r="S770">
        <v>61</v>
      </c>
      <c r="T770">
        <v>64</v>
      </c>
    </row>
    <row r="771" spans="1:20" x14ac:dyDescent="0.35">
      <c r="A771">
        <v>770</v>
      </c>
      <c r="B771" s="1">
        <v>40578</v>
      </c>
      <c r="C771">
        <v>1</v>
      </c>
      <c r="D771">
        <v>0</v>
      </c>
      <c r="E771">
        <v>2</v>
      </c>
      <c r="F771" t="str">
        <f>IF(final_data786[[#This Row],[MONTH_CODE]]=1,"JANUARY",IF(final_data786[[#This Row],[MONTH_CODE]]=2,"FEBRUARY"))</f>
        <v>FEBRUARY</v>
      </c>
      <c r="G771">
        <v>12</v>
      </c>
      <c r="H771">
        <v>0</v>
      </c>
      <c r="I771">
        <v>5</v>
      </c>
      <c r="J7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1" t="str">
        <f>IF(final_data786[[#This Row],[DAY_CODE]]=0,"weekend",IF(final_data786[[#This Row],[DAY_CODE]]=6,"weekend","weekday"))</f>
        <v>weekday</v>
      </c>
      <c r="L771">
        <v>2</v>
      </c>
      <c r="M771" t="str">
        <f>IF(final_data786[[#This Row],[WEATHER_CODE]]=1,"clear",IF(final_data786[[#This Row],[WEATHER_CODE]]=2,"cloudy",IF(final_data786[[#This Row],[WEATHER_CODE]]=3,"light rain",IF(final_data786[[#This Row],[WEATHER_CODE]]=4,"heavy rain",0))))</f>
        <v>cloudy</v>
      </c>
      <c r="N771">
        <v>0.24</v>
      </c>
      <c r="O771">
        <v>0.2424</v>
      </c>
      <c r="P771">
        <v>0.48</v>
      </c>
      <c r="Q771">
        <v>0.16420000000000001</v>
      </c>
      <c r="R771">
        <v>8</v>
      </c>
      <c r="S771">
        <v>78</v>
      </c>
      <c r="T771">
        <v>86</v>
      </c>
    </row>
    <row r="772" spans="1:20" x14ac:dyDescent="0.35">
      <c r="A772">
        <v>771</v>
      </c>
      <c r="B772" s="1">
        <v>40578</v>
      </c>
      <c r="C772">
        <v>1</v>
      </c>
      <c r="D772">
        <v>0</v>
      </c>
      <c r="E772">
        <v>2</v>
      </c>
      <c r="F772" t="str">
        <f>IF(final_data786[[#This Row],[MONTH_CODE]]=1,"JANUARY",IF(final_data786[[#This Row],[MONTH_CODE]]=2,"FEBRUARY"))</f>
        <v>FEBRUARY</v>
      </c>
      <c r="G772">
        <v>13</v>
      </c>
      <c r="H772">
        <v>0</v>
      </c>
      <c r="I772">
        <v>5</v>
      </c>
      <c r="J7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2" t="str">
        <f>IF(final_data786[[#This Row],[DAY_CODE]]=0,"weekend",IF(final_data786[[#This Row],[DAY_CODE]]=6,"weekend","weekday"))</f>
        <v>weekday</v>
      </c>
      <c r="L772">
        <v>2</v>
      </c>
      <c r="M772" t="str">
        <f>IF(final_data786[[#This Row],[WEATHER_CODE]]=1,"clear",IF(final_data786[[#This Row],[WEATHER_CODE]]=2,"cloudy",IF(final_data786[[#This Row],[WEATHER_CODE]]=3,"light rain",IF(final_data786[[#This Row],[WEATHER_CODE]]=4,"heavy rain",0))))</f>
        <v>cloudy</v>
      </c>
      <c r="N772">
        <v>0.26</v>
      </c>
      <c r="O772">
        <v>0.2576</v>
      </c>
      <c r="P772">
        <v>0.5</v>
      </c>
      <c r="Q772">
        <v>0.22389999999999999</v>
      </c>
      <c r="R772">
        <v>9</v>
      </c>
      <c r="S772">
        <v>73</v>
      </c>
      <c r="T772">
        <v>82</v>
      </c>
    </row>
    <row r="773" spans="1:20" x14ac:dyDescent="0.35">
      <c r="A773">
        <v>772</v>
      </c>
      <c r="B773" s="1">
        <v>40578</v>
      </c>
      <c r="C773">
        <v>1</v>
      </c>
      <c r="D773">
        <v>0</v>
      </c>
      <c r="E773">
        <v>2</v>
      </c>
      <c r="F773" t="str">
        <f>IF(final_data786[[#This Row],[MONTH_CODE]]=1,"JANUARY",IF(final_data786[[#This Row],[MONTH_CODE]]=2,"FEBRUARY"))</f>
        <v>FEBRUARY</v>
      </c>
      <c r="G773">
        <v>14</v>
      </c>
      <c r="H773">
        <v>0</v>
      </c>
      <c r="I773">
        <v>5</v>
      </c>
      <c r="J7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3" t="str">
        <f>IF(final_data786[[#This Row],[DAY_CODE]]=0,"weekend",IF(final_data786[[#This Row],[DAY_CODE]]=6,"weekend","weekday"))</f>
        <v>weekday</v>
      </c>
      <c r="L773">
        <v>2</v>
      </c>
      <c r="M773" t="str">
        <f>IF(final_data786[[#This Row],[WEATHER_CODE]]=1,"clear",IF(final_data786[[#This Row],[WEATHER_CODE]]=2,"cloudy",IF(final_data786[[#This Row],[WEATHER_CODE]]=3,"light rain",IF(final_data786[[#This Row],[WEATHER_CODE]]=4,"heavy rain",0))))</f>
        <v>cloudy</v>
      </c>
      <c r="N773">
        <v>0.28000000000000003</v>
      </c>
      <c r="O773">
        <v>0.2727</v>
      </c>
      <c r="P773">
        <v>0.45</v>
      </c>
      <c r="Q773">
        <v>0.16420000000000001</v>
      </c>
      <c r="R773">
        <v>15</v>
      </c>
      <c r="S773">
        <v>76</v>
      </c>
      <c r="T773">
        <v>91</v>
      </c>
    </row>
    <row r="774" spans="1:20" x14ac:dyDescent="0.35">
      <c r="A774">
        <v>773</v>
      </c>
      <c r="B774" s="1">
        <v>40578</v>
      </c>
      <c r="C774">
        <v>1</v>
      </c>
      <c r="D774">
        <v>0</v>
      </c>
      <c r="E774">
        <v>2</v>
      </c>
      <c r="F774" t="str">
        <f>IF(final_data786[[#This Row],[MONTH_CODE]]=1,"JANUARY",IF(final_data786[[#This Row],[MONTH_CODE]]=2,"FEBRUARY"))</f>
        <v>FEBRUARY</v>
      </c>
      <c r="G774">
        <v>15</v>
      </c>
      <c r="H774">
        <v>0</v>
      </c>
      <c r="I774">
        <v>5</v>
      </c>
      <c r="J7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4" t="str">
        <f>IF(final_data786[[#This Row],[DAY_CODE]]=0,"weekend",IF(final_data786[[#This Row],[DAY_CODE]]=6,"weekend","weekday"))</f>
        <v>weekday</v>
      </c>
      <c r="L774">
        <v>2</v>
      </c>
      <c r="M774" t="str">
        <f>IF(final_data786[[#This Row],[WEATHER_CODE]]=1,"clear",IF(final_data786[[#This Row],[WEATHER_CODE]]=2,"cloudy",IF(final_data786[[#This Row],[WEATHER_CODE]]=3,"light rain",IF(final_data786[[#This Row],[WEATHER_CODE]]=4,"heavy rain",0))))</f>
        <v>cloudy</v>
      </c>
      <c r="N774">
        <v>0.28000000000000003</v>
      </c>
      <c r="O774">
        <v>0.2727</v>
      </c>
      <c r="P774">
        <v>0.48</v>
      </c>
      <c r="Q774">
        <v>0.25369999999999998</v>
      </c>
      <c r="R774">
        <v>9</v>
      </c>
      <c r="S774">
        <v>81</v>
      </c>
      <c r="T774">
        <v>90</v>
      </c>
    </row>
    <row r="775" spans="1:20" x14ac:dyDescent="0.35">
      <c r="A775">
        <v>774</v>
      </c>
      <c r="B775" s="1">
        <v>40578</v>
      </c>
      <c r="C775">
        <v>1</v>
      </c>
      <c r="D775">
        <v>0</v>
      </c>
      <c r="E775">
        <v>2</v>
      </c>
      <c r="F775" t="str">
        <f>IF(final_data786[[#This Row],[MONTH_CODE]]=1,"JANUARY",IF(final_data786[[#This Row],[MONTH_CODE]]=2,"FEBRUARY"))</f>
        <v>FEBRUARY</v>
      </c>
      <c r="G775">
        <v>16</v>
      </c>
      <c r="H775">
        <v>0</v>
      </c>
      <c r="I775">
        <v>5</v>
      </c>
      <c r="J7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5" t="str">
        <f>IF(final_data786[[#This Row],[DAY_CODE]]=0,"weekend",IF(final_data786[[#This Row],[DAY_CODE]]=6,"weekend","weekday"))</f>
        <v>weekday</v>
      </c>
      <c r="L775">
        <v>2</v>
      </c>
      <c r="M775" t="str">
        <f>IF(final_data786[[#This Row],[WEATHER_CODE]]=1,"clear",IF(final_data786[[#This Row],[WEATHER_CODE]]=2,"cloudy",IF(final_data786[[#This Row],[WEATHER_CODE]]=3,"light rain",IF(final_data786[[#This Row],[WEATHER_CODE]]=4,"heavy rain",0))))</f>
        <v>cloudy</v>
      </c>
      <c r="N775">
        <v>0.3</v>
      </c>
      <c r="O775">
        <v>0.28789999999999999</v>
      </c>
      <c r="P775">
        <v>0.42</v>
      </c>
      <c r="Q775">
        <v>0.22389999999999999</v>
      </c>
      <c r="R775">
        <v>8</v>
      </c>
      <c r="S775">
        <v>91</v>
      </c>
      <c r="T775">
        <v>99</v>
      </c>
    </row>
    <row r="776" spans="1:20" x14ac:dyDescent="0.35">
      <c r="A776">
        <v>775</v>
      </c>
      <c r="B776" s="1">
        <v>40578</v>
      </c>
      <c r="C776">
        <v>1</v>
      </c>
      <c r="D776">
        <v>0</v>
      </c>
      <c r="E776">
        <v>2</v>
      </c>
      <c r="F776" t="str">
        <f>IF(final_data786[[#This Row],[MONTH_CODE]]=1,"JANUARY",IF(final_data786[[#This Row],[MONTH_CODE]]=2,"FEBRUARY"))</f>
        <v>FEBRUARY</v>
      </c>
      <c r="G776">
        <v>17</v>
      </c>
      <c r="H776">
        <v>0</v>
      </c>
      <c r="I776">
        <v>5</v>
      </c>
      <c r="J7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6" t="str">
        <f>IF(final_data786[[#This Row],[DAY_CODE]]=0,"weekend",IF(final_data786[[#This Row],[DAY_CODE]]=6,"weekend","weekday"))</f>
        <v>weekday</v>
      </c>
      <c r="L776">
        <v>2</v>
      </c>
      <c r="M776" t="str">
        <f>IF(final_data786[[#This Row],[WEATHER_CODE]]=1,"clear",IF(final_data786[[#This Row],[WEATHER_CODE]]=2,"cloudy",IF(final_data786[[#This Row],[WEATHER_CODE]]=3,"light rain",IF(final_data786[[#This Row],[WEATHER_CODE]]=4,"heavy rain",0))))</f>
        <v>cloudy</v>
      </c>
      <c r="N776">
        <v>0.26</v>
      </c>
      <c r="O776">
        <v>0.2727</v>
      </c>
      <c r="P776">
        <v>0.56000000000000005</v>
      </c>
      <c r="Q776">
        <v>0.1343</v>
      </c>
      <c r="R776">
        <v>10</v>
      </c>
      <c r="S776">
        <v>195</v>
      </c>
      <c r="T776">
        <v>205</v>
      </c>
    </row>
    <row r="777" spans="1:20" x14ac:dyDescent="0.35">
      <c r="A777">
        <v>776</v>
      </c>
      <c r="B777" s="1">
        <v>40578</v>
      </c>
      <c r="C777">
        <v>1</v>
      </c>
      <c r="D777">
        <v>0</v>
      </c>
      <c r="E777">
        <v>2</v>
      </c>
      <c r="F777" t="str">
        <f>IF(final_data786[[#This Row],[MONTH_CODE]]=1,"JANUARY",IF(final_data786[[#This Row],[MONTH_CODE]]=2,"FEBRUARY"))</f>
        <v>FEBRUARY</v>
      </c>
      <c r="G777">
        <v>18</v>
      </c>
      <c r="H777">
        <v>0</v>
      </c>
      <c r="I777">
        <v>5</v>
      </c>
      <c r="J7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7" t="str">
        <f>IF(final_data786[[#This Row],[DAY_CODE]]=0,"weekend",IF(final_data786[[#This Row],[DAY_CODE]]=6,"weekend","weekday"))</f>
        <v>weekday</v>
      </c>
      <c r="L777">
        <v>2</v>
      </c>
      <c r="M777" t="str">
        <f>IF(final_data786[[#This Row],[WEATHER_CODE]]=1,"clear",IF(final_data786[[#This Row],[WEATHER_CODE]]=2,"cloudy",IF(final_data786[[#This Row],[WEATHER_CODE]]=3,"light rain",IF(final_data786[[#This Row],[WEATHER_CODE]]=4,"heavy rain",0))))</f>
        <v>cloudy</v>
      </c>
      <c r="N777">
        <v>0.24</v>
      </c>
      <c r="O777">
        <v>0.2576</v>
      </c>
      <c r="P777">
        <v>0.6</v>
      </c>
      <c r="Q777">
        <v>0.1045</v>
      </c>
      <c r="R777">
        <v>3</v>
      </c>
      <c r="S777">
        <v>152</v>
      </c>
      <c r="T777">
        <v>155</v>
      </c>
    </row>
    <row r="778" spans="1:20" x14ac:dyDescent="0.35">
      <c r="A778">
        <v>777</v>
      </c>
      <c r="B778" s="1">
        <v>40578</v>
      </c>
      <c r="C778">
        <v>1</v>
      </c>
      <c r="D778">
        <v>0</v>
      </c>
      <c r="E778">
        <v>2</v>
      </c>
      <c r="F778" t="str">
        <f>IF(final_data786[[#This Row],[MONTH_CODE]]=1,"JANUARY",IF(final_data786[[#This Row],[MONTH_CODE]]=2,"FEBRUARY"))</f>
        <v>FEBRUARY</v>
      </c>
      <c r="G778">
        <v>19</v>
      </c>
      <c r="H778">
        <v>0</v>
      </c>
      <c r="I778">
        <v>5</v>
      </c>
      <c r="J7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8" t="str">
        <f>IF(final_data786[[#This Row],[DAY_CODE]]=0,"weekend",IF(final_data786[[#This Row],[DAY_CODE]]=6,"weekend","weekday"))</f>
        <v>weekday</v>
      </c>
      <c r="L778">
        <v>2</v>
      </c>
      <c r="M778" t="str">
        <f>IF(final_data786[[#This Row],[WEATHER_CODE]]=1,"clear",IF(final_data786[[#This Row],[WEATHER_CODE]]=2,"cloudy",IF(final_data786[[#This Row],[WEATHER_CODE]]=3,"light rain",IF(final_data786[[#This Row],[WEATHER_CODE]]=4,"heavy rain",0))))</f>
        <v>cloudy</v>
      </c>
      <c r="N778">
        <v>0.24</v>
      </c>
      <c r="O778">
        <v>0.2424</v>
      </c>
      <c r="P778">
        <v>0.65</v>
      </c>
      <c r="Q778">
        <v>0.1343</v>
      </c>
      <c r="R778">
        <v>1</v>
      </c>
      <c r="S778">
        <v>102</v>
      </c>
      <c r="T778">
        <v>103</v>
      </c>
    </row>
    <row r="779" spans="1:20" x14ac:dyDescent="0.35">
      <c r="A779">
        <v>778</v>
      </c>
      <c r="B779" s="1">
        <v>40578</v>
      </c>
      <c r="C779">
        <v>1</v>
      </c>
      <c r="D779">
        <v>0</v>
      </c>
      <c r="E779">
        <v>2</v>
      </c>
      <c r="F779" t="str">
        <f>IF(final_data786[[#This Row],[MONTH_CODE]]=1,"JANUARY",IF(final_data786[[#This Row],[MONTH_CODE]]=2,"FEBRUARY"))</f>
        <v>FEBRUARY</v>
      </c>
      <c r="G779">
        <v>20</v>
      </c>
      <c r="H779">
        <v>0</v>
      </c>
      <c r="I779">
        <v>5</v>
      </c>
      <c r="J7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79" t="str">
        <f>IF(final_data786[[#This Row],[DAY_CODE]]=0,"weekend",IF(final_data786[[#This Row],[DAY_CODE]]=6,"weekend","weekday"))</f>
        <v>weekday</v>
      </c>
      <c r="L779">
        <v>2</v>
      </c>
      <c r="M779" t="str">
        <f>IF(final_data786[[#This Row],[WEATHER_CODE]]=1,"clear",IF(final_data786[[#This Row],[WEATHER_CODE]]=2,"cloudy",IF(final_data786[[#This Row],[WEATHER_CODE]]=3,"light rain",IF(final_data786[[#This Row],[WEATHER_CODE]]=4,"heavy rain",0))))</f>
        <v>cloudy</v>
      </c>
      <c r="N779">
        <v>0.24</v>
      </c>
      <c r="O779">
        <v>0.2424</v>
      </c>
      <c r="P779">
        <v>0.65</v>
      </c>
      <c r="Q779">
        <v>0.16420000000000001</v>
      </c>
      <c r="R779">
        <v>2</v>
      </c>
      <c r="S779">
        <v>69</v>
      </c>
      <c r="T779">
        <v>71</v>
      </c>
    </row>
    <row r="780" spans="1:20" x14ac:dyDescent="0.35">
      <c r="A780">
        <v>779</v>
      </c>
      <c r="B780" s="1">
        <v>40578</v>
      </c>
      <c r="C780">
        <v>1</v>
      </c>
      <c r="D780">
        <v>0</v>
      </c>
      <c r="E780">
        <v>2</v>
      </c>
      <c r="F780" t="str">
        <f>IF(final_data786[[#This Row],[MONTH_CODE]]=1,"JANUARY",IF(final_data786[[#This Row],[MONTH_CODE]]=2,"FEBRUARY"))</f>
        <v>FEBRUARY</v>
      </c>
      <c r="G780">
        <v>21</v>
      </c>
      <c r="H780">
        <v>0</v>
      </c>
      <c r="I780">
        <v>5</v>
      </c>
      <c r="J7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80" t="str">
        <f>IF(final_data786[[#This Row],[DAY_CODE]]=0,"weekend",IF(final_data786[[#This Row],[DAY_CODE]]=6,"weekend","weekday"))</f>
        <v>weekday</v>
      </c>
      <c r="L780">
        <v>2</v>
      </c>
      <c r="M780" t="str">
        <f>IF(final_data786[[#This Row],[WEATHER_CODE]]=1,"clear",IF(final_data786[[#This Row],[WEATHER_CODE]]=2,"cloudy",IF(final_data786[[#This Row],[WEATHER_CODE]]=3,"light rain",IF(final_data786[[#This Row],[WEATHER_CODE]]=4,"heavy rain",0))))</f>
        <v>cloudy</v>
      </c>
      <c r="N780">
        <v>0.24</v>
      </c>
      <c r="O780">
        <v>0.2424</v>
      </c>
      <c r="P780">
        <v>0.7</v>
      </c>
      <c r="Q780">
        <v>0.16420000000000001</v>
      </c>
      <c r="R780">
        <v>2</v>
      </c>
      <c r="S780">
        <v>41</v>
      </c>
      <c r="T780">
        <v>43</v>
      </c>
    </row>
    <row r="781" spans="1:20" x14ac:dyDescent="0.35">
      <c r="A781">
        <v>780</v>
      </c>
      <c r="B781" s="1">
        <v>40578</v>
      </c>
      <c r="C781">
        <v>1</v>
      </c>
      <c r="D781">
        <v>0</v>
      </c>
      <c r="E781">
        <v>2</v>
      </c>
      <c r="F781" t="str">
        <f>IF(final_data786[[#This Row],[MONTH_CODE]]=1,"JANUARY",IF(final_data786[[#This Row],[MONTH_CODE]]=2,"FEBRUARY"))</f>
        <v>FEBRUARY</v>
      </c>
      <c r="G781">
        <v>22</v>
      </c>
      <c r="H781">
        <v>0</v>
      </c>
      <c r="I781">
        <v>5</v>
      </c>
      <c r="J7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81" t="str">
        <f>IF(final_data786[[#This Row],[DAY_CODE]]=0,"weekend",IF(final_data786[[#This Row],[DAY_CODE]]=6,"weekend","weekday"))</f>
        <v>weekday</v>
      </c>
      <c r="L781">
        <v>2</v>
      </c>
      <c r="M781" t="str">
        <f>IF(final_data786[[#This Row],[WEATHER_CODE]]=1,"clear",IF(final_data786[[#This Row],[WEATHER_CODE]]=2,"cloudy",IF(final_data786[[#This Row],[WEATHER_CODE]]=3,"light rain",IF(final_data786[[#This Row],[WEATHER_CODE]]=4,"heavy rain",0))))</f>
        <v>cloudy</v>
      </c>
      <c r="N781">
        <v>0.24</v>
      </c>
      <c r="O781">
        <v>0.2424</v>
      </c>
      <c r="P781">
        <v>0.65</v>
      </c>
      <c r="Q781">
        <v>0.16420000000000001</v>
      </c>
      <c r="R781">
        <v>1</v>
      </c>
      <c r="S781">
        <v>45</v>
      </c>
      <c r="T781">
        <v>46</v>
      </c>
    </row>
    <row r="782" spans="1:20" x14ac:dyDescent="0.35">
      <c r="A782">
        <v>781</v>
      </c>
      <c r="B782" s="1">
        <v>40578</v>
      </c>
      <c r="C782">
        <v>1</v>
      </c>
      <c r="D782">
        <v>0</v>
      </c>
      <c r="E782">
        <v>2</v>
      </c>
      <c r="F782" t="str">
        <f>IF(final_data786[[#This Row],[MONTH_CODE]]=1,"JANUARY",IF(final_data786[[#This Row],[MONTH_CODE]]=2,"FEBRUARY"))</f>
        <v>FEBRUARY</v>
      </c>
      <c r="G782">
        <v>23</v>
      </c>
      <c r="H782">
        <v>0</v>
      </c>
      <c r="I782">
        <v>5</v>
      </c>
      <c r="J7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782" t="str">
        <f>IF(final_data786[[#This Row],[DAY_CODE]]=0,"weekend",IF(final_data786[[#This Row],[DAY_CODE]]=6,"weekend","weekday"))</f>
        <v>weekday</v>
      </c>
      <c r="L782">
        <v>2</v>
      </c>
      <c r="M782" t="str">
        <f>IF(final_data786[[#This Row],[WEATHER_CODE]]=1,"clear",IF(final_data786[[#This Row],[WEATHER_CODE]]=2,"cloudy",IF(final_data786[[#This Row],[WEATHER_CODE]]=3,"light rain",IF(final_data786[[#This Row],[WEATHER_CODE]]=4,"heavy rain",0))))</f>
        <v>cloudy</v>
      </c>
      <c r="N782">
        <v>0.24</v>
      </c>
      <c r="O782">
        <v>0.2424</v>
      </c>
      <c r="P782">
        <v>0.7</v>
      </c>
      <c r="Q782">
        <v>0.1343</v>
      </c>
      <c r="R782">
        <v>1</v>
      </c>
      <c r="S782">
        <v>30</v>
      </c>
      <c r="T782">
        <v>31</v>
      </c>
    </row>
    <row r="783" spans="1:20" x14ac:dyDescent="0.35">
      <c r="A783">
        <v>782</v>
      </c>
      <c r="B783" s="1">
        <v>40579</v>
      </c>
      <c r="C783">
        <v>1</v>
      </c>
      <c r="D783">
        <v>0</v>
      </c>
      <c r="E783">
        <v>2</v>
      </c>
      <c r="F783" t="str">
        <f>IF(final_data786[[#This Row],[MONTH_CODE]]=1,"JANUARY",IF(final_data786[[#This Row],[MONTH_CODE]]=2,"FEBRUARY"))</f>
        <v>FEBRUARY</v>
      </c>
      <c r="G783">
        <v>0</v>
      </c>
      <c r="H783">
        <v>0</v>
      </c>
      <c r="I783">
        <v>6</v>
      </c>
      <c r="J7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3" t="str">
        <f>IF(final_data786[[#This Row],[DAY_CODE]]=0,"weekend",IF(final_data786[[#This Row],[DAY_CODE]]=6,"weekend","weekday"))</f>
        <v>weekend</v>
      </c>
      <c r="L783">
        <v>2</v>
      </c>
      <c r="M783" t="str">
        <f>IF(final_data786[[#This Row],[WEATHER_CODE]]=1,"clear",IF(final_data786[[#This Row],[WEATHER_CODE]]=2,"cloudy",IF(final_data786[[#This Row],[WEATHER_CODE]]=3,"light rain",IF(final_data786[[#This Row],[WEATHER_CODE]]=4,"heavy rain",0))))</f>
        <v>cloudy</v>
      </c>
      <c r="N783">
        <v>0.24</v>
      </c>
      <c r="O783">
        <v>0.2424</v>
      </c>
      <c r="P783">
        <v>0.7</v>
      </c>
      <c r="Q783">
        <v>0.16420000000000001</v>
      </c>
      <c r="R783">
        <v>3</v>
      </c>
      <c r="S783">
        <v>36</v>
      </c>
      <c r="T783">
        <v>39</v>
      </c>
    </row>
    <row r="784" spans="1:20" x14ac:dyDescent="0.35">
      <c r="A784">
        <v>783</v>
      </c>
      <c r="B784" s="1">
        <v>40579</v>
      </c>
      <c r="C784">
        <v>1</v>
      </c>
      <c r="D784">
        <v>0</v>
      </c>
      <c r="E784">
        <v>2</v>
      </c>
      <c r="F784" t="str">
        <f>IF(final_data786[[#This Row],[MONTH_CODE]]=1,"JANUARY",IF(final_data786[[#This Row],[MONTH_CODE]]=2,"FEBRUARY"))</f>
        <v>FEBRUARY</v>
      </c>
      <c r="G784">
        <v>1</v>
      </c>
      <c r="H784">
        <v>0</v>
      </c>
      <c r="I784">
        <v>6</v>
      </c>
      <c r="J7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4" t="str">
        <f>IF(final_data786[[#This Row],[DAY_CODE]]=0,"weekend",IF(final_data786[[#This Row],[DAY_CODE]]=6,"weekend","weekday"))</f>
        <v>weekend</v>
      </c>
      <c r="L784">
        <v>2</v>
      </c>
      <c r="M784" t="str">
        <f>IF(final_data786[[#This Row],[WEATHER_CODE]]=1,"clear",IF(final_data786[[#This Row],[WEATHER_CODE]]=2,"cloudy",IF(final_data786[[#This Row],[WEATHER_CODE]]=3,"light rain",IF(final_data786[[#This Row],[WEATHER_CODE]]=4,"heavy rain",0))))</f>
        <v>cloudy</v>
      </c>
      <c r="N784">
        <v>0.24</v>
      </c>
      <c r="O784">
        <v>0.2424</v>
      </c>
      <c r="P784">
        <v>0.65</v>
      </c>
      <c r="Q784">
        <v>0.16420000000000001</v>
      </c>
      <c r="R784">
        <v>1</v>
      </c>
      <c r="S784">
        <v>17</v>
      </c>
      <c r="T784">
        <v>18</v>
      </c>
    </row>
    <row r="785" spans="1:20" x14ac:dyDescent="0.35">
      <c r="A785">
        <v>784</v>
      </c>
      <c r="B785" s="1">
        <v>40579</v>
      </c>
      <c r="C785">
        <v>1</v>
      </c>
      <c r="D785">
        <v>0</v>
      </c>
      <c r="E785">
        <v>2</v>
      </c>
      <c r="F785" t="str">
        <f>IF(final_data786[[#This Row],[MONTH_CODE]]=1,"JANUARY",IF(final_data786[[#This Row],[MONTH_CODE]]=2,"FEBRUARY"))</f>
        <v>FEBRUARY</v>
      </c>
      <c r="G785">
        <v>2</v>
      </c>
      <c r="H785">
        <v>0</v>
      </c>
      <c r="I785">
        <v>6</v>
      </c>
      <c r="J7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5" t="str">
        <f>IF(final_data786[[#This Row],[DAY_CODE]]=0,"weekend",IF(final_data786[[#This Row],[DAY_CODE]]=6,"weekend","weekday"))</f>
        <v>weekend</v>
      </c>
      <c r="L785">
        <v>2</v>
      </c>
      <c r="M785" t="str">
        <f>IF(final_data786[[#This Row],[WEATHER_CODE]]=1,"clear",IF(final_data786[[#This Row],[WEATHER_CODE]]=2,"cloudy",IF(final_data786[[#This Row],[WEATHER_CODE]]=3,"light rain",IF(final_data786[[#This Row],[WEATHER_CODE]]=4,"heavy rain",0))))</f>
        <v>cloudy</v>
      </c>
      <c r="N785">
        <v>0.24</v>
      </c>
      <c r="O785">
        <v>0.2424</v>
      </c>
      <c r="P785">
        <v>0.75</v>
      </c>
      <c r="Q785">
        <v>0.16420000000000001</v>
      </c>
      <c r="R785">
        <v>5</v>
      </c>
      <c r="S785">
        <v>12</v>
      </c>
      <c r="T785">
        <v>17</v>
      </c>
    </row>
    <row r="786" spans="1:20" x14ac:dyDescent="0.35">
      <c r="A786">
        <v>785</v>
      </c>
      <c r="B786" s="1">
        <v>40579</v>
      </c>
      <c r="C786">
        <v>1</v>
      </c>
      <c r="D786">
        <v>0</v>
      </c>
      <c r="E786">
        <v>2</v>
      </c>
      <c r="F786" t="str">
        <f>IF(final_data786[[#This Row],[MONTH_CODE]]=1,"JANUARY",IF(final_data786[[#This Row],[MONTH_CODE]]=2,"FEBRUARY"))</f>
        <v>FEBRUARY</v>
      </c>
      <c r="G786">
        <v>3</v>
      </c>
      <c r="H786">
        <v>0</v>
      </c>
      <c r="I786">
        <v>6</v>
      </c>
      <c r="J7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6" t="str">
        <f>IF(final_data786[[#This Row],[DAY_CODE]]=0,"weekend",IF(final_data786[[#This Row],[DAY_CODE]]=6,"weekend","weekday"))</f>
        <v>weekend</v>
      </c>
      <c r="L786">
        <v>2</v>
      </c>
      <c r="M786" t="str">
        <f>IF(final_data786[[#This Row],[WEATHER_CODE]]=1,"clear",IF(final_data786[[#This Row],[WEATHER_CODE]]=2,"cloudy",IF(final_data786[[#This Row],[WEATHER_CODE]]=3,"light rain",IF(final_data786[[#This Row],[WEATHER_CODE]]=4,"heavy rain",0))))</f>
        <v>cloudy</v>
      </c>
      <c r="N786">
        <v>0.24</v>
      </c>
      <c r="O786">
        <v>0.2424</v>
      </c>
      <c r="P786">
        <v>0.75</v>
      </c>
      <c r="Q786">
        <v>0.16420000000000001</v>
      </c>
      <c r="R786">
        <v>1</v>
      </c>
      <c r="S786">
        <v>10</v>
      </c>
      <c r="T786">
        <v>11</v>
      </c>
    </row>
    <row r="787" spans="1:20" x14ac:dyDescent="0.35">
      <c r="A787">
        <v>786</v>
      </c>
      <c r="B787" s="1">
        <v>40579</v>
      </c>
      <c r="C787">
        <v>1</v>
      </c>
      <c r="D787">
        <v>0</v>
      </c>
      <c r="E787">
        <v>2</v>
      </c>
      <c r="F787" t="str">
        <f>IF(final_data786[[#This Row],[MONTH_CODE]]=1,"JANUARY",IF(final_data786[[#This Row],[MONTH_CODE]]=2,"FEBRUARY"))</f>
        <v>FEBRUARY</v>
      </c>
      <c r="G787">
        <v>4</v>
      </c>
      <c r="H787">
        <v>0</v>
      </c>
      <c r="I787">
        <v>6</v>
      </c>
      <c r="J7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7" t="str">
        <f>IF(final_data786[[#This Row],[DAY_CODE]]=0,"weekend",IF(final_data786[[#This Row],[DAY_CODE]]=6,"weekend","weekday"))</f>
        <v>weekend</v>
      </c>
      <c r="L787">
        <v>3</v>
      </c>
      <c r="M787" t="str">
        <f>IF(final_data786[[#This Row],[WEATHER_CODE]]=1,"clear",IF(final_data786[[#This Row],[WEATHER_CODE]]=2,"cloudy",IF(final_data786[[#This Row],[WEATHER_CODE]]=3,"light rain",IF(final_data786[[#This Row],[WEATHER_CODE]]=4,"heavy rain",0))))</f>
        <v>light rain</v>
      </c>
      <c r="N787">
        <v>0.22</v>
      </c>
      <c r="O787">
        <v>0.2273</v>
      </c>
      <c r="P787">
        <v>0.93</v>
      </c>
      <c r="Q787">
        <v>0.1343</v>
      </c>
      <c r="R787">
        <v>0</v>
      </c>
      <c r="S787">
        <v>8</v>
      </c>
      <c r="T787">
        <v>8</v>
      </c>
    </row>
    <row r="788" spans="1:20" x14ac:dyDescent="0.35">
      <c r="A788">
        <v>787</v>
      </c>
      <c r="B788" s="1">
        <v>40579</v>
      </c>
      <c r="C788">
        <v>1</v>
      </c>
      <c r="D788">
        <v>0</v>
      </c>
      <c r="E788">
        <v>2</v>
      </c>
      <c r="F788" t="str">
        <f>IF(final_data786[[#This Row],[MONTH_CODE]]=1,"JANUARY",IF(final_data786[[#This Row],[MONTH_CODE]]=2,"FEBRUARY"))</f>
        <v>FEBRUARY</v>
      </c>
      <c r="G788">
        <v>5</v>
      </c>
      <c r="H788">
        <v>0</v>
      </c>
      <c r="I788">
        <v>6</v>
      </c>
      <c r="J7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8" t="str">
        <f>IF(final_data786[[#This Row],[DAY_CODE]]=0,"weekend",IF(final_data786[[#This Row],[DAY_CODE]]=6,"weekend","weekday"))</f>
        <v>weekend</v>
      </c>
      <c r="L788">
        <v>3</v>
      </c>
      <c r="M788" t="str">
        <f>IF(final_data786[[#This Row],[WEATHER_CODE]]=1,"clear",IF(final_data786[[#This Row],[WEATHER_CODE]]=2,"cloudy",IF(final_data786[[#This Row],[WEATHER_CODE]]=3,"light rain",IF(final_data786[[#This Row],[WEATHER_CODE]]=4,"heavy rain",0))))</f>
        <v>light rain</v>
      </c>
      <c r="N788">
        <v>0.2</v>
      </c>
      <c r="O788">
        <v>0.2273</v>
      </c>
      <c r="P788">
        <v>1</v>
      </c>
      <c r="Q788">
        <v>8.9599999999999999E-2</v>
      </c>
      <c r="R788">
        <v>0</v>
      </c>
      <c r="S788">
        <v>9</v>
      </c>
      <c r="T788">
        <v>9</v>
      </c>
    </row>
    <row r="789" spans="1:20" x14ac:dyDescent="0.35">
      <c r="A789">
        <v>788</v>
      </c>
      <c r="B789" s="1">
        <v>40579</v>
      </c>
      <c r="C789">
        <v>1</v>
      </c>
      <c r="D789">
        <v>0</v>
      </c>
      <c r="E789">
        <v>2</v>
      </c>
      <c r="F789" t="str">
        <f>IF(final_data786[[#This Row],[MONTH_CODE]]=1,"JANUARY",IF(final_data786[[#This Row],[MONTH_CODE]]=2,"FEBRUARY"))</f>
        <v>FEBRUARY</v>
      </c>
      <c r="G789">
        <v>6</v>
      </c>
      <c r="H789">
        <v>0</v>
      </c>
      <c r="I789">
        <v>6</v>
      </c>
      <c r="J7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89" t="str">
        <f>IF(final_data786[[#This Row],[DAY_CODE]]=0,"weekend",IF(final_data786[[#This Row],[DAY_CODE]]=6,"weekend","weekday"))</f>
        <v>weekend</v>
      </c>
      <c r="L789">
        <v>3</v>
      </c>
      <c r="M789" t="str">
        <f>IF(final_data786[[#This Row],[WEATHER_CODE]]=1,"clear",IF(final_data786[[#This Row],[WEATHER_CODE]]=2,"cloudy",IF(final_data786[[#This Row],[WEATHER_CODE]]=3,"light rain",IF(final_data786[[#This Row],[WEATHER_CODE]]=4,"heavy rain",0))))</f>
        <v>light rain</v>
      </c>
      <c r="N789">
        <v>0.2</v>
      </c>
      <c r="O789">
        <v>0.2576</v>
      </c>
      <c r="P789">
        <v>1</v>
      </c>
      <c r="Q789">
        <v>0</v>
      </c>
      <c r="R789">
        <v>0</v>
      </c>
      <c r="S789">
        <v>4</v>
      </c>
      <c r="T789">
        <v>4</v>
      </c>
    </row>
    <row r="790" spans="1:20" x14ac:dyDescent="0.35">
      <c r="A790">
        <v>789</v>
      </c>
      <c r="B790" s="1">
        <v>40579</v>
      </c>
      <c r="C790">
        <v>1</v>
      </c>
      <c r="D790">
        <v>0</v>
      </c>
      <c r="E790">
        <v>2</v>
      </c>
      <c r="F790" t="str">
        <f>IF(final_data786[[#This Row],[MONTH_CODE]]=1,"JANUARY",IF(final_data786[[#This Row],[MONTH_CODE]]=2,"FEBRUARY"))</f>
        <v>FEBRUARY</v>
      </c>
      <c r="G790">
        <v>7</v>
      </c>
      <c r="H790">
        <v>0</v>
      </c>
      <c r="I790">
        <v>6</v>
      </c>
      <c r="J7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0" t="str">
        <f>IF(final_data786[[#This Row],[DAY_CODE]]=0,"weekend",IF(final_data786[[#This Row],[DAY_CODE]]=6,"weekend","weekday"))</f>
        <v>weekend</v>
      </c>
      <c r="L790">
        <v>3</v>
      </c>
      <c r="M790" t="str">
        <f>IF(final_data786[[#This Row],[WEATHER_CODE]]=1,"clear",IF(final_data786[[#This Row],[WEATHER_CODE]]=2,"cloudy",IF(final_data786[[#This Row],[WEATHER_CODE]]=3,"light rain",IF(final_data786[[#This Row],[WEATHER_CODE]]=4,"heavy rain",0))))</f>
        <v>light rain</v>
      </c>
      <c r="N790">
        <v>0.22</v>
      </c>
      <c r="O790">
        <v>0.2576</v>
      </c>
      <c r="P790">
        <v>0.93</v>
      </c>
      <c r="Q790">
        <v>8.9599999999999999E-2</v>
      </c>
      <c r="R790">
        <v>0</v>
      </c>
      <c r="S790">
        <v>4</v>
      </c>
      <c r="T790">
        <v>4</v>
      </c>
    </row>
    <row r="791" spans="1:20" x14ac:dyDescent="0.35">
      <c r="A791">
        <v>790</v>
      </c>
      <c r="B791" s="1">
        <v>40579</v>
      </c>
      <c r="C791">
        <v>1</v>
      </c>
      <c r="D791">
        <v>0</v>
      </c>
      <c r="E791">
        <v>2</v>
      </c>
      <c r="F791" t="str">
        <f>IF(final_data786[[#This Row],[MONTH_CODE]]=1,"JANUARY",IF(final_data786[[#This Row],[MONTH_CODE]]=2,"FEBRUARY"))</f>
        <v>FEBRUARY</v>
      </c>
      <c r="G791">
        <v>8</v>
      </c>
      <c r="H791">
        <v>0</v>
      </c>
      <c r="I791">
        <v>6</v>
      </c>
      <c r="J7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1" t="str">
        <f>IF(final_data786[[#This Row],[DAY_CODE]]=0,"weekend",IF(final_data786[[#This Row],[DAY_CODE]]=6,"weekend","weekday"))</f>
        <v>weekend</v>
      </c>
      <c r="L791">
        <v>3</v>
      </c>
      <c r="M791" t="str">
        <f>IF(final_data786[[#This Row],[WEATHER_CODE]]=1,"clear",IF(final_data786[[#This Row],[WEATHER_CODE]]=2,"cloudy",IF(final_data786[[#This Row],[WEATHER_CODE]]=3,"light rain",IF(final_data786[[#This Row],[WEATHER_CODE]]=4,"heavy rain",0))))</f>
        <v>light rain</v>
      </c>
      <c r="N791">
        <v>0.2</v>
      </c>
      <c r="O791">
        <v>0.2273</v>
      </c>
      <c r="P791">
        <v>1</v>
      </c>
      <c r="Q791">
        <v>8.9599999999999999E-2</v>
      </c>
      <c r="R791">
        <v>0</v>
      </c>
      <c r="S791">
        <v>10</v>
      </c>
      <c r="T791">
        <v>10</v>
      </c>
    </row>
    <row r="792" spans="1:20" x14ac:dyDescent="0.35">
      <c r="A792">
        <v>791</v>
      </c>
      <c r="B792" s="1">
        <v>40579</v>
      </c>
      <c r="C792">
        <v>1</v>
      </c>
      <c r="D792">
        <v>0</v>
      </c>
      <c r="E792">
        <v>2</v>
      </c>
      <c r="F792" t="str">
        <f>IF(final_data786[[#This Row],[MONTH_CODE]]=1,"JANUARY",IF(final_data786[[#This Row],[MONTH_CODE]]=2,"FEBRUARY"))</f>
        <v>FEBRUARY</v>
      </c>
      <c r="G792">
        <v>9</v>
      </c>
      <c r="H792">
        <v>0</v>
      </c>
      <c r="I792">
        <v>6</v>
      </c>
      <c r="J7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2" t="str">
        <f>IF(final_data786[[#This Row],[DAY_CODE]]=0,"weekend",IF(final_data786[[#This Row],[DAY_CODE]]=6,"weekend","weekday"))</f>
        <v>weekend</v>
      </c>
      <c r="L792">
        <v>3</v>
      </c>
      <c r="M792" t="str">
        <f>IF(final_data786[[#This Row],[WEATHER_CODE]]=1,"clear",IF(final_data786[[#This Row],[WEATHER_CODE]]=2,"cloudy",IF(final_data786[[#This Row],[WEATHER_CODE]]=3,"light rain",IF(final_data786[[#This Row],[WEATHER_CODE]]=4,"heavy rain",0))))</f>
        <v>light rain</v>
      </c>
      <c r="N792">
        <v>0.2</v>
      </c>
      <c r="O792">
        <v>0.2273</v>
      </c>
      <c r="P792">
        <v>1</v>
      </c>
      <c r="Q792">
        <v>8.9599999999999999E-2</v>
      </c>
      <c r="R792">
        <v>3</v>
      </c>
      <c r="S792">
        <v>17</v>
      </c>
      <c r="T792">
        <v>20</v>
      </c>
    </row>
    <row r="793" spans="1:20" x14ac:dyDescent="0.35">
      <c r="A793">
        <v>792</v>
      </c>
      <c r="B793" s="1">
        <v>40579</v>
      </c>
      <c r="C793">
        <v>1</v>
      </c>
      <c r="D793">
        <v>0</v>
      </c>
      <c r="E793">
        <v>2</v>
      </c>
      <c r="F793" t="str">
        <f>IF(final_data786[[#This Row],[MONTH_CODE]]=1,"JANUARY",IF(final_data786[[#This Row],[MONTH_CODE]]=2,"FEBRUARY"))</f>
        <v>FEBRUARY</v>
      </c>
      <c r="G793">
        <v>10</v>
      </c>
      <c r="H793">
        <v>0</v>
      </c>
      <c r="I793">
        <v>6</v>
      </c>
      <c r="J7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3" t="str">
        <f>IF(final_data786[[#This Row],[DAY_CODE]]=0,"weekend",IF(final_data786[[#This Row],[DAY_CODE]]=6,"weekend","weekday"))</f>
        <v>weekend</v>
      </c>
      <c r="L793">
        <v>3</v>
      </c>
      <c r="M793" t="str">
        <f>IF(final_data786[[#This Row],[WEATHER_CODE]]=1,"clear",IF(final_data786[[#This Row],[WEATHER_CODE]]=2,"cloudy",IF(final_data786[[#This Row],[WEATHER_CODE]]=3,"light rain",IF(final_data786[[#This Row],[WEATHER_CODE]]=4,"heavy rain",0))))</f>
        <v>light rain</v>
      </c>
      <c r="N793">
        <v>0.2</v>
      </c>
      <c r="O793">
        <v>0.21210000000000001</v>
      </c>
      <c r="P793">
        <v>1</v>
      </c>
      <c r="Q793">
        <v>0.1343</v>
      </c>
      <c r="R793">
        <v>3</v>
      </c>
      <c r="S793">
        <v>31</v>
      </c>
      <c r="T793">
        <v>34</v>
      </c>
    </row>
    <row r="794" spans="1:20" x14ac:dyDescent="0.35">
      <c r="A794">
        <v>793</v>
      </c>
      <c r="B794" s="1">
        <v>40579</v>
      </c>
      <c r="C794">
        <v>1</v>
      </c>
      <c r="D794">
        <v>0</v>
      </c>
      <c r="E794">
        <v>2</v>
      </c>
      <c r="F794" t="str">
        <f>IF(final_data786[[#This Row],[MONTH_CODE]]=1,"JANUARY",IF(final_data786[[#This Row],[MONTH_CODE]]=2,"FEBRUARY"))</f>
        <v>FEBRUARY</v>
      </c>
      <c r="G794">
        <v>11</v>
      </c>
      <c r="H794">
        <v>0</v>
      </c>
      <c r="I794">
        <v>6</v>
      </c>
      <c r="J7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4" t="str">
        <f>IF(final_data786[[#This Row],[DAY_CODE]]=0,"weekend",IF(final_data786[[#This Row],[DAY_CODE]]=6,"weekend","weekday"))</f>
        <v>weekend</v>
      </c>
      <c r="L794">
        <v>3</v>
      </c>
      <c r="M794" t="str">
        <f>IF(final_data786[[#This Row],[WEATHER_CODE]]=1,"clear",IF(final_data786[[#This Row],[WEATHER_CODE]]=2,"cloudy",IF(final_data786[[#This Row],[WEATHER_CODE]]=3,"light rain",IF(final_data786[[#This Row],[WEATHER_CODE]]=4,"heavy rain",0))))</f>
        <v>light rain</v>
      </c>
      <c r="N794">
        <v>0.22</v>
      </c>
      <c r="O794">
        <v>0.2273</v>
      </c>
      <c r="P794">
        <v>1</v>
      </c>
      <c r="Q794">
        <v>0.1343</v>
      </c>
      <c r="R794">
        <v>1</v>
      </c>
      <c r="S794">
        <v>46</v>
      </c>
      <c r="T794">
        <v>47</v>
      </c>
    </row>
    <row r="795" spans="1:20" x14ac:dyDescent="0.35">
      <c r="A795">
        <v>794</v>
      </c>
      <c r="B795" s="1">
        <v>40579</v>
      </c>
      <c r="C795">
        <v>1</v>
      </c>
      <c r="D795">
        <v>0</v>
      </c>
      <c r="E795">
        <v>2</v>
      </c>
      <c r="F795" t="str">
        <f>IF(final_data786[[#This Row],[MONTH_CODE]]=1,"JANUARY",IF(final_data786[[#This Row],[MONTH_CODE]]=2,"FEBRUARY"))</f>
        <v>FEBRUARY</v>
      </c>
      <c r="G795">
        <v>12</v>
      </c>
      <c r="H795">
        <v>0</v>
      </c>
      <c r="I795">
        <v>6</v>
      </c>
      <c r="J7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5" t="str">
        <f>IF(final_data786[[#This Row],[DAY_CODE]]=0,"weekend",IF(final_data786[[#This Row],[DAY_CODE]]=6,"weekend","weekday"))</f>
        <v>weekend</v>
      </c>
      <c r="L795">
        <v>3</v>
      </c>
      <c r="M795" t="str">
        <f>IF(final_data786[[#This Row],[WEATHER_CODE]]=1,"clear",IF(final_data786[[#This Row],[WEATHER_CODE]]=2,"cloudy",IF(final_data786[[#This Row],[WEATHER_CODE]]=3,"light rain",IF(final_data786[[#This Row],[WEATHER_CODE]]=4,"heavy rain",0))))</f>
        <v>light rain</v>
      </c>
      <c r="N795">
        <v>0.22</v>
      </c>
      <c r="O795">
        <v>0.2273</v>
      </c>
      <c r="P795">
        <v>1</v>
      </c>
      <c r="Q795">
        <v>0.16420000000000001</v>
      </c>
      <c r="R795">
        <v>10</v>
      </c>
      <c r="S795">
        <v>42</v>
      </c>
      <c r="T795">
        <v>52</v>
      </c>
    </row>
    <row r="796" spans="1:20" x14ac:dyDescent="0.35">
      <c r="A796">
        <v>795</v>
      </c>
      <c r="B796" s="1">
        <v>40579</v>
      </c>
      <c r="C796">
        <v>1</v>
      </c>
      <c r="D796">
        <v>0</v>
      </c>
      <c r="E796">
        <v>2</v>
      </c>
      <c r="F796" t="str">
        <f>IF(final_data786[[#This Row],[MONTH_CODE]]=1,"JANUARY",IF(final_data786[[#This Row],[MONTH_CODE]]=2,"FEBRUARY"))</f>
        <v>FEBRUARY</v>
      </c>
      <c r="G796">
        <v>13</v>
      </c>
      <c r="H796">
        <v>0</v>
      </c>
      <c r="I796">
        <v>6</v>
      </c>
      <c r="J7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6" t="str">
        <f>IF(final_data786[[#This Row],[DAY_CODE]]=0,"weekend",IF(final_data786[[#This Row],[DAY_CODE]]=6,"weekend","weekday"))</f>
        <v>weekend</v>
      </c>
      <c r="L796">
        <v>3</v>
      </c>
      <c r="M796" t="str">
        <f>IF(final_data786[[#This Row],[WEATHER_CODE]]=1,"clear",IF(final_data786[[#This Row],[WEATHER_CODE]]=2,"cloudy",IF(final_data786[[#This Row],[WEATHER_CODE]]=3,"light rain",IF(final_data786[[#This Row],[WEATHER_CODE]]=4,"heavy rain",0))))</f>
        <v>light rain</v>
      </c>
      <c r="N796">
        <v>0.22</v>
      </c>
      <c r="O796">
        <v>0.2273</v>
      </c>
      <c r="P796">
        <v>1</v>
      </c>
      <c r="Q796">
        <v>0.16420000000000001</v>
      </c>
      <c r="R796">
        <v>10</v>
      </c>
      <c r="S796">
        <v>62</v>
      </c>
      <c r="T796">
        <v>72</v>
      </c>
    </row>
    <row r="797" spans="1:20" x14ac:dyDescent="0.35">
      <c r="A797">
        <v>796</v>
      </c>
      <c r="B797" s="1">
        <v>40579</v>
      </c>
      <c r="C797">
        <v>1</v>
      </c>
      <c r="D797">
        <v>0</v>
      </c>
      <c r="E797">
        <v>2</v>
      </c>
      <c r="F797" t="str">
        <f>IF(final_data786[[#This Row],[MONTH_CODE]]=1,"JANUARY",IF(final_data786[[#This Row],[MONTH_CODE]]=2,"FEBRUARY"))</f>
        <v>FEBRUARY</v>
      </c>
      <c r="G797">
        <v>14</v>
      </c>
      <c r="H797">
        <v>0</v>
      </c>
      <c r="I797">
        <v>6</v>
      </c>
      <c r="J7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7" t="str">
        <f>IF(final_data786[[#This Row],[DAY_CODE]]=0,"weekend",IF(final_data786[[#This Row],[DAY_CODE]]=6,"weekend","weekday"))</f>
        <v>weekend</v>
      </c>
      <c r="L797">
        <v>3</v>
      </c>
      <c r="M797" t="str">
        <f>IF(final_data786[[#This Row],[WEATHER_CODE]]=1,"clear",IF(final_data786[[#This Row],[WEATHER_CODE]]=2,"cloudy",IF(final_data786[[#This Row],[WEATHER_CODE]]=3,"light rain",IF(final_data786[[#This Row],[WEATHER_CODE]]=4,"heavy rain",0))))</f>
        <v>light rain</v>
      </c>
      <c r="N797">
        <v>0.22</v>
      </c>
      <c r="O797">
        <v>0.2727</v>
      </c>
      <c r="P797">
        <v>1</v>
      </c>
      <c r="Q797">
        <v>0</v>
      </c>
      <c r="R797">
        <v>5</v>
      </c>
      <c r="S797">
        <v>50</v>
      </c>
      <c r="T797">
        <v>55</v>
      </c>
    </row>
    <row r="798" spans="1:20" x14ac:dyDescent="0.35">
      <c r="A798">
        <v>797</v>
      </c>
      <c r="B798" s="1">
        <v>40579</v>
      </c>
      <c r="C798">
        <v>1</v>
      </c>
      <c r="D798">
        <v>0</v>
      </c>
      <c r="E798">
        <v>2</v>
      </c>
      <c r="F798" t="str">
        <f>IF(final_data786[[#This Row],[MONTH_CODE]]=1,"JANUARY",IF(final_data786[[#This Row],[MONTH_CODE]]=2,"FEBRUARY"))</f>
        <v>FEBRUARY</v>
      </c>
      <c r="G798">
        <v>15</v>
      </c>
      <c r="H798">
        <v>0</v>
      </c>
      <c r="I798">
        <v>6</v>
      </c>
      <c r="J7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8" t="str">
        <f>IF(final_data786[[#This Row],[DAY_CODE]]=0,"weekend",IF(final_data786[[#This Row],[DAY_CODE]]=6,"weekend","weekday"))</f>
        <v>weekend</v>
      </c>
      <c r="L798">
        <v>3</v>
      </c>
      <c r="M798" t="str">
        <f>IF(final_data786[[#This Row],[WEATHER_CODE]]=1,"clear",IF(final_data786[[#This Row],[WEATHER_CODE]]=2,"cloudy",IF(final_data786[[#This Row],[WEATHER_CODE]]=3,"light rain",IF(final_data786[[#This Row],[WEATHER_CODE]]=4,"heavy rain",0))))</f>
        <v>light rain</v>
      </c>
      <c r="N798">
        <v>0.22</v>
      </c>
      <c r="O798">
        <v>0.2727</v>
      </c>
      <c r="P798">
        <v>1</v>
      </c>
      <c r="Q798">
        <v>0</v>
      </c>
      <c r="R798">
        <v>11</v>
      </c>
      <c r="S798">
        <v>49</v>
      </c>
      <c r="T798">
        <v>60</v>
      </c>
    </row>
    <row r="799" spans="1:20" x14ac:dyDescent="0.35">
      <c r="A799">
        <v>798</v>
      </c>
      <c r="B799" s="1">
        <v>40579</v>
      </c>
      <c r="C799">
        <v>1</v>
      </c>
      <c r="D799">
        <v>0</v>
      </c>
      <c r="E799">
        <v>2</v>
      </c>
      <c r="F799" t="str">
        <f>IF(final_data786[[#This Row],[MONTH_CODE]]=1,"JANUARY",IF(final_data786[[#This Row],[MONTH_CODE]]=2,"FEBRUARY"))</f>
        <v>FEBRUARY</v>
      </c>
      <c r="G799">
        <v>16</v>
      </c>
      <c r="H799">
        <v>0</v>
      </c>
      <c r="I799">
        <v>6</v>
      </c>
      <c r="J7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799" t="str">
        <f>IF(final_data786[[#This Row],[DAY_CODE]]=0,"weekend",IF(final_data786[[#This Row],[DAY_CODE]]=6,"weekend","weekday"))</f>
        <v>weekend</v>
      </c>
      <c r="L799">
        <v>3</v>
      </c>
      <c r="M799" t="str">
        <f>IF(final_data786[[#This Row],[WEATHER_CODE]]=1,"clear",IF(final_data786[[#This Row],[WEATHER_CODE]]=2,"cloudy",IF(final_data786[[#This Row],[WEATHER_CODE]]=3,"light rain",IF(final_data786[[#This Row],[WEATHER_CODE]]=4,"heavy rain",0))))</f>
        <v>light rain</v>
      </c>
      <c r="N799">
        <v>0.22</v>
      </c>
      <c r="O799">
        <v>0.2273</v>
      </c>
      <c r="P799">
        <v>1</v>
      </c>
      <c r="Q799">
        <v>0.1343</v>
      </c>
      <c r="R799">
        <v>8</v>
      </c>
      <c r="S799">
        <v>63</v>
      </c>
      <c r="T799">
        <v>71</v>
      </c>
    </row>
    <row r="800" spans="1:20" x14ac:dyDescent="0.35">
      <c r="A800">
        <v>799</v>
      </c>
      <c r="B800" s="1">
        <v>40579</v>
      </c>
      <c r="C800">
        <v>1</v>
      </c>
      <c r="D800">
        <v>0</v>
      </c>
      <c r="E800">
        <v>2</v>
      </c>
      <c r="F800" t="str">
        <f>IF(final_data786[[#This Row],[MONTH_CODE]]=1,"JANUARY",IF(final_data786[[#This Row],[MONTH_CODE]]=2,"FEBRUARY"))</f>
        <v>FEBRUARY</v>
      </c>
      <c r="G800">
        <v>17</v>
      </c>
      <c r="H800">
        <v>0</v>
      </c>
      <c r="I800">
        <v>6</v>
      </c>
      <c r="J8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0" t="str">
        <f>IF(final_data786[[#This Row],[DAY_CODE]]=0,"weekend",IF(final_data786[[#This Row],[DAY_CODE]]=6,"weekend","weekday"))</f>
        <v>weekend</v>
      </c>
      <c r="L800">
        <v>2</v>
      </c>
      <c r="M800" t="str">
        <f>IF(final_data786[[#This Row],[WEATHER_CODE]]=1,"clear",IF(final_data786[[#This Row],[WEATHER_CODE]]=2,"cloudy",IF(final_data786[[#This Row],[WEATHER_CODE]]=3,"light rain",IF(final_data786[[#This Row],[WEATHER_CODE]]=4,"heavy rain",0))))</f>
        <v>cloudy</v>
      </c>
      <c r="N800">
        <v>0.24</v>
      </c>
      <c r="O800">
        <v>0.21210000000000001</v>
      </c>
      <c r="P800">
        <v>1</v>
      </c>
      <c r="Q800">
        <v>0.28360000000000002</v>
      </c>
      <c r="R800">
        <v>14</v>
      </c>
      <c r="S800">
        <v>64</v>
      </c>
      <c r="T800">
        <v>78</v>
      </c>
    </row>
    <row r="801" spans="1:20" x14ac:dyDescent="0.35">
      <c r="A801">
        <v>800</v>
      </c>
      <c r="B801" s="1">
        <v>40579</v>
      </c>
      <c r="C801">
        <v>1</v>
      </c>
      <c r="D801">
        <v>0</v>
      </c>
      <c r="E801">
        <v>2</v>
      </c>
      <c r="F801" t="str">
        <f>IF(final_data786[[#This Row],[MONTH_CODE]]=1,"JANUARY",IF(final_data786[[#This Row],[MONTH_CODE]]=2,"FEBRUARY"))</f>
        <v>FEBRUARY</v>
      </c>
      <c r="G801">
        <v>18</v>
      </c>
      <c r="H801">
        <v>0</v>
      </c>
      <c r="I801">
        <v>6</v>
      </c>
      <c r="J8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1" t="str">
        <f>IF(final_data786[[#This Row],[DAY_CODE]]=0,"weekend",IF(final_data786[[#This Row],[DAY_CODE]]=6,"weekend","weekday"))</f>
        <v>weekend</v>
      </c>
      <c r="L801">
        <v>2</v>
      </c>
      <c r="M801" t="str">
        <f>IF(final_data786[[#This Row],[WEATHER_CODE]]=1,"clear",IF(final_data786[[#This Row],[WEATHER_CODE]]=2,"cloudy",IF(final_data786[[#This Row],[WEATHER_CODE]]=3,"light rain",IF(final_data786[[#This Row],[WEATHER_CODE]]=4,"heavy rain",0))))</f>
        <v>cloudy</v>
      </c>
      <c r="N801">
        <v>0.28000000000000003</v>
      </c>
      <c r="O801">
        <v>0.2424</v>
      </c>
      <c r="P801">
        <v>0.93</v>
      </c>
      <c r="Q801">
        <v>0.44779999999999998</v>
      </c>
      <c r="R801">
        <v>2</v>
      </c>
      <c r="S801">
        <v>81</v>
      </c>
      <c r="T801">
        <v>83</v>
      </c>
    </row>
    <row r="802" spans="1:20" x14ac:dyDescent="0.35">
      <c r="A802">
        <v>801</v>
      </c>
      <c r="B802" s="1">
        <v>40579</v>
      </c>
      <c r="C802">
        <v>1</v>
      </c>
      <c r="D802">
        <v>0</v>
      </c>
      <c r="E802">
        <v>2</v>
      </c>
      <c r="F802" t="str">
        <f>IF(final_data786[[#This Row],[MONTH_CODE]]=1,"JANUARY",IF(final_data786[[#This Row],[MONTH_CODE]]=2,"FEBRUARY"))</f>
        <v>FEBRUARY</v>
      </c>
      <c r="G802">
        <v>19</v>
      </c>
      <c r="H802">
        <v>0</v>
      </c>
      <c r="I802">
        <v>6</v>
      </c>
      <c r="J8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2" t="str">
        <f>IF(final_data786[[#This Row],[DAY_CODE]]=0,"weekend",IF(final_data786[[#This Row],[DAY_CODE]]=6,"weekend","weekday"))</f>
        <v>weekend</v>
      </c>
      <c r="L802">
        <v>2</v>
      </c>
      <c r="M802" t="str">
        <f>IF(final_data786[[#This Row],[WEATHER_CODE]]=1,"clear",IF(final_data786[[#This Row],[WEATHER_CODE]]=2,"cloudy",IF(final_data786[[#This Row],[WEATHER_CODE]]=3,"light rain",IF(final_data786[[#This Row],[WEATHER_CODE]]=4,"heavy rain",0))))</f>
        <v>cloudy</v>
      </c>
      <c r="N802">
        <v>0.28000000000000003</v>
      </c>
      <c r="O802">
        <v>0.2424</v>
      </c>
      <c r="P802">
        <v>0.93</v>
      </c>
      <c r="Q802">
        <v>0.44779999999999998</v>
      </c>
      <c r="R802">
        <v>6</v>
      </c>
      <c r="S802">
        <v>78</v>
      </c>
      <c r="T802">
        <v>84</v>
      </c>
    </row>
    <row r="803" spans="1:20" x14ac:dyDescent="0.35">
      <c r="A803">
        <v>802</v>
      </c>
      <c r="B803" s="1">
        <v>40579</v>
      </c>
      <c r="C803">
        <v>1</v>
      </c>
      <c r="D803">
        <v>0</v>
      </c>
      <c r="E803">
        <v>2</v>
      </c>
      <c r="F803" t="str">
        <f>IF(final_data786[[#This Row],[MONTH_CODE]]=1,"JANUARY",IF(final_data786[[#This Row],[MONTH_CODE]]=2,"FEBRUARY"))</f>
        <v>FEBRUARY</v>
      </c>
      <c r="G803">
        <v>20</v>
      </c>
      <c r="H803">
        <v>0</v>
      </c>
      <c r="I803">
        <v>6</v>
      </c>
      <c r="J8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3" t="str">
        <f>IF(final_data786[[#This Row],[DAY_CODE]]=0,"weekend",IF(final_data786[[#This Row],[DAY_CODE]]=6,"weekend","weekday"))</f>
        <v>weekend</v>
      </c>
      <c r="L803">
        <v>1</v>
      </c>
      <c r="M803" t="str">
        <f>IF(final_data786[[#This Row],[WEATHER_CODE]]=1,"clear",IF(final_data786[[#This Row],[WEATHER_CODE]]=2,"cloudy",IF(final_data786[[#This Row],[WEATHER_CODE]]=3,"light rain",IF(final_data786[[#This Row],[WEATHER_CODE]]=4,"heavy rain",0))))</f>
        <v>clear</v>
      </c>
      <c r="N803">
        <v>0.3</v>
      </c>
      <c r="O803">
        <v>0.28789999999999999</v>
      </c>
      <c r="P803">
        <v>0.87</v>
      </c>
      <c r="Q803">
        <v>0.25369999999999998</v>
      </c>
      <c r="R803">
        <v>5</v>
      </c>
      <c r="S803">
        <v>64</v>
      </c>
      <c r="T803">
        <v>69</v>
      </c>
    </row>
    <row r="804" spans="1:20" x14ac:dyDescent="0.35">
      <c r="A804">
        <v>803</v>
      </c>
      <c r="B804" s="1">
        <v>40579</v>
      </c>
      <c r="C804">
        <v>1</v>
      </c>
      <c r="D804">
        <v>0</v>
      </c>
      <c r="E804">
        <v>2</v>
      </c>
      <c r="F804" t="str">
        <f>IF(final_data786[[#This Row],[MONTH_CODE]]=1,"JANUARY",IF(final_data786[[#This Row],[MONTH_CODE]]=2,"FEBRUARY"))</f>
        <v>FEBRUARY</v>
      </c>
      <c r="G804">
        <v>21</v>
      </c>
      <c r="H804">
        <v>0</v>
      </c>
      <c r="I804">
        <v>6</v>
      </c>
      <c r="J8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4" t="str">
        <f>IF(final_data786[[#This Row],[DAY_CODE]]=0,"weekend",IF(final_data786[[#This Row],[DAY_CODE]]=6,"weekend","weekday"))</f>
        <v>weekend</v>
      </c>
      <c r="L804">
        <v>1</v>
      </c>
      <c r="M804" t="str">
        <f>IF(final_data786[[#This Row],[WEATHER_CODE]]=1,"clear",IF(final_data786[[#This Row],[WEATHER_CODE]]=2,"cloudy",IF(final_data786[[#This Row],[WEATHER_CODE]]=3,"light rain",IF(final_data786[[#This Row],[WEATHER_CODE]]=4,"heavy rain",0))))</f>
        <v>clear</v>
      </c>
      <c r="N804">
        <v>0.26</v>
      </c>
      <c r="O804">
        <v>0.2576</v>
      </c>
      <c r="P804">
        <v>1</v>
      </c>
      <c r="Q804">
        <v>0.19400000000000001</v>
      </c>
      <c r="R804">
        <v>3</v>
      </c>
      <c r="S804">
        <v>53</v>
      </c>
      <c r="T804">
        <v>56</v>
      </c>
    </row>
    <row r="805" spans="1:20" x14ac:dyDescent="0.35">
      <c r="A805">
        <v>804</v>
      </c>
      <c r="B805" s="1">
        <v>40579</v>
      </c>
      <c r="C805">
        <v>1</v>
      </c>
      <c r="D805">
        <v>0</v>
      </c>
      <c r="E805">
        <v>2</v>
      </c>
      <c r="F805" t="str">
        <f>IF(final_data786[[#This Row],[MONTH_CODE]]=1,"JANUARY",IF(final_data786[[#This Row],[MONTH_CODE]]=2,"FEBRUARY"))</f>
        <v>FEBRUARY</v>
      </c>
      <c r="G805">
        <v>22</v>
      </c>
      <c r="H805">
        <v>0</v>
      </c>
      <c r="I805">
        <v>6</v>
      </c>
      <c r="J8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5" t="str">
        <f>IF(final_data786[[#This Row],[DAY_CODE]]=0,"weekend",IF(final_data786[[#This Row],[DAY_CODE]]=6,"weekend","weekday"))</f>
        <v>weekend</v>
      </c>
      <c r="L805">
        <v>1</v>
      </c>
      <c r="M805" t="str">
        <f>IF(final_data786[[#This Row],[WEATHER_CODE]]=1,"clear",IF(final_data786[[#This Row],[WEATHER_CODE]]=2,"cloudy",IF(final_data786[[#This Row],[WEATHER_CODE]]=3,"light rain",IF(final_data786[[#This Row],[WEATHER_CODE]]=4,"heavy rain",0))))</f>
        <v>clear</v>
      </c>
      <c r="N805">
        <v>0.26</v>
      </c>
      <c r="O805">
        <v>0.2727</v>
      </c>
      <c r="P805">
        <v>0.93</v>
      </c>
      <c r="Q805">
        <v>0.1343</v>
      </c>
      <c r="R805">
        <v>2</v>
      </c>
      <c r="S805">
        <v>43</v>
      </c>
      <c r="T805">
        <v>45</v>
      </c>
    </row>
    <row r="806" spans="1:20" x14ac:dyDescent="0.35">
      <c r="A806">
        <v>805</v>
      </c>
      <c r="B806" s="1">
        <v>40579</v>
      </c>
      <c r="C806">
        <v>1</v>
      </c>
      <c r="D806">
        <v>0</v>
      </c>
      <c r="E806">
        <v>2</v>
      </c>
      <c r="F806" t="str">
        <f>IF(final_data786[[#This Row],[MONTH_CODE]]=1,"JANUARY",IF(final_data786[[#This Row],[MONTH_CODE]]=2,"FEBRUARY"))</f>
        <v>FEBRUARY</v>
      </c>
      <c r="G806">
        <v>23</v>
      </c>
      <c r="H806">
        <v>0</v>
      </c>
      <c r="I806">
        <v>6</v>
      </c>
      <c r="J8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806" t="str">
        <f>IF(final_data786[[#This Row],[DAY_CODE]]=0,"weekend",IF(final_data786[[#This Row],[DAY_CODE]]=6,"weekend","weekday"))</f>
        <v>weekend</v>
      </c>
      <c r="L806">
        <v>1</v>
      </c>
      <c r="M806" t="str">
        <f>IF(final_data786[[#This Row],[WEATHER_CODE]]=1,"clear",IF(final_data786[[#This Row],[WEATHER_CODE]]=2,"cloudy",IF(final_data786[[#This Row],[WEATHER_CODE]]=3,"light rain",IF(final_data786[[#This Row],[WEATHER_CODE]]=4,"heavy rain",0))))</f>
        <v>clear</v>
      </c>
      <c r="N806">
        <v>0.26</v>
      </c>
      <c r="O806">
        <v>0.2576</v>
      </c>
      <c r="P806">
        <v>0.93</v>
      </c>
      <c r="Q806">
        <v>0.22389999999999999</v>
      </c>
      <c r="R806">
        <v>7</v>
      </c>
      <c r="S806">
        <v>52</v>
      </c>
      <c r="T806">
        <v>59</v>
      </c>
    </row>
    <row r="807" spans="1:20" x14ac:dyDescent="0.35">
      <c r="A807">
        <v>806</v>
      </c>
      <c r="B807" s="1">
        <v>40580</v>
      </c>
      <c r="C807">
        <v>1</v>
      </c>
      <c r="D807">
        <v>0</v>
      </c>
      <c r="E807">
        <v>2</v>
      </c>
      <c r="F807" t="str">
        <f>IF(final_data786[[#This Row],[MONTH_CODE]]=1,"JANUARY",IF(final_data786[[#This Row],[MONTH_CODE]]=2,"FEBRUARY"))</f>
        <v>FEBRUARY</v>
      </c>
      <c r="G807">
        <v>0</v>
      </c>
      <c r="H807">
        <v>0</v>
      </c>
      <c r="I807">
        <v>0</v>
      </c>
      <c r="J8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07" t="str">
        <f>IF(final_data786[[#This Row],[DAY_CODE]]=0,"weekend",IF(final_data786[[#This Row],[DAY_CODE]]=6,"weekend","weekday"))</f>
        <v>weekend</v>
      </c>
      <c r="L807">
        <v>1</v>
      </c>
      <c r="M807" t="str">
        <f>IF(final_data786[[#This Row],[WEATHER_CODE]]=1,"clear",IF(final_data786[[#This Row],[WEATHER_CODE]]=2,"cloudy",IF(final_data786[[#This Row],[WEATHER_CODE]]=3,"light rain",IF(final_data786[[#This Row],[WEATHER_CODE]]=4,"heavy rain",0))))</f>
        <v>clear</v>
      </c>
      <c r="N807">
        <v>0.26</v>
      </c>
      <c r="O807">
        <v>0.2576</v>
      </c>
      <c r="P807">
        <v>0.7</v>
      </c>
      <c r="Q807">
        <v>0.19400000000000001</v>
      </c>
      <c r="R807">
        <v>2</v>
      </c>
      <c r="S807">
        <v>37</v>
      </c>
      <c r="T807">
        <v>39</v>
      </c>
    </row>
    <row r="808" spans="1:20" x14ac:dyDescent="0.35">
      <c r="A808">
        <v>807</v>
      </c>
      <c r="B808" s="1">
        <v>40580</v>
      </c>
      <c r="C808">
        <v>1</v>
      </c>
      <c r="D808">
        <v>0</v>
      </c>
      <c r="E808">
        <v>2</v>
      </c>
      <c r="F808" t="str">
        <f>IF(final_data786[[#This Row],[MONTH_CODE]]=1,"JANUARY",IF(final_data786[[#This Row],[MONTH_CODE]]=2,"FEBRUARY"))</f>
        <v>FEBRUARY</v>
      </c>
      <c r="G808">
        <v>1</v>
      </c>
      <c r="H808">
        <v>0</v>
      </c>
      <c r="I808">
        <v>0</v>
      </c>
      <c r="J8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08" t="str">
        <f>IF(final_data786[[#This Row],[DAY_CODE]]=0,"weekend",IF(final_data786[[#This Row],[DAY_CODE]]=6,"weekend","weekday"))</f>
        <v>weekend</v>
      </c>
      <c r="L808">
        <v>1</v>
      </c>
      <c r="M808" t="str">
        <f>IF(final_data786[[#This Row],[WEATHER_CODE]]=1,"clear",IF(final_data786[[#This Row],[WEATHER_CODE]]=2,"cloudy",IF(final_data786[[#This Row],[WEATHER_CODE]]=3,"light rain",IF(final_data786[[#This Row],[WEATHER_CODE]]=4,"heavy rain",0))))</f>
        <v>clear</v>
      </c>
      <c r="N808">
        <v>0.26</v>
      </c>
      <c r="O808">
        <v>0.2273</v>
      </c>
      <c r="P808">
        <v>0.65</v>
      </c>
      <c r="Q808">
        <v>0.41789999999999999</v>
      </c>
      <c r="R808">
        <v>4</v>
      </c>
      <c r="S808">
        <v>40</v>
      </c>
      <c r="T808">
        <v>44</v>
      </c>
    </row>
    <row r="809" spans="1:20" x14ac:dyDescent="0.35">
      <c r="A809">
        <v>808</v>
      </c>
      <c r="B809" s="1">
        <v>40580</v>
      </c>
      <c r="C809">
        <v>1</v>
      </c>
      <c r="D809">
        <v>0</v>
      </c>
      <c r="E809">
        <v>2</v>
      </c>
      <c r="F809" t="str">
        <f>IF(final_data786[[#This Row],[MONTH_CODE]]=1,"JANUARY",IF(final_data786[[#This Row],[MONTH_CODE]]=2,"FEBRUARY"))</f>
        <v>FEBRUARY</v>
      </c>
      <c r="G809">
        <v>2</v>
      </c>
      <c r="H809">
        <v>0</v>
      </c>
      <c r="I809">
        <v>0</v>
      </c>
      <c r="J8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09" t="str">
        <f>IF(final_data786[[#This Row],[DAY_CODE]]=0,"weekend",IF(final_data786[[#This Row],[DAY_CODE]]=6,"weekend","weekday"))</f>
        <v>weekend</v>
      </c>
      <c r="L809">
        <v>1</v>
      </c>
      <c r="M809" t="str">
        <f>IF(final_data786[[#This Row],[WEATHER_CODE]]=1,"clear",IF(final_data786[[#This Row],[WEATHER_CODE]]=2,"cloudy",IF(final_data786[[#This Row],[WEATHER_CODE]]=3,"light rain",IF(final_data786[[#This Row],[WEATHER_CODE]]=4,"heavy rain",0))))</f>
        <v>clear</v>
      </c>
      <c r="N809">
        <v>0.26</v>
      </c>
      <c r="O809">
        <v>0.2273</v>
      </c>
      <c r="P809">
        <v>0.6</v>
      </c>
      <c r="Q809">
        <v>0.32840000000000003</v>
      </c>
      <c r="R809">
        <v>0</v>
      </c>
      <c r="S809">
        <v>20</v>
      </c>
      <c r="T809">
        <v>20</v>
      </c>
    </row>
    <row r="810" spans="1:20" x14ac:dyDescent="0.35">
      <c r="A810">
        <v>809</v>
      </c>
      <c r="B810" s="1">
        <v>40580</v>
      </c>
      <c r="C810">
        <v>1</v>
      </c>
      <c r="D810">
        <v>0</v>
      </c>
      <c r="E810">
        <v>2</v>
      </c>
      <c r="F810" t="str">
        <f>IF(final_data786[[#This Row],[MONTH_CODE]]=1,"JANUARY",IF(final_data786[[#This Row],[MONTH_CODE]]=2,"FEBRUARY"))</f>
        <v>FEBRUARY</v>
      </c>
      <c r="G810">
        <v>3</v>
      </c>
      <c r="H810">
        <v>0</v>
      </c>
      <c r="I810">
        <v>0</v>
      </c>
      <c r="J8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0" t="str">
        <f>IF(final_data786[[#This Row],[DAY_CODE]]=0,"weekend",IF(final_data786[[#This Row],[DAY_CODE]]=6,"weekend","weekday"))</f>
        <v>weekend</v>
      </c>
      <c r="L810">
        <v>1</v>
      </c>
      <c r="M810" t="str">
        <f>IF(final_data786[[#This Row],[WEATHER_CODE]]=1,"clear",IF(final_data786[[#This Row],[WEATHER_CODE]]=2,"cloudy",IF(final_data786[[#This Row],[WEATHER_CODE]]=3,"light rain",IF(final_data786[[#This Row],[WEATHER_CODE]]=4,"heavy rain",0))))</f>
        <v>clear</v>
      </c>
      <c r="N810">
        <v>0.26</v>
      </c>
      <c r="O810">
        <v>0.28789999999999999</v>
      </c>
      <c r="P810">
        <v>0.6</v>
      </c>
      <c r="Q810">
        <v>8.9599999999999999E-2</v>
      </c>
      <c r="R810">
        <v>3</v>
      </c>
      <c r="S810">
        <v>10</v>
      </c>
      <c r="T810">
        <v>13</v>
      </c>
    </row>
    <row r="811" spans="1:20" x14ac:dyDescent="0.35">
      <c r="A811">
        <v>810</v>
      </c>
      <c r="B811" s="1">
        <v>40580</v>
      </c>
      <c r="C811">
        <v>1</v>
      </c>
      <c r="D811">
        <v>0</v>
      </c>
      <c r="E811">
        <v>2</v>
      </c>
      <c r="F811" t="str">
        <f>IF(final_data786[[#This Row],[MONTH_CODE]]=1,"JANUARY",IF(final_data786[[#This Row],[MONTH_CODE]]=2,"FEBRUARY"))</f>
        <v>FEBRUARY</v>
      </c>
      <c r="G811">
        <v>4</v>
      </c>
      <c r="H811">
        <v>0</v>
      </c>
      <c r="I811">
        <v>0</v>
      </c>
      <c r="J8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1" t="str">
        <f>IF(final_data786[[#This Row],[DAY_CODE]]=0,"weekend",IF(final_data786[[#This Row],[DAY_CODE]]=6,"weekend","weekday"))</f>
        <v>weekend</v>
      </c>
      <c r="L811">
        <v>1</v>
      </c>
      <c r="M811" t="str">
        <f>IF(final_data786[[#This Row],[WEATHER_CODE]]=1,"clear",IF(final_data786[[#This Row],[WEATHER_CODE]]=2,"cloudy",IF(final_data786[[#This Row],[WEATHER_CODE]]=3,"light rain",IF(final_data786[[#This Row],[WEATHER_CODE]]=4,"heavy rain",0))))</f>
        <v>clear</v>
      </c>
      <c r="N811">
        <v>0.26</v>
      </c>
      <c r="O811">
        <v>0.2273</v>
      </c>
      <c r="P811">
        <v>0.6</v>
      </c>
      <c r="Q811">
        <v>0.35820000000000002</v>
      </c>
      <c r="R811">
        <v>0</v>
      </c>
      <c r="S811">
        <v>2</v>
      </c>
      <c r="T811">
        <v>2</v>
      </c>
    </row>
    <row r="812" spans="1:20" x14ac:dyDescent="0.35">
      <c r="A812">
        <v>811</v>
      </c>
      <c r="B812" s="1">
        <v>40580</v>
      </c>
      <c r="C812">
        <v>1</v>
      </c>
      <c r="D812">
        <v>0</v>
      </c>
      <c r="E812">
        <v>2</v>
      </c>
      <c r="F812" t="str">
        <f>IF(final_data786[[#This Row],[MONTH_CODE]]=1,"JANUARY",IF(final_data786[[#This Row],[MONTH_CODE]]=2,"FEBRUARY"))</f>
        <v>FEBRUARY</v>
      </c>
      <c r="G812">
        <v>5</v>
      </c>
      <c r="H812">
        <v>0</v>
      </c>
      <c r="I812">
        <v>0</v>
      </c>
      <c r="J8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2" t="str">
        <f>IF(final_data786[[#This Row],[DAY_CODE]]=0,"weekend",IF(final_data786[[#This Row],[DAY_CODE]]=6,"weekend","weekday"))</f>
        <v>weekend</v>
      </c>
      <c r="L812">
        <v>1</v>
      </c>
      <c r="M812" t="str">
        <f>IF(final_data786[[#This Row],[WEATHER_CODE]]=1,"clear",IF(final_data786[[#This Row],[WEATHER_CODE]]=2,"cloudy",IF(final_data786[[#This Row],[WEATHER_CODE]]=3,"light rain",IF(final_data786[[#This Row],[WEATHER_CODE]]=4,"heavy rain",0))))</f>
        <v>clear</v>
      </c>
      <c r="N812">
        <v>0.26</v>
      </c>
      <c r="O812">
        <v>0.2576</v>
      </c>
      <c r="P812">
        <v>0.6</v>
      </c>
      <c r="Q812">
        <v>0.22389999999999999</v>
      </c>
      <c r="R812">
        <v>0</v>
      </c>
      <c r="S812">
        <v>1</v>
      </c>
      <c r="T812">
        <v>1</v>
      </c>
    </row>
    <row r="813" spans="1:20" x14ac:dyDescent="0.35">
      <c r="A813">
        <v>812</v>
      </c>
      <c r="B813" s="1">
        <v>40580</v>
      </c>
      <c r="C813">
        <v>1</v>
      </c>
      <c r="D813">
        <v>0</v>
      </c>
      <c r="E813">
        <v>2</v>
      </c>
      <c r="F813" t="str">
        <f>IF(final_data786[[#This Row],[MONTH_CODE]]=1,"JANUARY",IF(final_data786[[#This Row],[MONTH_CODE]]=2,"FEBRUARY"))</f>
        <v>FEBRUARY</v>
      </c>
      <c r="G813">
        <v>6</v>
      </c>
      <c r="H813">
        <v>0</v>
      </c>
      <c r="I813">
        <v>0</v>
      </c>
      <c r="J8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3" t="str">
        <f>IF(final_data786[[#This Row],[DAY_CODE]]=0,"weekend",IF(final_data786[[#This Row],[DAY_CODE]]=6,"weekend","weekday"))</f>
        <v>weekend</v>
      </c>
      <c r="L813">
        <v>1</v>
      </c>
      <c r="M813" t="str">
        <f>IF(final_data786[[#This Row],[WEATHER_CODE]]=1,"clear",IF(final_data786[[#This Row],[WEATHER_CODE]]=2,"cloudy",IF(final_data786[[#This Row],[WEATHER_CODE]]=3,"light rain",IF(final_data786[[#This Row],[WEATHER_CODE]]=4,"heavy rain",0))))</f>
        <v>clear</v>
      </c>
      <c r="N813">
        <v>0.26</v>
      </c>
      <c r="O813">
        <v>0.2576</v>
      </c>
      <c r="P813">
        <v>0.6</v>
      </c>
      <c r="Q813">
        <v>0.22389999999999999</v>
      </c>
      <c r="R813">
        <v>0</v>
      </c>
      <c r="S813">
        <v>1</v>
      </c>
      <c r="T813">
        <v>1</v>
      </c>
    </row>
    <row r="814" spans="1:20" x14ac:dyDescent="0.35">
      <c r="A814">
        <v>813</v>
      </c>
      <c r="B814" s="1">
        <v>40580</v>
      </c>
      <c r="C814">
        <v>1</v>
      </c>
      <c r="D814">
        <v>0</v>
      </c>
      <c r="E814">
        <v>2</v>
      </c>
      <c r="F814" t="str">
        <f>IF(final_data786[[#This Row],[MONTH_CODE]]=1,"JANUARY",IF(final_data786[[#This Row],[MONTH_CODE]]=2,"FEBRUARY"))</f>
        <v>FEBRUARY</v>
      </c>
      <c r="G814">
        <v>7</v>
      </c>
      <c r="H814">
        <v>0</v>
      </c>
      <c r="I814">
        <v>0</v>
      </c>
      <c r="J8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4" t="str">
        <f>IF(final_data786[[#This Row],[DAY_CODE]]=0,"weekend",IF(final_data786[[#This Row],[DAY_CODE]]=6,"weekend","weekday"))</f>
        <v>weekend</v>
      </c>
      <c r="L814">
        <v>1</v>
      </c>
      <c r="M814" t="str">
        <f>IF(final_data786[[#This Row],[WEATHER_CODE]]=1,"clear",IF(final_data786[[#This Row],[WEATHER_CODE]]=2,"cloudy",IF(final_data786[[#This Row],[WEATHER_CODE]]=3,"light rain",IF(final_data786[[#This Row],[WEATHER_CODE]]=4,"heavy rain",0))))</f>
        <v>clear</v>
      </c>
      <c r="N814">
        <v>0.24</v>
      </c>
      <c r="O814">
        <v>0.2424</v>
      </c>
      <c r="P814">
        <v>0.65</v>
      </c>
      <c r="Q814">
        <v>0.16420000000000001</v>
      </c>
      <c r="R814">
        <v>0</v>
      </c>
      <c r="S814">
        <v>8</v>
      </c>
      <c r="T814">
        <v>8</v>
      </c>
    </row>
    <row r="815" spans="1:20" x14ac:dyDescent="0.35">
      <c r="A815">
        <v>814</v>
      </c>
      <c r="B815" s="1">
        <v>40580</v>
      </c>
      <c r="C815">
        <v>1</v>
      </c>
      <c r="D815">
        <v>0</v>
      </c>
      <c r="E815">
        <v>2</v>
      </c>
      <c r="F815" t="str">
        <f>IF(final_data786[[#This Row],[MONTH_CODE]]=1,"JANUARY",IF(final_data786[[#This Row],[MONTH_CODE]]=2,"FEBRUARY"))</f>
        <v>FEBRUARY</v>
      </c>
      <c r="G815">
        <v>8</v>
      </c>
      <c r="H815">
        <v>0</v>
      </c>
      <c r="I815">
        <v>0</v>
      </c>
      <c r="J8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5" t="str">
        <f>IF(final_data786[[#This Row],[DAY_CODE]]=0,"weekend",IF(final_data786[[#This Row],[DAY_CODE]]=6,"weekend","weekday"))</f>
        <v>weekend</v>
      </c>
      <c r="L815">
        <v>1</v>
      </c>
      <c r="M815" t="str">
        <f>IF(final_data786[[#This Row],[WEATHER_CODE]]=1,"clear",IF(final_data786[[#This Row],[WEATHER_CODE]]=2,"cloudy",IF(final_data786[[#This Row],[WEATHER_CODE]]=3,"light rain",IF(final_data786[[#This Row],[WEATHER_CODE]]=4,"heavy rain",0))))</f>
        <v>clear</v>
      </c>
      <c r="N815">
        <v>0.24</v>
      </c>
      <c r="O815">
        <v>0.2576</v>
      </c>
      <c r="P815">
        <v>0.65</v>
      </c>
      <c r="Q815">
        <v>0.1045</v>
      </c>
      <c r="R815">
        <v>2</v>
      </c>
      <c r="S815">
        <v>21</v>
      </c>
      <c r="T815">
        <v>23</v>
      </c>
    </row>
    <row r="816" spans="1:20" x14ac:dyDescent="0.35">
      <c r="A816">
        <v>815</v>
      </c>
      <c r="B816" s="1">
        <v>40580</v>
      </c>
      <c r="C816">
        <v>1</v>
      </c>
      <c r="D816">
        <v>0</v>
      </c>
      <c r="E816">
        <v>2</v>
      </c>
      <c r="F816" t="str">
        <f>IF(final_data786[[#This Row],[MONTH_CODE]]=1,"JANUARY",IF(final_data786[[#This Row],[MONTH_CODE]]=2,"FEBRUARY"))</f>
        <v>FEBRUARY</v>
      </c>
      <c r="G816">
        <v>9</v>
      </c>
      <c r="H816">
        <v>0</v>
      </c>
      <c r="I816">
        <v>0</v>
      </c>
      <c r="J8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6" t="str">
        <f>IF(final_data786[[#This Row],[DAY_CODE]]=0,"weekend",IF(final_data786[[#This Row],[DAY_CODE]]=6,"weekend","weekday"))</f>
        <v>weekend</v>
      </c>
      <c r="L816">
        <v>1</v>
      </c>
      <c r="M816" t="str">
        <f>IF(final_data786[[#This Row],[WEATHER_CODE]]=1,"clear",IF(final_data786[[#This Row],[WEATHER_CODE]]=2,"cloudy",IF(final_data786[[#This Row],[WEATHER_CODE]]=3,"light rain",IF(final_data786[[#This Row],[WEATHER_CODE]]=4,"heavy rain",0))))</f>
        <v>clear</v>
      </c>
      <c r="N816">
        <v>0.28000000000000003</v>
      </c>
      <c r="O816">
        <v>0.28789999999999999</v>
      </c>
      <c r="P816">
        <v>0.56000000000000005</v>
      </c>
      <c r="Q816">
        <v>0.1045</v>
      </c>
      <c r="R816">
        <v>7</v>
      </c>
      <c r="S816">
        <v>38</v>
      </c>
      <c r="T816">
        <v>45</v>
      </c>
    </row>
    <row r="817" spans="1:20" x14ac:dyDescent="0.35">
      <c r="A817">
        <v>816</v>
      </c>
      <c r="B817" s="1">
        <v>40580</v>
      </c>
      <c r="C817">
        <v>1</v>
      </c>
      <c r="D817">
        <v>0</v>
      </c>
      <c r="E817">
        <v>2</v>
      </c>
      <c r="F817" t="str">
        <f>IF(final_data786[[#This Row],[MONTH_CODE]]=1,"JANUARY",IF(final_data786[[#This Row],[MONTH_CODE]]=2,"FEBRUARY"))</f>
        <v>FEBRUARY</v>
      </c>
      <c r="G817">
        <v>10</v>
      </c>
      <c r="H817">
        <v>0</v>
      </c>
      <c r="I817">
        <v>0</v>
      </c>
      <c r="J8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7" t="str">
        <f>IF(final_data786[[#This Row],[DAY_CODE]]=0,"weekend",IF(final_data786[[#This Row],[DAY_CODE]]=6,"weekend","weekday"))</f>
        <v>weekend</v>
      </c>
      <c r="L817">
        <v>1</v>
      </c>
      <c r="M817" t="str">
        <f>IF(final_data786[[#This Row],[WEATHER_CODE]]=1,"clear",IF(final_data786[[#This Row],[WEATHER_CODE]]=2,"cloudy",IF(final_data786[[#This Row],[WEATHER_CODE]]=3,"light rain",IF(final_data786[[#This Row],[WEATHER_CODE]]=4,"heavy rain",0))))</f>
        <v>clear</v>
      </c>
      <c r="N817">
        <v>0.3</v>
      </c>
      <c r="O817">
        <v>0.28789999999999999</v>
      </c>
      <c r="P817">
        <v>0.52</v>
      </c>
      <c r="Q817">
        <v>0.25369999999999998</v>
      </c>
      <c r="R817">
        <v>15</v>
      </c>
      <c r="S817">
        <v>74</v>
      </c>
      <c r="T817">
        <v>89</v>
      </c>
    </row>
    <row r="818" spans="1:20" x14ac:dyDescent="0.35">
      <c r="A818">
        <v>817</v>
      </c>
      <c r="B818" s="1">
        <v>40580</v>
      </c>
      <c r="C818">
        <v>1</v>
      </c>
      <c r="D818">
        <v>0</v>
      </c>
      <c r="E818">
        <v>2</v>
      </c>
      <c r="F818" t="str">
        <f>IF(final_data786[[#This Row],[MONTH_CODE]]=1,"JANUARY",IF(final_data786[[#This Row],[MONTH_CODE]]=2,"FEBRUARY"))</f>
        <v>FEBRUARY</v>
      </c>
      <c r="G818">
        <v>11</v>
      </c>
      <c r="H818">
        <v>0</v>
      </c>
      <c r="I818">
        <v>0</v>
      </c>
      <c r="J8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8" t="str">
        <f>IF(final_data786[[#This Row],[DAY_CODE]]=0,"weekend",IF(final_data786[[#This Row],[DAY_CODE]]=6,"weekend","weekday"))</f>
        <v>weekend</v>
      </c>
      <c r="L818">
        <v>1</v>
      </c>
      <c r="M818" t="str">
        <f>IF(final_data786[[#This Row],[WEATHER_CODE]]=1,"clear",IF(final_data786[[#This Row],[WEATHER_CODE]]=2,"cloudy",IF(final_data786[[#This Row],[WEATHER_CODE]]=3,"light rain",IF(final_data786[[#This Row],[WEATHER_CODE]]=4,"heavy rain",0))))</f>
        <v>clear</v>
      </c>
      <c r="N818">
        <v>0.32</v>
      </c>
      <c r="O818">
        <v>0.30299999999999999</v>
      </c>
      <c r="P818">
        <v>0.49</v>
      </c>
      <c r="Q818">
        <v>0.25369999999999998</v>
      </c>
      <c r="R818">
        <v>28</v>
      </c>
      <c r="S818">
        <v>89</v>
      </c>
      <c r="T818">
        <v>117</v>
      </c>
    </row>
    <row r="819" spans="1:20" x14ac:dyDescent="0.35">
      <c r="A819">
        <v>818</v>
      </c>
      <c r="B819" s="1">
        <v>40580</v>
      </c>
      <c r="C819">
        <v>1</v>
      </c>
      <c r="D819">
        <v>0</v>
      </c>
      <c r="E819">
        <v>2</v>
      </c>
      <c r="F819" t="str">
        <f>IF(final_data786[[#This Row],[MONTH_CODE]]=1,"JANUARY",IF(final_data786[[#This Row],[MONTH_CODE]]=2,"FEBRUARY"))</f>
        <v>FEBRUARY</v>
      </c>
      <c r="G819">
        <v>12</v>
      </c>
      <c r="H819">
        <v>0</v>
      </c>
      <c r="I819">
        <v>0</v>
      </c>
      <c r="J8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19" t="str">
        <f>IF(final_data786[[#This Row],[DAY_CODE]]=0,"weekend",IF(final_data786[[#This Row],[DAY_CODE]]=6,"weekend","weekday"))</f>
        <v>weekend</v>
      </c>
      <c r="L819">
        <v>1</v>
      </c>
      <c r="M819" t="str">
        <f>IF(final_data786[[#This Row],[WEATHER_CODE]]=1,"clear",IF(final_data786[[#This Row],[WEATHER_CODE]]=2,"cloudy",IF(final_data786[[#This Row],[WEATHER_CODE]]=3,"light rain",IF(final_data786[[#This Row],[WEATHER_CODE]]=4,"heavy rain",0))))</f>
        <v>clear</v>
      </c>
      <c r="N819">
        <v>0.34</v>
      </c>
      <c r="O819">
        <v>0.33329999999999999</v>
      </c>
      <c r="P819">
        <v>0.46</v>
      </c>
      <c r="Q819">
        <v>0</v>
      </c>
      <c r="R819">
        <v>48</v>
      </c>
      <c r="S819">
        <v>126</v>
      </c>
      <c r="T819">
        <v>174</v>
      </c>
    </row>
    <row r="820" spans="1:20" x14ac:dyDescent="0.35">
      <c r="A820">
        <v>819</v>
      </c>
      <c r="B820" s="1">
        <v>40580</v>
      </c>
      <c r="C820">
        <v>1</v>
      </c>
      <c r="D820">
        <v>0</v>
      </c>
      <c r="E820">
        <v>2</v>
      </c>
      <c r="F820" t="str">
        <f>IF(final_data786[[#This Row],[MONTH_CODE]]=1,"JANUARY",IF(final_data786[[#This Row],[MONTH_CODE]]=2,"FEBRUARY"))</f>
        <v>FEBRUARY</v>
      </c>
      <c r="G820">
        <v>13</v>
      </c>
      <c r="H820">
        <v>0</v>
      </c>
      <c r="I820">
        <v>0</v>
      </c>
      <c r="J8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0" t="str">
        <f>IF(final_data786[[#This Row],[DAY_CODE]]=0,"weekend",IF(final_data786[[#This Row],[DAY_CODE]]=6,"weekend","weekday"))</f>
        <v>weekend</v>
      </c>
      <c r="L820">
        <v>1</v>
      </c>
      <c r="M820" t="str">
        <f>IF(final_data786[[#This Row],[WEATHER_CODE]]=1,"clear",IF(final_data786[[#This Row],[WEATHER_CODE]]=2,"cloudy",IF(final_data786[[#This Row],[WEATHER_CODE]]=3,"light rain",IF(final_data786[[#This Row],[WEATHER_CODE]]=4,"heavy rain",0))))</f>
        <v>clear</v>
      </c>
      <c r="N820">
        <v>0.34</v>
      </c>
      <c r="O820">
        <v>0.36359999999999998</v>
      </c>
      <c r="P820">
        <v>0.46</v>
      </c>
      <c r="Q820">
        <v>0</v>
      </c>
      <c r="R820">
        <v>47</v>
      </c>
      <c r="S820">
        <v>135</v>
      </c>
      <c r="T820">
        <v>182</v>
      </c>
    </row>
    <row r="821" spans="1:20" x14ac:dyDescent="0.35">
      <c r="A821">
        <v>820</v>
      </c>
      <c r="B821" s="1">
        <v>40580</v>
      </c>
      <c r="C821">
        <v>1</v>
      </c>
      <c r="D821">
        <v>0</v>
      </c>
      <c r="E821">
        <v>2</v>
      </c>
      <c r="F821" t="str">
        <f>IF(final_data786[[#This Row],[MONTH_CODE]]=1,"JANUARY",IF(final_data786[[#This Row],[MONTH_CODE]]=2,"FEBRUARY"))</f>
        <v>FEBRUARY</v>
      </c>
      <c r="G821">
        <v>14</v>
      </c>
      <c r="H821">
        <v>0</v>
      </c>
      <c r="I821">
        <v>0</v>
      </c>
      <c r="J8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1" t="str">
        <f>IF(final_data786[[#This Row],[DAY_CODE]]=0,"weekend",IF(final_data786[[#This Row],[DAY_CODE]]=6,"weekend","weekday"))</f>
        <v>weekend</v>
      </c>
      <c r="L821">
        <v>1</v>
      </c>
      <c r="M821" t="str">
        <f>IF(final_data786[[#This Row],[WEATHER_CODE]]=1,"clear",IF(final_data786[[#This Row],[WEATHER_CODE]]=2,"cloudy",IF(final_data786[[#This Row],[WEATHER_CODE]]=3,"light rain",IF(final_data786[[#This Row],[WEATHER_CODE]]=4,"heavy rain",0))))</f>
        <v>clear</v>
      </c>
      <c r="N821">
        <v>0.34</v>
      </c>
      <c r="O821">
        <v>0.34849999999999998</v>
      </c>
      <c r="P821">
        <v>0.46</v>
      </c>
      <c r="Q821">
        <v>8.9599999999999999E-2</v>
      </c>
      <c r="R821">
        <v>47</v>
      </c>
      <c r="S821">
        <v>114</v>
      </c>
      <c r="T821">
        <v>161</v>
      </c>
    </row>
    <row r="822" spans="1:20" x14ac:dyDescent="0.35">
      <c r="A822">
        <v>821</v>
      </c>
      <c r="B822" s="1">
        <v>40580</v>
      </c>
      <c r="C822">
        <v>1</v>
      </c>
      <c r="D822">
        <v>0</v>
      </c>
      <c r="E822">
        <v>2</v>
      </c>
      <c r="F822" t="str">
        <f>IF(final_data786[[#This Row],[MONTH_CODE]]=1,"JANUARY",IF(final_data786[[#This Row],[MONTH_CODE]]=2,"FEBRUARY"))</f>
        <v>FEBRUARY</v>
      </c>
      <c r="G822">
        <v>15</v>
      </c>
      <c r="H822">
        <v>0</v>
      </c>
      <c r="I822">
        <v>0</v>
      </c>
      <c r="J8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2" t="str">
        <f>IF(final_data786[[#This Row],[DAY_CODE]]=0,"weekend",IF(final_data786[[#This Row],[DAY_CODE]]=6,"weekend","weekday"))</f>
        <v>weekend</v>
      </c>
      <c r="L822">
        <v>1</v>
      </c>
      <c r="M822" t="str">
        <f>IF(final_data786[[#This Row],[WEATHER_CODE]]=1,"clear",IF(final_data786[[#This Row],[WEATHER_CODE]]=2,"cloudy",IF(final_data786[[#This Row],[WEATHER_CODE]]=3,"light rain",IF(final_data786[[#This Row],[WEATHER_CODE]]=4,"heavy rain",0))))</f>
        <v>clear</v>
      </c>
      <c r="N822">
        <v>0.34</v>
      </c>
      <c r="O822">
        <v>0.34849999999999998</v>
      </c>
      <c r="P822">
        <v>0.46</v>
      </c>
      <c r="Q822">
        <v>8.9599999999999999E-2</v>
      </c>
      <c r="R822">
        <v>52</v>
      </c>
      <c r="S822">
        <v>130</v>
      </c>
      <c r="T822">
        <v>182</v>
      </c>
    </row>
    <row r="823" spans="1:20" x14ac:dyDescent="0.35">
      <c r="A823">
        <v>822</v>
      </c>
      <c r="B823" s="1">
        <v>40580</v>
      </c>
      <c r="C823">
        <v>1</v>
      </c>
      <c r="D823">
        <v>0</v>
      </c>
      <c r="E823">
        <v>2</v>
      </c>
      <c r="F823" t="str">
        <f>IF(final_data786[[#This Row],[MONTH_CODE]]=1,"JANUARY",IF(final_data786[[#This Row],[MONTH_CODE]]=2,"FEBRUARY"))</f>
        <v>FEBRUARY</v>
      </c>
      <c r="G823">
        <v>16</v>
      </c>
      <c r="H823">
        <v>0</v>
      </c>
      <c r="I823">
        <v>0</v>
      </c>
      <c r="J8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3" t="str">
        <f>IF(final_data786[[#This Row],[DAY_CODE]]=0,"weekend",IF(final_data786[[#This Row],[DAY_CODE]]=6,"weekend","weekday"))</f>
        <v>weekend</v>
      </c>
      <c r="L823">
        <v>1</v>
      </c>
      <c r="M823" t="str">
        <f>IF(final_data786[[#This Row],[WEATHER_CODE]]=1,"clear",IF(final_data786[[#This Row],[WEATHER_CODE]]=2,"cloudy",IF(final_data786[[#This Row],[WEATHER_CODE]]=3,"light rain",IF(final_data786[[#This Row],[WEATHER_CODE]]=4,"heavy rain",0))))</f>
        <v>clear</v>
      </c>
      <c r="N823">
        <v>0.34</v>
      </c>
      <c r="O823">
        <v>0.34849999999999998</v>
      </c>
      <c r="P823">
        <v>0.49</v>
      </c>
      <c r="Q823">
        <v>0.1045</v>
      </c>
      <c r="R823">
        <v>42</v>
      </c>
      <c r="S823">
        <v>115</v>
      </c>
      <c r="T823">
        <v>157</v>
      </c>
    </row>
    <row r="824" spans="1:20" x14ac:dyDescent="0.35">
      <c r="A824">
        <v>823</v>
      </c>
      <c r="B824" s="1">
        <v>40580</v>
      </c>
      <c r="C824">
        <v>1</v>
      </c>
      <c r="D824">
        <v>0</v>
      </c>
      <c r="E824">
        <v>2</v>
      </c>
      <c r="F824" t="str">
        <f>IF(final_data786[[#This Row],[MONTH_CODE]]=1,"JANUARY",IF(final_data786[[#This Row],[MONTH_CODE]]=2,"FEBRUARY"))</f>
        <v>FEBRUARY</v>
      </c>
      <c r="G824">
        <v>17</v>
      </c>
      <c r="H824">
        <v>0</v>
      </c>
      <c r="I824">
        <v>0</v>
      </c>
      <c r="J8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4" t="str">
        <f>IF(final_data786[[#This Row],[DAY_CODE]]=0,"weekend",IF(final_data786[[#This Row],[DAY_CODE]]=6,"weekend","weekday"))</f>
        <v>weekend</v>
      </c>
      <c r="L824">
        <v>1</v>
      </c>
      <c r="M824" t="str">
        <f>IF(final_data786[[#This Row],[WEATHER_CODE]]=1,"clear",IF(final_data786[[#This Row],[WEATHER_CODE]]=2,"cloudy",IF(final_data786[[#This Row],[WEATHER_CODE]]=3,"light rain",IF(final_data786[[#This Row],[WEATHER_CODE]]=4,"heavy rain",0))))</f>
        <v>clear</v>
      </c>
      <c r="N824">
        <v>0.34</v>
      </c>
      <c r="O824">
        <v>0.36359999999999998</v>
      </c>
      <c r="P824">
        <v>0.46</v>
      </c>
      <c r="Q824">
        <v>0</v>
      </c>
      <c r="R824">
        <v>24</v>
      </c>
      <c r="S824">
        <v>97</v>
      </c>
      <c r="T824">
        <v>121</v>
      </c>
    </row>
    <row r="825" spans="1:20" x14ac:dyDescent="0.35">
      <c r="A825">
        <v>824</v>
      </c>
      <c r="B825" s="1">
        <v>40580</v>
      </c>
      <c r="C825">
        <v>1</v>
      </c>
      <c r="D825">
        <v>0</v>
      </c>
      <c r="E825">
        <v>2</v>
      </c>
      <c r="F825" t="str">
        <f>IF(final_data786[[#This Row],[MONTH_CODE]]=1,"JANUARY",IF(final_data786[[#This Row],[MONTH_CODE]]=2,"FEBRUARY"))</f>
        <v>FEBRUARY</v>
      </c>
      <c r="G825">
        <v>18</v>
      </c>
      <c r="H825">
        <v>0</v>
      </c>
      <c r="I825">
        <v>0</v>
      </c>
      <c r="J8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5" t="str">
        <f>IF(final_data786[[#This Row],[DAY_CODE]]=0,"weekend",IF(final_data786[[#This Row],[DAY_CODE]]=6,"weekend","weekday"))</f>
        <v>weekend</v>
      </c>
      <c r="L825">
        <v>1</v>
      </c>
      <c r="M825" t="str">
        <f>IF(final_data786[[#This Row],[WEATHER_CODE]]=1,"clear",IF(final_data786[[#This Row],[WEATHER_CODE]]=2,"cloudy",IF(final_data786[[#This Row],[WEATHER_CODE]]=3,"light rain",IF(final_data786[[#This Row],[WEATHER_CODE]]=4,"heavy rain",0))))</f>
        <v>clear</v>
      </c>
      <c r="N825">
        <v>0.3</v>
      </c>
      <c r="O825">
        <v>0.30299999999999999</v>
      </c>
      <c r="P825">
        <v>0.56000000000000005</v>
      </c>
      <c r="Q825">
        <v>0.16420000000000001</v>
      </c>
      <c r="R825">
        <v>13</v>
      </c>
      <c r="S825">
        <v>65</v>
      </c>
      <c r="T825">
        <v>78</v>
      </c>
    </row>
    <row r="826" spans="1:20" x14ac:dyDescent="0.35">
      <c r="A826">
        <v>825</v>
      </c>
      <c r="B826" s="1">
        <v>40580</v>
      </c>
      <c r="C826">
        <v>1</v>
      </c>
      <c r="D826">
        <v>0</v>
      </c>
      <c r="E826">
        <v>2</v>
      </c>
      <c r="F826" t="str">
        <f>IF(final_data786[[#This Row],[MONTH_CODE]]=1,"JANUARY",IF(final_data786[[#This Row],[MONTH_CODE]]=2,"FEBRUARY"))</f>
        <v>FEBRUARY</v>
      </c>
      <c r="G826">
        <v>19</v>
      </c>
      <c r="H826">
        <v>0</v>
      </c>
      <c r="I826">
        <v>0</v>
      </c>
      <c r="J8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6" t="str">
        <f>IF(final_data786[[#This Row],[DAY_CODE]]=0,"weekend",IF(final_data786[[#This Row],[DAY_CODE]]=6,"weekend","weekday"))</f>
        <v>weekend</v>
      </c>
      <c r="L826">
        <v>1</v>
      </c>
      <c r="M826" t="str">
        <f>IF(final_data786[[#This Row],[WEATHER_CODE]]=1,"clear",IF(final_data786[[#This Row],[WEATHER_CODE]]=2,"cloudy",IF(final_data786[[#This Row],[WEATHER_CODE]]=3,"light rain",IF(final_data786[[#This Row],[WEATHER_CODE]]=4,"heavy rain",0))))</f>
        <v>clear</v>
      </c>
      <c r="N826">
        <v>0.28000000000000003</v>
      </c>
      <c r="O826">
        <v>0.28789999999999999</v>
      </c>
      <c r="P826">
        <v>0.61</v>
      </c>
      <c r="Q826">
        <v>0.1343</v>
      </c>
      <c r="R826">
        <v>1</v>
      </c>
      <c r="S826">
        <v>20</v>
      </c>
      <c r="T826">
        <v>21</v>
      </c>
    </row>
    <row r="827" spans="1:20" x14ac:dyDescent="0.35">
      <c r="A827">
        <v>826</v>
      </c>
      <c r="B827" s="1">
        <v>40580</v>
      </c>
      <c r="C827">
        <v>1</v>
      </c>
      <c r="D827">
        <v>0</v>
      </c>
      <c r="E827">
        <v>2</v>
      </c>
      <c r="F827" t="str">
        <f>IF(final_data786[[#This Row],[MONTH_CODE]]=1,"JANUARY",IF(final_data786[[#This Row],[MONTH_CODE]]=2,"FEBRUARY"))</f>
        <v>FEBRUARY</v>
      </c>
      <c r="G827">
        <v>20</v>
      </c>
      <c r="H827">
        <v>0</v>
      </c>
      <c r="I827">
        <v>0</v>
      </c>
      <c r="J8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7" t="str">
        <f>IF(final_data786[[#This Row],[DAY_CODE]]=0,"weekend",IF(final_data786[[#This Row],[DAY_CODE]]=6,"weekend","weekday"))</f>
        <v>weekend</v>
      </c>
      <c r="L827">
        <v>1</v>
      </c>
      <c r="M827" t="str">
        <f>IF(final_data786[[#This Row],[WEATHER_CODE]]=1,"clear",IF(final_data786[[#This Row],[WEATHER_CODE]]=2,"cloudy",IF(final_data786[[#This Row],[WEATHER_CODE]]=3,"light rain",IF(final_data786[[#This Row],[WEATHER_CODE]]=4,"heavy rain",0))))</f>
        <v>clear</v>
      </c>
      <c r="N827">
        <v>0.28000000000000003</v>
      </c>
      <c r="O827">
        <v>0.28789999999999999</v>
      </c>
      <c r="P827">
        <v>0.61</v>
      </c>
      <c r="Q827">
        <v>0.1045</v>
      </c>
      <c r="R827">
        <v>5</v>
      </c>
      <c r="S827">
        <v>21</v>
      </c>
      <c r="T827">
        <v>26</v>
      </c>
    </row>
    <row r="828" spans="1:20" x14ac:dyDescent="0.35">
      <c r="A828">
        <v>827</v>
      </c>
      <c r="B828" s="1">
        <v>40580</v>
      </c>
      <c r="C828">
        <v>1</v>
      </c>
      <c r="D828">
        <v>0</v>
      </c>
      <c r="E828">
        <v>2</v>
      </c>
      <c r="F828" t="str">
        <f>IF(final_data786[[#This Row],[MONTH_CODE]]=1,"JANUARY",IF(final_data786[[#This Row],[MONTH_CODE]]=2,"FEBRUARY"))</f>
        <v>FEBRUARY</v>
      </c>
      <c r="G828">
        <v>21</v>
      </c>
      <c r="H828">
        <v>0</v>
      </c>
      <c r="I828">
        <v>0</v>
      </c>
      <c r="J8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8" t="str">
        <f>IF(final_data786[[#This Row],[DAY_CODE]]=0,"weekend",IF(final_data786[[#This Row],[DAY_CODE]]=6,"weekend","weekday"))</f>
        <v>weekend</v>
      </c>
      <c r="L828">
        <v>1</v>
      </c>
      <c r="M828" t="str">
        <f>IF(final_data786[[#This Row],[WEATHER_CODE]]=1,"clear",IF(final_data786[[#This Row],[WEATHER_CODE]]=2,"cloudy",IF(final_data786[[#This Row],[WEATHER_CODE]]=3,"light rain",IF(final_data786[[#This Row],[WEATHER_CODE]]=4,"heavy rain",0))))</f>
        <v>clear</v>
      </c>
      <c r="N828">
        <v>0.26</v>
      </c>
      <c r="O828">
        <v>0.30299999999999999</v>
      </c>
      <c r="P828">
        <v>0.6</v>
      </c>
      <c r="Q828">
        <v>0</v>
      </c>
      <c r="R828">
        <v>5</v>
      </c>
      <c r="S828">
        <v>22</v>
      </c>
      <c r="T828">
        <v>27</v>
      </c>
    </row>
    <row r="829" spans="1:20" x14ac:dyDescent="0.35">
      <c r="A829">
        <v>828</v>
      </c>
      <c r="B829" s="1">
        <v>40580</v>
      </c>
      <c r="C829">
        <v>1</v>
      </c>
      <c r="D829">
        <v>0</v>
      </c>
      <c r="E829">
        <v>2</v>
      </c>
      <c r="F829" t="str">
        <f>IF(final_data786[[#This Row],[MONTH_CODE]]=1,"JANUARY",IF(final_data786[[#This Row],[MONTH_CODE]]=2,"FEBRUARY"))</f>
        <v>FEBRUARY</v>
      </c>
      <c r="G829">
        <v>22</v>
      </c>
      <c r="H829">
        <v>0</v>
      </c>
      <c r="I829">
        <v>0</v>
      </c>
      <c r="J8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29" t="str">
        <f>IF(final_data786[[#This Row],[DAY_CODE]]=0,"weekend",IF(final_data786[[#This Row],[DAY_CODE]]=6,"weekend","weekday"))</f>
        <v>weekend</v>
      </c>
      <c r="L829">
        <v>1</v>
      </c>
      <c r="M829" t="str">
        <f>IF(final_data786[[#This Row],[WEATHER_CODE]]=1,"clear",IF(final_data786[[#This Row],[WEATHER_CODE]]=2,"cloudy",IF(final_data786[[#This Row],[WEATHER_CODE]]=3,"light rain",IF(final_data786[[#This Row],[WEATHER_CODE]]=4,"heavy rain",0))))</f>
        <v>clear</v>
      </c>
      <c r="N829">
        <v>0.26</v>
      </c>
      <c r="O829">
        <v>0.30299999999999999</v>
      </c>
      <c r="P829">
        <v>0.6</v>
      </c>
      <c r="Q829">
        <v>0</v>
      </c>
      <c r="R829">
        <v>5</v>
      </c>
      <c r="S829">
        <v>57</v>
      </c>
      <c r="T829">
        <v>62</v>
      </c>
    </row>
    <row r="830" spans="1:20" x14ac:dyDescent="0.35">
      <c r="A830">
        <v>829</v>
      </c>
      <c r="B830" s="1">
        <v>40580</v>
      </c>
      <c r="C830">
        <v>1</v>
      </c>
      <c r="D830">
        <v>0</v>
      </c>
      <c r="E830">
        <v>2</v>
      </c>
      <c r="F830" t="str">
        <f>IF(final_data786[[#This Row],[MONTH_CODE]]=1,"JANUARY",IF(final_data786[[#This Row],[MONTH_CODE]]=2,"FEBRUARY"))</f>
        <v>FEBRUARY</v>
      </c>
      <c r="G830">
        <v>23</v>
      </c>
      <c r="H830">
        <v>0</v>
      </c>
      <c r="I830">
        <v>0</v>
      </c>
      <c r="J8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830" t="str">
        <f>IF(final_data786[[#This Row],[DAY_CODE]]=0,"weekend",IF(final_data786[[#This Row],[DAY_CODE]]=6,"weekend","weekday"))</f>
        <v>weekend</v>
      </c>
      <c r="L830">
        <v>1</v>
      </c>
      <c r="M830" t="str">
        <f>IF(final_data786[[#This Row],[WEATHER_CODE]]=1,"clear",IF(final_data786[[#This Row],[WEATHER_CODE]]=2,"cloudy",IF(final_data786[[#This Row],[WEATHER_CODE]]=3,"light rain",IF(final_data786[[#This Row],[WEATHER_CODE]]=4,"heavy rain",0))))</f>
        <v>clear</v>
      </c>
      <c r="N830">
        <v>0.24</v>
      </c>
      <c r="O830">
        <v>0.28789999999999999</v>
      </c>
      <c r="P830">
        <v>0.65</v>
      </c>
      <c r="Q830">
        <v>0</v>
      </c>
      <c r="R830">
        <v>4</v>
      </c>
      <c r="S830">
        <v>26</v>
      </c>
      <c r="T830">
        <v>30</v>
      </c>
    </row>
    <row r="831" spans="1:20" x14ac:dyDescent="0.35">
      <c r="A831">
        <v>830</v>
      </c>
      <c r="B831" s="1">
        <v>40581</v>
      </c>
      <c r="C831">
        <v>1</v>
      </c>
      <c r="D831">
        <v>0</v>
      </c>
      <c r="E831">
        <v>2</v>
      </c>
      <c r="F831" t="str">
        <f>IF(final_data786[[#This Row],[MONTH_CODE]]=1,"JANUARY",IF(final_data786[[#This Row],[MONTH_CODE]]=2,"FEBRUARY"))</f>
        <v>FEBRUARY</v>
      </c>
      <c r="G831">
        <v>0</v>
      </c>
      <c r="H831">
        <v>0</v>
      </c>
      <c r="I831">
        <v>1</v>
      </c>
      <c r="J8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1" t="str">
        <f>IF(final_data786[[#This Row],[DAY_CODE]]=0,"weekend",IF(final_data786[[#This Row],[DAY_CODE]]=6,"weekend","weekday"))</f>
        <v>weekday</v>
      </c>
      <c r="L831">
        <v>1</v>
      </c>
      <c r="M831" t="str">
        <f>IF(final_data786[[#This Row],[WEATHER_CODE]]=1,"clear",IF(final_data786[[#This Row],[WEATHER_CODE]]=2,"cloudy",IF(final_data786[[#This Row],[WEATHER_CODE]]=3,"light rain",IF(final_data786[[#This Row],[WEATHER_CODE]]=4,"heavy rain",0))))</f>
        <v>clear</v>
      </c>
      <c r="N831">
        <v>0.24</v>
      </c>
      <c r="O831">
        <v>0.28789999999999999</v>
      </c>
      <c r="P831">
        <v>0.65</v>
      </c>
      <c r="Q831">
        <v>0</v>
      </c>
      <c r="R831">
        <v>1</v>
      </c>
      <c r="S831">
        <v>14</v>
      </c>
      <c r="T831">
        <v>15</v>
      </c>
    </row>
    <row r="832" spans="1:20" x14ac:dyDescent="0.35">
      <c r="A832">
        <v>831</v>
      </c>
      <c r="B832" s="1">
        <v>40581</v>
      </c>
      <c r="C832">
        <v>1</v>
      </c>
      <c r="D832">
        <v>0</v>
      </c>
      <c r="E832">
        <v>2</v>
      </c>
      <c r="F832" t="str">
        <f>IF(final_data786[[#This Row],[MONTH_CODE]]=1,"JANUARY",IF(final_data786[[#This Row],[MONTH_CODE]]=2,"FEBRUARY"))</f>
        <v>FEBRUARY</v>
      </c>
      <c r="G832">
        <v>1</v>
      </c>
      <c r="H832">
        <v>0</v>
      </c>
      <c r="I832">
        <v>1</v>
      </c>
      <c r="J8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2" t="str">
        <f>IF(final_data786[[#This Row],[DAY_CODE]]=0,"weekend",IF(final_data786[[#This Row],[DAY_CODE]]=6,"weekend","weekday"))</f>
        <v>weekday</v>
      </c>
      <c r="L832">
        <v>1</v>
      </c>
      <c r="M832" t="str">
        <f>IF(final_data786[[#This Row],[WEATHER_CODE]]=1,"clear",IF(final_data786[[#This Row],[WEATHER_CODE]]=2,"cloudy",IF(final_data786[[#This Row],[WEATHER_CODE]]=3,"light rain",IF(final_data786[[#This Row],[WEATHER_CODE]]=4,"heavy rain",0))))</f>
        <v>clear</v>
      </c>
      <c r="N832">
        <v>0.22</v>
      </c>
      <c r="O832">
        <v>0.2727</v>
      </c>
      <c r="P832">
        <v>0.75</v>
      </c>
      <c r="Q832">
        <v>0</v>
      </c>
      <c r="R832">
        <v>1</v>
      </c>
      <c r="S832">
        <v>4</v>
      </c>
      <c r="T832">
        <v>5</v>
      </c>
    </row>
    <row r="833" spans="1:20" x14ac:dyDescent="0.35">
      <c r="A833">
        <v>832</v>
      </c>
      <c r="B833" s="1">
        <v>40581</v>
      </c>
      <c r="C833">
        <v>1</v>
      </c>
      <c r="D833">
        <v>0</v>
      </c>
      <c r="E833">
        <v>2</v>
      </c>
      <c r="F833" t="str">
        <f>IF(final_data786[[#This Row],[MONTH_CODE]]=1,"JANUARY",IF(final_data786[[#This Row],[MONTH_CODE]]=2,"FEBRUARY"))</f>
        <v>FEBRUARY</v>
      </c>
      <c r="G833">
        <v>2</v>
      </c>
      <c r="H833">
        <v>0</v>
      </c>
      <c r="I833">
        <v>1</v>
      </c>
      <c r="J8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3" t="str">
        <f>IF(final_data786[[#This Row],[DAY_CODE]]=0,"weekend",IF(final_data786[[#This Row],[DAY_CODE]]=6,"weekend","weekday"))</f>
        <v>weekday</v>
      </c>
      <c r="L833">
        <v>1</v>
      </c>
      <c r="M833" t="str">
        <f>IF(final_data786[[#This Row],[WEATHER_CODE]]=1,"clear",IF(final_data786[[#This Row],[WEATHER_CODE]]=2,"cloudy",IF(final_data786[[#This Row],[WEATHER_CODE]]=3,"light rain",IF(final_data786[[#This Row],[WEATHER_CODE]]=4,"heavy rain",0))))</f>
        <v>clear</v>
      </c>
      <c r="N833">
        <v>0.2</v>
      </c>
      <c r="O833">
        <v>0.2576</v>
      </c>
      <c r="P833">
        <v>0.8</v>
      </c>
      <c r="Q833">
        <v>0</v>
      </c>
      <c r="R833">
        <v>0</v>
      </c>
      <c r="S833">
        <v>3</v>
      </c>
      <c r="T833">
        <v>3</v>
      </c>
    </row>
    <row r="834" spans="1:20" x14ac:dyDescent="0.35">
      <c r="A834">
        <v>833</v>
      </c>
      <c r="B834" s="1">
        <v>40581</v>
      </c>
      <c r="C834">
        <v>1</v>
      </c>
      <c r="D834">
        <v>0</v>
      </c>
      <c r="E834">
        <v>2</v>
      </c>
      <c r="F834" t="str">
        <f>IF(final_data786[[#This Row],[MONTH_CODE]]=1,"JANUARY",IF(final_data786[[#This Row],[MONTH_CODE]]=2,"FEBRUARY"))</f>
        <v>FEBRUARY</v>
      </c>
      <c r="G834">
        <v>3</v>
      </c>
      <c r="H834">
        <v>0</v>
      </c>
      <c r="I834">
        <v>1</v>
      </c>
      <c r="J8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4" t="str">
        <f>IF(final_data786[[#This Row],[DAY_CODE]]=0,"weekend",IF(final_data786[[#This Row],[DAY_CODE]]=6,"weekend","weekday"))</f>
        <v>weekday</v>
      </c>
      <c r="L834">
        <v>1</v>
      </c>
      <c r="M834" t="str">
        <f>IF(final_data786[[#This Row],[WEATHER_CODE]]=1,"clear",IF(final_data786[[#This Row],[WEATHER_CODE]]=2,"cloudy",IF(final_data786[[#This Row],[WEATHER_CODE]]=3,"light rain",IF(final_data786[[#This Row],[WEATHER_CODE]]=4,"heavy rain",0))))</f>
        <v>clear</v>
      </c>
      <c r="N834">
        <v>0.2</v>
      </c>
      <c r="O834">
        <v>0.2576</v>
      </c>
      <c r="P834">
        <v>0.86</v>
      </c>
      <c r="Q834">
        <v>0</v>
      </c>
      <c r="R834">
        <v>0</v>
      </c>
      <c r="S834">
        <v>1</v>
      </c>
      <c r="T834">
        <v>1</v>
      </c>
    </row>
    <row r="835" spans="1:20" x14ac:dyDescent="0.35">
      <c r="A835">
        <v>834</v>
      </c>
      <c r="B835" s="1">
        <v>40581</v>
      </c>
      <c r="C835">
        <v>1</v>
      </c>
      <c r="D835">
        <v>0</v>
      </c>
      <c r="E835">
        <v>2</v>
      </c>
      <c r="F835" t="str">
        <f>IF(final_data786[[#This Row],[MONTH_CODE]]=1,"JANUARY",IF(final_data786[[#This Row],[MONTH_CODE]]=2,"FEBRUARY"))</f>
        <v>FEBRUARY</v>
      </c>
      <c r="G835">
        <v>4</v>
      </c>
      <c r="H835">
        <v>0</v>
      </c>
      <c r="I835">
        <v>1</v>
      </c>
      <c r="J8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5" t="str">
        <f>IF(final_data786[[#This Row],[DAY_CODE]]=0,"weekend",IF(final_data786[[#This Row],[DAY_CODE]]=6,"weekend","weekday"))</f>
        <v>weekday</v>
      </c>
      <c r="L835">
        <v>1</v>
      </c>
      <c r="M835" t="str">
        <f>IF(final_data786[[#This Row],[WEATHER_CODE]]=1,"clear",IF(final_data786[[#This Row],[WEATHER_CODE]]=2,"cloudy",IF(final_data786[[#This Row],[WEATHER_CODE]]=3,"light rain",IF(final_data786[[#This Row],[WEATHER_CODE]]=4,"heavy rain",0))))</f>
        <v>clear</v>
      </c>
      <c r="N835">
        <v>0.2</v>
      </c>
      <c r="O835">
        <v>0.2576</v>
      </c>
      <c r="P835">
        <v>0.86</v>
      </c>
      <c r="Q835">
        <v>0</v>
      </c>
      <c r="R835">
        <v>1</v>
      </c>
      <c r="S835">
        <v>1</v>
      </c>
      <c r="T835">
        <v>2</v>
      </c>
    </row>
    <row r="836" spans="1:20" x14ac:dyDescent="0.35">
      <c r="A836">
        <v>835</v>
      </c>
      <c r="B836" s="1">
        <v>40581</v>
      </c>
      <c r="C836">
        <v>1</v>
      </c>
      <c r="D836">
        <v>0</v>
      </c>
      <c r="E836">
        <v>2</v>
      </c>
      <c r="F836" t="str">
        <f>IF(final_data786[[#This Row],[MONTH_CODE]]=1,"JANUARY",IF(final_data786[[#This Row],[MONTH_CODE]]=2,"FEBRUARY"))</f>
        <v>FEBRUARY</v>
      </c>
      <c r="G836">
        <v>5</v>
      </c>
      <c r="H836">
        <v>0</v>
      </c>
      <c r="I836">
        <v>1</v>
      </c>
      <c r="J8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6" t="str">
        <f>IF(final_data786[[#This Row],[DAY_CODE]]=0,"weekend",IF(final_data786[[#This Row],[DAY_CODE]]=6,"weekend","weekday"))</f>
        <v>weekday</v>
      </c>
      <c r="L836">
        <v>1</v>
      </c>
      <c r="M836" t="str">
        <f>IF(final_data786[[#This Row],[WEATHER_CODE]]=1,"clear",IF(final_data786[[#This Row],[WEATHER_CODE]]=2,"cloudy",IF(final_data786[[#This Row],[WEATHER_CODE]]=3,"light rain",IF(final_data786[[#This Row],[WEATHER_CODE]]=4,"heavy rain",0))))</f>
        <v>clear</v>
      </c>
      <c r="N836">
        <v>0.2</v>
      </c>
      <c r="O836">
        <v>0.2576</v>
      </c>
      <c r="P836">
        <v>0.86</v>
      </c>
      <c r="Q836">
        <v>0</v>
      </c>
      <c r="R836">
        <v>1</v>
      </c>
      <c r="S836">
        <v>9</v>
      </c>
      <c r="T836">
        <v>10</v>
      </c>
    </row>
    <row r="837" spans="1:20" x14ac:dyDescent="0.35">
      <c r="A837">
        <v>836</v>
      </c>
      <c r="B837" s="1">
        <v>40581</v>
      </c>
      <c r="C837">
        <v>1</v>
      </c>
      <c r="D837">
        <v>0</v>
      </c>
      <c r="E837">
        <v>2</v>
      </c>
      <c r="F837" t="str">
        <f>IF(final_data786[[#This Row],[MONTH_CODE]]=1,"JANUARY",IF(final_data786[[#This Row],[MONTH_CODE]]=2,"FEBRUARY"))</f>
        <v>FEBRUARY</v>
      </c>
      <c r="G837">
        <v>6</v>
      </c>
      <c r="H837">
        <v>0</v>
      </c>
      <c r="I837">
        <v>1</v>
      </c>
      <c r="J8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7" t="str">
        <f>IF(final_data786[[#This Row],[DAY_CODE]]=0,"weekend",IF(final_data786[[#This Row],[DAY_CODE]]=6,"weekend","weekday"))</f>
        <v>weekday</v>
      </c>
      <c r="L837">
        <v>1</v>
      </c>
      <c r="M837" t="str">
        <f>IF(final_data786[[#This Row],[WEATHER_CODE]]=1,"clear",IF(final_data786[[#This Row],[WEATHER_CODE]]=2,"cloudy",IF(final_data786[[#This Row],[WEATHER_CODE]]=3,"light rain",IF(final_data786[[#This Row],[WEATHER_CODE]]=4,"heavy rain",0))))</f>
        <v>clear</v>
      </c>
      <c r="N837">
        <v>0.18</v>
      </c>
      <c r="O837">
        <v>0.2424</v>
      </c>
      <c r="P837">
        <v>0.93</v>
      </c>
      <c r="Q837">
        <v>0</v>
      </c>
      <c r="R837">
        <v>1</v>
      </c>
      <c r="S837">
        <v>29</v>
      </c>
      <c r="T837">
        <v>30</v>
      </c>
    </row>
    <row r="838" spans="1:20" x14ac:dyDescent="0.35">
      <c r="A838">
        <v>837</v>
      </c>
      <c r="B838" s="1">
        <v>40581</v>
      </c>
      <c r="C838">
        <v>1</v>
      </c>
      <c r="D838">
        <v>0</v>
      </c>
      <c r="E838">
        <v>2</v>
      </c>
      <c r="F838" t="str">
        <f>IF(final_data786[[#This Row],[MONTH_CODE]]=1,"JANUARY",IF(final_data786[[#This Row],[MONTH_CODE]]=2,"FEBRUARY"))</f>
        <v>FEBRUARY</v>
      </c>
      <c r="G838">
        <v>7</v>
      </c>
      <c r="H838">
        <v>0</v>
      </c>
      <c r="I838">
        <v>1</v>
      </c>
      <c r="J8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8" t="str">
        <f>IF(final_data786[[#This Row],[DAY_CODE]]=0,"weekend",IF(final_data786[[#This Row],[DAY_CODE]]=6,"weekend","weekday"))</f>
        <v>weekday</v>
      </c>
      <c r="L838">
        <v>1</v>
      </c>
      <c r="M838" t="str">
        <f>IF(final_data786[[#This Row],[WEATHER_CODE]]=1,"clear",IF(final_data786[[#This Row],[WEATHER_CODE]]=2,"cloudy",IF(final_data786[[#This Row],[WEATHER_CODE]]=3,"light rain",IF(final_data786[[#This Row],[WEATHER_CODE]]=4,"heavy rain",0))))</f>
        <v>clear</v>
      </c>
      <c r="N838">
        <v>0.18</v>
      </c>
      <c r="O838">
        <v>0.2424</v>
      </c>
      <c r="P838">
        <v>0.86</v>
      </c>
      <c r="Q838">
        <v>0</v>
      </c>
      <c r="R838">
        <v>6</v>
      </c>
      <c r="S838">
        <v>89</v>
      </c>
      <c r="T838">
        <v>95</v>
      </c>
    </row>
    <row r="839" spans="1:20" x14ac:dyDescent="0.35">
      <c r="A839">
        <v>838</v>
      </c>
      <c r="B839" s="1">
        <v>40581</v>
      </c>
      <c r="C839">
        <v>1</v>
      </c>
      <c r="D839">
        <v>0</v>
      </c>
      <c r="E839">
        <v>2</v>
      </c>
      <c r="F839" t="str">
        <f>IF(final_data786[[#This Row],[MONTH_CODE]]=1,"JANUARY",IF(final_data786[[#This Row],[MONTH_CODE]]=2,"FEBRUARY"))</f>
        <v>FEBRUARY</v>
      </c>
      <c r="G839">
        <v>8</v>
      </c>
      <c r="H839">
        <v>0</v>
      </c>
      <c r="I839">
        <v>1</v>
      </c>
      <c r="J8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39" t="str">
        <f>IF(final_data786[[#This Row],[DAY_CODE]]=0,"weekend",IF(final_data786[[#This Row],[DAY_CODE]]=6,"weekend","weekday"))</f>
        <v>weekday</v>
      </c>
      <c r="L839">
        <v>2</v>
      </c>
      <c r="M839" t="str">
        <f>IF(final_data786[[#This Row],[WEATHER_CODE]]=1,"clear",IF(final_data786[[#This Row],[WEATHER_CODE]]=2,"cloudy",IF(final_data786[[#This Row],[WEATHER_CODE]]=3,"light rain",IF(final_data786[[#This Row],[WEATHER_CODE]]=4,"heavy rain",0))))</f>
        <v>cloudy</v>
      </c>
      <c r="N839">
        <v>0.16</v>
      </c>
      <c r="O839">
        <v>0.2273</v>
      </c>
      <c r="P839">
        <v>1</v>
      </c>
      <c r="Q839">
        <v>0</v>
      </c>
      <c r="R839">
        <v>7</v>
      </c>
      <c r="S839">
        <v>223</v>
      </c>
      <c r="T839">
        <v>230</v>
      </c>
    </row>
    <row r="840" spans="1:20" x14ac:dyDescent="0.35">
      <c r="A840">
        <v>839</v>
      </c>
      <c r="B840" s="1">
        <v>40581</v>
      </c>
      <c r="C840">
        <v>1</v>
      </c>
      <c r="D840">
        <v>0</v>
      </c>
      <c r="E840">
        <v>2</v>
      </c>
      <c r="F840" t="str">
        <f>IF(final_data786[[#This Row],[MONTH_CODE]]=1,"JANUARY",IF(final_data786[[#This Row],[MONTH_CODE]]=2,"FEBRUARY"))</f>
        <v>FEBRUARY</v>
      </c>
      <c r="G840">
        <v>9</v>
      </c>
      <c r="H840">
        <v>0</v>
      </c>
      <c r="I840">
        <v>1</v>
      </c>
      <c r="J8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0" t="str">
        <f>IF(final_data786[[#This Row],[DAY_CODE]]=0,"weekend",IF(final_data786[[#This Row],[DAY_CODE]]=6,"weekend","weekday"))</f>
        <v>weekday</v>
      </c>
      <c r="L840">
        <v>1</v>
      </c>
      <c r="M840" t="str">
        <f>IF(final_data786[[#This Row],[WEATHER_CODE]]=1,"clear",IF(final_data786[[#This Row],[WEATHER_CODE]]=2,"cloudy",IF(final_data786[[#This Row],[WEATHER_CODE]]=3,"light rain",IF(final_data786[[#This Row],[WEATHER_CODE]]=4,"heavy rain",0))))</f>
        <v>clear</v>
      </c>
      <c r="N840">
        <v>0.22</v>
      </c>
      <c r="O840">
        <v>0.2727</v>
      </c>
      <c r="P840">
        <v>0.8</v>
      </c>
      <c r="Q840">
        <v>0</v>
      </c>
      <c r="R840">
        <v>3</v>
      </c>
      <c r="S840">
        <v>115</v>
      </c>
      <c r="T840">
        <v>118</v>
      </c>
    </row>
    <row r="841" spans="1:20" x14ac:dyDescent="0.35">
      <c r="A841">
        <v>840</v>
      </c>
      <c r="B841" s="1">
        <v>40581</v>
      </c>
      <c r="C841">
        <v>1</v>
      </c>
      <c r="D841">
        <v>0</v>
      </c>
      <c r="E841">
        <v>2</v>
      </c>
      <c r="F841" t="str">
        <f>IF(final_data786[[#This Row],[MONTH_CODE]]=1,"JANUARY",IF(final_data786[[#This Row],[MONTH_CODE]]=2,"FEBRUARY"))</f>
        <v>FEBRUARY</v>
      </c>
      <c r="G841">
        <v>10</v>
      </c>
      <c r="H841">
        <v>0</v>
      </c>
      <c r="I841">
        <v>1</v>
      </c>
      <c r="J8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1" t="str">
        <f>IF(final_data786[[#This Row],[DAY_CODE]]=0,"weekend",IF(final_data786[[#This Row],[DAY_CODE]]=6,"weekend","weekday"))</f>
        <v>weekday</v>
      </c>
      <c r="L841">
        <v>1</v>
      </c>
      <c r="M841" t="str">
        <f>IF(final_data786[[#This Row],[WEATHER_CODE]]=1,"clear",IF(final_data786[[#This Row],[WEATHER_CODE]]=2,"cloudy",IF(final_data786[[#This Row],[WEATHER_CODE]]=3,"light rain",IF(final_data786[[#This Row],[WEATHER_CODE]]=4,"heavy rain",0))))</f>
        <v>clear</v>
      </c>
      <c r="N841">
        <v>0.24</v>
      </c>
      <c r="O841">
        <v>0.2576</v>
      </c>
      <c r="P841">
        <v>0.75</v>
      </c>
      <c r="Q841">
        <v>0.1045</v>
      </c>
      <c r="R841">
        <v>6</v>
      </c>
      <c r="S841">
        <v>49</v>
      </c>
      <c r="T841">
        <v>55</v>
      </c>
    </row>
    <row r="842" spans="1:20" x14ac:dyDescent="0.35">
      <c r="A842">
        <v>841</v>
      </c>
      <c r="B842" s="1">
        <v>40581</v>
      </c>
      <c r="C842">
        <v>1</v>
      </c>
      <c r="D842">
        <v>0</v>
      </c>
      <c r="E842">
        <v>2</v>
      </c>
      <c r="F842" t="str">
        <f>IF(final_data786[[#This Row],[MONTH_CODE]]=1,"JANUARY",IF(final_data786[[#This Row],[MONTH_CODE]]=2,"FEBRUARY"))</f>
        <v>FEBRUARY</v>
      </c>
      <c r="G842">
        <v>11</v>
      </c>
      <c r="H842">
        <v>0</v>
      </c>
      <c r="I842">
        <v>1</v>
      </c>
      <c r="J8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2" t="str">
        <f>IF(final_data786[[#This Row],[DAY_CODE]]=0,"weekend",IF(final_data786[[#This Row],[DAY_CODE]]=6,"weekend","weekday"))</f>
        <v>weekday</v>
      </c>
      <c r="L842">
        <v>1</v>
      </c>
      <c r="M842" t="str">
        <f>IF(final_data786[[#This Row],[WEATHER_CODE]]=1,"clear",IF(final_data786[[#This Row],[WEATHER_CODE]]=2,"cloudy",IF(final_data786[[#This Row],[WEATHER_CODE]]=3,"light rain",IF(final_data786[[#This Row],[WEATHER_CODE]]=4,"heavy rain",0))))</f>
        <v>clear</v>
      </c>
      <c r="N842">
        <v>0.3</v>
      </c>
      <c r="O842">
        <v>0.31819999999999998</v>
      </c>
      <c r="P842">
        <v>0.65</v>
      </c>
      <c r="Q842">
        <v>8.9599999999999999E-2</v>
      </c>
      <c r="R842">
        <v>11</v>
      </c>
      <c r="S842">
        <v>36</v>
      </c>
      <c r="T842">
        <v>47</v>
      </c>
    </row>
    <row r="843" spans="1:20" x14ac:dyDescent="0.35">
      <c r="A843">
        <v>842</v>
      </c>
      <c r="B843" s="1">
        <v>40581</v>
      </c>
      <c r="C843">
        <v>1</v>
      </c>
      <c r="D843">
        <v>0</v>
      </c>
      <c r="E843">
        <v>2</v>
      </c>
      <c r="F843" t="str">
        <f>IF(final_data786[[#This Row],[MONTH_CODE]]=1,"JANUARY",IF(final_data786[[#This Row],[MONTH_CODE]]=2,"FEBRUARY"))</f>
        <v>FEBRUARY</v>
      </c>
      <c r="G843">
        <v>12</v>
      </c>
      <c r="H843">
        <v>0</v>
      </c>
      <c r="I843">
        <v>1</v>
      </c>
      <c r="J8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3" t="str">
        <f>IF(final_data786[[#This Row],[DAY_CODE]]=0,"weekend",IF(final_data786[[#This Row],[DAY_CODE]]=6,"weekend","weekday"))</f>
        <v>weekday</v>
      </c>
      <c r="L843">
        <v>2</v>
      </c>
      <c r="M843" t="str">
        <f>IF(final_data786[[#This Row],[WEATHER_CODE]]=1,"clear",IF(final_data786[[#This Row],[WEATHER_CODE]]=2,"cloudy",IF(final_data786[[#This Row],[WEATHER_CODE]]=3,"light rain",IF(final_data786[[#This Row],[WEATHER_CODE]]=4,"heavy rain",0))))</f>
        <v>cloudy</v>
      </c>
      <c r="N843">
        <v>0.32</v>
      </c>
      <c r="O843">
        <v>0.34849999999999998</v>
      </c>
      <c r="P843">
        <v>0.62</v>
      </c>
      <c r="Q843">
        <v>0</v>
      </c>
      <c r="R843">
        <v>7</v>
      </c>
      <c r="S843">
        <v>59</v>
      </c>
      <c r="T843">
        <v>66</v>
      </c>
    </row>
    <row r="844" spans="1:20" x14ac:dyDescent="0.35">
      <c r="A844">
        <v>843</v>
      </c>
      <c r="B844" s="1">
        <v>40581</v>
      </c>
      <c r="C844">
        <v>1</v>
      </c>
      <c r="D844">
        <v>0</v>
      </c>
      <c r="E844">
        <v>2</v>
      </c>
      <c r="F844" t="str">
        <f>IF(final_data786[[#This Row],[MONTH_CODE]]=1,"JANUARY",IF(final_data786[[#This Row],[MONTH_CODE]]=2,"FEBRUARY"))</f>
        <v>FEBRUARY</v>
      </c>
      <c r="G844">
        <v>13</v>
      </c>
      <c r="H844">
        <v>0</v>
      </c>
      <c r="I844">
        <v>1</v>
      </c>
      <c r="J8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4" t="str">
        <f>IF(final_data786[[#This Row],[DAY_CODE]]=0,"weekend",IF(final_data786[[#This Row],[DAY_CODE]]=6,"weekend","weekday"))</f>
        <v>weekday</v>
      </c>
      <c r="L844">
        <v>2</v>
      </c>
      <c r="M844" t="str">
        <f>IF(final_data786[[#This Row],[WEATHER_CODE]]=1,"clear",IF(final_data786[[#This Row],[WEATHER_CODE]]=2,"cloudy",IF(final_data786[[#This Row],[WEATHER_CODE]]=3,"light rain",IF(final_data786[[#This Row],[WEATHER_CODE]]=4,"heavy rain",0))))</f>
        <v>cloudy</v>
      </c>
      <c r="N844">
        <v>0.36</v>
      </c>
      <c r="O844">
        <v>0.36359999999999998</v>
      </c>
      <c r="P844">
        <v>0.56999999999999995</v>
      </c>
      <c r="Q844">
        <v>8.9599999999999999E-2</v>
      </c>
      <c r="R844">
        <v>10</v>
      </c>
      <c r="S844">
        <v>54</v>
      </c>
      <c r="T844">
        <v>64</v>
      </c>
    </row>
    <row r="845" spans="1:20" x14ac:dyDescent="0.35">
      <c r="A845">
        <v>844</v>
      </c>
      <c r="B845" s="1">
        <v>40581</v>
      </c>
      <c r="C845">
        <v>1</v>
      </c>
      <c r="D845">
        <v>0</v>
      </c>
      <c r="E845">
        <v>2</v>
      </c>
      <c r="F845" t="str">
        <f>IF(final_data786[[#This Row],[MONTH_CODE]]=1,"JANUARY",IF(final_data786[[#This Row],[MONTH_CODE]]=2,"FEBRUARY"))</f>
        <v>FEBRUARY</v>
      </c>
      <c r="G845">
        <v>14</v>
      </c>
      <c r="H845">
        <v>0</v>
      </c>
      <c r="I845">
        <v>1</v>
      </c>
      <c r="J8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5" t="str">
        <f>IF(final_data786[[#This Row],[DAY_CODE]]=0,"weekend",IF(final_data786[[#This Row],[DAY_CODE]]=6,"weekend","weekday"))</f>
        <v>weekday</v>
      </c>
      <c r="L845">
        <v>2</v>
      </c>
      <c r="M845" t="str">
        <f>IF(final_data786[[#This Row],[WEATHER_CODE]]=1,"clear",IF(final_data786[[#This Row],[WEATHER_CODE]]=2,"cloudy",IF(final_data786[[#This Row],[WEATHER_CODE]]=3,"light rain",IF(final_data786[[#This Row],[WEATHER_CODE]]=4,"heavy rain",0))))</f>
        <v>cloudy</v>
      </c>
      <c r="N845">
        <v>0.36</v>
      </c>
      <c r="O845">
        <v>0.36359999999999998</v>
      </c>
      <c r="P845">
        <v>0.56999999999999995</v>
      </c>
      <c r="Q845">
        <v>8.9599999999999999E-2</v>
      </c>
      <c r="R845">
        <v>8</v>
      </c>
      <c r="S845">
        <v>52</v>
      </c>
      <c r="T845">
        <v>60</v>
      </c>
    </row>
    <row r="846" spans="1:20" x14ac:dyDescent="0.35">
      <c r="A846">
        <v>845</v>
      </c>
      <c r="B846" s="1">
        <v>40581</v>
      </c>
      <c r="C846">
        <v>1</v>
      </c>
      <c r="D846">
        <v>0</v>
      </c>
      <c r="E846">
        <v>2</v>
      </c>
      <c r="F846" t="str">
        <f>IF(final_data786[[#This Row],[MONTH_CODE]]=1,"JANUARY",IF(final_data786[[#This Row],[MONTH_CODE]]=2,"FEBRUARY"))</f>
        <v>FEBRUARY</v>
      </c>
      <c r="G846">
        <v>15</v>
      </c>
      <c r="H846">
        <v>0</v>
      </c>
      <c r="I846">
        <v>1</v>
      </c>
      <c r="J8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6" t="str">
        <f>IF(final_data786[[#This Row],[DAY_CODE]]=0,"weekend",IF(final_data786[[#This Row],[DAY_CODE]]=6,"weekend","weekday"))</f>
        <v>weekday</v>
      </c>
      <c r="L846">
        <v>2</v>
      </c>
      <c r="M846" t="str">
        <f>IF(final_data786[[#This Row],[WEATHER_CODE]]=1,"clear",IF(final_data786[[#This Row],[WEATHER_CODE]]=2,"cloudy",IF(final_data786[[#This Row],[WEATHER_CODE]]=3,"light rain",IF(final_data786[[#This Row],[WEATHER_CODE]]=4,"heavy rain",0))))</f>
        <v>cloudy</v>
      </c>
      <c r="N846">
        <v>0.38</v>
      </c>
      <c r="O846">
        <v>0.39389999999999997</v>
      </c>
      <c r="P846">
        <v>0.54</v>
      </c>
      <c r="Q846">
        <v>8.9599999999999999E-2</v>
      </c>
      <c r="R846">
        <v>4</v>
      </c>
      <c r="S846">
        <v>46</v>
      </c>
      <c r="T846">
        <v>50</v>
      </c>
    </row>
    <row r="847" spans="1:20" x14ac:dyDescent="0.35">
      <c r="A847">
        <v>846</v>
      </c>
      <c r="B847" s="1">
        <v>40581</v>
      </c>
      <c r="C847">
        <v>1</v>
      </c>
      <c r="D847">
        <v>0</v>
      </c>
      <c r="E847">
        <v>2</v>
      </c>
      <c r="F847" t="str">
        <f>IF(final_data786[[#This Row],[MONTH_CODE]]=1,"JANUARY",IF(final_data786[[#This Row],[MONTH_CODE]]=2,"FEBRUARY"))</f>
        <v>FEBRUARY</v>
      </c>
      <c r="G847">
        <v>16</v>
      </c>
      <c r="H847">
        <v>0</v>
      </c>
      <c r="I847">
        <v>1</v>
      </c>
      <c r="J8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7" t="str">
        <f>IF(final_data786[[#This Row],[DAY_CODE]]=0,"weekend",IF(final_data786[[#This Row],[DAY_CODE]]=6,"weekend","weekday"))</f>
        <v>weekday</v>
      </c>
      <c r="L847">
        <v>2</v>
      </c>
      <c r="M847" t="str">
        <f>IF(final_data786[[#This Row],[WEATHER_CODE]]=1,"clear",IF(final_data786[[#This Row],[WEATHER_CODE]]=2,"cloudy",IF(final_data786[[#This Row],[WEATHER_CODE]]=3,"light rain",IF(final_data786[[#This Row],[WEATHER_CODE]]=4,"heavy rain",0))))</f>
        <v>cloudy</v>
      </c>
      <c r="N847">
        <v>0.36</v>
      </c>
      <c r="O847">
        <v>0.34849999999999998</v>
      </c>
      <c r="P847">
        <v>0.56999999999999995</v>
      </c>
      <c r="Q847">
        <v>0.1343</v>
      </c>
      <c r="R847">
        <v>16</v>
      </c>
      <c r="S847">
        <v>98</v>
      </c>
      <c r="T847">
        <v>114</v>
      </c>
    </row>
    <row r="848" spans="1:20" x14ac:dyDescent="0.35">
      <c r="A848">
        <v>847</v>
      </c>
      <c r="B848" s="1">
        <v>40581</v>
      </c>
      <c r="C848">
        <v>1</v>
      </c>
      <c r="D848">
        <v>0</v>
      </c>
      <c r="E848">
        <v>2</v>
      </c>
      <c r="F848" t="str">
        <f>IF(final_data786[[#This Row],[MONTH_CODE]]=1,"JANUARY",IF(final_data786[[#This Row],[MONTH_CODE]]=2,"FEBRUARY"))</f>
        <v>FEBRUARY</v>
      </c>
      <c r="G848">
        <v>17</v>
      </c>
      <c r="H848">
        <v>0</v>
      </c>
      <c r="I848">
        <v>1</v>
      </c>
      <c r="J8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8" t="str">
        <f>IF(final_data786[[#This Row],[DAY_CODE]]=0,"weekend",IF(final_data786[[#This Row],[DAY_CODE]]=6,"weekend","weekday"))</f>
        <v>weekday</v>
      </c>
      <c r="L848">
        <v>2</v>
      </c>
      <c r="M848" t="str">
        <f>IF(final_data786[[#This Row],[WEATHER_CODE]]=1,"clear",IF(final_data786[[#This Row],[WEATHER_CODE]]=2,"cloudy",IF(final_data786[[#This Row],[WEATHER_CODE]]=3,"light rain",IF(final_data786[[#This Row],[WEATHER_CODE]]=4,"heavy rain",0))))</f>
        <v>cloudy</v>
      </c>
      <c r="N848">
        <v>0.32</v>
      </c>
      <c r="O848">
        <v>0.31819999999999998</v>
      </c>
      <c r="P848">
        <v>0.7</v>
      </c>
      <c r="Q848">
        <v>0.16420000000000001</v>
      </c>
      <c r="R848">
        <v>9</v>
      </c>
      <c r="S848">
        <v>207</v>
      </c>
      <c r="T848">
        <v>216</v>
      </c>
    </row>
    <row r="849" spans="1:20" x14ac:dyDescent="0.35">
      <c r="A849">
        <v>848</v>
      </c>
      <c r="B849" s="1">
        <v>40581</v>
      </c>
      <c r="C849">
        <v>1</v>
      </c>
      <c r="D849">
        <v>0</v>
      </c>
      <c r="E849">
        <v>2</v>
      </c>
      <c r="F849" t="str">
        <f>IF(final_data786[[#This Row],[MONTH_CODE]]=1,"JANUARY",IF(final_data786[[#This Row],[MONTH_CODE]]=2,"FEBRUARY"))</f>
        <v>FEBRUARY</v>
      </c>
      <c r="G849">
        <v>18</v>
      </c>
      <c r="H849">
        <v>0</v>
      </c>
      <c r="I849">
        <v>1</v>
      </c>
      <c r="J8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49" t="str">
        <f>IF(final_data786[[#This Row],[DAY_CODE]]=0,"weekend",IF(final_data786[[#This Row],[DAY_CODE]]=6,"weekend","weekday"))</f>
        <v>weekday</v>
      </c>
      <c r="L849">
        <v>2</v>
      </c>
      <c r="M849" t="str">
        <f>IF(final_data786[[#This Row],[WEATHER_CODE]]=1,"clear",IF(final_data786[[#This Row],[WEATHER_CODE]]=2,"cloudy",IF(final_data786[[#This Row],[WEATHER_CODE]]=3,"light rain",IF(final_data786[[#This Row],[WEATHER_CODE]]=4,"heavy rain",0))))</f>
        <v>cloudy</v>
      </c>
      <c r="N849">
        <v>0.34</v>
      </c>
      <c r="O849">
        <v>0.33329999999999999</v>
      </c>
      <c r="P849">
        <v>0.66</v>
      </c>
      <c r="Q849">
        <v>0.1343</v>
      </c>
      <c r="R849">
        <v>5</v>
      </c>
      <c r="S849">
        <v>170</v>
      </c>
      <c r="T849">
        <v>175</v>
      </c>
    </row>
    <row r="850" spans="1:20" x14ac:dyDescent="0.35">
      <c r="A850">
        <v>849</v>
      </c>
      <c r="B850" s="1">
        <v>40581</v>
      </c>
      <c r="C850">
        <v>1</v>
      </c>
      <c r="D850">
        <v>0</v>
      </c>
      <c r="E850">
        <v>2</v>
      </c>
      <c r="F850" t="str">
        <f>IF(final_data786[[#This Row],[MONTH_CODE]]=1,"JANUARY",IF(final_data786[[#This Row],[MONTH_CODE]]=2,"FEBRUARY"))</f>
        <v>FEBRUARY</v>
      </c>
      <c r="G850">
        <v>19</v>
      </c>
      <c r="H850">
        <v>0</v>
      </c>
      <c r="I850">
        <v>1</v>
      </c>
      <c r="J8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50" t="str">
        <f>IF(final_data786[[#This Row],[DAY_CODE]]=0,"weekend",IF(final_data786[[#This Row],[DAY_CODE]]=6,"weekend","weekday"))</f>
        <v>weekday</v>
      </c>
      <c r="L850">
        <v>2</v>
      </c>
      <c r="M850" t="str">
        <f>IF(final_data786[[#This Row],[WEATHER_CODE]]=1,"clear",IF(final_data786[[#This Row],[WEATHER_CODE]]=2,"cloudy",IF(final_data786[[#This Row],[WEATHER_CODE]]=3,"light rain",IF(final_data786[[#This Row],[WEATHER_CODE]]=4,"heavy rain",0))))</f>
        <v>cloudy</v>
      </c>
      <c r="N850">
        <v>0.32</v>
      </c>
      <c r="O850">
        <v>0.34849999999999998</v>
      </c>
      <c r="P850">
        <v>0.7</v>
      </c>
      <c r="Q850">
        <v>0</v>
      </c>
      <c r="R850">
        <v>5</v>
      </c>
      <c r="S850">
        <v>123</v>
      </c>
      <c r="T850">
        <v>128</v>
      </c>
    </row>
    <row r="851" spans="1:20" x14ac:dyDescent="0.35">
      <c r="A851">
        <v>850</v>
      </c>
      <c r="B851" s="1">
        <v>40581</v>
      </c>
      <c r="C851">
        <v>1</v>
      </c>
      <c r="D851">
        <v>0</v>
      </c>
      <c r="E851">
        <v>2</v>
      </c>
      <c r="F851" t="str">
        <f>IF(final_data786[[#This Row],[MONTH_CODE]]=1,"JANUARY",IF(final_data786[[#This Row],[MONTH_CODE]]=2,"FEBRUARY"))</f>
        <v>FEBRUARY</v>
      </c>
      <c r="G851">
        <v>20</v>
      </c>
      <c r="H851">
        <v>0</v>
      </c>
      <c r="I851">
        <v>1</v>
      </c>
      <c r="J8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51" t="str">
        <f>IF(final_data786[[#This Row],[DAY_CODE]]=0,"weekend",IF(final_data786[[#This Row],[DAY_CODE]]=6,"weekend","weekday"))</f>
        <v>weekday</v>
      </c>
      <c r="L851">
        <v>2</v>
      </c>
      <c r="M851" t="str">
        <f>IF(final_data786[[#This Row],[WEATHER_CODE]]=1,"clear",IF(final_data786[[#This Row],[WEATHER_CODE]]=2,"cloudy",IF(final_data786[[#This Row],[WEATHER_CODE]]=3,"light rain",IF(final_data786[[#This Row],[WEATHER_CODE]]=4,"heavy rain",0))))</f>
        <v>cloudy</v>
      </c>
      <c r="N851">
        <v>0.32</v>
      </c>
      <c r="O851">
        <v>0.33329999999999999</v>
      </c>
      <c r="P851">
        <v>0.7</v>
      </c>
      <c r="Q851">
        <v>0.1045</v>
      </c>
      <c r="R851">
        <v>6</v>
      </c>
      <c r="S851">
        <v>82</v>
      </c>
      <c r="T851">
        <v>88</v>
      </c>
    </row>
    <row r="852" spans="1:20" x14ac:dyDescent="0.35">
      <c r="A852">
        <v>851</v>
      </c>
      <c r="B852" s="1">
        <v>40581</v>
      </c>
      <c r="C852">
        <v>1</v>
      </c>
      <c r="D852">
        <v>0</v>
      </c>
      <c r="E852">
        <v>2</v>
      </c>
      <c r="F852" t="str">
        <f>IF(final_data786[[#This Row],[MONTH_CODE]]=1,"JANUARY",IF(final_data786[[#This Row],[MONTH_CODE]]=2,"FEBRUARY"))</f>
        <v>FEBRUARY</v>
      </c>
      <c r="G852">
        <v>21</v>
      </c>
      <c r="H852">
        <v>0</v>
      </c>
      <c r="I852">
        <v>1</v>
      </c>
      <c r="J8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52" t="str">
        <f>IF(final_data786[[#This Row],[DAY_CODE]]=0,"weekend",IF(final_data786[[#This Row],[DAY_CODE]]=6,"weekend","weekday"))</f>
        <v>weekday</v>
      </c>
      <c r="L852">
        <v>1</v>
      </c>
      <c r="M852" t="str">
        <f>IF(final_data786[[#This Row],[WEATHER_CODE]]=1,"clear",IF(final_data786[[#This Row],[WEATHER_CODE]]=2,"cloudy",IF(final_data786[[#This Row],[WEATHER_CODE]]=3,"light rain",IF(final_data786[[#This Row],[WEATHER_CODE]]=4,"heavy rain",0))))</f>
        <v>clear</v>
      </c>
      <c r="N852">
        <v>0.32</v>
      </c>
      <c r="O852">
        <v>0.34849999999999998</v>
      </c>
      <c r="P852">
        <v>0.7</v>
      </c>
      <c r="Q852">
        <v>0</v>
      </c>
      <c r="R852">
        <v>3</v>
      </c>
      <c r="S852">
        <v>75</v>
      </c>
      <c r="T852">
        <v>78</v>
      </c>
    </row>
    <row r="853" spans="1:20" x14ac:dyDescent="0.35">
      <c r="A853">
        <v>852</v>
      </c>
      <c r="B853" s="1">
        <v>40581</v>
      </c>
      <c r="C853">
        <v>1</v>
      </c>
      <c r="D853">
        <v>0</v>
      </c>
      <c r="E853">
        <v>2</v>
      </c>
      <c r="F853" t="str">
        <f>IF(final_data786[[#This Row],[MONTH_CODE]]=1,"JANUARY",IF(final_data786[[#This Row],[MONTH_CODE]]=2,"FEBRUARY"))</f>
        <v>FEBRUARY</v>
      </c>
      <c r="G853">
        <v>22</v>
      </c>
      <c r="H853">
        <v>0</v>
      </c>
      <c r="I853">
        <v>1</v>
      </c>
      <c r="J8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53" t="str">
        <f>IF(final_data786[[#This Row],[DAY_CODE]]=0,"weekend",IF(final_data786[[#This Row],[DAY_CODE]]=6,"weekend","weekday"))</f>
        <v>weekday</v>
      </c>
      <c r="L853">
        <v>1</v>
      </c>
      <c r="M853" t="str">
        <f>IF(final_data786[[#This Row],[WEATHER_CODE]]=1,"clear",IF(final_data786[[#This Row],[WEATHER_CODE]]=2,"cloudy",IF(final_data786[[#This Row],[WEATHER_CODE]]=3,"light rain",IF(final_data786[[#This Row],[WEATHER_CODE]]=4,"heavy rain",0))))</f>
        <v>clear</v>
      </c>
      <c r="N853">
        <v>0.28000000000000003</v>
      </c>
      <c r="O853">
        <v>0.30299999999999999</v>
      </c>
      <c r="P853">
        <v>0.81</v>
      </c>
      <c r="Q853">
        <v>8.9599999999999999E-2</v>
      </c>
      <c r="R853">
        <v>3</v>
      </c>
      <c r="S853">
        <v>34</v>
      </c>
      <c r="T853">
        <v>37</v>
      </c>
    </row>
    <row r="854" spans="1:20" x14ac:dyDescent="0.35">
      <c r="A854">
        <v>853</v>
      </c>
      <c r="B854" s="1">
        <v>40581</v>
      </c>
      <c r="C854">
        <v>1</v>
      </c>
      <c r="D854">
        <v>0</v>
      </c>
      <c r="E854">
        <v>2</v>
      </c>
      <c r="F854" t="str">
        <f>IF(final_data786[[#This Row],[MONTH_CODE]]=1,"JANUARY",IF(final_data786[[#This Row],[MONTH_CODE]]=2,"FEBRUARY"))</f>
        <v>FEBRUARY</v>
      </c>
      <c r="G854">
        <v>23</v>
      </c>
      <c r="H854">
        <v>0</v>
      </c>
      <c r="I854">
        <v>1</v>
      </c>
      <c r="J8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854" t="str">
        <f>IF(final_data786[[#This Row],[DAY_CODE]]=0,"weekend",IF(final_data786[[#This Row],[DAY_CODE]]=6,"weekend","weekday"))</f>
        <v>weekday</v>
      </c>
      <c r="L854">
        <v>2</v>
      </c>
      <c r="M854" t="str">
        <f>IF(final_data786[[#This Row],[WEATHER_CODE]]=1,"clear",IF(final_data786[[#This Row],[WEATHER_CODE]]=2,"cloudy",IF(final_data786[[#This Row],[WEATHER_CODE]]=3,"light rain",IF(final_data786[[#This Row],[WEATHER_CODE]]=4,"heavy rain",0))))</f>
        <v>cloudy</v>
      </c>
      <c r="N854">
        <v>0.3</v>
      </c>
      <c r="O854">
        <v>0.33329999999999999</v>
      </c>
      <c r="P854">
        <v>0.81</v>
      </c>
      <c r="Q854">
        <v>0</v>
      </c>
      <c r="R854">
        <v>6</v>
      </c>
      <c r="S854">
        <v>19</v>
      </c>
      <c r="T854">
        <v>25</v>
      </c>
    </row>
    <row r="855" spans="1:20" x14ac:dyDescent="0.35">
      <c r="A855">
        <v>854</v>
      </c>
      <c r="B855" s="1">
        <v>40582</v>
      </c>
      <c r="C855">
        <v>1</v>
      </c>
      <c r="D855">
        <v>0</v>
      </c>
      <c r="E855">
        <v>2</v>
      </c>
      <c r="F855" t="str">
        <f>IF(final_data786[[#This Row],[MONTH_CODE]]=1,"JANUARY",IF(final_data786[[#This Row],[MONTH_CODE]]=2,"FEBRUARY"))</f>
        <v>FEBRUARY</v>
      </c>
      <c r="G855">
        <v>0</v>
      </c>
      <c r="H855">
        <v>0</v>
      </c>
      <c r="I855">
        <v>2</v>
      </c>
      <c r="J8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5" t="str">
        <f>IF(final_data786[[#This Row],[DAY_CODE]]=0,"weekend",IF(final_data786[[#This Row],[DAY_CODE]]=6,"weekend","weekday"))</f>
        <v>weekday</v>
      </c>
      <c r="L855">
        <v>2</v>
      </c>
      <c r="M855" t="str">
        <f>IF(final_data786[[#This Row],[WEATHER_CODE]]=1,"clear",IF(final_data786[[#This Row],[WEATHER_CODE]]=2,"cloudy",IF(final_data786[[#This Row],[WEATHER_CODE]]=3,"light rain",IF(final_data786[[#This Row],[WEATHER_CODE]]=4,"heavy rain",0))))</f>
        <v>cloudy</v>
      </c>
      <c r="N855">
        <v>0.28000000000000003</v>
      </c>
      <c r="O855">
        <v>0.31819999999999998</v>
      </c>
      <c r="P855">
        <v>0.87</v>
      </c>
      <c r="Q855">
        <v>0</v>
      </c>
      <c r="R855">
        <v>4</v>
      </c>
      <c r="S855">
        <v>6</v>
      </c>
      <c r="T855">
        <v>10</v>
      </c>
    </row>
    <row r="856" spans="1:20" x14ac:dyDescent="0.35">
      <c r="A856">
        <v>855</v>
      </c>
      <c r="B856" s="1">
        <v>40582</v>
      </c>
      <c r="C856">
        <v>1</v>
      </c>
      <c r="D856">
        <v>0</v>
      </c>
      <c r="E856">
        <v>2</v>
      </c>
      <c r="F856" t="str">
        <f>IF(final_data786[[#This Row],[MONTH_CODE]]=1,"JANUARY",IF(final_data786[[#This Row],[MONTH_CODE]]=2,"FEBRUARY"))</f>
        <v>FEBRUARY</v>
      </c>
      <c r="G856">
        <v>1</v>
      </c>
      <c r="H856">
        <v>0</v>
      </c>
      <c r="I856">
        <v>2</v>
      </c>
      <c r="J8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6" t="str">
        <f>IF(final_data786[[#This Row],[DAY_CODE]]=0,"weekend",IF(final_data786[[#This Row],[DAY_CODE]]=6,"weekend","weekday"))</f>
        <v>weekday</v>
      </c>
      <c r="L856">
        <v>2</v>
      </c>
      <c r="M856" t="str">
        <f>IF(final_data786[[#This Row],[WEATHER_CODE]]=1,"clear",IF(final_data786[[#This Row],[WEATHER_CODE]]=2,"cloudy",IF(final_data786[[#This Row],[WEATHER_CODE]]=3,"light rain",IF(final_data786[[#This Row],[WEATHER_CODE]]=4,"heavy rain",0))))</f>
        <v>cloudy</v>
      </c>
      <c r="N856">
        <v>0.28000000000000003</v>
      </c>
      <c r="O856">
        <v>0.31819999999999998</v>
      </c>
      <c r="P856">
        <v>0.87</v>
      </c>
      <c r="Q856">
        <v>0</v>
      </c>
      <c r="R856">
        <v>0</v>
      </c>
      <c r="S856">
        <v>4</v>
      </c>
      <c r="T856">
        <v>4</v>
      </c>
    </row>
    <row r="857" spans="1:20" x14ac:dyDescent="0.35">
      <c r="A857">
        <v>856</v>
      </c>
      <c r="B857" s="1">
        <v>40582</v>
      </c>
      <c r="C857">
        <v>1</v>
      </c>
      <c r="D857">
        <v>0</v>
      </c>
      <c r="E857">
        <v>2</v>
      </c>
      <c r="F857" t="str">
        <f>IF(final_data786[[#This Row],[MONTH_CODE]]=1,"JANUARY",IF(final_data786[[#This Row],[MONTH_CODE]]=2,"FEBRUARY"))</f>
        <v>FEBRUARY</v>
      </c>
      <c r="G857">
        <v>2</v>
      </c>
      <c r="H857">
        <v>0</v>
      </c>
      <c r="I857">
        <v>2</v>
      </c>
      <c r="J8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7" t="str">
        <f>IF(final_data786[[#This Row],[DAY_CODE]]=0,"weekend",IF(final_data786[[#This Row],[DAY_CODE]]=6,"weekend","weekday"))</f>
        <v>weekday</v>
      </c>
      <c r="L857">
        <v>2</v>
      </c>
      <c r="M857" t="str">
        <f>IF(final_data786[[#This Row],[WEATHER_CODE]]=1,"clear",IF(final_data786[[#This Row],[WEATHER_CODE]]=2,"cloudy",IF(final_data786[[#This Row],[WEATHER_CODE]]=3,"light rain",IF(final_data786[[#This Row],[WEATHER_CODE]]=4,"heavy rain",0))))</f>
        <v>cloudy</v>
      </c>
      <c r="N857">
        <v>0.26</v>
      </c>
      <c r="O857">
        <v>0.2727</v>
      </c>
      <c r="P857">
        <v>0.93</v>
      </c>
      <c r="Q857">
        <v>0.1045</v>
      </c>
      <c r="R857">
        <v>1</v>
      </c>
      <c r="S857">
        <v>1</v>
      </c>
      <c r="T857">
        <v>2</v>
      </c>
    </row>
    <row r="858" spans="1:20" x14ac:dyDescent="0.35">
      <c r="A858">
        <v>857</v>
      </c>
      <c r="B858" s="1">
        <v>40582</v>
      </c>
      <c r="C858">
        <v>1</v>
      </c>
      <c r="D858">
        <v>0</v>
      </c>
      <c r="E858">
        <v>2</v>
      </c>
      <c r="F858" t="str">
        <f>IF(final_data786[[#This Row],[MONTH_CODE]]=1,"JANUARY",IF(final_data786[[#This Row],[MONTH_CODE]]=2,"FEBRUARY"))</f>
        <v>FEBRUARY</v>
      </c>
      <c r="G858">
        <v>3</v>
      </c>
      <c r="H858">
        <v>0</v>
      </c>
      <c r="I858">
        <v>2</v>
      </c>
      <c r="J8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8" t="str">
        <f>IF(final_data786[[#This Row],[DAY_CODE]]=0,"weekend",IF(final_data786[[#This Row],[DAY_CODE]]=6,"weekend","weekday"))</f>
        <v>weekday</v>
      </c>
      <c r="L858">
        <v>3</v>
      </c>
      <c r="M858" t="str">
        <f>IF(final_data786[[#This Row],[WEATHER_CODE]]=1,"clear",IF(final_data786[[#This Row],[WEATHER_CODE]]=2,"cloudy",IF(final_data786[[#This Row],[WEATHER_CODE]]=3,"light rain",IF(final_data786[[#This Row],[WEATHER_CODE]]=4,"heavy rain",0))))</f>
        <v>light rain</v>
      </c>
      <c r="N858">
        <v>0.28000000000000003</v>
      </c>
      <c r="O858">
        <v>0.2727</v>
      </c>
      <c r="P858">
        <v>0.93</v>
      </c>
      <c r="Q858">
        <v>0.16420000000000001</v>
      </c>
      <c r="R858">
        <v>0</v>
      </c>
      <c r="S858">
        <v>1</v>
      </c>
      <c r="T858">
        <v>1</v>
      </c>
    </row>
    <row r="859" spans="1:20" x14ac:dyDescent="0.35">
      <c r="A859">
        <v>858</v>
      </c>
      <c r="B859" s="1">
        <v>40582</v>
      </c>
      <c r="C859">
        <v>1</v>
      </c>
      <c r="D859">
        <v>0</v>
      </c>
      <c r="E859">
        <v>2</v>
      </c>
      <c r="F859" t="str">
        <f>IF(final_data786[[#This Row],[MONTH_CODE]]=1,"JANUARY",IF(final_data786[[#This Row],[MONTH_CODE]]=2,"FEBRUARY"))</f>
        <v>FEBRUARY</v>
      </c>
      <c r="G859">
        <v>4</v>
      </c>
      <c r="H859">
        <v>0</v>
      </c>
      <c r="I859">
        <v>2</v>
      </c>
      <c r="J8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59" t="str">
        <f>IF(final_data786[[#This Row],[DAY_CODE]]=0,"weekend",IF(final_data786[[#This Row],[DAY_CODE]]=6,"weekend","weekday"))</f>
        <v>weekday</v>
      </c>
      <c r="L859">
        <v>1</v>
      </c>
      <c r="M859" t="str">
        <f>IF(final_data786[[#This Row],[WEATHER_CODE]]=1,"clear",IF(final_data786[[#This Row],[WEATHER_CODE]]=2,"cloudy",IF(final_data786[[#This Row],[WEATHER_CODE]]=3,"light rain",IF(final_data786[[#This Row],[WEATHER_CODE]]=4,"heavy rain",0))))</f>
        <v>clear</v>
      </c>
      <c r="N859">
        <v>0.26</v>
      </c>
      <c r="O859">
        <v>0.2576</v>
      </c>
      <c r="P859">
        <v>0.93</v>
      </c>
      <c r="Q859">
        <v>0.16420000000000001</v>
      </c>
      <c r="R859">
        <v>0</v>
      </c>
      <c r="S859">
        <v>3</v>
      </c>
      <c r="T859">
        <v>3</v>
      </c>
    </row>
    <row r="860" spans="1:20" x14ac:dyDescent="0.35">
      <c r="A860">
        <v>859</v>
      </c>
      <c r="B860" s="1">
        <v>40582</v>
      </c>
      <c r="C860">
        <v>1</v>
      </c>
      <c r="D860">
        <v>0</v>
      </c>
      <c r="E860">
        <v>2</v>
      </c>
      <c r="F860" t="str">
        <f>IF(final_data786[[#This Row],[MONTH_CODE]]=1,"JANUARY",IF(final_data786[[#This Row],[MONTH_CODE]]=2,"FEBRUARY"))</f>
        <v>FEBRUARY</v>
      </c>
      <c r="G860">
        <v>5</v>
      </c>
      <c r="H860">
        <v>0</v>
      </c>
      <c r="I860">
        <v>2</v>
      </c>
      <c r="J8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0" t="str">
        <f>IF(final_data786[[#This Row],[DAY_CODE]]=0,"weekend",IF(final_data786[[#This Row],[DAY_CODE]]=6,"weekend","weekday"))</f>
        <v>weekday</v>
      </c>
      <c r="L860">
        <v>1</v>
      </c>
      <c r="M860" t="str">
        <f>IF(final_data786[[#This Row],[WEATHER_CODE]]=1,"clear",IF(final_data786[[#This Row],[WEATHER_CODE]]=2,"cloudy",IF(final_data786[[#This Row],[WEATHER_CODE]]=3,"light rain",IF(final_data786[[#This Row],[WEATHER_CODE]]=4,"heavy rain",0))))</f>
        <v>clear</v>
      </c>
      <c r="N860">
        <v>0.26</v>
      </c>
      <c r="O860">
        <v>0.2273</v>
      </c>
      <c r="P860">
        <v>0.81</v>
      </c>
      <c r="Q860">
        <v>0.32840000000000003</v>
      </c>
      <c r="R860">
        <v>0</v>
      </c>
      <c r="S860">
        <v>2</v>
      </c>
      <c r="T860">
        <v>2</v>
      </c>
    </row>
    <row r="861" spans="1:20" x14ac:dyDescent="0.35">
      <c r="A861">
        <v>860</v>
      </c>
      <c r="B861" s="1">
        <v>40582</v>
      </c>
      <c r="C861">
        <v>1</v>
      </c>
      <c r="D861">
        <v>0</v>
      </c>
      <c r="E861">
        <v>2</v>
      </c>
      <c r="F861" t="str">
        <f>IF(final_data786[[#This Row],[MONTH_CODE]]=1,"JANUARY",IF(final_data786[[#This Row],[MONTH_CODE]]=2,"FEBRUARY"))</f>
        <v>FEBRUARY</v>
      </c>
      <c r="G861">
        <v>6</v>
      </c>
      <c r="H861">
        <v>0</v>
      </c>
      <c r="I861">
        <v>2</v>
      </c>
      <c r="J8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1" t="str">
        <f>IF(final_data786[[#This Row],[DAY_CODE]]=0,"weekend",IF(final_data786[[#This Row],[DAY_CODE]]=6,"weekend","weekday"))</f>
        <v>weekday</v>
      </c>
      <c r="L861">
        <v>1</v>
      </c>
      <c r="M861" t="str">
        <f>IF(final_data786[[#This Row],[WEATHER_CODE]]=1,"clear",IF(final_data786[[#This Row],[WEATHER_CODE]]=2,"cloudy",IF(final_data786[[#This Row],[WEATHER_CODE]]=3,"light rain",IF(final_data786[[#This Row],[WEATHER_CODE]]=4,"heavy rain",0))))</f>
        <v>clear</v>
      </c>
      <c r="N861">
        <v>0.26</v>
      </c>
      <c r="O861">
        <v>0.2273</v>
      </c>
      <c r="P861">
        <v>0.7</v>
      </c>
      <c r="Q861">
        <v>0.32840000000000003</v>
      </c>
      <c r="R861">
        <v>0</v>
      </c>
      <c r="S861">
        <v>39</v>
      </c>
      <c r="T861">
        <v>39</v>
      </c>
    </row>
    <row r="862" spans="1:20" x14ac:dyDescent="0.35">
      <c r="A862">
        <v>861</v>
      </c>
      <c r="B862" s="1">
        <v>40582</v>
      </c>
      <c r="C862">
        <v>1</v>
      </c>
      <c r="D862">
        <v>0</v>
      </c>
      <c r="E862">
        <v>2</v>
      </c>
      <c r="F862" t="str">
        <f>IF(final_data786[[#This Row],[MONTH_CODE]]=1,"JANUARY",IF(final_data786[[#This Row],[MONTH_CODE]]=2,"FEBRUARY"))</f>
        <v>FEBRUARY</v>
      </c>
      <c r="G862">
        <v>7</v>
      </c>
      <c r="H862">
        <v>0</v>
      </c>
      <c r="I862">
        <v>2</v>
      </c>
      <c r="J8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2" t="str">
        <f>IF(final_data786[[#This Row],[DAY_CODE]]=0,"weekend",IF(final_data786[[#This Row],[DAY_CODE]]=6,"weekend","weekday"))</f>
        <v>weekday</v>
      </c>
      <c r="L862">
        <v>1</v>
      </c>
      <c r="M862" t="str">
        <f>IF(final_data786[[#This Row],[WEATHER_CODE]]=1,"clear",IF(final_data786[[#This Row],[WEATHER_CODE]]=2,"cloudy",IF(final_data786[[#This Row],[WEATHER_CODE]]=3,"light rain",IF(final_data786[[#This Row],[WEATHER_CODE]]=4,"heavy rain",0))))</f>
        <v>clear</v>
      </c>
      <c r="N862">
        <v>0.24</v>
      </c>
      <c r="O862">
        <v>0.19700000000000001</v>
      </c>
      <c r="P862">
        <v>0.65</v>
      </c>
      <c r="Q862">
        <v>0.41789999999999999</v>
      </c>
      <c r="R862">
        <v>3</v>
      </c>
      <c r="S862">
        <v>97</v>
      </c>
      <c r="T862">
        <v>100</v>
      </c>
    </row>
    <row r="863" spans="1:20" x14ac:dyDescent="0.35">
      <c r="A863">
        <v>862</v>
      </c>
      <c r="B863" s="1">
        <v>40582</v>
      </c>
      <c r="C863">
        <v>1</v>
      </c>
      <c r="D863">
        <v>0</v>
      </c>
      <c r="E863">
        <v>2</v>
      </c>
      <c r="F863" t="str">
        <f>IF(final_data786[[#This Row],[MONTH_CODE]]=1,"JANUARY",IF(final_data786[[#This Row],[MONTH_CODE]]=2,"FEBRUARY"))</f>
        <v>FEBRUARY</v>
      </c>
      <c r="G863">
        <v>8</v>
      </c>
      <c r="H863">
        <v>0</v>
      </c>
      <c r="I863">
        <v>2</v>
      </c>
      <c r="J8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3" t="str">
        <f>IF(final_data786[[#This Row],[DAY_CODE]]=0,"weekend",IF(final_data786[[#This Row],[DAY_CODE]]=6,"weekend","weekday"))</f>
        <v>weekday</v>
      </c>
      <c r="L863">
        <v>1</v>
      </c>
      <c r="M863" t="str">
        <f>IF(final_data786[[#This Row],[WEATHER_CODE]]=1,"clear",IF(final_data786[[#This Row],[WEATHER_CODE]]=2,"cloudy",IF(final_data786[[#This Row],[WEATHER_CODE]]=3,"light rain",IF(final_data786[[#This Row],[WEATHER_CODE]]=4,"heavy rain",0))))</f>
        <v>clear</v>
      </c>
      <c r="N863">
        <v>0.24</v>
      </c>
      <c r="O863">
        <v>0.19700000000000001</v>
      </c>
      <c r="P863">
        <v>0.56000000000000005</v>
      </c>
      <c r="Q863">
        <v>0.49249999999999999</v>
      </c>
      <c r="R863">
        <v>7</v>
      </c>
      <c r="S863">
        <v>236</v>
      </c>
      <c r="T863">
        <v>243</v>
      </c>
    </row>
    <row r="864" spans="1:20" x14ac:dyDescent="0.35">
      <c r="A864">
        <v>863</v>
      </c>
      <c r="B864" s="1">
        <v>40582</v>
      </c>
      <c r="C864">
        <v>1</v>
      </c>
      <c r="D864">
        <v>0</v>
      </c>
      <c r="E864">
        <v>2</v>
      </c>
      <c r="F864" t="str">
        <f>IF(final_data786[[#This Row],[MONTH_CODE]]=1,"JANUARY",IF(final_data786[[#This Row],[MONTH_CODE]]=2,"FEBRUARY"))</f>
        <v>FEBRUARY</v>
      </c>
      <c r="G864">
        <v>9</v>
      </c>
      <c r="H864">
        <v>0</v>
      </c>
      <c r="I864">
        <v>2</v>
      </c>
      <c r="J8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4" t="str">
        <f>IF(final_data786[[#This Row],[DAY_CODE]]=0,"weekend",IF(final_data786[[#This Row],[DAY_CODE]]=6,"weekend","weekday"))</f>
        <v>weekday</v>
      </c>
      <c r="L864">
        <v>1</v>
      </c>
      <c r="M864" t="str">
        <f>IF(final_data786[[#This Row],[WEATHER_CODE]]=1,"clear",IF(final_data786[[#This Row],[WEATHER_CODE]]=2,"cloudy",IF(final_data786[[#This Row],[WEATHER_CODE]]=3,"light rain",IF(final_data786[[#This Row],[WEATHER_CODE]]=4,"heavy rain",0))))</f>
        <v>clear</v>
      </c>
      <c r="N864">
        <v>0.24</v>
      </c>
      <c r="O864">
        <v>0.19700000000000001</v>
      </c>
      <c r="P864">
        <v>0.52</v>
      </c>
      <c r="Q864">
        <v>0.49249999999999999</v>
      </c>
      <c r="R864">
        <v>7</v>
      </c>
      <c r="S864">
        <v>128</v>
      </c>
      <c r="T864">
        <v>135</v>
      </c>
    </row>
    <row r="865" spans="1:20" x14ac:dyDescent="0.35">
      <c r="A865">
        <v>864</v>
      </c>
      <c r="B865" s="1">
        <v>40582</v>
      </c>
      <c r="C865">
        <v>1</v>
      </c>
      <c r="D865">
        <v>0</v>
      </c>
      <c r="E865">
        <v>2</v>
      </c>
      <c r="F865" t="str">
        <f>IF(final_data786[[#This Row],[MONTH_CODE]]=1,"JANUARY",IF(final_data786[[#This Row],[MONTH_CODE]]=2,"FEBRUARY"))</f>
        <v>FEBRUARY</v>
      </c>
      <c r="G865">
        <v>10</v>
      </c>
      <c r="H865">
        <v>0</v>
      </c>
      <c r="I865">
        <v>2</v>
      </c>
      <c r="J8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5" t="str">
        <f>IF(final_data786[[#This Row],[DAY_CODE]]=0,"weekend",IF(final_data786[[#This Row],[DAY_CODE]]=6,"weekend","weekday"))</f>
        <v>weekday</v>
      </c>
      <c r="L865">
        <v>1</v>
      </c>
      <c r="M865" t="str">
        <f>IF(final_data786[[#This Row],[WEATHER_CODE]]=1,"clear",IF(final_data786[[#This Row],[WEATHER_CODE]]=2,"cloudy",IF(final_data786[[#This Row],[WEATHER_CODE]]=3,"light rain",IF(final_data786[[#This Row],[WEATHER_CODE]]=4,"heavy rain",0))))</f>
        <v>clear</v>
      </c>
      <c r="N865">
        <v>0.22</v>
      </c>
      <c r="O865">
        <v>0.18179999999999999</v>
      </c>
      <c r="P865">
        <v>0.47</v>
      </c>
      <c r="Q865">
        <v>0.55220000000000002</v>
      </c>
      <c r="R865">
        <v>4</v>
      </c>
      <c r="S865">
        <v>44</v>
      </c>
      <c r="T865">
        <v>48</v>
      </c>
    </row>
    <row r="866" spans="1:20" x14ac:dyDescent="0.35">
      <c r="A866">
        <v>865</v>
      </c>
      <c r="B866" s="1">
        <v>40582</v>
      </c>
      <c r="C866">
        <v>1</v>
      </c>
      <c r="D866">
        <v>0</v>
      </c>
      <c r="E866">
        <v>2</v>
      </c>
      <c r="F866" t="str">
        <f>IF(final_data786[[#This Row],[MONTH_CODE]]=1,"JANUARY",IF(final_data786[[#This Row],[MONTH_CODE]]=2,"FEBRUARY"))</f>
        <v>FEBRUARY</v>
      </c>
      <c r="G866">
        <v>11</v>
      </c>
      <c r="H866">
        <v>0</v>
      </c>
      <c r="I866">
        <v>2</v>
      </c>
      <c r="J8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6" t="str">
        <f>IF(final_data786[[#This Row],[DAY_CODE]]=0,"weekend",IF(final_data786[[#This Row],[DAY_CODE]]=6,"weekend","weekday"))</f>
        <v>weekday</v>
      </c>
      <c r="L866">
        <v>1</v>
      </c>
      <c r="M866" t="str">
        <f>IF(final_data786[[#This Row],[WEATHER_CODE]]=1,"clear",IF(final_data786[[#This Row],[WEATHER_CODE]]=2,"cloudy",IF(final_data786[[#This Row],[WEATHER_CODE]]=3,"light rain",IF(final_data786[[#This Row],[WEATHER_CODE]]=4,"heavy rain",0))))</f>
        <v>clear</v>
      </c>
      <c r="N866">
        <v>0.22</v>
      </c>
      <c r="O866">
        <v>0.18179999999999999</v>
      </c>
      <c r="P866">
        <v>0.47</v>
      </c>
      <c r="Q866">
        <v>0.4627</v>
      </c>
      <c r="R866">
        <v>1</v>
      </c>
      <c r="S866">
        <v>49</v>
      </c>
      <c r="T866">
        <v>50</v>
      </c>
    </row>
    <row r="867" spans="1:20" x14ac:dyDescent="0.35">
      <c r="A867">
        <v>866</v>
      </c>
      <c r="B867" s="1">
        <v>40582</v>
      </c>
      <c r="C867">
        <v>1</v>
      </c>
      <c r="D867">
        <v>0</v>
      </c>
      <c r="E867">
        <v>2</v>
      </c>
      <c r="F867" t="str">
        <f>IF(final_data786[[#This Row],[MONTH_CODE]]=1,"JANUARY",IF(final_data786[[#This Row],[MONTH_CODE]]=2,"FEBRUARY"))</f>
        <v>FEBRUARY</v>
      </c>
      <c r="G867">
        <v>12</v>
      </c>
      <c r="H867">
        <v>0</v>
      </c>
      <c r="I867">
        <v>2</v>
      </c>
      <c r="J8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7" t="str">
        <f>IF(final_data786[[#This Row],[DAY_CODE]]=0,"weekend",IF(final_data786[[#This Row],[DAY_CODE]]=6,"weekend","weekday"))</f>
        <v>weekday</v>
      </c>
      <c r="L867">
        <v>1</v>
      </c>
      <c r="M867" t="str">
        <f>IF(final_data786[[#This Row],[WEATHER_CODE]]=1,"clear",IF(final_data786[[#This Row],[WEATHER_CODE]]=2,"cloudy",IF(final_data786[[#This Row],[WEATHER_CODE]]=3,"light rain",IF(final_data786[[#This Row],[WEATHER_CODE]]=4,"heavy rain",0))))</f>
        <v>clear</v>
      </c>
      <c r="N867">
        <v>0.24</v>
      </c>
      <c r="O867">
        <v>0.19700000000000001</v>
      </c>
      <c r="P867">
        <v>0.38</v>
      </c>
      <c r="Q867">
        <v>0.49249999999999999</v>
      </c>
      <c r="R867">
        <v>2</v>
      </c>
      <c r="S867">
        <v>63</v>
      </c>
      <c r="T867">
        <v>65</v>
      </c>
    </row>
    <row r="868" spans="1:20" x14ac:dyDescent="0.35">
      <c r="A868">
        <v>867</v>
      </c>
      <c r="B868" s="1">
        <v>40582</v>
      </c>
      <c r="C868">
        <v>1</v>
      </c>
      <c r="D868">
        <v>0</v>
      </c>
      <c r="E868">
        <v>2</v>
      </c>
      <c r="F868" t="str">
        <f>IF(final_data786[[#This Row],[MONTH_CODE]]=1,"JANUARY",IF(final_data786[[#This Row],[MONTH_CODE]]=2,"FEBRUARY"))</f>
        <v>FEBRUARY</v>
      </c>
      <c r="G868">
        <v>13</v>
      </c>
      <c r="H868">
        <v>0</v>
      </c>
      <c r="I868">
        <v>2</v>
      </c>
      <c r="J8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8" t="str">
        <f>IF(final_data786[[#This Row],[DAY_CODE]]=0,"weekend",IF(final_data786[[#This Row],[DAY_CODE]]=6,"weekend","weekday"))</f>
        <v>weekday</v>
      </c>
      <c r="L868">
        <v>2</v>
      </c>
      <c r="M868" t="str">
        <f>IF(final_data786[[#This Row],[WEATHER_CODE]]=1,"clear",IF(final_data786[[#This Row],[WEATHER_CODE]]=2,"cloudy",IF(final_data786[[#This Row],[WEATHER_CODE]]=3,"light rain",IF(final_data786[[#This Row],[WEATHER_CODE]]=4,"heavy rain",0))))</f>
        <v>cloudy</v>
      </c>
      <c r="N868">
        <v>0.24</v>
      </c>
      <c r="O868">
        <v>0.19700000000000001</v>
      </c>
      <c r="P868">
        <v>0.32</v>
      </c>
      <c r="Q868">
        <v>0.44779999999999998</v>
      </c>
      <c r="R868">
        <v>2</v>
      </c>
      <c r="S868">
        <v>48</v>
      </c>
      <c r="T868">
        <v>50</v>
      </c>
    </row>
    <row r="869" spans="1:20" x14ac:dyDescent="0.35">
      <c r="A869">
        <v>868</v>
      </c>
      <c r="B869" s="1">
        <v>40582</v>
      </c>
      <c r="C869">
        <v>1</v>
      </c>
      <c r="D869">
        <v>0</v>
      </c>
      <c r="E869">
        <v>2</v>
      </c>
      <c r="F869" t="str">
        <f>IF(final_data786[[#This Row],[MONTH_CODE]]=1,"JANUARY",IF(final_data786[[#This Row],[MONTH_CODE]]=2,"FEBRUARY"))</f>
        <v>FEBRUARY</v>
      </c>
      <c r="G869">
        <v>14</v>
      </c>
      <c r="H869">
        <v>0</v>
      </c>
      <c r="I869">
        <v>2</v>
      </c>
      <c r="J8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69" t="str">
        <f>IF(final_data786[[#This Row],[DAY_CODE]]=0,"weekend",IF(final_data786[[#This Row],[DAY_CODE]]=6,"weekend","weekday"))</f>
        <v>weekday</v>
      </c>
      <c r="L869">
        <v>1</v>
      </c>
      <c r="M869" t="str">
        <f>IF(final_data786[[#This Row],[WEATHER_CODE]]=1,"clear",IF(final_data786[[#This Row],[WEATHER_CODE]]=2,"cloudy",IF(final_data786[[#This Row],[WEATHER_CODE]]=3,"light rain",IF(final_data786[[#This Row],[WEATHER_CODE]]=4,"heavy rain",0))))</f>
        <v>clear</v>
      </c>
      <c r="N869">
        <v>0.22</v>
      </c>
      <c r="O869">
        <v>0.19700000000000001</v>
      </c>
      <c r="P869">
        <v>0.37</v>
      </c>
      <c r="Q869">
        <v>0.41789999999999999</v>
      </c>
      <c r="R869">
        <v>3</v>
      </c>
      <c r="S869">
        <v>61</v>
      </c>
      <c r="T869">
        <v>64</v>
      </c>
    </row>
    <row r="870" spans="1:20" x14ac:dyDescent="0.35">
      <c r="A870">
        <v>869</v>
      </c>
      <c r="B870" s="1">
        <v>40582</v>
      </c>
      <c r="C870">
        <v>1</v>
      </c>
      <c r="D870">
        <v>0</v>
      </c>
      <c r="E870">
        <v>2</v>
      </c>
      <c r="F870" t="str">
        <f>IF(final_data786[[#This Row],[MONTH_CODE]]=1,"JANUARY",IF(final_data786[[#This Row],[MONTH_CODE]]=2,"FEBRUARY"))</f>
        <v>FEBRUARY</v>
      </c>
      <c r="G870">
        <v>15</v>
      </c>
      <c r="H870">
        <v>0</v>
      </c>
      <c r="I870">
        <v>2</v>
      </c>
      <c r="J8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0" t="str">
        <f>IF(final_data786[[#This Row],[DAY_CODE]]=0,"weekend",IF(final_data786[[#This Row],[DAY_CODE]]=6,"weekend","weekday"))</f>
        <v>weekday</v>
      </c>
      <c r="L870">
        <v>1</v>
      </c>
      <c r="M870" t="str">
        <f>IF(final_data786[[#This Row],[WEATHER_CODE]]=1,"clear",IF(final_data786[[#This Row],[WEATHER_CODE]]=2,"cloudy",IF(final_data786[[#This Row],[WEATHER_CODE]]=3,"light rain",IF(final_data786[[#This Row],[WEATHER_CODE]]=4,"heavy rain",0))))</f>
        <v>clear</v>
      </c>
      <c r="N870">
        <v>0.22</v>
      </c>
      <c r="O870">
        <v>0.19700000000000001</v>
      </c>
      <c r="P870">
        <v>0.35</v>
      </c>
      <c r="Q870">
        <v>0.3881</v>
      </c>
      <c r="R870">
        <v>6</v>
      </c>
      <c r="S870">
        <v>45</v>
      </c>
      <c r="T870">
        <v>51</v>
      </c>
    </row>
    <row r="871" spans="1:20" x14ac:dyDescent="0.35">
      <c r="A871">
        <v>870</v>
      </c>
      <c r="B871" s="1">
        <v>40582</v>
      </c>
      <c r="C871">
        <v>1</v>
      </c>
      <c r="D871">
        <v>0</v>
      </c>
      <c r="E871">
        <v>2</v>
      </c>
      <c r="F871" t="str">
        <f>IF(final_data786[[#This Row],[MONTH_CODE]]=1,"JANUARY",IF(final_data786[[#This Row],[MONTH_CODE]]=2,"FEBRUARY"))</f>
        <v>FEBRUARY</v>
      </c>
      <c r="G871">
        <v>16</v>
      </c>
      <c r="H871">
        <v>0</v>
      </c>
      <c r="I871">
        <v>2</v>
      </c>
      <c r="J8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1" t="str">
        <f>IF(final_data786[[#This Row],[DAY_CODE]]=0,"weekend",IF(final_data786[[#This Row],[DAY_CODE]]=6,"weekend","weekday"))</f>
        <v>weekday</v>
      </c>
      <c r="L871">
        <v>1</v>
      </c>
      <c r="M871" t="str">
        <f>IF(final_data786[[#This Row],[WEATHER_CODE]]=1,"clear",IF(final_data786[[#This Row],[WEATHER_CODE]]=2,"cloudy",IF(final_data786[[#This Row],[WEATHER_CODE]]=3,"light rain",IF(final_data786[[#This Row],[WEATHER_CODE]]=4,"heavy rain",0))))</f>
        <v>clear</v>
      </c>
      <c r="N871">
        <v>0.22</v>
      </c>
      <c r="O871">
        <v>0.18179999999999999</v>
      </c>
      <c r="P871">
        <v>0.35</v>
      </c>
      <c r="Q871">
        <v>0.52239999999999998</v>
      </c>
      <c r="R871">
        <v>4</v>
      </c>
      <c r="S871">
        <v>79</v>
      </c>
      <c r="T871">
        <v>83</v>
      </c>
    </row>
    <row r="872" spans="1:20" x14ac:dyDescent="0.35">
      <c r="A872">
        <v>871</v>
      </c>
      <c r="B872" s="1">
        <v>40582</v>
      </c>
      <c r="C872">
        <v>1</v>
      </c>
      <c r="D872">
        <v>0</v>
      </c>
      <c r="E872">
        <v>2</v>
      </c>
      <c r="F872" t="str">
        <f>IF(final_data786[[#This Row],[MONTH_CODE]]=1,"JANUARY",IF(final_data786[[#This Row],[MONTH_CODE]]=2,"FEBRUARY"))</f>
        <v>FEBRUARY</v>
      </c>
      <c r="G872">
        <v>17</v>
      </c>
      <c r="H872">
        <v>0</v>
      </c>
      <c r="I872">
        <v>2</v>
      </c>
      <c r="J8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2" t="str">
        <f>IF(final_data786[[#This Row],[DAY_CODE]]=0,"weekend",IF(final_data786[[#This Row],[DAY_CODE]]=6,"weekend","weekday"))</f>
        <v>weekday</v>
      </c>
      <c r="L872">
        <v>1</v>
      </c>
      <c r="M872" t="str">
        <f>IF(final_data786[[#This Row],[WEATHER_CODE]]=1,"clear",IF(final_data786[[#This Row],[WEATHER_CODE]]=2,"cloudy",IF(final_data786[[#This Row],[WEATHER_CODE]]=3,"light rain",IF(final_data786[[#This Row],[WEATHER_CODE]]=4,"heavy rain",0))))</f>
        <v>clear</v>
      </c>
      <c r="N872">
        <v>0.22</v>
      </c>
      <c r="O872">
        <v>0.18179999999999999</v>
      </c>
      <c r="P872">
        <v>0.32</v>
      </c>
      <c r="Q872">
        <v>0.58209999999999995</v>
      </c>
      <c r="R872">
        <v>4</v>
      </c>
      <c r="S872">
        <v>172</v>
      </c>
      <c r="T872">
        <v>176</v>
      </c>
    </row>
    <row r="873" spans="1:20" x14ac:dyDescent="0.35">
      <c r="A873">
        <v>872</v>
      </c>
      <c r="B873" s="1">
        <v>40582</v>
      </c>
      <c r="C873">
        <v>1</v>
      </c>
      <c r="D873">
        <v>0</v>
      </c>
      <c r="E873">
        <v>2</v>
      </c>
      <c r="F873" t="str">
        <f>IF(final_data786[[#This Row],[MONTH_CODE]]=1,"JANUARY",IF(final_data786[[#This Row],[MONTH_CODE]]=2,"FEBRUARY"))</f>
        <v>FEBRUARY</v>
      </c>
      <c r="G873">
        <v>18</v>
      </c>
      <c r="H873">
        <v>0</v>
      </c>
      <c r="I873">
        <v>2</v>
      </c>
      <c r="J8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3" t="str">
        <f>IF(final_data786[[#This Row],[DAY_CODE]]=0,"weekend",IF(final_data786[[#This Row],[DAY_CODE]]=6,"weekend","weekday"))</f>
        <v>weekday</v>
      </c>
      <c r="L873">
        <v>1</v>
      </c>
      <c r="M873" t="str">
        <f>IF(final_data786[[#This Row],[WEATHER_CODE]]=1,"clear",IF(final_data786[[#This Row],[WEATHER_CODE]]=2,"cloudy",IF(final_data786[[#This Row],[WEATHER_CODE]]=3,"light rain",IF(final_data786[[#This Row],[WEATHER_CODE]]=4,"heavy rain",0))))</f>
        <v>clear</v>
      </c>
      <c r="N873">
        <v>0.2</v>
      </c>
      <c r="O873">
        <v>0.18179999999999999</v>
      </c>
      <c r="P873">
        <v>0.32</v>
      </c>
      <c r="Q873">
        <v>0.3881</v>
      </c>
      <c r="R873">
        <v>1</v>
      </c>
      <c r="S873">
        <v>151</v>
      </c>
      <c r="T873">
        <v>152</v>
      </c>
    </row>
    <row r="874" spans="1:20" x14ac:dyDescent="0.35">
      <c r="A874">
        <v>873</v>
      </c>
      <c r="B874" s="1">
        <v>40582</v>
      </c>
      <c r="C874">
        <v>1</v>
      </c>
      <c r="D874">
        <v>0</v>
      </c>
      <c r="E874">
        <v>2</v>
      </c>
      <c r="F874" t="str">
        <f>IF(final_data786[[#This Row],[MONTH_CODE]]=1,"JANUARY",IF(final_data786[[#This Row],[MONTH_CODE]]=2,"FEBRUARY"))</f>
        <v>FEBRUARY</v>
      </c>
      <c r="G874">
        <v>19</v>
      </c>
      <c r="H874">
        <v>0</v>
      </c>
      <c r="I874">
        <v>2</v>
      </c>
      <c r="J8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4" t="str">
        <f>IF(final_data786[[#This Row],[DAY_CODE]]=0,"weekend",IF(final_data786[[#This Row],[DAY_CODE]]=6,"weekend","weekday"))</f>
        <v>weekday</v>
      </c>
      <c r="L874">
        <v>1</v>
      </c>
      <c r="M874" t="str">
        <f>IF(final_data786[[#This Row],[WEATHER_CODE]]=1,"clear",IF(final_data786[[#This Row],[WEATHER_CODE]]=2,"cloudy",IF(final_data786[[#This Row],[WEATHER_CODE]]=3,"light rain",IF(final_data786[[#This Row],[WEATHER_CODE]]=4,"heavy rain",0))))</f>
        <v>clear</v>
      </c>
      <c r="N874">
        <v>0.16</v>
      </c>
      <c r="O874">
        <v>0.1212</v>
      </c>
      <c r="P874">
        <v>0.4</v>
      </c>
      <c r="Q874">
        <v>0.4627</v>
      </c>
      <c r="R874">
        <v>1</v>
      </c>
      <c r="S874">
        <v>100</v>
      </c>
      <c r="T874">
        <v>101</v>
      </c>
    </row>
    <row r="875" spans="1:20" x14ac:dyDescent="0.35">
      <c r="A875">
        <v>874</v>
      </c>
      <c r="B875" s="1">
        <v>40582</v>
      </c>
      <c r="C875">
        <v>1</v>
      </c>
      <c r="D875">
        <v>0</v>
      </c>
      <c r="E875">
        <v>2</v>
      </c>
      <c r="F875" t="str">
        <f>IF(final_data786[[#This Row],[MONTH_CODE]]=1,"JANUARY",IF(final_data786[[#This Row],[MONTH_CODE]]=2,"FEBRUARY"))</f>
        <v>FEBRUARY</v>
      </c>
      <c r="G875">
        <v>20</v>
      </c>
      <c r="H875">
        <v>0</v>
      </c>
      <c r="I875">
        <v>2</v>
      </c>
      <c r="J8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5" t="str">
        <f>IF(final_data786[[#This Row],[DAY_CODE]]=0,"weekend",IF(final_data786[[#This Row],[DAY_CODE]]=6,"weekend","weekday"))</f>
        <v>weekday</v>
      </c>
      <c r="L875">
        <v>1</v>
      </c>
      <c r="M875" t="str">
        <f>IF(final_data786[[#This Row],[WEATHER_CODE]]=1,"clear",IF(final_data786[[#This Row],[WEATHER_CODE]]=2,"cloudy",IF(final_data786[[#This Row],[WEATHER_CODE]]=3,"light rain",IF(final_data786[[#This Row],[WEATHER_CODE]]=4,"heavy rain",0))))</f>
        <v>clear</v>
      </c>
      <c r="N875">
        <v>0.16</v>
      </c>
      <c r="O875">
        <v>0.13639999999999999</v>
      </c>
      <c r="P875">
        <v>0.4</v>
      </c>
      <c r="Q875">
        <v>0.32840000000000003</v>
      </c>
      <c r="R875">
        <v>3</v>
      </c>
      <c r="S875">
        <v>53</v>
      </c>
      <c r="T875">
        <v>56</v>
      </c>
    </row>
    <row r="876" spans="1:20" x14ac:dyDescent="0.35">
      <c r="A876">
        <v>875</v>
      </c>
      <c r="B876" s="1">
        <v>40582</v>
      </c>
      <c r="C876">
        <v>1</v>
      </c>
      <c r="D876">
        <v>0</v>
      </c>
      <c r="E876">
        <v>2</v>
      </c>
      <c r="F876" t="str">
        <f>IF(final_data786[[#This Row],[MONTH_CODE]]=1,"JANUARY",IF(final_data786[[#This Row],[MONTH_CODE]]=2,"FEBRUARY"))</f>
        <v>FEBRUARY</v>
      </c>
      <c r="G876">
        <v>21</v>
      </c>
      <c r="H876">
        <v>0</v>
      </c>
      <c r="I876">
        <v>2</v>
      </c>
      <c r="J8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6" t="str">
        <f>IF(final_data786[[#This Row],[DAY_CODE]]=0,"weekend",IF(final_data786[[#This Row],[DAY_CODE]]=6,"weekend","weekday"))</f>
        <v>weekday</v>
      </c>
      <c r="L876">
        <v>1</v>
      </c>
      <c r="M876" t="str">
        <f>IF(final_data786[[#This Row],[WEATHER_CODE]]=1,"clear",IF(final_data786[[#This Row],[WEATHER_CODE]]=2,"cloudy",IF(final_data786[[#This Row],[WEATHER_CODE]]=3,"light rain",IF(final_data786[[#This Row],[WEATHER_CODE]]=4,"heavy rain",0))))</f>
        <v>clear</v>
      </c>
      <c r="N876">
        <v>0.14000000000000001</v>
      </c>
      <c r="O876">
        <v>0.1061</v>
      </c>
      <c r="P876">
        <v>0.33</v>
      </c>
      <c r="Q876">
        <v>0.4627</v>
      </c>
      <c r="R876">
        <v>8</v>
      </c>
      <c r="S876">
        <v>46</v>
      </c>
      <c r="T876">
        <v>54</v>
      </c>
    </row>
    <row r="877" spans="1:20" x14ac:dyDescent="0.35">
      <c r="A877">
        <v>876</v>
      </c>
      <c r="B877" s="1">
        <v>40582</v>
      </c>
      <c r="C877">
        <v>1</v>
      </c>
      <c r="D877">
        <v>0</v>
      </c>
      <c r="E877">
        <v>2</v>
      </c>
      <c r="F877" t="str">
        <f>IF(final_data786[[#This Row],[MONTH_CODE]]=1,"JANUARY",IF(final_data786[[#This Row],[MONTH_CODE]]=2,"FEBRUARY"))</f>
        <v>FEBRUARY</v>
      </c>
      <c r="G877">
        <v>22</v>
      </c>
      <c r="H877">
        <v>0</v>
      </c>
      <c r="I877">
        <v>2</v>
      </c>
      <c r="J8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7" t="str">
        <f>IF(final_data786[[#This Row],[DAY_CODE]]=0,"weekend",IF(final_data786[[#This Row],[DAY_CODE]]=6,"weekend","weekday"))</f>
        <v>weekday</v>
      </c>
      <c r="L877">
        <v>1</v>
      </c>
      <c r="M877" t="str">
        <f>IF(final_data786[[#This Row],[WEATHER_CODE]]=1,"clear",IF(final_data786[[#This Row],[WEATHER_CODE]]=2,"cloudy",IF(final_data786[[#This Row],[WEATHER_CODE]]=3,"light rain",IF(final_data786[[#This Row],[WEATHER_CODE]]=4,"heavy rain",0))))</f>
        <v>clear</v>
      </c>
      <c r="N877">
        <v>0.12</v>
      </c>
      <c r="O877">
        <v>0.1061</v>
      </c>
      <c r="P877">
        <v>0.33</v>
      </c>
      <c r="Q877">
        <v>0.35820000000000002</v>
      </c>
      <c r="R877">
        <v>0</v>
      </c>
      <c r="S877">
        <v>29</v>
      </c>
      <c r="T877">
        <v>29</v>
      </c>
    </row>
    <row r="878" spans="1:20" x14ac:dyDescent="0.35">
      <c r="A878">
        <v>877</v>
      </c>
      <c r="B878" s="1">
        <v>40582</v>
      </c>
      <c r="C878">
        <v>1</v>
      </c>
      <c r="D878">
        <v>0</v>
      </c>
      <c r="E878">
        <v>2</v>
      </c>
      <c r="F878" t="str">
        <f>IF(final_data786[[#This Row],[MONTH_CODE]]=1,"JANUARY",IF(final_data786[[#This Row],[MONTH_CODE]]=2,"FEBRUARY"))</f>
        <v>FEBRUARY</v>
      </c>
      <c r="G878">
        <v>23</v>
      </c>
      <c r="H878">
        <v>0</v>
      </c>
      <c r="I878">
        <v>2</v>
      </c>
      <c r="J8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Tuesday</v>
      </c>
      <c r="K878" t="str">
        <f>IF(final_data786[[#This Row],[DAY_CODE]]=0,"weekend",IF(final_data786[[#This Row],[DAY_CODE]]=6,"weekend","weekday"))</f>
        <v>weekday</v>
      </c>
      <c r="L878">
        <v>1</v>
      </c>
      <c r="M878" t="str">
        <f>IF(final_data786[[#This Row],[WEATHER_CODE]]=1,"clear",IF(final_data786[[#This Row],[WEATHER_CODE]]=2,"cloudy",IF(final_data786[[#This Row],[WEATHER_CODE]]=3,"light rain",IF(final_data786[[#This Row],[WEATHER_CODE]]=4,"heavy rain",0))))</f>
        <v>clear</v>
      </c>
      <c r="N878">
        <v>0.12</v>
      </c>
      <c r="O878">
        <v>0.1061</v>
      </c>
      <c r="P878">
        <v>0.33</v>
      </c>
      <c r="Q878">
        <v>0.32840000000000003</v>
      </c>
      <c r="R878">
        <v>3</v>
      </c>
      <c r="S878">
        <v>9</v>
      </c>
      <c r="T878">
        <v>12</v>
      </c>
    </row>
    <row r="879" spans="1:20" x14ac:dyDescent="0.35">
      <c r="A879">
        <v>878</v>
      </c>
      <c r="B879" s="1">
        <v>40583</v>
      </c>
      <c r="C879">
        <v>1</v>
      </c>
      <c r="D879">
        <v>0</v>
      </c>
      <c r="E879">
        <v>2</v>
      </c>
      <c r="F879" t="str">
        <f>IF(final_data786[[#This Row],[MONTH_CODE]]=1,"JANUARY",IF(final_data786[[#This Row],[MONTH_CODE]]=2,"FEBRUARY"))</f>
        <v>FEBRUARY</v>
      </c>
      <c r="G879">
        <v>0</v>
      </c>
      <c r="H879">
        <v>0</v>
      </c>
      <c r="I879">
        <v>3</v>
      </c>
      <c r="J8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79" t="str">
        <f>IF(final_data786[[#This Row],[DAY_CODE]]=0,"weekend",IF(final_data786[[#This Row],[DAY_CODE]]=6,"weekend","weekday"))</f>
        <v>weekday</v>
      </c>
      <c r="L879">
        <v>1</v>
      </c>
      <c r="M879" t="str">
        <f>IF(final_data786[[#This Row],[WEATHER_CODE]]=1,"clear",IF(final_data786[[#This Row],[WEATHER_CODE]]=2,"cloudy",IF(final_data786[[#This Row],[WEATHER_CODE]]=3,"light rain",IF(final_data786[[#This Row],[WEATHER_CODE]]=4,"heavy rain",0))))</f>
        <v>clear</v>
      </c>
      <c r="N879">
        <v>0.1</v>
      </c>
      <c r="O879">
        <v>7.5800000000000006E-2</v>
      </c>
      <c r="P879">
        <v>0.36</v>
      </c>
      <c r="Q879">
        <v>0.35820000000000002</v>
      </c>
      <c r="R879">
        <v>0</v>
      </c>
      <c r="S879">
        <v>17</v>
      </c>
      <c r="T879">
        <v>17</v>
      </c>
    </row>
    <row r="880" spans="1:20" x14ac:dyDescent="0.35">
      <c r="A880">
        <v>879</v>
      </c>
      <c r="B880" s="1">
        <v>40583</v>
      </c>
      <c r="C880">
        <v>1</v>
      </c>
      <c r="D880">
        <v>0</v>
      </c>
      <c r="E880">
        <v>2</v>
      </c>
      <c r="F880" t="str">
        <f>IF(final_data786[[#This Row],[MONTH_CODE]]=1,"JANUARY",IF(final_data786[[#This Row],[MONTH_CODE]]=2,"FEBRUARY"))</f>
        <v>FEBRUARY</v>
      </c>
      <c r="G880">
        <v>1</v>
      </c>
      <c r="H880">
        <v>0</v>
      </c>
      <c r="I880">
        <v>3</v>
      </c>
      <c r="J8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0" t="str">
        <f>IF(final_data786[[#This Row],[DAY_CODE]]=0,"weekend",IF(final_data786[[#This Row],[DAY_CODE]]=6,"weekend","weekday"))</f>
        <v>weekday</v>
      </c>
      <c r="L880">
        <v>1</v>
      </c>
      <c r="M880" t="str">
        <f>IF(final_data786[[#This Row],[WEATHER_CODE]]=1,"clear",IF(final_data786[[#This Row],[WEATHER_CODE]]=2,"cloudy",IF(final_data786[[#This Row],[WEATHER_CODE]]=3,"light rain",IF(final_data786[[#This Row],[WEATHER_CODE]]=4,"heavy rain",0))))</f>
        <v>clear</v>
      </c>
      <c r="N880">
        <v>0.1</v>
      </c>
      <c r="O880">
        <v>0.1061</v>
      </c>
      <c r="P880">
        <v>0.36</v>
      </c>
      <c r="Q880">
        <v>0.22389999999999999</v>
      </c>
      <c r="R880">
        <v>0</v>
      </c>
      <c r="S880">
        <v>7</v>
      </c>
      <c r="T880">
        <v>7</v>
      </c>
    </row>
    <row r="881" spans="1:20" x14ac:dyDescent="0.35">
      <c r="A881">
        <v>880</v>
      </c>
      <c r="B881" s="1">
        <v>40583</v>
      </c>
      <c r="C881">
        <v>1</v>
      </c>
      <c r="D881">
        <v>0</v>
      </c>
      <c r="E881">
        <v>2</v>
      </c>
      <c r="F881" t="str">
        <f>IF(final_data786[[#This Row],[MONTH_CODE]]=1,"JANUARY",IF(final_data786[[#This Row],[MONTH_CODE]]=2,"FEBRUARY"))</f>
        <v>FEBRUARY</v>
      </c>
      <c r="G881">
        <v>2</v>
      </c>
      <c r="H881">
        <v>0</v>
      </c>
      <c r="I881">
        <v>3</v>
      </c>
      <c r="J8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1" t="str">
        <f>IF(final_data786[[#This Row],[DAY_CODE]]=0,"weekend",IF(final_data786[[#This Row],[DAY_CODE]]=6,"weekend","weekday"))</f>
        <v>weekday</v>
      </c>
      <c r="L881">
        <v>1</v>
      </c>
      <c r="M881" t="str">
        <f>IF(final_data786[[#This Row],[WEATHER_CODE]]=1,"clear",IF(final_data786[[#This Row],[WEATHER_CODE]]=2,"cloudy",IF(final_data786[[#This Row],[WEATHER_CODE]]=3,"light rain",IF(final_data786[[#This Row],[WEATHER_CODE]]=4,"heavy rain",0))))</f>
        <v>clear</v>
      </c>
      <c r="N881">
        <v>0.08</v>
      </c>
      <c r="O881">
        <v>7.5800000000000006E-2</v>
      </c>
      <c r="P881">
        <v>0.38</v>
      </c>
      <c r="Q881">
        <v>0.28360000000000002</v>
      </c>
      <c r="R881">
        <v>1</v>
      </c>
      <c r="S881">
        <v>2</v>
      </c>
      <c r="T881">
        <v>3</v>
      </c>
    </row>
    <row r="882" spans="1:20" x14ac:dyDescent="0.35">
      <c r="A882">
        <v>881</v>
      </c>
      <c r="B882" s="1">
        <v>40583</v>
      </c>
      <c r="C882">
        <v>1</v>
      </c>
      <c r="D882">
        <v>0</v>
      </c>
      <c r="E882">
        <v>2</v>
      </c>
      <c r="F882" t="str">
        <f>IF(final_data786[[#This Row],[MONTH_CODE]]=1,"JANUARY",IF(final_data786[[#This Row],[MONTH_CODE]]=2,"FEBRUARY"))</f>
        <v>FEBRUARY</v>
      </c>
      <c r="G882">
        <v>3</v>
      </c>
      <c r="H882">
        <v>0</v>
      </c>
      <c r="I882">
        <v>3</v>
      </c>
      <c r="J8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2" t="str">
        <f>IF(final_data786[[#This Row],[DAY_CODE]]=0,"weekend",IF(final_data786[[#This Row],[DAY_CODE]]=6,"weekend","weekday"))</f>
        <v>weekday</v>
      </c>
      <c r="L882">
        <v>1</v>
      </c>
      <c r="M882" t="str">
        <f>IF(final_data786[[#This Row],[WEATHER_CODE]]=1,"clear",IF(final_data786[[#This Row],[WEATHER_CODE]]=2,"cloudy",IF(final_data786[[#This Row],[WEATHER_CODE]]=3,"light rain",IF(final_data786[[#This Row],[WEATHER_CODE]]=4,"heavy rain",0))))</f>
        <v>clear</v>
      </c>
      <c r="N882">
        <v>0.06</v>
      </c>
      <c r="O882">
        <v>7.5800000000000006E-2</v>
      </c>
      <c r="P882">
        <v>0.45</v>
      </c>
      <c r="Q882">
        <v>0.1343</v>
      </c>
      <c r="R882">
        <v>0</v>
      </c>
      <c r="S882">
        <v>2</v>
      </c>
      <c r="T882">
        <v>2</v>
      </c>
    </row>
    <row r="883" spans="1:20" x14ac:dyDescent="0.35">
      <c r="A883">
        <v>882</v>
      </c>
      <c r="B883" s="1">
        <v>40583</v>
      </c>
      <c r="C883">
        <v>1</v>
      </c>
      <c r="D883">
        <v>0</v>
      </c>
      <c r="E883">
        <v>2</v>
      </c>
      <c r="F883" t="str">
        <f>IF(final_data786[[#This Row],[MONTH_CODE]]=1,"JANUARY",IF(final_data786[[#This Row],[MONTH_CODE]]=2,"FEBRUARY"))</f>
        <v>FEBRUARY</v>
      </c>
      <c r="G883">
        <v>5</v>
      </c>
      <c r="H883">
        <v>0</v>
      </c>
      <c r="I883">
        <v>3</v>
      </c>
      <c r="J8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3" t="str">
        <f>IF(final_data786[[#This Row],[DAY_CODE]]=0,"weekend",IF(final_data786[[#This Row],[DAY_CODE]]=6,"weekend","weekday"))</f>
        <v>weekday</v>
      </c>
      <c r="L883">
        <v>1</v>
      </c>
      <c r="M883" t="str">
        <f>IF(final_data786[[#This Row],[WEATHER_CODE]]=1,"clear",IF(final_data786[[#This Row],[WEATHER_CODE]]=2,"cloudy",IF(final_data786[[#This Row],[WEATHER_CODE]]=3,"light rain",IF(final_data786[[#This Row],[WEATHER_CODE]]=4,"heavy rain",0))))</f>
        <v>clear</v>
      </c>
      <c r="N883">
        <v>0.06</v>
      </c>
      <c r="O883">
        <v>0.1061</v>
      </c>
      <c r="P883">
        <v>0.45</v>
      </c>
      <c r="Q883">
        <v>0.1045</v>
      </c>
      <c r="R883">
        <v>0</v>
      </c>
      <c r="S883">
        <v>7</v>
      </c>
      <c r="T883">
        <v>7</v>
      </c>
    </row>
    <row r="884" spans="1:20" x14ac:dyDescent="0.35">
      <c r="A884">
        <v>883</v>
      </c>
      <c r="B884" s="1">
        <v>40583</v>
      </c>
      <c r="C884">
        <v>1</v>
      </c>
      <c r="D884">
        <v>0</v>
      </c>
      <c r="E884">
        <v>2</v>
      </c>
      <c r="F884" t="str">
        <f>IF(final_data786[[#This Row],[MONTH_CODE]]=1,"JANUARY",IF(final_data786[[#This Row],[MONTH_CODE]]=2,"FEBRUARY"))</f>
        <v>FEBRUARY</v>
      </c>
      <c r="G884">
        <v>6</v>
      </c>
      <c r="H884">
        <v>0</v>
      </c>
      <c r="I884">
        <v>3</v>
      </c>
      <c r="J8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4" t="str">
        <f>IF(final_data786[[#This Row],[DAY_CODE]]=0,"weekend",IF(final_data786[[#This Row],[DAY_CODE]]=6,"weekend","weekday"))</f>
        <v>weekday</v>
      </c>
      <c r="L884">
        <v>1</v>
      </c>
      <c r="M884" t="str">
        <f>IF(final_data786[[#This Row],[WEATHER_CODE]]=1,"clear",IF(final_data786[[#This Row],[WEATHER_CODE]]=2,"cloudy",IF(final_data786[[#This Row],[WEATHER_CODE]]=3,"light rain",IF(final_data786[[#This Row],[WEATHER_CODE]]=4,"heavy rain",0))))</f>
        <v>clear</v>
      </c>
      <c r="N884">
        <v>0.06</v>
      </c>
      <c r="O884">
        <v>0.1515</v>
      </c>
      <c r="P884">
        <v>0.45</v>
      </c>
      <c r="Q884">
        <v>0</v>
      </c>
      <c r="R884">
        <v>0</v>
      </c>
      <c r="S884">
        <v>43</v>
      </c>
      <c r="T884">
        <v>43</v>
      </c>
    </row>
    <row r="885" spans="1:20" x14ac:dyDescent="0.35">
      <c r="A885">
        <v>884</v>
      </c>
      <c r="B885" s="1">
        <v>40583</v>
      </c>
      <c r="C885">
        <v>1</v>
      </c>
      <c r="D885">
        <v>0</v>
      </c>
      <c r="E885">
        <v>2</v>
      </c>
      <c r="F885" t="str">
        <f>IF(final_data786[[#This Row],[MONTH_CODE]]=1,"JANUARY",IF(final_data786[[#This Row],[MONTH_CODE]]=2,"FEBRUARY"))</f>
        <v>FEBRUARY</v>
      </c>
      <c r="G885">
        <v>7</v>
      </c>
      <c r="H885">
        <v>0</v>
      </c>
      <c r="I885">
        <v>3</v>
      </c>
      <c r="J8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5" t="str">
        <f>IF(final_data786[[#This Row],[DAY_CODE]]=0,"weekend",IF(final_data786[[#This Row],[DAY_CODE]]=6,"weekend","weekday"))</f>
        <v>weekday</v>
      </c>
      <c r="L885">
        <v>1</v>
      </c>
      <c r="M885" t="str">
        <f>IF(final_data786[[#This Row],[WEATHER_CODE]]=1,"clear",IF(final_data786[[#This Row],[WEATHER_CODE]]=2,"cloudy",IF(final_data786[[#This Row],[WEATHER_CODE]]=3,"light rain",IF(final_data786[[#This Row],[WEATHER_CODE]]=4,"heavy rain",0))))</f>
        <v>clear</v>
      </c>
      <c r="N885">
        <v>0.06</v>
      </c>
      <c r="O885">
        <v>0.1061</v>
      </c>
      <c r="P885">
        <v>0.49</v>
      </c>
      <c r="Q885">
        <v>0.1045</v>
      </c>
      <c r="R885">
        <v>4</v>
      </c>
      <c r="S885">
        <v>95</v>
      </c>
      <c r="T885">
        <v>99</v>
      </c>
    </row>
    <row r="886" spans="1:20" x14ac:dyDescent="0.35">
      <c r="A886">
        <v>885</v>
      </c>
      <c r="B886" s="1">
        <v>40583</v>
      </c>
      <c r="C886">
        <v>1</v>
      </c>
      <c r="D886">
        <v>0</v>
      </c>
      <c r="E886">
        <v>2</v>
      </c>
      <c r="F886" t="str">
        <f>IF(final_data786[[#This Row],[MONTH_CODE]]=1,"JANUARY",IF(final_data786[[#This Row],[MONTH_CODE]]=2,"FEBRUARY"))</f>
        <v>FEBRUARY</v>
      </c>
      <c r="G886">
        <v>8</v>
      </c>
      <c r="H886">
        <v>0</v>
      </c>
      <c r="I886">
        <v>3</v>
      </c>
      <c r="J8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6" t="str">
        <f>IF(final_data786[[#This Row],[DAY_CODE]]=0,"weekend",IF(final_data786[[#This Row],[DAY_CODE]]=6,"weekend","weekday"))</f>
        <v>weekday</v>
      </c>
      <c r="L886">
        <v>1</v>
      </c>
      <c r="M886" t="str">
        <f>IF(final_data786[[#This Row],[WEATHER_CODE]]=1,"clear",IF(final_data786[[#This Row],[WEATHER_CODE]]=2,"cloudy",IF(final_data786[[#This Row],[WEATHER_CODE]]=3,"light rain",IF(final_data786[[#This Row],[WEATHER_CODE]]=4,"heavy rain",0))))</f>
        <v>clear</v>
      </c>
      <c r="N886">
        <v>0.1</v>
      </c>
      <c r="O886">
        <v>0.13639999999999999</v>
      </c>
      <c r="P886">
        <v>0.42</v>
      </c>
      <c r="Q886">
        <v>0</v>
      </c>
      <c r="R886">
        <v>1</v>
      </c>
      <c r="S886">
        <v>198</v>
      </c>
      <c r="T886">
        <v>199</v>
      </c>
    </row>
    <row r="887" spans="1:20" x14ac:dyDescent="0.35">
      <c r="A887">
        <v>886</v>
      </c>
      <c r="B887" s="1">
        <v>40583</v>
      </c>
      <c r="C887">
        <v>1</v>
      </c>
      <c r="D887">
        <v>0</v>
      </c>
      <c r="E887">
        <v>2</v>
      </c>
      <c r="F887" t="str">
        <f>IF(final_data786[[#This Row],[MONTH_CODE]]=1,"JANUARY",IF(final_data786[[#This Row],[MONTH_CODE]]=2,"FEBRUARY"))</f>
        <v>FEBRUARY</v>
      </c>
      <c r="G887">
        <v>9</v>
      </c>
      <c r="H887">
        <v>0</v>
      </c>
      <c r="I887">
        <v>3</v>
      </c>
      <c r="J8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7" t="str">
        <f>IF(final_data786[[#This Row],[DAY_CODE]]=0,"weekend",IF(final_data786[[#This Row],[DAY_CODE]]=6,"weekend","weekday"))</f>
        <v>weekday</v>
      </c>
      <c r="L887">
        <v>1</v>
      </c>
      <c r="M887" t="str">
        <f>IF(final_data786[[#This Row],[WEATHER_CODE]]=1,"clear",IF(final_data786[[#This Row],[WEATHER_CODE]]=2,"cloudy",IF(final_data786[[#This Row],[WEATHER_CODE]]=3,"light rain",IF(final_data786[[#This Row],[WEATHER_CODE]]=4,"heavy rain",0))))</f>
        <v>clear</v>
      </c>
      <c r="N887">
        <v>0.12</v>
      </c>
      <c r="O887">
        <v>0.13639999999999999</v>
      </c>
      <c r="P887">
        <v>0.39</v>
      </c>
      <c r="Q887">
        <v>0.16420000000000001</v>
      </c>
      <c r="R887">
        <v>4</v>
      </c>
      <c r="S887">
        <v>119</v>
      </c>
      <c r="T887">
        <v>123</v>
      </c>
    </row>
    <row r="888" spans="1:20" x14ac:dyDescent="0.35">
      <c r="A888">
        <v>887</v>
      </c>
      <c r="B888" s="1">
        <v>40583</v>
      </c>
      <c r="C888">
        <v>1</v>
      </c>
      <c r="D888">
        <v>0</v>
      </c>
      <c r="E888">
        <v>2</v>
      </c>
      <c r="F888" t="str">
        <f>IF(final_data786[[#This Row],[MONTH_CODE]]=1,"JANUARY",IF(final_data786[[#This Row],[MONTH_CODE]]=2,"FEBRUARY"))</f>
        <v>FEBRUARY</v>
      </c>
      <c r="G888">
        <v>10</v>
      </c>
      <c r="H888">
        <v>0</v>
      </c>
      <c r="I888">
        <v>3</v>
      </c>
      <c r="J8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8" t="str">
        <f>IF(final_data786[[#This Row],[DAY_CODE]]=0,"weekend",IF(final_data786[[#This Row],[DAY_CODE]]=6,"weekend","weekday"))</f>
        <v>weekday</v>
      </c>
      <c r="L888">
        <v>1</v>
      </c>
      <c r="M888" t="str">
        <f>IF(final_data786[[#This Row],[WEATHER_CODE]]=1,"clear",IF(final_data786[[#This Row],[WEATHER_CODE]]=2,"cloudy",IF(final_data786[[#This Row],[WEATHER_CODE]]=3,"light rain",IF(final_data786[[#This Row],[WEATHER_CODE]]=4,"heavy rain",0))))</f>
        <v>clear</v>
      </c>
      <c r="N888">
        <v>0.14000000000000001</v>
      </c>
      <c r="O888">
        <v>0.18179999999999999</v>
      </c>
      <c r="P888">
        <v>0.36</v>
      </c>
      <c r="Q888">
        <v>0</v>
      </c>
      <c r="R888">
        <v>8</v>
      </c>
      <c r="S888">
        <v>51</v>
      </c>
      <c r="T888">
        <v>59</v>
      </c>
    </row>
    <row r="889" spans="1:20" x14ac:dyDescent="0.35">
      <c r="A889">
        <v>888</v>
      </c>
      <c r="B889" s="1">
        <v>40583</v>
      </c>
      <c r="C889">
        <v>1</v>
      </c>
      <c r="D889">
        <v>0</v>
      </c>
      <c r="E889">
        <v>2</v>
      </c>
      <c r="F889" t="str">
        <f>IF(final_data786[[#This Row],[MONTH_CODE]]=1,"JANUARY",IF(final_data786[[#This Row],[MONTH_CODE]]=2,"FEBRUARY"))</f>
        <v>FEBRUARY</v>
      </c>
      <c r="G889">
        <v>11</v>
      </c>
      <c r="H889">
        <v>0</v>
      </c>
      <c r="I889">
        <v>3</v>
      </c>
      <c r="J8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89" t="str">
        <f>IF(final_data786[[#This Row],[DAY_CODE]]=0,"weekend",IF(final_data786[[#This Row],[DAY_CODE]]=6,"weekend","weekday"))</f>
        <v>weekday</v>
      </c>
      <c r="L889">
        <v>2</v>
      </c>
      <c r="M889" t="str">
        <f>IF(final_data786[[#This Row],[WEATHER_CODE]]=1,"clear",IF(final_data786[[#This Row],[WEATHER_CODE]]=2,"cloudy",IF(final_data786[[#This Row],[WEATHER_CODE]]=3,"light rain",IF(final_data786[[#This Row],[WEATHER_CODE]]=4,"heavy rain",0))))</f>
        <v>cloudy</v>
      </c>
      <c r="N889">
        <v>0.14000000000000001</v>
      </c>
      <c r="O889">
        <v>0.1515</v>
      </c>
      <c r="P889">
        <v>0.43</v>
      </c>
      <c r="Q889">
        <v>0.16420000000000001</v>
      </c>
      <c r="R889">
        <v>1</v>
      </c>
      <c r="S889">
        <v>40</v>
      </c>
      <c r="T889">
        <v>41</v>
      </c>
    </row>
    <row r="890" spans="1:20" x14ac:dyDescent="0.35">
      <c r="A890">
        <v>889</v>
      </c>
      <c r="B890" s="1">
        <v>40583</v>
      </c>
      <c r="C890">
        <v>1</v>
      </c>
      <c r="D890">
        <v>0</v>
      </c>
      <c r="E890">
        <v>2</v>
      </c>
      <c r="F890" t="str">
        <f>IF(final_data786[[#This Row],[MONTH_CODE]]=1,"JANUARY",IF(final_data786[[#This Row],[MONTH_CODE]]=2,"FEBRUARY"))</f>
        <v>FEBRUARY</v>
      </c>
      <c r="G890">
        <v>12</v>
      </c>
      <c r="H890">
        <v>0</v>
      </c>
      <c r="I890">
        <v>3</v>
      </c>
      <c r="J8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0" t="str">
        <f>IF(final_data786[[#This Row],[DAY_CODE]]=0,"weekend",IF(final_data786[[#This Row],[DAY_CODE]]=6,"weekend","weekday"))</f>
        <v>weekday</v>
      </c>
      <c r="L890">
        <v>2</v>
      </c>
      <c r="M890" t="str">
        <f>IF(final_data786[[#This Row],[WEATHER_CODE]]=1,"clear",IF(final_data786[[#This Row],[WEATHER_CODE]]=2,"cloudy",IF(final_data786[[#This Row],[WEATHER_CODE]]=3,"light rain",IF(final_data786[[#This Row],[WEATHER_CODE]]=4,"heavy rain",0))))</f>
        <v>cloudy</v>
      </c>
      <c r="N890">
        <v>0.18</v>
      </c>
      <c r="O890">
        <v>0.18179999999999999</v>
      </c>
      <c r="P890">
        <v>0.4</v>
      </c>
      <c r="Q890">
        <v>0.22389999999999999</v>
      </c>
      <c r="R890">
        <v>4</v>
      </c>
      <c r="S890">
        <v>57</v>
      </c>
      <c r="T890">
        <v>61</v>
      </c>
    </row>
    <row r="891" spans="1:20" x14ac:dyDescent="0.35">
      <c r="A891">
        <v>890</v>
      </c>
      <c r="B891" s="1">
        <v>40583</v>
      </c>
      <c r="C891">
        <v>1</v>
      </c>
      <c r="D891">
        <v>0</v>
      </c>
      <c r="E891">
        <v>2</v>
      </c>
      <c r="F891" t="str">
        <f>IF(final_data786[[#This Row],[MONTH_CODE]]=1,"JANUARY",IF(final_data786[[#This Row],[MONTH_CODE]]=2,"FEBRUARY"))</f>
        <v>FEBRUARY</v>
      </c>
      <c r="G891">
        <v>13</v>
      </c>
      <c r="H891">
        <v>0</v>
      </c>
      <c r="I891">
        <v>3</v>
      </c>
      <c r="J8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1" t="str">
        <f>IF(final_data786[[#This Row],[DAY_CODE]]=0,"weekend",IF(final_data786[[#This Row],[DAY_CODE]]=6,"weekend","weekday"))</f>
        <v>weekday</v>
      </c>
      <c r="L891">
        <v>1</v>
      </c>
      <c r="M891" t="str">
        <f>IF(final_data786[[#This Row],[WEATHER_CODE]]=1,"clear",IF(final_data786[[#This Row],[WEATHER_CODE]]=2,"cloudy",IF(final_data786[[#This Row],[WEATHER_CODE]]=3,"light rain",IF(final_data786[[#This Row],[WEATHER_CODE]]=4,"heavy rain",0))))</f>
        <v>clear</v>
      </c>
      <c r="N891">
        <v>0.18</v>
      </c>
      <c r="O891">
        <v>0.16669999999999999</v>
      </c>
      <c r="P891">
        <v>0.4</v>
      </c>
      <c r="Q891">
        <v>0.25369999999999998</v>
      </c>
      <c r="R891">
        <v>2</v>
      </c>
      <c r="S891">
        <v>67</v>
      </c>
      <c r="T891">
        <v>69</v>
      </c>
    </row>
    <row r="892" spans="1:20" x14ac:dyDescent="0.35">
      <c r="A892">
        <v>891</v>
      </c>
      <c r="B892" s="1">
        <v>40583</v>
      </c>
      <c r="C892">
        <v>1</v>
      </c>
      <c r="D892">
        <v>0</v>
      </c>
      <c r="E892">
        <v>2</v>
      </c>
      <c r="F892" t="str">
        <f>IF(final_data786[[#This Row],[MONTH_CODE]]=1,"JANUARY",IF(final_data786[[#This Row],[MONTH_CODE]]=2,"FEBRUARY"))</f>
        <v>FEBRUARY</v>
      </c>
      <c r="G892">
        <v>14</v>
      </c>
      <c r="H892">
        <v>0</v>
      </c>
      <c r="I892">
        <v>3</v>
      </c>
      <c r="J8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2" t="str">
        <f>IF(final_data786[[#This Row],[DAY_CODE]]=0,"weekend",IF(final_data786[[#This Row],[DAY_CODE]]=6,"weekend","weekday"))</f>
        <v>weekday</v>
      </c>
      <c r="L892">
        <v>1</v>
      </c>
      <c r="M892" t="str">
        <f>IF(final_data786[[#This Row],[WEATHER_CODE]]=1,"clear",IF(final_data786[[#This Row],[WEATHER_CODE]]=2,"cloudy",IF(final_data786[[#This Row],[WEATHER_CODE]]=3,"light rain",IF(final_data786[[#This Row],[WEATHER_CODE]]=4,"heavy rain",0))))</f>
        <v>clear</v>
      </c>
      <c r="N892">
        <v>0.2</v>
      </c>
      <c r="O892">
        <v>0.18179999999999999</v>
      </c>
      <c r="P892">
        <v>0.34</v>
      </c>
      <c r="Q892">
        <v>0.29849999999999999</v>
      </c>
      <c r="R892">
        <v>2</v>
      </c>
      <c r="S892">
        <v>56</v>
      </c>
      <c r="T892">
        <v>58</v>
      </c>
    </row>
    <row r="893" spans="1:20" x14ac:dyDescent="0.35">
      <c r="A893">
        <v>892</v>
      </c>
      <c r="B893" s="1">
        <v>40583</v>
      </c>
      <c r="C893">
        <v>1</v>
      </c>
      <c r="D893">
        <v>0</v>
      </c>
      <c r="E893">
        <v>2</v>
      </c>
      <c r="F893" t="str">
        <f>IF(final_data786[[#This Row],[MONTH_CODE]]=1,"JANUARY",IF(final_data786[[#This Row],[MONTH_CODE]]=2,"FEBRUARY"))</f>
        <v>FEBRUARY</v>
      </c>
      <c r="G893">
        <v>15</v>
      </c>
      <c r="H893">
        <v>0</v>
      </c>
      <c r="I893">
        <v>3</v>
      </c>
      <c r="J8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3" t="str">
        <f>IF(final_data786[[#This Row],[DAY_CODE]]=0,"weekend",IF(final_data786[[#This Row],[DAY_CODE]]=6,"weekend","weekday"))</f>
        <v>weekday</v>
      </c>
      <c r="L893">
        <v>2</v>
      </c>
      <c r="M893" t="str">
        <f>IF(final_data786[[#This Row],[WEATHER_CODE]]=1,"clear",IF(final_data786[[#This Row],[WEATHER_CODE]]=2,"cloudy",IF(final_data786[[#This Row],[WEATHER_CODE]]=3,"light rain",IF(final_data786[[#This Row],[WEATHER_CODE]]=4,"heavy rain",0))))</f>
        <v>cloudy</v>
      </c>
      <c r="N893">
        <v>0.2</v>
      </c>
      <c r="O893">
        <v>0.18179999999999999</v>
      </c>
      <c r="P893">
        <v>0.34</v>
      </c>
      <c r="Q893">
        <v>0.28360000000000002</v>
      </c>
      <c r="R893">
        <v>3</v>
      </c>
      <c r="S893">
        <v>61</v>
      </c>
      <c r="T893">
        <v>64</v>
      </c>
    </row>
    <row r="894" spans="1:20" x14ac:dyDescent="0.35">
      <c r="A894">
        <v>893</v>
      </c>
      <c r="B894" s="1">
        <v>40583</v>
      </c>
      <c r="C894">
        <v>1</v>
      </c>
      <c r="D894">
        <v>0</v>
      </c>
      <c r="E894">
        <v>2</v>
      </c>
      <c r="F894" t="str">
        <f>IF(final_data786[[#This Row],[MONTH_CODE]]=1,"JANUARY",IF(final_data786[[#This Row],[MONTH_CODE]]=2,"FEBRUARY"))</f>
        <v>FEBRUARY</v>
      </c>
      <c r="G894">
        <v>16</v>
      </c>
      <c r="H894">
        <v>0</v>
      </c>
      <c r="I894">
        <v>3</v>
      </c>
      <c r="J8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4" t="str">
        <f>IF(final_data786[[#This Row],[DAY_CODE]]=0,"weekend",IF(final_data786[[#This Row],[DAY_CODE]]=6,"weekend","weekday"))</f>
        <v>weekday</v>
      </c>
      <c r="L894">
        <v>2</v>
      </c>
      <c r="M894" t="str">
        <f>IF(final_data786[[#This Row],[WEATHER_CODE]]=1,"clear",IF(final_data786[[#This Row],[WEATHER_CODE]]=2,"cloudy",IF(final_data786[[#This Row],[WEATHER_CODE]]=3,"light rain",IF(final_data786[[#This Row],[WEATHER_CODE]]=4,"heavy rain",0))))</f>
        <v>cloudy</v>
      </c>
      <c r="N894">
        <v>0.2</v>
      </c>
      <c r="O894">
        <v>0.19700000000000001</v>
      </c>
      <c r="P894">
        <v>0.37</v>
      </c>
      <c r="Q894">
        <v>0.25369999999999998</v>
      </c>
      <c r="R894">
        <v>7</v>
      </c>
      <c r="S894">
        <v>72</v>
      </c>
      <c r="T894">
        <v>79</v>
      </c>
    </row>
    <row r="895" spans="1:20" x14ac:dyDescent="0.35">
      <c r="A895">
        <v>894</v>
      </c>
      <c r="B895" s="1">
        <v>40583</v>
      </c>
      <c r="C895">
        <v>1</v>
      </c>
      <c r="D895">
        <v>0</v>
      </c>
      <c r="E895">
        <v>2</v>
      </c>
      <c r="F895" t="str">
        <f>IF(final_data786[[#This Row],[MONTH_CODE]]=1,"JANUARY",IF(final_data786[[#This Row],[MONTH_CODE]]=2,"FEBRUARY"))</f>
        <v>FEBRUARY</v>
      </c>
      <c r="G895">
        <v>17</v>
      </c>
      <c r="H895">
        <v>0</v>
      </c>
      <c r="I895">
        <v>3</v>
      </c>
      <c r="J8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5" t="str">
        <f>IF(final_data786[[#This Row],[DAY_CODE]]=0,"weekend",IF(final_data786[[#This Row],[DAY_CODE]]=6,"weekend","weekday"))</f>
        <v>weekday</v>
      </c>
      <c r="L895">
        <v>2</v>
      </c>
      <c r="M895" t="str">
        <f>IF(final_data786[[#This Row],[WEATHER_CODE]]=1,"clear",IF(final_data786[[#This Row],[WEATHER_CODE]]=2,"cloudy",IF(final_data786[[#This Row],[WEATHER_CODE]]=3,"light rain",IF(final_data786[[#This Row],[WEATHER_CODE]]=4,"heavy rain",0))))</f>
        <v>cloudy</v>
      </c>
      <c r="N895">
        <v>0.2</v>
      </c>
      <c r="O895">
        <v>0.19700000000000001</v>
      </c>
      <c r="P895">
        <v>0.34</v>
      </c>
      <c r="Q895">
        <v>0.25369999999999998</v>
      </c>
      <c r="R895">
        <v>9</v>
      </c>
      <c r="S895">
        <v>157</v>
      </c>
      <c r="T895">
        <v>166</v>
      </c>
    </row>
    <row r="896" spans="1:20" x14ac:dyDescent="0.35">
      <c r="A896">
        <v>895</v>
      </c>
      <c r="B896" s="1">
        <v>40583</v>
      </c>
      <c r="C896">
        <v>1</v>
      </c>
      <c r="D896">
        <v>0</v>
      </c>
      <c r="E896">
        <v>2</v>
      </c>
      <c r="F896" t="str">
        <f>IF(final_data786[[#This Row],[MONTH_CODE]]=1,"JANUARY",IF(final_data786[[#This Row],[MONTH_CODE]]=2,"FEBRUARY"))</f>
        <v>FEBRUARY</v>
      </c>
      <c r="G896">
        <v>18</v>
      </c>
      <c r="H896">
        <v>0</v>
      </c>
      <c r="I896">
        <v>3</v>
      </c>
      <c r="J8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6" t="str">
        <f>IF(final_data786[[#This Row],[DAY_CODE]]=0,"weekend",IF(final_data786[[#This Row],[DAY_CODE]]=6,"weekend","weekday"))</f>
        <v>weekday</v>
      </c>
      <c r="L896">
        <v>2</v>
      </c>
      <c r="M896" t="str">
        <f>IF(final_data786[[#This Row],[WEATHER_CODE]]=1,"clear",IF(final_data786[[#This Row],[WEATHER_CODE]]=2,"cloudy",IF(final_data786[[#This Row],[WEATHER_CODE]]=3,"light rain",IF(final_data786[[#This Row],[WEATHER_CODE]]=4,"heavy rain",0))))</f>
        <v>cloudy</v>
      </c>
      <c r="N896">
        <v>0.18</v>
      </c>
      <c r="O896">
        <v>0.16669999999999999</v>
      </c>
      <c r="P896">
        <v>0.47</v>
      </c>
      <c r="Q896">
        <v>0.29849999999999999</v>
      </c>
      <c r="R896">
        <v>2</v>
      </c>
      <c r="S896">
        <v>168</v>
      </c>
      <c r="T896">
        <v>170</v>
      </c>
    </row>
    <row r="897" spans="1:20" x14ac:dyDescent="0.35">
      <c r="A897">
        <v>896</v>
      </c>
      <c r="B897" s="1">
        <v>40583</v>
      </c>
      <c r="C897">
        <v>1</v>
      </c>
      <c r="D897">
        <v>0</v>
      </c>
      <c r="E897">
        <v>2</v>
      </c>
      <c r="F897" t="str">
        <f>IF(final_data786[[#This Row],[MONTH_CODE]]=1,"JANUARY",IF(final_data786[[#This Row],[MONTH_CODE]]=2,"FEBRUARY"))</f>
        <v>FEBRUARY</v>
      </c>
      <c r="G897">
        <v>19</v>
      </c>
      <c r="H897">
        <v>0</v>
      </c>
      <c r="I897">
        <v>3</v>
      </c>
      <c r="J8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7" t="str">
        <f>IF(final_data786[[#This Row],[DAY_CODE]]=0,"weekend",IF(final_data786[[#This Row],[DAY_CODE]]=6,"weekend","weekday"))</f>
        <v>weekday</v>
      </c>
      <c r="L897">
        <v>3</v>
      </c>
      <c r="M897" t="str">
        <f>IF(final_data786[[#This Row],[WEATHER_CODE]]=1,"clear",IF(final_data786[[#This Row],[WEATHER_CODE]]=2,"cloudy",IF(final_data786[[#This Row],[WEATHER_CODE]]=3,"light rain",IF(final_data786[[#This Row],[WEATHER_CODE]]=4,"heavy rain",0))))</f>
        <v>light rain</v>
      </c>
      <c r="N897">
        <v>0.14000000000000001</v>
      </c>
      <c r="O897">
        <v>0.1212</v>
      </c>
      <c r="P897">
        <v>0.86</v>
      </c>
      <c r="Q897">
        <v>0.25369999999999998</v>
      </c>
      <c r="R897">
        <v>1</v>
      </c>
      <c r="S897">
        <v>87</v>
      </c>
      <c r="T897">
        <v>88</v>
      </c>
    </row>
    <row r="898" spans="1:20" x14ac:dyDescent="0.35">
      <c r="A898">
        <v>897</v>
      </c>
      <c r="B898" s="1">
        <v>40583</v>
      </c>
      <c r="C898">
        <v>1</v>
      </c>
      <c r="D898">
        <v>0</v>
      </c>
      <c r="E898">
        <v>2</v>
      </c>
      <c r="F898" t="str">
        <f>IF(final_data786[[#This Row],[MONTH_CODE]]=1,"JANUARY",IF(final_data786[[#This Row],[MONTH_CODE]]=2,"FEBRUARY"))</f>
        <v>FEBRUARY</v>
      </c>
      <c r="G898">
        <v>20</v>
      </c>
      <c r="H898">
        <v>0</v>
      </c>
      <c r="I898">
        <v>3</v>
      </c>
      <c r="J8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8" t="str">
        <f>IF(final_data786[[#This Row],[DAY_CODE]]=0,"weekend",IF(final_data786[[#This Row],[DAY_CODE]]=6,"weekend","weekday"))</f>
        <v>weekday</v>
      </c>
      <c r="L898">
        <v>3</v>
      </c>
      <c r="M898" t="str">
        <f>IF(final_data786[[#This Row],[WEATHER_CODE]]=1,"clear",IF(final_data786[[#This Row],[WEATHER_CODE]]=2,"cloudy",IF(final_data786[[#This Row],[WEATHER_CODE]]=3,"light rain",IF(final_data786[[#This Row],[WEATHER_CODE]]=4,"heavy rain",0))))</f>
        <v>light rain</v>
      </c>
      <c r="N898">
        <v>0.14000000000000001</v>
      </c>
      <c r="O898">
        <v>0.1515</v>
      </c>
      <c r="P898">
        <v>0.86</v>
      </c>
      <c r="Q898">
        <v>0.16420000000000001</v>
      </c>
      <c r="R898">
        <v>0</v>
      </c>
      <c r="S898">
        <v>84</v>
      </c>
      <c r="T898">
        <v>84</v>
      </c>
    </row>
    <row r="899" spans="1:20" x14ac:dyDescent="0.35">
      <c r="A899">
        <v>898</v>
      </c>
      <c r="B899" s="1">
        <v>40583</v>
      </c>
      <c r="C899">
        <v>1</v>
      </c>
      <c r="D899">
        <v>0</v>
      </c>
      <c r="E899">
        <v>2</v>
      </c>
      <c r="F899" t="str">
        <f>IF(final_data786[[#This Row],[MONTH_CODE]]=1,"JANUARY",IF(final_data786[[#This Row],[MONTH_CODE]]=2,"FEBRUARY"))</f>
        <v>FEBRUARY</v>
      </c>
      <c r="G899">
        <v>21</v>
      </c>
      <c r="H899">
        <v>0</v>
      </c>
      <c r="I899">
        <v>3</v>
      </c>
      <c r="J8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899" t="str">
        <f>IF(final_data786[[#This Row],[DAY_CODE]]=0,"weekend",IF(final_data786[[#This Row],[DAY_CODE]]=6,"weekend","weekday"))</f>
        <v>weekday</v>
      </c>
      <c r="L899">
        <v>2</v>
      </c>
      <c r="M899" t="str">
        <f>IF(final_data786[[#This Row],[WEATHER_CODE]]=1,"clear",IF(final_data786[[#This Row],[WEATHER_CODE]]=2,"cloudy",IF(final_data786[[#This Row],[WEATHER_CODE]]=3,"light rain",IF(final_data786[[#This Row],[WEATHER_CODE]]=4,"heavy rain",0))))</f>
        <v>cloudy</v>
      </c>
      <c r="N899">
        <v>0.14000000000000001</v>
      </c>
      <c r="O899">
        <v>0.1515</v>
      </c>
      <c r="P899">
        <v>0.86</v>
      </c>
      <c r="Q899">
        <v>0.16420000000000001</v>
      </c>
      <c r="R899">
        <v>0</v>
      </c>
      <c r="S899">
        <v>83</v>
      </c>
      <c r="T899">
        <v>83</v>
      </c>
    </row>
    <row r="900" spans="1:20" x14ac:dyDescent="0.35">
      <c r="A900">
        <v>899</v>
      </c>
      <c r="B900" s="1">
        <v>40583</v>
      </c>
      <c r="C900">
        <v>1</v>
      </c>
      <c r="D900">
        <v>0</v>
      </c>
      <c r="E900">
        <v>2</v>
      </c>
      <c r="F900" t="str">
        <f>IF(final_data786[[#This Row],[MONTH_CODE]]=1,"JANUARY",IF(final_data786[[#This Row],[MONTH_CODE]]=2,"FEBRUARY"))</f>
        <v>FEBRUARY</v>
      </c>
      <c r="G900">
        <v>22</v>
      </c>
      <c r="H900">
        <v>0</v>
      </c>
      <c r="I900">
        <v>3</v>
      </c>
      <c r="J9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00" t="str">
        <f>IF(final_data786[[#This Row],[DAY_CODE]]=0,"weekend",IF(final_data786[[#This Row],[DAY_CODE]]=6,"weekend","weekday"))</f>
        <v>weekday</v>
      </c>
      <c r="L900">
        <v>3</v>
      </c>
      <c r="M900" t="str">
        <f>IF(final_data786[[#This Row],[WEATHER_CODE]]=1,"clear",IF(final_data786[[#This Row],[WEATHER_CODE]]=2,"cloudy",IF(final_data786[[#This Row],[WEATHER_CODE]]=3,"light rain",IF(final_data786[[#This Row],[WEATHER_CODE]]=4,"heavy rain",0))))</f>
        <v>light rain</v>
      </c>
      <c r="N900">
        <v>0.16</v>
      </c>
      <c r="O900">
        <v>0.16669999999999999</v>
      </c>
      <c r="P900">
        <v>0.8</v>
      </c>
      <c r="Q900">
        <v>0.16420000000000001</v>
      </c>
      <c r="R900">
        <v>4</v>
      </c>
      <c r="S900">
        <v>42</v>
      </c>
      <c r="T900">
        <v>46</v>
      </c>
    </row>
    <row r="901" spans="1:20" x14ac:dyDescent="0.35">
      <c r="A901">
        <v>900</v>
      </c>
      <c r="B901" s="1">
        <v>40583</v>
      </c>
      <c r="C901">
        <v>1</v>
      </c>
      <c r="D901">
        <v>0</v>
      </c>
      <c r="E901">
        <v>2</v>
      </c>
      <c r="F901" t="str">
        <f>IF(final_data786[[#This Row],[MONTH_CODE]]=1,"JANUARY",IF(final_data786[[#This Row],[MONTH_CODE]]=2,"FEBRUARY"))</f>
        <v>FEBRUARY</v>
      </c>
      <c r="G901">
        <v>23</v>
      </c>
      <c r="H901">
        <v>0</v>
      </c>
      <c r="I901">
        <v>3</v>
      </c>
      <c r="J9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Wednesday</v>
      </c>
      <c r="K901" t="str">
        <f>IF(final_data786[[#This Row],[DAY_CODE]]=0,"weekend",IF(final_data786[[#This Row],[DAY_CODE]]=6,"weekend","weekday"))</f>
        <v>weekday</v>
      </c>
      <c r="L901">
        <v>3</v>
      </c>
      <c r="M901" t="str">
        <f>IF(final_data786[[#This Row],[WEATHER_CODE]]=1,"clear",IF(final_data786[[#This Row],[WEATHER_CODE]]=2,"cloudy",IF(final_data786[[#This Row],[WEATHER_CODE]]=3,"light rain",IF(final_data786[[#This Row],[WEATHER_CODE]]=4,"heavy rain",0))))</f>
        <v>light rain</v>
      </c>
      <c r="N901">
        <v>0.16</v>
      </c>
      <c r="O901">
        <v>0.1515</v>
      </c>
      <c r="P901">
        <v>0.8</v>
      </c>
      <c r="Q901">
        <v>0.19400000000000001</v>
      </c>
      <c r="R901">
        <v>0</v>
      </c>
      <c r="S901">
        <v>37</v>
      </c>
      <c r="T901">
        <v>37</v>
      </c>
    </row>
    <row r="902" spans="1:20" x14ac:dyDescent="0.35">
      <c r="A902">
        <v>901</v>
      </c>
      <c r="B902" s="1">
        <v>40584</v>
      </c>
      <c r="C902">
        <v>1</v>
      </c>
      <c r="D902">
        <v>0</v>
      </c>
      <c r="E902">
        <v>2</v>
      </c>
      <c r="F902" t="str">
        <f>IF(final_data786[[#This Row],[MONTH_CODE]]=1,"JANUARY",IF(final_data786[[#This Row],[MONTH_CODE]]=2,"FEBRUARY"))</f>
        <v>FEBRUARY</v>
      </c>
      <c r="G902">
        <v>0</v>
      </c>
      <c r="H902">
        <v>0</v>
      </c>
      <c r="I902">
        <v>4</v>
      </c>
      <c r="J90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2" t="str">
        <f>IF(final_data786[[#This Row],[DAY_CODE]]=0,"weekend",IF(final_data786[[#This Row],[DAY_CODE]]=6,"weekend","weekday"))</f>
        <v>weekday</v>
      </c>
      <c r="L902">
        <v>3</v>
      </c>
      <c r="M902" t="str">
        <f>IF(final_data786[[#This Row],[WEATHER_CODE]]=1,"clear",IF(final_data786[[#This Row],[WEATHER_CODE]]=2,"cloudy",IF(final_data786[[#This Row],[WEATHER_CODE]]=3,"light rain",IF(final_data786[[#This Row],[WEATHER_CODE]]=4,"heavy rain",0))))</f>
        <v>light rain</v>
      </c>
      <c r="N902">
        <v>0.14000000000000001</v>
      </c>
      <c r="O902">
        <v>0.13639999999999999</v>
      </c>
      <c r="P902">
        <v>0.86</v>
      </c>
      <c r="Q902">
        <v>0.19400000000000001</v>
      </c>
      <c r="R902">
        <v>0</v>
      </c>
      <c r="S902">
        <v>16</v>
      </c>
      <c r="T902">
        <v>16</v>
      </c>
    </row>
    <row r="903" spans="1:20" x14ac:dyDescent="0.35">
      <c r="A903">
        <v>902</v>
      </c>
      <c r="B903" s="1">
        <v>40584</v>
      </c>
      <c r="C903">
        <v>1</v>
      </c>
      <c r="D903">
        <v>0</v>
      </c>
      <c r="E903">
        <v>2</v>
      </c>
      <c r="F903" t="str">
        <f>IF(final_data786[[#This Row],[MONTH_CODE]]=1,"JANUARY",IF(final_data786[[#This Row],[MONTH_CODE]]=2,"FEBRUARY"))</f>
        <v>FEBRUARY</v>
      </c>
      <c r="G903">
        <v>1</v>
      </c>
      <c r="H903">
        <v>0</v>
      </c>
      <c r="I903">
        <v>4</v>
      </c>
      <c r="J90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3" t="str">
        <f>IF(final_data786[[#This Row],[DAY_CODE]]=0,"weekend",IF(final_data786[[#This Row],[DAY_CODE]]=6,"weekend","weekday"))</f>
        <v>weekday</v>
      </c>
      <c r="L903">
        <v>3</v>
      </c>
      <c r="M903" t="str">
        <f>IF(final_data786[[#This Row],[WEATHER_CODE]]=1,"clear",IF(final_data786[[#This Row],[WEATHER_CODE]]=2,"cloudy",IF(final_data786[[#This Row],[WEATHER_CODE]]=3,"light rain",IF(final_data786[[#This Row],[WEATHER_CODE]]=4,"heavy rain",0))))</f>
        <v>light rain</v>
      </c>
      <c r="N903">
        <v>0.14000000000000001</v>
      </c>
      <c r="O903">
        <v>0.1515</v>
      </c>
      <c r="P903">
        <v>0.8</v>
      </c>
      <c r="Q903">
        <v>0.1343</v>
      </c>
      <c r="R903">
        <v>0</v>
      </c>
      <c r="S903">
        <v>7</v>
      </c>
      <c r="T903">
        <v>7</v>
      </c>
    </row>
    <row r="904" spans="1:20" x14ac:dyDescent="0.35">
      <c r="A904">
        <v>903</v>
      </c>
      <c r="B904" s="1">
        <v>40584</v>
      </c>
      <c r="C904">
        <v>1</v>
      </c>
      <c r="D904">
        <v>0</v>
      </c>
      <c r="E904">
        <v>2</v>
      </c>
      <c r="F904" t="str">
        <f>IF(final_data786[[#This Row],[MONTH_CODE]]=1,"JANUARY",IF(final_data786[[#This Row],[MONTH_CODE]]=2,"FEBRUARY"))</f>
        <v>FEBRUARY</v>
      </c>
      <c r="G904">
        <v>2</v>
      </c>
      <c r="H904">
        <v>0</v>
      </c>
      <c r="I904">
        <v>4</v>
      </c>
      <c r="J90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4" t="str">
        <f>IF(final_data786[[#This Row],[DAY_CODE]]=0,"weekend",IF(final_data786[[#This Row],[DAY_CODE]]=6,"weekend","weekday"))</f>
        <v>weekday</v>
      </c>
      <c r="L904">
        <v>3</v>
      </c>
      <c r="M904" t="str">
        <f>IF(final_data786[[#This Row],[WEATHER_CODE]]=1,"clear",IF(final_data786[[#This Row],[WEATHER_CODE]]=2,"cloudy",IF(final_data786[[#This Row],[WEATHER_CODE]]=3,"light rain",IF(final_data786[[#This Row],[WEATHER_CODE]]=4,"heavy rain",0))))</f>
        <v>light rain</v>
      </c>
      <c r="N904">
        <v>0.14000000000000001</v>
      </c>
      <c r="O904">
        <v>0.1515</v>
      </c>
      <c r="P904">
        <v>0.8</v>
      </c>
      <c r="Q904">
        <v>0.1343</v>
      </c>
      <c r="R904">
        <v>0</v>
      </c>
      <c r="S904">
        <v>3</v>
      </c>
      <c r="T904">
        <v>3</v>
      </c>
    </row>
    <row r="905" spans="1:20" x14ac:dyDescent="0.35">
      <c r="A905">
        <v>904</v>
      </c>
      <c r="B905" s="1">
        <v>40584</v>
      </c>
      <c r="C905">
        <v>1</v>
      </c>
      <c r="D905">
        <v>0</v>
      </c>
      <c r="E905">
        <v>2</v>
      </c>
      <c r="F905" t="str">
        <f>IF(final_data786[[#This Row],[MONTH_CODE]]=1,"JANUARY",IF(final_data786[[#This Row],[MONTH_CODE]]=2,"FEBRUARY"))</f>
        <v>FEBRUARY</v>
      </c>
      <c r="G905">
        <v>4</v>
      </c>
      <c r="H905">
        <v>0</v>
      </c>
      <c r="I905">
        <v>4</v>
      </c>
      <c r="J90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5" t="str">
        <f>IF(final_data786[[#This Row],[DAY_CODE]]=0,"weekend",IF(final_data786[[#This Row],[DAY_CODE]]=6,"weekend","weekday"))</f>
        <v>weekday</v>
      </c>
      <c r="L905">
        <v>2</v>
      </c>
      <c r="M905" t="str">
        <f>IF(final_data786[[#This Row],[WEATHER_CODE]]=1,"clear",IF(final_data786[[#This Row],[WEATHER_CODE]]=2,"cloudy",IF(final_data786[[#This Row],[WEATHER_CODE]]=3,"light rain",IF(final_data786[[#This Row],[WEATHER_CODE]]=4,"heavy rain",0))))</f>
        <v>cloudy</v>
      </c>
      <c r="N905">
        <v>0.14000000000000001</v>
      </c>
      <c r="O905">
        <v>0.13639999999999999</v>
      </c>
      <c r="P905">
        <v>0.59</v>
      </c>
      <c r="Q905">
        <v>0.22389999999999999</v>
      </c>
      <c r="R905">
        <v>0</v>
      </c>
      <c r="S905">
        <v>1</v>
      </c>
      <c r="T905">
        <v>1</v>
      </c>
    </row>
    <row r="906" spans="1:20" x14ac:dyDescent="0.35">
      <c r="A906">
        <v>905</v>
      </c>
      <c r="B906" s="1">
        <v>40584</v>
      </c>
      <c r="C906">
        <v>1</v>
      </c>
      <c r="D906">
        <v>0</v>
      </c>
      <c r="E906">
        <v>2</v>
      </c>
      <c r="F906" t="str">
        <f>IF(final_data786[[#This Row],[MONTH_CODE]]=1,"JANUARY",IF(final_data786[[#This Row],[MONTH_CODE]]=2,"FEBRUARY"))</f>
        <v>FEBRUARY</v>
      </c>
      <c r="G906">
        <v>5</v>
      </c>
      <c r="H906">
        <v>0</v>
      </c>
      <c r="I906">
        <v>4</v>
      </c>
      <c r="J90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6" t="str">
        <f>IF(final_data786[[#This Row],[DAY_CODE]]=0,"weekend",IF(final_data786[[#This Row],[DAY_CODE]]=6,"weekend","weekday"))</f>
        <v>weekday</v>
      </c>
      <c r="L906">
        <v>2</v>
      </c>
      <c r="M906" t="str">
        <f>IF(final_data786[[#This Row],[WEATHER_CODE]]=1,"clear",IF(final_data786[[#This Row],[WEATHER_CODE]]=2,"cloudy",IF(final_data786[[#This Row],[WEATHER_CODE]]=3,"light rain",IF(final_data786[[#This Row],[WEATHER_CODE]]=4,"heavy rain",0))))</f>
        <v>cloudy</v>
      </c>
      <c r="N906">
        <v>0.12</v>
      </c>
      <c r="O906">
        <v>0.1212</v>
      </c>
      <c r="P906">
        <v>0.5</v>
      </c>
      <c r="Q906">
        <v>0.22389999999999999</v>
      </c>
      <c r="R906">
        <v>0</v>
      </c>
      <c r="S906">
        <v>6</v>
      </c>
      <c r="T906">
        <v>6</v>
      </c>
    </row>
    <row r="907" spans="1:20" x14ac:dyDescent="0.35">
      <c r="A907">
        <v>906</v>
      </c>
      <c r="B907" s="1">
        <v>40584</v>
      </c>
      <c r="C907">
        <v>1</v>
      </c>
      <c r="D907">
        <v>0</v>
      </c>
      <c r="E907">
        <v>2</v>
      </c>
      <c r="F907" t="str">
        <f>IF(final_data786[[#This Row],[MONTH_CODE]]=1,"JANUARY",IF(final_data786[[#This Row],[MONTH_CODE]]=2,"FEBRUARY"))</f>
        <v>FEBRUARY</v>
      </c>
      <c r="G907">
        <v>6</v>
      </c>
      <c r="H907">
        <v>0</v>
      </c>
      <c r="I907">
        <v>4</v>
      </c>
      <c r="J90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7" t="str">
        <f>IF(final_data786[[#This Row],[DAY_CODE]]=0,"weekend",IF(final_data786[[#This Row],[DAY_CODE]]=6,"weekend","weekday"))</f>
        <v>weekday</v>
      </c>
      <c r="L907">
        <v>2</v>
      </c>
      <c r="M907" t="str">
        <f>IF(final_data786[[#This Row],[WEATHER_CODE]]=1,"clear",IF(final_data786[[#This Row],[WEATHER_CODE]]=2,"cloudy",IF(final_data786[[#This Row],[WEATHER_CODE]]=3,"light rain",IF(final_data786[[#This Row],[WEATHER_CODE]]=4,"heavy rain",0))))</f>
        <v>cloudy</v>
      </c>
      <c r="N907">
        <v>0.12</v>
      </c>
      <c r="O907">
        <v>0.1212</v>
      </c>
      <c r="P907">
        <v>0.54</v>
      </c>
      <c r="Q907">
        <v>0.28360000000000002</v>
      </c>
      <c r="R907">
        <v>0</v>
      </c>
      <c r="S907">
        <v>26</v>
      </c>
      <c r="T907">
        <v>26</v>
      </c>
    </row>
    <row r="908" spans="1:20" x14ac:dyDescent="0.35">
      <c r="A908">
        <v>907</v>
      </c>
      <c r="B908" s="1">
        <v>40584</v>
      </c>
      <c r="C908">
        <v>1</v>
      </c>
      <c r="D908">
        <v>0</v>
      </c>
      <c r="E908">
        <v>2</v>
      </c>
      <c r="F908" t="str">
        <f>IF(final_data786[[#This Row],[MONTH_CODE]]=1,"JANUARY",IF(final_data786[[#This Row],[MONTH_CODE]]=2,"FEBRUARY"))</f>
        <v>FEBRUARY</v>
      </c>
      <c r="G908">
        <v>7</v>
      </c>
      <c r="H908">
        <v>0</v>
      </c>
      <c r="I908">
        <v>4</v>
      </c>
      <c r="J90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8" t="str">
        <f>IF(final_data786[[#This Row],[DAY_CODE]]=0,"weekend",IF(final_data786[[#This Row],[DAY_CODE]]=6,"weekend","weekday"))</f>
        <v>weekday</v>
      </c>
      <c r="L908">
        <v>1</v>
      </c>
      <c r="M908" t="str">
        <f>IF(final_data786[[#This Row],[WEATHER_CODE]]=1,"clear",IF(final_data786[[#This Row],[WEATHER_CODE]]=2,"cloudy",IF(final_data786[[#This Row],[WEATHER_CODE]]=3,"light rain",IF(final_data786[[#This Row],[WEATHER_CODE]]=4,"heavy rain",0))))</f>
        <v>clear</v>
      </c>
      <c r="N908">
        <v>0.1</v>
      </c>
      <c r="O908">
        <v>7.5800000000000006E-2</v>
      </c>
      <c r="P908">
        <v>0.5</v>
      </c>
      <c r="Q908">
        <v>0.41789999999999999</v>
      </c>
      <c r="R908">
        <v>0</v>
      </c>
      <c r="S908">
        <v>99</v>
      </c>
      <c r="T908">
        <v>99</v>
      </c>
    </row>
    <row r="909" spans="1:20" x14ac:dyDescent="0.35">
      <c r="A909">
        <v>908</v>
      </c>
      <c r="B909" s="1">
        <v>40584</v>
      </c>
      <c r="C909">
        <v>1</v>
      </c>
      <c r="D909">
        <v>0</v>
      </c>
      <c r="E909">
        <v>2</v>
      </c>
      <c r="F909" t="str">
        <f>IF(final_data786[[#This Row],[MONTH_CODE]]=1,"JANUARY",IF(final_data786[[#This Row],[MONTH_CODE]]=2,"FEBRUARY"))</f>
        <v>FEBRUARY</v>
      </c>
      <c r="G909">
        <v>8</v>
      </c>
      <c r="H909">
        <v>0</v>
      </c>
      <c r="I909">
        <v>4</v>
      </c>
      <c r="J90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09" t="str">
        <f>IF(final_data786[[#This Row],[DAY_CODE]]=0,"weekend",IF(final_data786[[#This Row],[DAY_CODE]]=6,"weekend","weekday"))</f>
        <v>weekday</v>
      </c>
      <c r="L909">
        <v>1</v>
      </c>
      <c r="M909" t="str">
        <f>IF(final_data786[[#This Row],[WEATHER_CODE]]=1,"clear",IF(final_data786[[#This Row],[WEATHER_CODE]]=2,"cloudy",IF(final_data786[[#This Row],[WEATHER_CODE]]=3,"light rain",IF(final_data786[[#This Row],[WEATHER_CODE]]=4,"heavy rain",0))))</f>
        <v>clear</v>
      </c>
      <c r="N909">
        <v>0.1</v>
      </c>
      <c r="O909">
        <v>7.5800000000000006E-2</v>
      </c>
      <c r="P909">
        <v>0.49</v>
      </c>
      <c r="Q909">
        <v>0.32840000000000003</v>
      </c>
      <c r="R909">
        <v>5</v>
      </c>
      <c r="S909">
        <v>173</v>
      </c>
      <c r="T909">
        <v>178</v>
      </c>
    </row>
    <row r="910" spans="1:20" x14ac:dyDescent="0.35">
      <c r="A910">
        <v>909</v>
      </c>
      <c r="B910" s="1">
        <v>40584</v>
      </c>
      <c r="C910">
        <v>1</v>
      </c>
      <c r="D910">
        <v>0</v>
      </c>
      <c r="E910">
        <v>2</v>
      </c>
      <c r="F910" t="str">
        <f>IF(final_data786[[#This Row],[MONTH_CODE]]=1,"JANUARY",IF(final_data786[[#This Row],[MONTH_CODE]]=2,"FEBRUARY"))</f>
        <v>FEBRUARY</v>
      </c>
      <c r="G910">
        <v>9</v>
      </c>
      <c r="H910">
        <v>0</v>
      </c>
      <c r="I910">
        <v>4</v>
      </c>
      <c r="J91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0" t="str">
        <f>IF(final_data786[[#This Row],[DAY_CODE]]=0,"weekend",IF(final_data786[[#This Row],[DAY_CODE]]=6,"weekend","weekday"))</f>
        <v>weekday</v>
      </c>
      <c r="L910">
        <v>1</v>
      </c>
      <c r="M910" t="str">
        <f>IF(final_data786[[#This Row],[WEATHER_CODE]]=1,"clear",IF(final_data786[[#This Row],[WEATHER_CODE]]=2,"cloudy",IF(final_data786[[#This Row],[WEATHER_CODE]]=3,"light rain",IF(final_data786[[#This Row],[WEATHER_CODE]]=4,"heavy rain",0))))</f>
        <v>clear</v>
      </c>
      <c r="N910">
        <v>0.12</v>
      </c>
      <c r="O910">
        <v>0.1061</v>
      </c>
      <c r="P910">
        <v>0.42</v>
      </c>
      <c r="Q910">
        <v>0.35820000000000002</v>
      </c>
      <c r="R910">
        <v>1</v>
      </c>
      <c r="S910">
        <v>121</v>
      </c>
      <c r="T910">
        <v>122</v>
      </c>
    </row>
    <row r="911" spans="1:20" x14ac:dyDescent="0.35">
      <c r="A911">
        <v>910</v>
      </c>
      <c r="B911" s="1">
        <v>40584</v>
      </c>
      <c r="C911">
        <v>1</v>
      </c>
      <c r="D911">
        <v>0</v>
      </c>
      <c r="E911">
        <v>2</v>
      </c>
      <c r="F911" t="str">
        <f>IF(final_data786[[#This Row],[MONTH_CODE]]=1,"JANUARY",IF(final_data786[[#This Row],[MONTH_CODE]]=2,"FEBRUARY"))</f>
        <v>FEBRUARY</v>
      </c>
      <c r="G911">
        <v>10</v>
      </c>
      <c r="H911">
        <v>0</v>
      </c>
      <c r="I911">
        <v>4</v>
      </c>
      <c r="J91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1" t="str">
        <f>IF(final_data786[[#This Row],[DAY_CODE]]=0,"weekend",IF(final_data786[[#This Row],[DAY_CODE]]=6,"weekend","weekday"))</f>
        <v>weekday</v>
      </c>
      <c r="L911">
        <v>1</v>
      </c>
      <c r="M911" t="str">
        <f>IF(final_data786[[#This Row],[WEATHER_CODE]]=1,"clear",IF(final_data786[[#This Row],[WEATHER_CODE]]=2,"cloudy",IF(final_data786[[#This Row],[WEATHER_CODE]]=3,"light rain",IF(final_data786[[#This Row],[WEATHER_CODE]]=4,"heavy rain",0))))</f>
        <v>clear</v>
      </c>
      <c r="N911">
        <v>0.12</v>
      </c>
      <c r="O911">
        <v>0.1061</v>
      </c>
      <c r="P911">
        <v>0.42</v>
      </c>
      <c r="Q911">
        <v>0.29849999999999999</v>
      </c>
      <c r="R911">
        <v>1</v>
      </c>
      <c r="S911">
        <v>34</v>
      </c>
      <c r="T911">
        <v>35</v>
      </c>
    </row>
    <row r="912" spans="1:20" x14ac:dyDescent="0.35">
      <c r="A912">
        <v>911</v>
      </c>
      <c r="B912" s="1">
        <v>40584</v>
      </c>
      <c r="C912">
        <v>1</v>
      </c>
      <c r="D912">
        <v>0</v>
      </c>
      <c r="E912">
        <v>2</v>
      </c>
      <c r="F912" t="str">
        <f>IF(final_data786[[#This Row],[MONTH_CODE]]=1,"JANUARY",IF(final_data786[[#This Row],[MONTH_CODE]]=2,"FEBRUARY"))</f>
        <v>FEBRUARY</v>
      </c>
      <c r="G912">
        <v>11</v>
      </c>
      <c r="H912">
        <v>0</v>
      </c>
      <c r="I912">
        <v>4</v>
      </c>
      <c r="J91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2" t="str">
        <f>IF(final_data786[[#This Row],[DAY_CODE]]=0,"weekend",IF(final_data786[[#This Row],[DAY_CODE]]=6,"weekend","weekday"))</f>
        <v>weekday</v>
      </c>
      <c r="L912">
        <v>1</v>
      </c>
      <c r="M912" t="str">
        <f>IF(final_data786[[#This Row],[WEATHER_CODE]]=1,"clear",IF(final_data786[[#This Row],[WEATHER_CODE]]=2,"cloudy",IF(final_data786[[#This Row],[WEATHER_CODE]]=3,"light rain",IF(final_data786[[#This Row],[WEATHER_CODE]]=4,"heavy rain",0))))</f>
        <v>clear</v>
      </c>
      <c r="N912">
        <v>0.14000000000000001</v>
      </c>
      <c r="O912">
        <v>0.1212</v>
      </c>
      <c r="P912">
        <v>0.39</v>
      </c>
      <c r="Q912">
        <v>0.35820000000000002</v>
      </c>
      <c r="R912">
        <v>1</v>
      </c>
      <c r="S912">
        <v>44</v>
      </c>
      <c r="T912">
        <v>45</v>
      </c>
    </row>
    <row r="913" spans="1:20" x14ac:dyDescent="0.35">
      <c r="A913">
        <v>912</v>
      </c>
      <c r="B913" s="1">
        <v>40584</v>
      </c>
      <c r="C913">
        <v>1</v>
      </c>
      <c r="D913">
        <v>0</v>
      </c>
      <c r="E913">
        <v>2</v>
      </c>
      <c r="F913" t="str">
        <f>IF(final_data786[[#This Row],[MONTH_CODE]]=1,"JANUARY",IF(final_data786[[#This Row],[MONTH_CODE]]=2,"FEBRUARY"))</f>
        <v>FEBRUARY</v>
      </c>
      <c r="G913">
        <v>12</v>
      </c>
      <c r="H913">
        <v>0</v>
      </c>
      <c r="I913">
        <v>4</v>
      </c>
      <c r="J91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3" t="str">
        <f>IF(final_data786[[#This Row],[DAY_CODE]]=0,"weekend",IF(final_data786[[#This Row],[DAY_CODE]]=6,"weekend","weekday"))</f>
        <v>weekday</v>
      </c>
      <c r="L913">
        <v>1</v>
      </c>
      <c r="M913" t="str">
        <f>IF(final_data786[[#This Row],[WEATHER_CODE]]=1,"clear",IF(final_data786[[#This Row],[WEATHER_CODE]]=2,"cloudy",IF(final_data786[[#This Row],[WEATHER_CODE]]=3,"light rain",IF(final_data786[[#This Row],[WEATHER_CODE]]=4,"heavy rain",0))))</f>
        <v>clear</v>
      </c>
      <c r="N913">
        <v>0.16</v>
      </c>
      <c r="O913">
        <v>0.13639999999999999</v>
      </c>
      <c r="P913">
        <v>0.34</v>
      </c>
      <c r="Q913">
        <v>0.3881</v>
      </c>
      <c r="R913">
        <v>4</v>
      </c>
      <c r="S913">
        <v>65</v>
      </c>
      <c r="T913">
        <v>69</v>
      </c>
    </row>
    <row r="914" spans="1:20" x14ac:dyDescent="0.35">
      <c r="A914">
        <v>913</v>
      </c>
      <c r="B914" s="1">
        <v>40584</v>
      </c>
      <c r="C914">
        <v>1</v>
      </c>
      <c r="D914">
        <v>0</v>
      </c>
      <c r="E914">
        <v>2</v>
      </c>
      <c r="F914" t="str">
        <f>IF(final_data786[[#This Row],[MONTH_CODE]]=1,"JANUARY",IF(final_data786[[#This Row],[MONTH_CODE]]=2,"FEBRUARY"))</f>
        <v>FEBRUARY</v>
      </c>
      <c r="G914">
        <v>13</v>
      </c>
      <c r="H914">
        <v>0</v>
      </c>
      <c r="I914">
        <v>4</v>
      </c>
      <c r="J91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4" t="str">
        <f>IF(final_data786[[#This Row],[DAY_CODE]]=0,"weekend",IF(final_data786[[#This Row],[DAY_CODE]]=6,"weekend","weekday"))</f>
        <v>weekday</v>
      </c>
      <c r="L914">
        <v>1</v>
      </c>
      <c r="M914" t="str">
        <f>IF(final_data786[[#This Row],[WEATHER_CODE]]=1,"clear",IF(final_data786[[#This Row],[WEATHER_CODE]]=2,"cloudy",IF(final_data786[[#This Row],[WEATHER_CODE]]=3,"light rain",IF(final_data786[[#This Row],[WEATHER_CODE]]=4,"heavy rain",0))))</f>
        <v>clear</v>
      </c>
      <c r="N914">
        <v>0.18</v>
      </c>
      <c r="O914">
        <v>0.16669999999999999</v>
      </c>
      <c r="P914">
        <v>0.28999999999999998</v>
      </c>
      <c r="Q914">
        <v>0.29849999999999999</v>
      </c>
      <c r="R914">
        <v>3</v>
      </c>
      <c r="S914">
        <v>59</v>
      </c>
      <c r="T914">
        <v>62</v>
      </c>
    </row>
    <row r="915" spans="1:20" x14ac:dyDescent="0.35">
      <c r="A915">
        <v>914</v>
      </c>
      <c r="B915" s="1">
        <v>40584</v>
      </c>
      <c r="C915">
        <v>1</v>
      </c>
      <c r="D915">
        <v>0</v>
      </c>
      <c r="E915">
        <v>2</v>
      </c>
      <c r="F915" t="str">
        <f>IF(final_data786[[#This Row],[MONTH_CODE]]=1,"JANUARY",IF(final_data786[[#This Row],[MONTH_CODE]]=2,"FEBRUARY"))</f>
        <v>FEBRUARY</v>
      </c>
      <c r="G915">
        <v>14</v>
      </c>
      <c r="H915">
        <v>0</v>
      </c>
      <c r="I915">
        <v>4</v>
      </c>
      <c r="J91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5" t="str">
        <f>IF(final_data786[[#This Row],[DAY_CODE]]=0,"weekend",IF(final_data786[[#This Row],[DAY_CODE]]=6,"weekend","weekday"))</f>
        <v>weekday</v>
      </c>
      <c r="L915">
        <v>1</v>
      </c>
      <c r="M915" t="str">
        <f>IF(final_data786[[#This Row],[WEATHER_CODE]]=1,"clear",IF(final_data786[[#This Row],[WEATHER_CODE]]=2,"cloudy",IF(final_data786[[#This Row],[WEATHER_CODE]]=3,"light rain",IF(final_data786[[#This Row],[WEATHER_CODE]]=4,"heavy rain",0))))</f>
        <v>clear</v>
      </c>
      <c r="N915">
        <v>0.2</v>
      </c>
      <c r="O915">
        <v>0.18179999999999999</v>
      </c>
      <c r="P915">
        <v>0.27</v>
      </c>
      <c r="Q915">
        <v>0.28360000000000002</v>
      </c>
      <c r="R915">
        <v>6</v>
      </c>
      <c r="S915">
        <v>42</v>
      </c>
      <c r="T915">
        <v>48</v>
      </c>
    </row>
    <row r="916" spans="1:20" x14ac:dyDescent="0.35">
      <c r="A916">
        <v>915</v>
      </c>
      <c r="B916" s="1">
        <v>40584</v>
      </c>
      <c r="C916">
        <v>1</v>
      </c>
      <c r="D916">
        <v>0</v>
      </c>
      <c r="E916">
        <v>2</v>
      </c>
      <c r="F916" t="str">
        <f>IF(final_data786[[#This Row],[MONTH_CODE]]=1,"JANUARY",IF(final_data786[[#This Row],[MONTH_CODE]]=2,"FEBRUARY"))</f>
        <v>FEBRUARY</v>
      </c>
      <c r="G916">
        <v>15</v>
      </c>
      <c r="H916">
        <v>0</v>
      </c>
      <c r="I916">
        <v>4</v>
      </c>
      <c r="J91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6" t="str">
        <f>IF(final_data786[[#This Row],[DAY_CODE]]=0,"weekend",IF(final_data786[[#This Row],[DAY_CODE]]=6,"weekend","weekday"))</f>
        <v>weekday</v>
      </c>
      <c r="L916">
        <v>1</v>
      </c>
      <c r="M916" t="str">
        <f>IF(final_data786[[#This Row],[WEATHER_CODE]]=1,"clear",IF(final_data786[[#This Row],[WEATHER_CODE]]=2,"cloudy",IF(final_data786[[#This Row],[WEATHER_CODE]]=3,"light rain",IF(final_data786[[#This Row],[WEATHER_CODE]]=4,"heavy rain",0))))</f>
        <v>clear</v>
      </c>
      <c r="N916">
        <v>0.2</v>
      </c>
      <c r="O916">
        <v>0.19700000000000001</v>
      </c>
      <c r="P916">
        <v>0.25</v>
      </c>
      <c r="Q916">
        <v>0.25369999999999998</v>
      </c>
      <c r="R916">
        <v>0</v>
      </c>
      <c r="S916">
        <v>50</v>
      </c>
      <c r="T916">
        <v>50</v>
      </c>
    </row>
    <row r="917" spans="1:20" x14ac:dyDescent="0.35">
      <c r="A917">
        <v>916</v>
      </c>
      <c r="B917" s="1">
        <v>40584</v>
      </c>
      <c r="C917">
        <v>1</v>
      </c>
      <c r="D917">
        <v>0</v>
      </c>
      <c r="E917">
        <v>2</v>
      </c>
      <c r="F917" t="str">
        <f>IF(final_data786[[#This Row],[MONTH_CODE]]=1,"JANUARY",IF(final_data786[[#This Row],[MONTH_CODE]]=2,"FEBRUARY"))</f>
        <v>FEBRUARY</v>
      </c>
      <c r="G917">
        <v>16</v>
      </c>
      <c r="H917">
        <v>0</v>
      </c>
      <c r="I917">
        <v>4</v>
      </c>
      <c r="J91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7" t="str">
        <f>IF(final_data786[[#This Row],[DAY_CODE]]=0,"weekend",IF(final_data786[[#This Row],[DAY_CODE]]=6,"weekend","weekday"))</f>
        <v>weekday</v>
      </c>
      <c r="L917">
        <v>1</v>
      </c>
      <c r="M917" t="str">
        <f>IF(final_data786[[#This Row],[WEATHER_CODE]]=1,"clear",IF(final_data786[[#This Row],[WEATHER_CODE]]=2,"cloudy",IF(final_data786[[#This Row],[WEATHER_CODE]]=3,"light rain",IF(final_data786[[#This Row],[WEATHER_CODE]]=4,"heavy rain",0))))</f>
        <v>clear</v>
      </c>
      <c r="N917">
        <v>0.2</v>
      </c>
      <c r="O917">
        <v>0.18179999999999999</v>
      </c>
      <c r="P917">
        <v>0.27</v>
      </c>
      <c r="Q917">
        <v>0.29849999999999999</v>
      </c>
      <c r="R917">
        <v>4</v>
      </c>
      <c r="S917">
        <v>76</v>
      </c>
      <c r="T917">
        <v>80</v>
      </c>
    </row>
    <row r="918" spans="1:20" x14ac:dyDescent="0.35">
      <c r="A918">
        <v>917</v>
      </c>
      <c r="B918" s="1">
        <v>40584</v>
      </c>
      <c r="C918">
        <v>1</v>
      </c>
      <c r="D918">
        <v>0</v>
      </c>
      <c r="E918">
        <v>2</v>
      </c>
      <c r="F918" t="str">
        <f>IF(final_data786[[#This Row],[MONTH_CODE]]=1,"JANUARY",IF(final_data786[[#This Row],[MONTH_CODE]]=2,"FEBRUARY"))</f>
        <v>FEBRUARY</v>
      </c>
      <c r="G918">
        <v>17</v>
      </c>
      <c r="H918">
        <v>0</v>
      </c>
      <c r="I918">
        <v>4</v>
      </c>
      <c r="J91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8" t="str">
        <f>IF(final_data786[[#This Row],[DAY_CODE]]=0,"weekend",IF(final_data786[[#This Row],[DAY_CODE]]=6,"weekend","weekday"))</f>
        <v>weekday</v>
      </c>
      <c r="L918">
        <v>1</v>
      </c>
      <c r="M918" t="str">
        <f>IF(final_data786[[#This Row],[WEATHER_CODE]]=1,"clear",IF(final_data786[[#This Row],[WEATHER_CODE]]=2,"cloudy",IF(final_data786[[#This Row],[WEATHER_CODE]]=3,"light rain",IF(final_data786[[#This Row],[WEATHER_CODE]]=4,"heavy rain",0))))</f>
        <v>clear</v>
      </c>
      <c r="N918">
        <v>0.18</v>
      </c>
      <c r="O918">
        <v>0.18179999999999999</v>
      </c>
      <c r="P918">
        <v>0.26</v>
      </c>
      <c r="Q918">
        <v>0.19400000000000001</v>
      </c>
      <c r="R918">
        <v>6</v>
      </c>
      <c r="S918">
        <v>159</v>
      </c>
      <c r="T918">
        <v>165</v>
      </c>
    </row>
    <row r="919" spans="1:20" x14ac:dyDescent="0.35">
      <c r="A919">
        <v>918</v>
      </c>
      <c r="B919" s="1">
        <v>40584</v>
      </c>
      <c r="C919">
        <v>1</v>
      </c>
      <c r="D919">
        <v>0</v>
      </c>
      <c r="E919">
        <v>2</v>
      </c>
      <c r="F919" t="str">
        <f>IF(final_data786[[#This Row],[MONTH_CODE]]=1,"JANUARY",IF(final_data786[[#This Row],[MONTH_CODE]]=2,"FEBRUARY"))</f>
        <v>FEBRUARY</v>
      </c>
      <c r="G919">
        <v>18</v>
      </c>
      <c r="H919">
        <v>0</v>
      </c>
      <c r="I919">
        <v>4</v>
      </c>
      <c r="J91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19" t="str">
        <f>IF(final_data786[[#This Row],[DAY_CODE]]=0,"weekend",IF(final_data786[[#This Row],[DAY_CODE]]=6,"weekend","weekday"))</f>
        <v>weekday</v>
      </c>
      <c r="L919">
        <v>1</v>
      </c>
      <c r="M919" t="str">
        <f>IF(final_data786[[#This Row],[WEATHER_CODE]]=1,"clear",IF(final_data786[[#This Row],[WEATHER_CODE]]=2,"cloudy",IF(final_data786[[#This Row],[WEATHER_CODE]]=3,"light rain",IF(final_data786[[#This Row],[WEATHER_CODE]]=4,"heavy rain",0))))</f>
        <v>clear</v>
      </c>
      <c r="N919">
        <v>0.16</v>
      </c>
      <c r="O919">
        <v>0.18179999999999999</v>
      </c>
      <c r="P919">
        <v>0.28000000000000003</v>
      </c>
      <c r="Q919">
        <v>0.1343</v>
      </c>
      <c r="R919">
        <v>3</v>
      </c>
      <c r="S919">
        <v>157</v>
      </c>
      <c r="T919">
        <v>160</v>
      </c>
    </row>
    <row r="920" spans="1:20" x14ac:dyDescent="0.35">
      <c r="A920">
        <v>919</v>
      </c>
      <c r="B920" s="1">
        <v>40584</v>
      </c>
      <c r="C920">
        <v>1</v>
      </c>
      <c r="D920">
        <v>0</v>
      </c>
      <c r="E920">
        <v>2</v>
      </c>
      <c r="F920" t="str">
        <f>IF(final_data786[[#This Row],[MONTH_CODE]]=1,"JANUARY",IF(final_data786[[#This Row],[MONTH_CODE]]=2,"FEBRUARY"))</f>
        <v>FEBRUARY</v>
      </c>
      <c r="G920">
        <v>19</v>
      </c>
      <c r="H920">
        <v>0</v>
      </c>
      <c r="I920">
        <v>4</v>
      </c>
      <c r="J92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20" t="str">
        <f>IF(final_data786[[#This Row],[DAY_CODE]]=0,"weekend",IF(final_data786[[#This Row],[DAY_CODE]]=6,"weekend","weekday"))</f>
        <v>weekday</v>
      </c>
      <c r="L920">
        <v>1</v>
      </c>
      <c r="M920" t="str">
        <f>IF(final_data786[[#This Row],[WEATHER_CODE]]=1,"clear",IF(final_data786[[#This Row],[WEATHER_CODE]]=2,"cloudy",IF(final_data786[[#This Row],[WEATHER_CODE]]=3,"light rain",IF(final_data786[[#This Row],[WEATHER_CODE]]=4,"heavy rain",0))))</f>
        <v>clear</v>
      </c>
      <c r="N920">
        <v>0.14000000000000001</v>
      </c>
      <c r="O920">
        <v>0.16669999999999999</v>
      </c>
      <c r="P920">
        <v>0.28000000000000003</v>
      </c>
      <c r="Q920">
        <v>0.1045</v>
      </c>
      <c r="R920">
        <v>2</v>
      </c>
      <c r="S920">
        <v>110</v>
      </c>
      <c r="T920">
        <v>112</v>
      </c>
    </row>
    <row r="921" spans="1:20" x14ac:dyDescent="0.35">
      <c r="A921">
        <v>920</v>
      </c>
      <c r="B921" s="1">
        <v>40584</v>
      </c>
      <c r="C921">
        <v>1</v>
      </c>
      <c r="D921">
        <v>0</v>
      </c>
      <c r="E921">
        <v>2</v>
      </c>
      <c r="F921" t="str">
        <f>IF(final_data786[[#This Row],[MONTH_CODE]]=1,"JANUARY",IF(final_data786[[#This Row],[MONTH_CODE]]=2,"FEBRUARY"))</f>
        <v>FEBRUARY</v>
      </c>
      <c r="G921">
        <v>20</v>
      </c>
      <c r="H921">
        <v>0</v>
      </c>
      <c r="I921">
        <v>4</v>
      </c>
      <c r="J92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21" t="str">
        <f>IF(final_data786[[#This Row],[DAY_CODE]]=0,"weekend",IF(final_data786[[#This Row],[DAY_CODE]]=6,"weekend","weekday"))</f>
        <v>weekday</v>
      </c>
      <c r="L921">
        <v>1</v>
      </c>
      <c r="M921" t="str">
        <f>IF(final_data786[[#This Row],[WEATHER_CODE]]=1,"clear",IF(final_data786[[#This Row],[WEATHER_CODE]]=2,"cloudy",IF(final_data786[[#This Row],[WEATHER_CODE]]=3,"light rain",IF(final_data786[[#This Row],[WEATHER_CODE]]=4,"heavy rain",0))))</f>
        <v>clear</v>
      </c>
      <c r="N921">
        <v>0.14000000000000001</v>
      </c>
      <c r="O921">
        <v>0.18179999999999999</v>
      </c>
      <c r="P921">
        <v>0.31</v>
      </c>
      <c r="Q921">
        <v>8.9599999999999999E-2</v>
      </c>
      <c r="R921">
        <v>4</v>
      </c>
      <c r="S921">
        <v>93</v>
      </c>
      <c r="T921">
        <v>97</v>
      </c>
    </row>
    <row r="922" spans="1:20" x14ac:dyDescent="0.35">
      <c r="A922">
        <v>921</v>
      </c>
      <c r="B922" s="1">
        <v>40584</v>
      </c>
      <c r="C922">
        <v>1</v>
      </c>
      <c r="D922">
        <v>0</v>
      </c>
      <c r="E922">
        <v>2</v>
      </c>
      <c r="F922" t="str">
        <f>IF(final_data786[[#This Row],[MONTH_CODE]]=1,"JANUARY",IF(final_data786[[#This Row],[MONTH_CODE]]=2,"FEBRUARY"))</f>
        <v>FEBRUARY</v>
      </c>
      <c r="G922">
        <v>21</v>
      </c>
      <c r="H922">
        <v>0</v>
      </c>
      <c r="I922">
        <v>4</v>
      </c>
      <c r="J92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22" t="str">
        <f>IF(final_data786[[#This Row],[DAY_CODE]]=0,"weekend",IF(final_data786[[#This Row],[DAY_CODE]]=6,"weekend","weekday"))</f>
        <v>weekday</v>
      </c>
      <c r="L922">
        <v>1</v>
      </c>
      <c r="M922" t="str">
        <f>IF(final_data786[[#This Row],[WEATHER_CODE]]=1,"clear",IF(final_data786[[#This Row],[WEATHER_CODE]]=2,"cloudy",IF(final_data786[[#This Row],[WEATHER_CODE]]=3,"light rain",IF(final_data786[[#This Row],[WEATHER_CODE]]=4,"heavy rain",0))))</f>
        <v>clear</v>
      </c>
      <c r="N922">
        <v>0.14000000000000001</v>
      </c>
      <c r="O922">
        <v>0.21210000000000001</v>
      </c>
      <c r="P922">
        <v>0.39</v>
      </c>
      <c r="Q922">
        <v>0</v>
      </c>
      <c r="R922">
        <v>2</v>
      </c>
      <c r="S922">
        <v>70</v>
      </c>
      <c r="T922">
        <v>72</v>
      </c>
    </row>
    <row r="923" spans="1:20" x14ac:dyDescent="0.35">
      <c r="A923">
        <v>922</v>
      </c>
      <c r="B923" s="1">
        <v>40584</v>
      </c>
      <c r="C923">
        <v>1</v>
      </c>
      <c r="D923">
        <v>0</v>
      </c>
      <c r="E923">
        <v>2</v>
      </c>
      <c r="F923" t="str">
        <f>IF(final_data786[[#This Row],[MONTH_CODE]]=1,"JANUARY",IF(final_data786[[#This Row],[MONTH_CODE]]=2,"FEBRUARY"))</f>
        <v>FEBRUARY</v>
      </c>
      <c r="G923">
        <v>22</v>
      </c>
      <c r="H923">
        <v>0</v>
      </c>
      <c r="I923">
        <v>4</v>
      </c>
      <c r="J92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23" t="str">
        <f>IF(final_data786[[#This Row],[DAY_CODE]]=0,"weekend",IF(final_data786[[#This Row],[DAY_CODE]]=6,"weekend","weekday"))</f>
        <v>weekday</v>
      </c>
      <c r="L923">
        <v>1</v>
      </c>
      <c r="M923" t="str">
        <f>IF(final_data786[[#This Row],[WEATHER_CODE]]=1,"clear",IF(final_data786[[#This Row],[WEATHER_CODE]]=2,"cloudy",IF(final_data786[[#This Row],[WEATHER_CODE]]=3,"light rain",IF(final_data786[[#This Row],[WEATHER_CODE]]=4,"heavy rain",0))))</f>
        <v>clear</v>
      </c>
      <c r="N923">
        <v>0.12</v>
      </c>
      <c r="O923">
        <v>0.19700000000000001</v>
      </c>
      <c r="P923">
        <v>0.39</v>
      </c>
      <c r="Q923">
        <v>0</v>
      </c>
      <c r="R923">
        <v>4</v>
      </c>
      <c r="S923">
        <v>47</v>
      </c>
      <c r="T923">
        <v>51</v>
      </c>
    </row>
    <row r="924" spans="1:20" x14ac:dyDescent="0.35">
      <c r="A924">
        <v>923</v>
      </c>
      <c r="B924" s="1">
        <v>40584</v>
      </c>
      <c r="C924">
        <v>1</v>
      </c>
      <c r="D924">
        <v>0</v>
      </c>
      <c r="E924">
        <v>2</v>
      </c>
      <c r="F924" t="str">
        <f>IF(final_data786[[#This Row],[MONTH_CODE]]=1,"JANUARY",IF(final_data786[[#This Row],[MONTH_CODE]]=2,"FEBRUARY"))</f>
        <v>FEBRUARY</v>
      </c>
      <c r="G924">
        <v>23</v>
      </c>
      <c r="H924">
        <v>0</v>
      </c>
      <c r="I924">
        <v>4</v>
      </c>
      <c r="J92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Thursday</v>
      </c>
      <c r="K924" t="str">
        <f>IF(final_data786[[#This Row],[DAY_CODE]]=0,"weekend",IF(final_data786[[#This Row],[DAY_CODE]]=6,"weekend","weekday"))</f>
        <v>weekday</v>
      </c>
      <c r="L924">
        <v>1</v>
      </c>
      <c r="M924" t="str">
        <f>IF(final_data786[[#This Row],[WEATHER_CODE]]=1,"clear",IF(final_data786[[#This Row],[WEATHER_CODE]]=2,"cloudy",IF(final_data786[[#This Row],[WEATHER_CODE]]=3,"light rain",IF(final_data786[[#This Row],[WEATHER_CODE]]=4,"heavy rain",0))))</f>
        <v>clear</v>
      </c>
      <c r="N924">
        <v>0.12</v>
      </c>
      <c r="O924">
        <v>0.1515</v>
      </c>
      <c r="P924">
        <v>0.42</v>
      </c>
      <c r="Q924">
        <v>0.1045</v>
      </c>
      <c r="R924">
        <v>1</v>
      </c>
      <c r="S924">
        <v>33</v>
      </c>
      <c r="T924">
        <v>34</v>
      </c>
    </row>
    <row r="925" spans="1:20" x14ac:dyDescent="0.35">
      <c r="A925">
        <v>924</v>
      </c>
      <c r="B925" s="1">
        <v>40585</v>
      </c>
      <c r="C925">
        <v>1</v>
      </c>
      <c r="D925">
        <v>0</v>
      </c>
      <c r="E925">
        <v>2</v>
      </c>
      <c r="F925" t="str">
        <f>IF(final_data786[[#This Row],[MONTH_CODE]]=1,"JANUARY",IF(final_data786[[#This Row],[MONTH_CODE]]=2,"FEBRUARY"))</f>
        <v>FEBRUARY</v>
      </c>
      <c r="G925">
        <v>0</v>
      </c>
      <c r="H925">
        <v>0</v>
      </c>
      <c r="I925">
        <v>5</v>
      </c>
      <c r="J92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25" t="str">
        <f>IF(final_data786[[#This Row],[DAY_CODE]]=0,"weekend",IF(final_data786[[#This Row],[DAY_CODE]]=6,"weekend","weekday"))</f>
        <v>weekday</v>
      </c>
      <c r="L925">
        <v>1</v>
      </c>
      <c r="M925" t="str">
        <f>IF(final_data786[[#This Row],[WEATHER_CODE]]=1,"clear",IF(final_data786[[#This Row],[WEATHER_CODE]]=2,"cloudy",IF(final_data786[[#This Row],[WEATHER_CODE]]=3,"light rain",IF(final_data786[[#This Row],[WEATHER_CODE]]=4,"heavy rain",0))))</f>
        <v>clear</v>
      </c>
      <c r="N925">
        <v>0.1</v>
      </c>
      <c r="O925">
        <v>0.13639999999999999</v>
      </c>
      <c r="P925">
        <v>0.49</v>
      </c>
      <c r="Q925">
        <v>0.1045</v>
      </c>
      <c r="R925">
        <v>2</v>
      </c>
      <c r="S925">
        <v>12</v>
      </c>
      <c r="T925">
        <v>14</v>
      </c>
    </row>
    <row r="926" spans="1:20" x14ac:dyDescent="0.35">
      <c r="A926">
        <v>925</v>
      </c>
      <c r="B926" s="1">
        <v>40585</v>
      </c>
      <c r="C926">
        <v>1</v>
      </c>
      <c r="D926">
        <v>0</v>
      </c>
      <c r="E926">
        <v>2</v>
      </c>
      <c r="F926" t="str">
        <f>IF(final_data786[[#This Row],[MONTH_CODE]]=1,"JANUARY",IF(final_data786[[#This Row],[MONTH_CODE]]=2,"FEBRUARY"))</f>
        <v>FEBRUARY</v>
      </c>
      <c r="G926">
        <v>1</v>
      </c>
      <c r="H926">
        <v>0</v>
      </c>
      <c r="I926">
        <v>5</v>
      </c>
      <c r="J92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26" t="str">
        <f>IF(final_data786[[#This Row],[DAY_CODE]]=0,"weekend",IF(final_data786[[#This Row],[DAY_CODE]]=6,"weekend","weekday"))</f>
        <v>weekday</v>
      </c>
      <c r="L926">
        <v>1</v>
      </c>
      <c r="M926" t="str">
        <f>IF(final_data786[[#This Row],[WEATHER_CODE]]=1,"clear",IF(final_data786[[#This Row],[WEATHER_CODE]]=2,"cloudy",IF(final_data786[[#This Row],[WEATHER_CODE]]=3,"light rain",IF(final_data786[[#This Row],[WEATHER_CODE]]=4,"heavy rain",0))))</f>
        <v>clear</v>
      </c>
      <c r="N926">
        <v>0.1</v>
      </c>
      <c r="O926">
        <v>0.13639999999999999</v>
      </c>
      <c r="P926">
        <v>0.54</v>
      </c>
      <c r="Q926">
        <v>8.9599999999999999E-2</v>
      </c>
      <c r="R926">
        <v>1</v>
      </c>
      <c r="S926">
        <v>6</v>
      </c>
      <c r="T926">
        <v>7</v>
      </c>
    </row>
    <row r="927" spans="1:20" x14ac:dyDescent="0.35">
      <c r="A927">
        <v>926</v>
      </c>
      <c r="B927" s="1">
        <v>40585</v>
      </c>
      <c r="C927">
        <v>1</v>
      </c>
      <c r="D927">
        <v>0</v>
      </c>
      <c r="E927">
        <v>2</v>
      </c>
      <c r="F927" t="str">
        <f>IF(final_data786[[#This Row],[MONTH_CODE]]=1,"JANUARY",IF(final_data786[[#This Row],[MONTH_CODE]]=2,"FEBRUARY"))</f>
        <v>FEBRUARY</v>
      </c>
      <c r="G927">
        <v>2</v>
      </c>
      <c r="H927">
        <v>0</v>
      </c>
      <c r="I927">
        <v>5</v>
      </c>
      <c r="J92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27" t="str">
        <f>IF(final_data786[[#This Row],[DAY_CODE]]=0,"weekend",IF(final_data786[[#This Row],[DAY_CODE]]=6,"weekend","weekday"))</f>
        <v>weekday</v>
      </c>
      <c r="L927">
        <v>1</v>
      </c>
      <c r="M927" t="str">
        <f>IF(final_data786[[#This Row],[WEATHER_CODE]]=1,"clear",IF(final_data786[[#This Row],[WEATHER_CODE]]=2,"cloudy",IF(final_data786[[#This Row],[WEATHER_CODE]]=3,"light rain",IF(final_data786[[#This Row],[WEATHER_CODE]]=4,"heavy rain",0))))</f>
        <v>clear</v>
      </c>
      <c r="N927">
        <v>0.1</v>
      </c>
      <c r="O927">
        <v>0.13639999999999999</v>
      </c>
      <c r="P927">
        <v>0.54</v>
      </c>
      <c r="Q927">
        <v>8.9599999999999999E-2</v>
      </c>
      <c r="R927">
        <v>0</v>
      </c>
      <c r="S927">
        <v>3</v>
      </c>
      <c r="T927">
        <v>3</v>
      </c>
    </row>
    <row r="928" spans="1:20" x14ac:dyDescent="0.35">
      <c r="A928">
        <v>927</v>
      </c>
      <c r="B928" s="1">
        <v>40585</v>
      </c>
      <c r="C928">
        <v>1</v>
      </c>
      <c r="D928">
        <v>0</v>
      </c>
      <c r="E928">
        <v>2</v>
      </c>
      <c r="F928" t="str">
        <f>IF(final_data786[[#This Row],[MONTH_CODE]]=1,"JANUARY",IF(final_data786[[#This Row],[MONTH_CODE]]=2,"FEBRUARY"))</f>
        <v>FEBRUARY</v>
      </c>
      <c r="G928">
        <v>5</v>
      </c>
      <c r="H928">
        <v>0</v>
      </c>
      <c r="I928">
        <v>5</v>
      </c>
      <c r="J92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28" t="str">
        <f>IF(final_data786[[#This Row],[DAY_CODE]]=0,"weekend",IF(final_data786[[#This Row],[DAY_CODE]]=6,"weekend","weekday"))</f>
        <v>weekday</v>
      </c>
      <c r="L928">
        <v>1</v>
      </c>
      <c r="M928" t="str">
        <f>IF(final_data786[[#This Row],[WEATHER_CODE]]=1,"clear",IF(final_data786[[#This Row],[WEATHER_CODE]]=2,"cloudy",IF(final_data786[[#This Row],[WEATHER_CODE]]=3,"light rain",IF(final_data786[[#This Row],[WEATHER_CODE]]=4,"heavy rain",0))))</f>
        <v>clear</v>
      </c>
      <c r="N928">
        <v>0.08</v>
      </c>
      <c r="O928">
        <v>0.1212</v>
      </c>
      <c r="P928">
        <v>0.63</v>
      </c>
      <c r="Q928">
        <v>8.9599999999999999E-2</v>
      </c>
      <c r="R928">
        <v>0</v>
      </c>
      <c r="S928">
        <v>4</v>
      </c>
      <c r="T928">
        <v>4</v>
      </c>
    </row>
    <row r="929" spans="1:20" x14ac:dyDescent="0.35">
      <c r="A929">
        <v>928</v>
      </c>
      <c r="B929" s="1">
        <v>40585</v>
      </c>
      <c r="C929">
        <v>1</v>
      </c>
      <c r="D929">
        <v>0</v>
      </c>
      <c r="E929">
        <v>2</v>
      </c>
      <c r="F929" t="str">
        <f>IF(final_data786[[#This Row],[MONTH_CODE]]=1,"JANUARY",IF(final_data786[[#This Row],[MONTH_CODE]]=2,"FEBRUARY"))</f>
        <v>FEBRUARY</v>
      </c>
      <c r="G929">
        <v>6</v>
      </c>
      <c r="H929">
        <v>0</v>
      </c>
      <c r="I929">
        <v>5</v>
      </c>
      <c r="J92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29" t="str">
        <f>IF(final_data786[[#This Row],[DAY_CODE]]=0,"weekend",IF(final_data786[[#This Row],[DAY_CODE]]=6,"weekend","weekday"))</f>
        <v>weekday</v>
      </c>
      <c r="L929">
        <v>1</v>
      </c>
      <c r="M929" t="str">
        <f>IF(final_data786[[#This Row],[WEATHER_CODE]]=1,"clear",IF(final_data786[[#This Row],[WEATHER_CODE]]=2,"cloudy",IF(final_data786[[#This Row],[WEATHER_CODE]]=3,"light rain",IF(final_data786[[#This Row],[WEATHER_CODE]]=4,"heavy rain",0))))</f>
        <v>clear</v>
      </c>
      <c r="N929">
        <v>0.1</v>
      </c>
      <c r="O929">
        <v>0.18179999999999999</v>
      </c>
      <c r="P929">
        <v>0.68</v>
      </c>
      <c r="Q929">
        <v>0</v>
      </c>
      <c r="R929">
        <v>1</v>
      </c>
      <c r="S929">
        <v>23</v>
      </c>
      <c r="T929">
        <v>24</v>
      </c>
    </row>
    <row r="930" spans="1:20" x14ac:dyDescent="0.35">
      <c r="A930">
        <v>929</v>
      </c>
      <c r="B930" s="1">
        <v>40585</v>
      </c>
      <c r="C930">
        <v>1</v>
      </c>
      <c r="D930">
        <v>0</v>
      </c>
      <c r="E930">
        <v>2</v>
      </c>
      <c r="F930" t="str">
        <f>IF(final_data786[[#This Row],[MONTH_CODE]]=1,"JANUARY",IF(final_data786[[#This Row],[MONTH_CODE]]=2,"FEBRUARY"))</f>
        <v>FEBRUARY</v>
      </c>
      <c r="G930">
        <v>7</v>
      </c>
      <c r="H930">
        <v>0</v>
      </c>
      <c r="I930">
        <v>5</v>
      </c>
      <c r="J93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0" t="str">
        <f>IF(final_data786[[#This Row],[DAY_CODE]]=0,"weekend",IF(final_data786[[#This Row],[DAY_CODE]]=6,"weekend","weekday"))</f>
        <v>weekday</v>
      </c>
      <c r="L930">
        <v>1</v>
      </c>
      <c r="M930" t="str">
        <f>IF(final_data786[[#This Row],[WEATHER_CODE]]=1,"clear",IF(final_data786[[#This Row],[WEATHER_CODE]]=2,"cloudy",IF(final_data786[[#This Row],[WEATHER_CODE]]=3,"light rain",IF(final_data786[[#This Row],[WEATHER_CODE]]=4,"heavy rain",0))))</f>
        <v>clear</v>
      </c>
      <c r="N930">
        <v>0.08</v>
      </c>
      <c r="O930">
        <v>0.16669999999999999</v>
      </c>
      <c r="P930">
        <v>0.73</v>
      </c>
      <c r="Q930">
        <v>0</v>
      </c>
      <c r="R930">
        <v>1</v>
      </c>
      <c r="S930">
        <v>73</v>
      </c>
      <c r="T930">
        <v>74</v>
      </c>
    </row>
    <row r="931" spans="1:20" x14ac:dyDescent="0.35">
      <c r="A931">
        <v>930</v>
      </c>
      <c r="B931" s="1">
        <v>40585</v>
      </c>
      <c r="C931">
        <v>1</v>
      </c>
      <c r="D931">
        <v>0</v>
      </c>
      <c r="E931">
        <v>2</v>
      </c>
      <c r="F931" t="str">
        <f>IF(final_data786[[#This Row],[MONTH_CODE]]=1,"JANUARY",IF(final_data786[[#This Row],[MONTH_CODE]]=2,"FEBRUARY"))</f>
        <v>FEBRUARY</v>
      </c>
      <c r="G931">
        <v>8</v>
      </c>
      <c r="H931">
        <v>0</v>
      </c>
      <c r="I931">
        <v>5</v>
      </c>
      <c r="J93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1" t="str">
        <f>IF(final_data786[[#This Row],[DAY_CODE]]=0,"weekend",IF(final_data786[[#This Row],[DAY_CODE]]=6,"weekend","weekday"))</f>
        <v>weekday</v>
      </c>
      <c r="L931">
        <v>1</v>
      </c>
      <c r="M931" t="str">
        <f>IF(final_data786[[#This Row],[WEATHER_CODE]]=1,"clear",IF(final_data786[[#This Row],[WEATHER_CODE]]=2,"cloudy",IF(final_data786[[#This Row],[WEATHER_CODE]]=3,"light rain",IF(final_data786[[#This Row],[WEATHER_CODE]]=4,"heavy rain",0))))</f>
        <v>clear</v>
      </c>
      <c r="N931">
        <v>0.1</v>
      </c>
      <c r="O931">
        <v>0.1212</v>
      </c>
      <c r="P931">
        <v>0.74</v>
      </c>
      <c r="Q931">
        <v>0.16420000000000001</v>
      </c>
      <c r="R931">
        <v>4</v>
      </c>
      <c r="S931">
        <v>212</v>
      </c>
      <c r="T931">
        <v>216</v>
      </c>
    </row>
    <row r="932" spans="1:20" x14ac:dyDescent="0.35">
      <c r="A932">
        <v>931</v>
      </c>
      <c r="B932" s="1">
        <v>40585</v>
      </c>
      <c r="C932">
        <v>1</v>
      </c>
      <c r="D932">
        <v>0</v>
      </c>
      <c r="E932">
        <v>2</v>
      </c>
      <c r="F932" t="str">
        <f>IF(final_data786[[#This Row],[MONTH_CODE]]=1,"JANUARY",IF(final_data786[[#This Row],[MONTH_CODE]]=2,"FEBRUARY"))</f>
        <v>FEBRUARY</v>
      </c>
      <c r="G932">
        <v>9</v>
      </c>
      <c r="H932">
        <v>0</v>
      </c>
      <c r="I932">
        <v>5</v>
      </c>
      <c r="J93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2" t="str">
        <f>IF(final_data786[[#This Row],[DAY_CODE]]=0,"weekend",IF(final_data786[[#This Row],[DAY_CODE]]=6,"weekend","weekday"))</f>
        <v>weekday</v>
      </c>
      <c r="L932">
        <v>1</v>
      </c>
      <c r="M932" t="str">
        <f>IF(final_data786[[#This Row],[WEATHER_CODE]]=1,"clear",IF(final_data786[[#This Row],[WEATHER_CODE]]=2,"cloudy",IF(final_data786[[#This Row],[WEATHER_CODE]]=3,"light rain",IF(final_data786[[#This Row],[WEATHER_CODE]]=4,"heavy rain",0))))</f>
        <v>clear</v>
      </c>
      <c r="N932">
        <v>0.12</v>
      </c>
      <c r="O932">
        <v>0.1212</v>
      </c>
      <c r="P932">
        <v>0.74</v>
      </c>
      <c r="Q932">
        <v>0.22389999999999999</v>
      </c>
      <c r="R932">
        <v>8</v>
      </c>
      <c r="S932">
        <v>132</v>
      </c>
      <c r="T932">
        <v>140</v>
      </c>
    </row>
    <row r="933" spans="1:20" x14ac:dyDescent="0.35">
      <c r="A933">
        <v>932</v>
      </c>
      <c r="B933" s="1">
        <v>40585</v>
      </c>
      <c r="C933">
        <v>1</v>
      </c>
      <c r="D933">
        <v>0</v>
      </c>
      <c r="E933">
        <v>2</v>
      </c>
      <c r="F933" t="str">
        <f>IF(final_data786[[#This Row],[MONTH_CODE]]=1,"JANUARY",IF(final_data786[[#This Row],[MONTH_CODE]]=2,"FEBRUARY"))</f>
        <v>FEBRUARY</v>
      </c>
      <c r="G933">
        <v>10</v>
      </c>
      <c r="H933">
        <v>0</v>
      </c>
      <c r="I933">
        <v>5</v>
      </c>
      <c r="J93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3" t="str">
        <f>IF(final_data786[[#This Row],[DAY_CODE]]=0,"weekend",IF(final_data786[[#This Row],[DAY_CODE]]=6,"weekend","weekday"))</f>
        <v>weekday</v>
      </c>
      <c r="L933">
        <v>1</v>
      </c>
      <c r="M933" t="str">
        <f>IF(final_data786[[#This Row],[WEATHER_CODE]]=1,"clear",IF(final_data786[[#This Row],[WEATHER_CODE]]=2,"cloudy",IF(final_data786[[#This Row],[WEATHER_CODE]]=3,"light rain",IF(final_data786[[#This Row],[WEATHER_CODE]]=4,"heavy rain",0))))</f>
        <v>clear</v>
      </c>
      <c r="N933">
        <v>0.14000000000000001</v>
      </c>
      <c r="O933">
        <v>0.13639999999999999</v>
      </c>
      <c r="P933">
        <v>0.69</v>
      </c>
      <c r="Q933">
        <v>0.19400000000000001</v>
      </c>
      <c r="R933">
        <v>5</v>
      </c>
      <c r="S933">
        <v>39</v>
      </c>
      <c r="T933">
        <v>44</v>
      </c>
    </row>
    <row r="934" spans="1:20" x14ac:dyDescent="0.35">
      <c r="A934">
        <v>933</v>
      </c>
      <c r="B934" s="1">
        <v>40585</v>
      </c>
      <c r="C934">
        <v>1</v>
      </c>
      <c r="D934">
        <v>0</v>
      </c>
      <c r="E934">
        <v>2</v>
      </c>
      <c r="F934" t="str">
        <f>IF(final_data786[[#This Row],[MONTH_CODE]]=1,"JANUARY",IF(final_data786[[#This Row],[MONTH_CODE]]=2,"FEBRUARY"))</f>
        <v>FEBRUARY</v>
      </c>
      <c r="G934">
        <v>11</v>
      </c>
      <c r="H934">
        <v>0</v>
      </c>
      <c r="I934">
        <v>5</v>
      </c>
      <c r="J93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4" t="str">
        <f>IF(final_data786[[#This Row],[DAY_CODE]]=0,"weekend",IF(final_data786[[#This Row],[DAY_CODE]]=6,"weekend","weekday"))</f>
        <v>weekday</v>
      </c>
      <c r="L934">
        <v>1</v>
      </c>
      <c r="M934" t="str">
        <f>IF(final_data786[[#This Row],[WEATHER_CODE]]=1,"clear",IF(final_data786[[#This Row],[WEATHER_CODE]]=2,"cloudy",IF(final_data786[[#This Row],[WEATHER_CODE]]=3,"light rain",IF(final_data786[[#This Row],[WEATHER_CODE]]=4,"heavy rain",0))))</f>
        <v>clear</v>
      </c>
      <c r="N934">
        <v>0.22</v>
      </c>
      <c r="O934">
        <v>0.2273</v>
      </c>
      <c r="P934">
        <v>0.47</v>
      </c>
      <c r="Q934">
        <v>0.1343</v>
      </c>
      <c r="R934">
        <v>12</v>
      </c>
      <c r="S934">
        <v>52</v>
      </c>
      <c r="T934">
        <v>64</v>
      </c>
    </row>
    <row r="935" spans="1:20" x14ac:dyDescent="0.35">
      <c r="A935">
        <v>934</v>
      </c>
      <c r="B935" s="1">
        <v>40585</v>
      </c>
      <c r="C935">
        <v>1</v>
      </c>
      <c r="D935">
        <v>0</v>
      </c>
      <c r="E935">
        <v>2</v>
      </c>
      <c r="F935" t="str">
        <f>IF(final_data786[[#This Row],[MONTH_CODE]]=1,"JANUARY",IF(final_data786[[#This Row],[MONTH_CODE]]=2,"FEBRUARY"))</f>
        <v>FEBRUARY</v>
      </c>
      <c r="G935">
        <v>12</v>
      </c>
      <c r="H935">
        <v>0</v>
      </c>
      <c r="I935">
        <v>5</v>
      </c>
      <c r="J93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5" t="str">
        <f>IF(final_data786[[#This Row],[DAY_CODE]]=0,"weekend",IF(final_data786[[#This Row],[DAY_CODE]]=6,"weekend","weekday"))</f>
        <v>weekday</v>
      </c>
      <c r="L935">
        <v>1</v>
      </c>
      <c r="M935" t="str">
        <f>IF(final_data786[[#This Row],[WEATHER_CODE]]=1,"clear",IF(final_data786[[#This Row],[WEATHER_CODE]]=2,"cloudy",IF(final_data786[[#This Row],[WEATHER_CODE]]=3,"light rain",IF(final_data786[[#This Row],[WEATHER_CODE]]=4,"heavy rain",0))))</f>
        <v>clear</v>
      </c>
      <c r="N935">
        <v>0.22</v>
      </c>
      <c r="O935">
        <v>0.2273</v>
      </c>
      <c r="P935">
        <v>0.47</v>
      </c>
      <c r="Q935">
        <v>0.1343</v>
      </c>
      <c r="R935">
        <v>7</v>
      </c>
      <c r="S935">
        <v>64</v>
      </c>
      <c r="T935">
        <v>71</v>
      </c>
    </row>
    <row r="936" spans="1:20" x14ac:dyDescent="0.35">
      <c r="A936">
        <v>935</v>
      </c>
      <c r="B936" s="1">
        <v>40585</v>
      </c>
      <c r="C936">
        <v>1</v>
      </c>
      <c r="D936">
        <v>0</v>
      </c>
      <c r="E936">
        <v>2</v>
      </c>
      <c r="F936" t="str">
        <f>IF(final_data786[[#This Row],[MONTH_CODE]]=1,"JANUARY",IF(final_data786[[#This Row],[MONTH_CODE]]=2,"FEBRUARY"))</f>
        <v>FEBRUARY</v>
      </c>
      <c r="G936">
        <v>13</v>
      </c>
      <c r="H936">
        <v>0</v>
      </c>
      <c r="I936">
        <v>5</v>
      </c>
      <c r="J93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6" t="str">
        <f>IF(final_data786[[#This Row],[DAY_CODE]]=0,"weekend",IF(final_data786[[#This Row],[DAY_CODE]]=6,"weekend","weekday"))</f>
        <v>weekday</v>
      </c>
      <c r="L936">
        <v>1</v>
      </c>
      <c r="M936" t="str">
        <f>IF(final_data786[[#This Row],[WEATHER_CODE]]=1,"clear",IF(final_data786[[#This Row],[WEATHER_CODE]]=2,"cloudy",IF(final_data786[[#This Row],[WEATHER_CODE]]=3,"light rain",IF(final_data786[[#This Row],[WEATHER_CODE]]=4,"heavy rain",0))))</f>
        <v>clear</v>
      </c>
      <c r="N936">
        <v>0.24</v>
      </c>
      <c r="O936">
        <v>0.2273</v>
      </c>
      <c r="P936">
        <v>0.35</v>
      </c>
      <c r="Q936">
        <v>0.19400000000000001</v>
      </c>
      <c r="R936">
        <v>21</v>
      </c>
      <c r="S936">
        <v>89</v>
      </c>
      <c r="T936">
        <v>110</v>
      </c>
    </row>
    <row r="937" spans="1:20" x14ac:dyDescent="0.35">
      <c r="A937">
        <v>936</v>
      </c>
      <c r="B937" s="1">
        <v>40585</v>
      </c>
      <c r="C937">
        <v>1</v>
      </c>
      <c r="D937">
        <v>0</v>
      </c>
      <c r="E937">
        <v>2</v>
      </c>
      <c r="F937" t="str">
        <f>IF(final_data786[[#This Row],[MONTH_CODE]]=1,"JANUARY",IF(final_data786[[#This Row],[MONTH_CODE]]=2,"FEBRUARY"))</f>
        <v>FEBRUARY</v>
      </c>
      <c r="G937">
        <v>14</v>
      </c>
      <c r="H937">
        <v>0</v>
      </c>
      <c r="I937">
        <v>5</v>
      </c>
      <c r="J93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7" t="str">
        <f>IF(final_data786[[#This Row],[DAY_CODE]]=0,"weekend",IF(final_data786[[#This Row],[DAY_CODE]]=6,"weekend","weekday"))</f>
        <v>weekday</v>
      </c>
      <c r="L937">
        <v>1</v>
      </c>
      <c r="M937" t="str">
        <f>IF(final_data786[[#This Row],[WEATHER_CODE]]=1,"clear",IF(final_data786[[#This Row],[WEATHER_CODE]]=2,"cloudy",IF(final_data786[[#This Row],[WEATHER_CODE]]=3,"light rain",IF(final_data786[[#This Row],[WEATHER_CODE]]=4,"heavy rain",0))))</f>
        <v>clear</v>
      </c>
      <c r="N937">
        <v>0.3</v>
      </c>
      <c r="O937">
        <v>0.28789999999999999</v>
      </c>
      <c r="P937">
        <v>0.26</v>
      </c>
      <c r="Q937">
        <v>0.25369999999999998</v>
      </c>
      <c r="R937">
        <v>17</v>
      </c>
      <c r="S937">
        <v>67</v>
      </c>
      <c r="T937">
        <v>84</v>
      </c>
    </row>
    <row r="938" spans="1:20" x14ac:dyDescent="0.35">
      <c r="A938">
        <v>937</v>
      </c>
      <c r="B938" s="1">
        <v>40585</v>
      </c>
      <c r="C938">
        <v>1</v>
      </c>
      <c r="D938">
        <v>0</v>
      </c>
      <c r="E938">
        <v>2</v>
      </c>
      <c r="F938" t="str">
        <f>IF(final_data786[[#This Row],[MONTH_CODE]]=1,"JANUARY",IF(final_data786[[#This Row],[MONTH_CODE]]=2,"FEBRUARY"))</f>
        <v>FEBRUARY</v>
      </c>
      <c r="G938">
        <v>15</v>
      </c>
      <c r="H938">
        <v>0</v>
      </c>
      <c r="I938">
        <v>5</v>
      </c>
      <c r="J93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8" t="str">
        <f>IF(final_data786[[#This Row],[DAY_CODE]]=0,"weekend",IF(final_data786[[#This Row],[DAY_CODE]]=6,"weekend","weekday"))</f>
        <v>weekday</v>
      </c>
      <c r="L938">
        <v>1</v>
      </c>
      <c r="M938" t="str">
        <f>IF(final_data786[[#This Row],[WEATHER_CODE]]=1,"clear",IF(final_data786[[#This Row],[WEATHER_CODE]]=2,"cloudy",IF(final_data786[[#This Row],[WEATHER_CODE]]=3,"light rain",IF(final_data786[[#This Row],[WEATHER_CODE]]=4,"heavy rain",0))))</f>
        <v>clear</v>
      </c>
      <c r="N938">
        <v>0.32</v>
      </c>
      <c r="O938">
        <v>0.31819999999999998</v>
      </c>
      <c r="P938">
        <v>0.21</v>
      </c>
      <c r="Q938">
        <v>0.16420000000000001</v>
      </c>
      <c r="R938">
        <v>12</v>
      </c>
      <c r="S938">
        <v>62</v>
      </c>
      <c r="T938">
        <v>74</v>
      </c>
    </row>
    <row r="939" spans="1:20" x14ac:dyDescent="0.35">
      <c r="A939">
        <v>938</v>
      </c>
      <c r="B939" s="1">
        <v>40585</v>
      </c>
      <c r="C939">
        <v>1</v>
      </c>
      <c r="D939">
        <v>0</v>
      </c>
      <c r="E939">
        <v>2</v>
      </c>
      <c r="F939" t="str">
        <f>IF(final_data786[[#This Row],[MONTH_CODE]]=1,"JANUARY",IF(final_data786[[#This Row],[MONTH_CODE]]=2,"FEBRUARY"))</f>
        <v>FEBRUARY</v>
      </c>
      <c r="G939">
        <v>16</v>
      </c>
      <c r="H939">
        <v>0</v>
      </c>
      <c r="I939">
        <v>5</v>
      </c>
      <c r="J93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39" t="str">
        <f>IF(final_data786[[#This Row],[DAY_CODE]]=0,"weekend",IF(final_data786[[#This Row],[DAY_CODE]]=6,"weekend","weekday"))</f>
        <v>weekday</v>
      </c>
      <c r="L939">
        <v>1</v>
      </c>
      <c r="M939" t="str">
        <f>IF(final_data786[[#This Row],[WEATHER_CODE]]=1,"clear",IF(final_data786[[#This Row],[WEATHER_CODE]]=2,"cloudy",IF(final_data786[[#This Row],[WEATHER_CODE]]=3,"light rain",IF(final_data786[[#This Row],[WEATHER_CODE]]=4,"heavy rain",0))))</f>
        <v>clear</v>
      </c>
      <c r="N939">
        <v>0.3</v>
      </c>
      <c r="O939">
        <v>0.28789999999999999</v>
      </c>
      <c r="P939">
        <v>0.28000000000000003</v>
      </c>
      <c r="Q939">
        <v>0.19400000000000001</v>
      </c>
      <c r="R939">
        <v>14</v>
      </c>
      <c r="S939">
        <v>111</v>
      </c>
      <c r="T939">
        <v>125</v>
      </c>
    </row>
    <row r="940" spans="1:20" x14ac:dyDescent="0.35">
      <c r="A940">
        <v>939</v>
      </c>
      <c r="B940" s="1">
        <v>40585</v>
      </c>
      <c r="C940">
        <v>1</v>
      </c>
      <c r="D940">
        <v>0</v>
      </c>
      <c r="E940">
        <v>2</v>
      </c>
      <c r="F940" t="str">
        <f>IF(final_data786[[#This Row],[MONTH_CODE]]=1,"JANUARY",IF(final_data786[[#This Row],[MONTH_CODE]]=2,"FEBRUARY"))</f>
        <v>FEBRUARY</v>
      </c>
      <c r="G940">
        <v>17</v>
      </c>
      <c r="H940">
        <v>0</v>
      </c>
      <c r="I940">
        <v>5</v>
      </c>
      <c r="J94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0" t="str">
        <f>IF(final_data786[[#This Row],[DAY_CODE]]=0,"weekend",IF(final_data786[[#This Row],[DAY_CODE]]=6,"weekend","weekday"))</f>
        <v>weekday</v>
      </c>
      <c r="L940">
        <v>1</v>
      </c>
      <c r="M940" t="str">
        <f>IF(final_data786[[#This Row],[WEATHER_CODE]]=1,"clear",IF(final_data786[[#This Row],[WEATHER_CODE]]=2,"cloudy",IF(final_data786[[#This Row],[WEATHER_CODE]]=3,"light rain",IF(final_data786[[#This Row],[WEATHER_CODE]]=4,"heavy rain",0))))</f>
        <v>clear</v>
      </c>
      <c r="N940">
        <v>0.3</v>
      </c>
      <c r="O940">
        <v>0.33329999999999999</v>
      </c>
      <c r="P940">
        <v>0.24</v>
      </c>
      <c r="Q940">
        <v>0</v>
      </c>
      <c r="R940">
        <v>18</v>
      </c>
      <c r="S940">
        <v>193</v>
      </c>
      <c r="T940">
        <v>211</v>
      </c>
    </row>
    <row r="941" spans="1:20" x14ac:dyDescent="0.35">
      <c r="A941">
        <v>940</v>
      </c>
      <c r="B941" s="1">
        <v>40585</v>
      </c>
      <c r="C941">
        <v>1</v>
      </c>
      <c r="D941">
        <v>0</v>
      </c>
      <c r="E941">
        <v>2</v>
      </c>
      <c r="F941" t="str">
        <f>IF(final_data786[[#This Row],[MONTH_CODE]]=1,"JANUARY",IF(final_data786[[#This Row],[MONTH_CODE]]=2,"FEBRUARY"))</f>
        <v>FEBRUARY</v>
      </c>
      <c r="G941">
        <v>18</v>
      </c>
      <c r="H941">
        <v>0</v>
      </c>
      <c r="I941">
        <v>5</v>
      </c>
      <c r="J94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1" t="str">
        <f>IF(final_data786[[#This Row],[DAY_CODE]]=0,"weekend",IF(final_data786[[#This Row],[DAY_CODE]]=6,"weekend","weekday"))</f>
        <v>weekday</v>
      </c>
      <c r="L941">
        <v>1</v>
      </c>
      <c r="M941" t="str">
        <f>IF(final_data786[[#This Row],[WEATHER_CODE]]=1,"clear",IF(final_data786[[#This Row],[WEATHER_CODE]]=2,"cloudy",IF(final_data786[[#This Row],[WEATHER_CODE]]=3,"light rain",IF(final_data786[[#This Row],[WEATHER_CODE]]=4,"heavy rain",0))))</f>
        <v>clear</v>
      </c>
      <c r="N941">
        <v>0.28000000000000003</v>
      </c>
      <c r="O941">
        <v>0.31819999999999998</v>
      </c>
      <c r="P941">
        <v>0.28000000000000003</v>
      </c>
      <c r="Q941">
        <v>0</v>
      </c>
      <c r="R941">
        <v>9</v>
      </c>
      <c r="S941">
        <v>165</v>
      </c>
      <c r="T941">
        <v>174</v>
      </c>
    </row>
    <row r="942" spans="1:20" x14ac:dyDescent="0.35">
      <c r="A942">
        <v>941</v>
      </c>
      <c r="B942" s="1">
        <v>40585</v>
      </c>
      <c r="C942">
        <v>1</v>
      </c>
      <c r="D942">
        <v>0</v>
      </c>
      <c r="E942">
        <v>2</v>
      </c>
      <c r="F942" t="str">
        <f>IF(final_data786[[#This Row],[MONTH_CODE]]=1,"JANUARY",IF(final_data786[[#This Row],[MONTH_CODE]]=2,"FEBRUARY"))</f>
        <v>FEBRUARY</v>
      </c>
      <c r="G942">
        <v>19</v>
      </c>
      <c r="H942">
        <v>0</v>
      </c>
      <c r="I942">
        <v>5</v>
      </c>
      <c r="J94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2" t="str">
        <f>IF(final_data786[[#This Row],[DAY_CODE]]=0,"weekend",IF(final_data786[[#This Row],[DAY_CODE]]=6,"weekend","weekday"))</f>
        <v>weekday</v>
      </c>
      <c r="L942">
        <v>1</v>
      </c>
      <c r="M942" t="str">
        <f>IF(final_data786[[#This Row],[WEATHER_CODE]]=1,"clear",IF(final_data786[[#This Row],[WEATHER_CODE]]=2,"cloudy",IF(final_data786[[#This Row],[WEATHER_CODE]]=3,"light rain",IF(final_data786[[#This Row],[WEATHER_CODE]]=4,"heavy rain",0))))</f>
        <v>clear</v>
      </c>
      <c r="N942">
        <v>0.26</v>
      </c>
      <c r="O942">
        <v>0.30299999999999999</v>
      </c>
      <c r="P942">
        <v>0.33</v>
      </c>
      <c r="Q942">
        <v>0</v>
      </c>
      <c r="R942">
        <v>7</v>
      </c>
      <c r="S942">
        <v>94</v>
      </c>
      <c r="T942">
        <v>101</v>
      </c>
    </row>
    <row r="943" spans="1:20" x14ac:dyDescent="0.35">
      <c r="A943">
        <v>942</v>
      </c>
      <c r="B943" s="1">
        <v>40585</v>
      </c>
      <c r="C943">
        <v>1</v>
      </c>
      <c r="D943">
        <v>0</v>
      </c>
      <c r="E943">
        <v>2</v>
      </c>
      <c r="F943" t="str">
        <f>IF(final_data786[[#This Row],[MONTH_CODE]]=1,"JANUARY",IF(final_data786[[#This Row],[MONTH_CODE]]=2,"FEBRUARY"))</f>
        <v>FEBRUARY</v>
      </c>
      <c r="G943">
        <v>20</v>
      </c>
      <c r="H943">
        <v>0</v>
      </c>
      <c r="I943">
        <v>5</v>
      </c>
      <c r="J94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3" t="str">
        <f>IF(final_data786[[#This Row],[DAY_CODE]]=0,"weekend",IF(final_data786[[#This Row],[DAY_CODE]]=6,"weekend","weekday"))</f>
        <v>weekday</v>
      </c>
      <c r="L943">
        <v>1</v>
      </c>
      <c r="M943" t="str">
        <f>IF(final_data786[[#This Row],[WEATHER_CODE]]=1,"clear",IF(final_data786[[#This Row],[WEATHER_CODE]]=2,"cloudy",IF(final_data786[[#This Row],[WEATHER_CODE]]=3,"light rain",IF(final_data786[[#This Row],[WEATHER_CODE]]=4,"heavy rain",0))))</f>
        <v>clear</v>
      </c>
      <c r="N943">
        <v>0.22</v>
      </c>
      <c r="O943">
        <v>0.2273</v>
      </c>
      <c r="P943">
        <v>0.55000000000000004</v>
      </c>
      <c r="Q943">
        <v>0.1343</v>
      </c>
      <c r="R943">
        <v>2</v>
      </c>
      <c r="S943">
        <v>61</v>
      </c>
      <c r="T943">
        <v>63</v>
      </c>
    </row>
    <row r="944" spans="1:20" x14ac:dyDescent="0.35">
      <c r="A944">
        <v>943</v>
      </c>
      <c r="B944" s="1">
        <v>40585</v>
      </c>
      <c r="C944">
        <v>1</v>
      </c>
      <c r="D944">
        <v>0</v>
      </c>
      <c r="E944">
        <v>2</v>
      </c>
      <c r="F944" t="str">
        <f>IF(final_data786[[#This Row],[MONTH_CODE]]=1,"JANUARY",IF(final_data786[[#This Row],[MONTH_CODE]]=2,"FEBRUARY"))</f>
        <v>FEBRUARY</v>
      </c>
      <c r="G944">
        <v>21</v>
      </c>
      <c r="H944">
        <v>0</v>
      </c>
      <c r="I944">
        <v>5</v>
      </c>
      <c r="J94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4" t="str">
        <f>IF(final_data786[[#This Row],[DAY_CODE]]=0,"weekend",IF(final_data786[[#This Row],[DAY_CODE]]=6,"weekend","weekday"))</f>
        <v>weekday</v>
      </c>
      <c r="L944">
        <v>1</v>
      </c>
      <c r="M944" t="str">
        <f>IF(final_data786[[#This Row],[WEATHER_CODE]]=1,"clear",IF(final_data786[[#This Row],[WEATHER_CODE]]=2,"cloudy",IF(final_data786[[#This Row],[WEATHER_CODE]]=3,"light rain",IF(final_data786[[#This Row],[WEATHER_CODE]]=4,"heavy rain",0))))</f>
        <v>clear</v>
      </c>
      <c r="N944">
        <v>0.2</v>
      </c>
      <c r="O944">
        <v>0.21210000000000001</v>
      </c>
      <c r="P944">
        <v>0.59</v>
      </c>
      <c r="Q944">
        <v>0.1343</v>
      </c>
      <c r="R944">
        <v>1</v>
      </c>
      <c r="S944">
        <v>46</v>
      </c>
      <c r="T944">
        <v>47</v>
      </c>
    </row>
    <row r="945" spans="1:20" x14ac:dyDescent="0.35">
      <c r="A945">
        <v>944</v>
      </c>
      <c r="B945" s="1">
        <v>40585</v>
      </c>
      <c r="C945">
        <v>1</v>
      </c>
      <c r="D945">
        <v>0</v>
      </c>
      <c r="E945">
        <v>2</v>
      </c>
      <c r="F945" t="str">
        <f>IF(final_data786[[#This Row],[MONTH_CODE]]=1,"JANUARY",IF(final_data786[[#This Row],[MONTH_CODE]]=2,"FEBRUARY"))</f>
        <v>FEBRUARY</v>
      </c>
      <c r="G945">
        <v>22</v>
      </c>
      <c r="H945">
        <v>0</v>
      </c>
      <c r="I945">
        <v>5</v>
      </c>
      <c r="J94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5" t="str">
        <f>IF(final_data786[[#This Row],[DAY_CODE]]=0,"weekend",IF(final_data786[[#This Row],[DAY_CODE]]=6,"weekend","weekday"))</f>
        <v>weekday</v>
      </c>
      <c r="L945">
        <v>1</v>
      </c>
      <c r="M945" t="str">
        <f>IF(final_data786[[#This Row],[WEATHER_CODE]]=1,"clear",IF(final_data786[[#This Row],[WEATHER_CODE]]=2,"cloudy",IF(final_data786[[#This Row],[WEATHER_CODE]]=3,"light rain",IF(final_data786[[#This Row],[WEATHER_CODE]]=4,"heavy rain",0))))</f>
        <v>clear</v>
      </c>
      <c r="N945">
        <v>0.2</v>
      </c>
      <c r="O945">
        <v>0.2273</v>
      </c>
      <c r="P945">
        <v>0.64</v>
      </c>
      <c r="Q945">
        <v>8.9599999999999999E-2</v>
      </c>
      <c r="R945">
        <v>2</v>
      </c>
      <c r="S945">
        <v>41</v>
      </c>
      <c r="T945">
        <v>43</v>
      </c>
    </row>
    <row r="946" spans="1:20" x14ac:dyDescent="0.35">
      <c r="A946">
        <v>945</v>
      </c>
      <c r="B946" s="1">
        <v>40585</v>
      </c>
      <c r="C946">
        <v>1</v>
      </c>
      <c r="D946">
        <v>0</v>
      </c>
      <c r="E946">
        <v>2</v>
      </c>
      <c r="F946" t="str">
        <f>IF(final_data786[[#This Row],[MONTH_CODE]]=1,"JANUARY",IF(final_data786[[#This Row],[MONTH_CODE]]=2,"FEBRUARY"))</f>
        <v>FEBRUARY</v>
      </c>
      <c r="G946">
        <v>23</v>
      </c>
      <c r="H946">
        <v>0</v>
      </c>
      <c r="I946">
        <v>5</v>
      </c>
      <c r="J94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Friday</v>
      </c>
      <c r="K946" t="str">
        <f>IF(final_data786[[#This Row],[DAY_CODE]]=0,"weekend",IF(final_data786[[#This Row],[DAY_CODE]]=6,"weekend","weekday"))</f>
        <v>weekday</v>
      </c>
      <c r="L946">
        <v>1</v>
      </c>
      <c r="M946" t="str">
        <f>IF(final_data786[[#This Row],[WEATHER_CODE]]=1,"clear",IF(final_data786[[#This Row],[WEATHER_CODE]]=2,"cloudy",IF(final_data786[[#This Row],[WEATHER_CODE]]=3,"light rain",IF(final_data786[[#This Row],[WEATHER_CODE]]=4,"heavy rain",0))))</f>
        <v>clear</v>
      </c>
      <c r="N946">
        <v>0.18</v>
      </c>
      <c r="O946">
        <v>0.2424</v>
      </c>
      <c r="P946">
        <v>0.69</v>
      </c>
      <c r="Q946">
        <v>0</v>
      </c>
      <c r="R946">
        <v>5</v>
      </c>
      <c r="S946">
        <v>48</v>
      </c>
      <c r="T946">
        <v>53</v>
      </c>
    </row>
    <row r="947" spans="1:20" x14ac:dyDescent="0.35">
      <c r="A947">
        <v>946</v>
      </c>
      <c r="B947" s="1">
        <v>40586</v>
      </c>
      <c r="C947">
        <v>1</v>
      </c>
      <c r="D947">
        <v>0</v>
      </c>
      <c r="E947">
        <v>2</v>
      </c>
      <c r="F947" t="str">
        <f>IF(final_data786[[#This Row],[MONTH_CODE]]=1,"JANUARY",IF(final_data786[[#This Row],[MONTH_CODE]]=2,"FEBRUARY"))</f>
        <v>FEBRUARY</v>
      </c>
      <c r="G947">
        <v>0</v>
      </c>
      <c r="H947">
        <v>0</v>
      </c>
      <c r="I947">
        <v>6</v>
      </c>
      <c r="J94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47" t="str">
        <f>IF(final_data786[[#This Row],[DAY_CODE]]=0,"weekend",IF(final_data786[[#This Row],[DAY_CODE]]=6,"weekend","weekday"))</f>
        <v>weekend</v>
      </c>
      <c r="L947">
        <v>1</v>
      </c>
      <c r="M947" t="str">
        <f>IF(final_data786[[#This Row],[WEATHER_CODE]]=1,"clear",IF(final_data786[[#This Row],[WEATHER_CODE]]=2,"cloudy",IF(final_data786[[#This Row],[WEATHER_CODE]]=3,"light rain",IF(final_data786[[#This Row],[WEATHER_CODE]]=4,"heavy rain",0))))</f>
        <v>clear</v>
      </c>
      <c r="N947">
        <v>0.16</v>
      </c>
      <c r="O947">
        <v>0.19700000000000001</v>
      </c>
      <c r="P947">
        <v>0.69</v>
      </c>
      <c r="Q947">
        <v>8.9599999999999999E-2</v>
      </c>
      <c r="R947">
        <v>3</v>
      </c>
      <c r="S947">
        <v>27</v>
      </c>
      <c r="T947">
        <v>30</v>
      </c>
    </row>
    <row r="948" spans="1:20" x14ac:dyDescent="0.35">
      <c r="A948">
        <v>947</v>
      </c>
      <c r="B948" s="1">
        <v>40586</v>
      </c>
      <c r="C948">
        <v>1</v>
      </c>
      <c r="D948">
        <v>0</v>
      </c>
      <c r="E948">
        <v>2</v>
      </c>
      <c r="F948" t="str">
        <f>IF(final_data786[[#This Row],[MONTH_CODE]]=1,"JANUARY",IF(final_data786[[#This Row],[MONTH_CODE]]=2,"FEBRUARY"))</f>
        <v>FEBRUARY</v>
      </c>
      <c r="G948">
        <v>1</v>
      </c>
      <c r="H948">
        <v>0</v>
      </c>
      <c r="I948">
        <v>6</v>
      </c>
      <c r="J94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48" t="str">
        <f>IF(final_data786[[#This Row],[DAY_CODE]]=0,"weekend",IF(final_data786[[#This Row],[DAY_CODE]]=6,"weekend","weekday"))</f>
        <v>weekend</v>
      </c>
      <c r="L948">
        <v>1</v>
      </c>
      <c r="M948" t="str">
        <f>IF(final_data786[[#This Row],[WEATHER_CODE]]=1,"clear",IF(final_data786[[#This Row],[WEATHER_CODE]]=2,"cloudy",IF(final_data786[[#This Row],[WEATHER_CODE]]=3,"light rain",IF(final_data786[[#This Row],[WEATHER_CODE]]=4,"heavy rain",0))))</f>
        <v>clear</v>
      </c>
      <c r="N948">
        <v>0.14000000000000001</v>
      </c>
      <c r="O948">
        <v>0.21210000000000001</v>
      </c>
      <c r="P948">
        <v>0.86</v>
      </c>
      <c r="Q948">
        <v>0</v>
      </c>
      <c r="R948">
        <v>2</v>
      </c>
      <c r="S948">
        <v>22</v>
      </c>
      <c r="T948">
        <v>24</v>
      </c>
    </row>
    <row r="949" spans="1:20" x14ac:dyDescent="0.35">
      <c r="A949">
        <v>948</v>
      </c>
      <c r="B949" s="1">
        <v>40586</v>
      </c>
      <c r="C949">
        <v>1</v>
      </c>
      <c r="D949">
        <v>0</v>
      </c>
      <c r="E949">
        <v>2</v>
      </c>
      <c r="F949" t="str">
        <f>IF(final_data786[[#This Row],[MONTH_CODE]]=1,"JANUARY",IF(final_data786[[#This Row],[MONTH_CODE]]=2,"FEBRUARY"))</f>
        <v>FEBRUARY</v>
      </c>
      <c r="G949">
        <v>2</v>
      </c>
      <c r="H949">
        <v>0</v>
      </c>
      <c r="I949">
        <v>6</v>
      </c>
      <c r="J94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49" t="str">
        <f>IF(final_data786[[#This Row],[DAY_CODE]]=0,"weekend",IF(final_data786[[#This Row],[DAY_CODE]]=6,"weekend","weekday"))</f>
        <v>weekend</v>
      </c>
      <c r="L949">
        <v>1</v>
      </c>
      <c r="M949" t="str">
        <f>IF(final_data786[[#This Row],[WEATHER_CODE]]=1,"clear",IF(final_data786[[#This Row],[WEATHER_CODE]]=2,"cloudy",IF(final_data786[[#This Row],[WEATHER_CODE]]=3,"light rain",IF(final_data786[[#This Row],[WEATHER_CODE]]=4,"heavy rain",0))))</f>
        <v>clear</v>
      </c>
      <c r="N949">
        <v>0.14000000000000001</v>
      </c>
      <c r="O949">
        <v>0.21210000000000001</v>
      </c>
      <c r="P949">
        <v>0.8</v>
      </c>
      <c r="Q949">
        <v>0</v>
      </c>
      <c r="R949">
        <v>2</v>
      </c>
      <c r="S949">
        <v>13</v>
      </c>
      <c r="T949">
        <v>15</v>
      </c>
    </row>
    <row r="950" spans="1:20" x14ac:dyDescent="0.35">
      <c r="A950">
        <v>949</v>
      </c>
      <c r="B950" s="1">
        <v>40586</v>
      </c>
      <c r="C950">
        <v>1</v>
      </c>
      <c r="D950">
        <v>0</v>
      </c>
      <c r="E950">
        <v>2</v>
      </c>
      <c r="F950" t="str">
        <f>IF(final_data786[[#This Row],[MONTH_CODE]]=1,"JANUARY",IF(final_data786[[#This Row],[MONTH_CODE]]=2,"FEBRUARY"))</f>
        <v>FEBRUARY</v>
      </c>
      <c r="G950">
        <v>3</v>
      </c>
      <c r="H950">
        <v>0</v>
      </c>
      <c r="I950">
        <v>6</v>
      </c>
      <c r="J95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0" t="str">
        <f>IF(final_data786[[#This Row],[DAY_CODE]]=0,"weekend",IF(final_data786[[#This Row],[DAY_CODE]]=6,"weekend","weekday"))</f>
        <v>weekend</v>
      </c>
      <c r="L950">
        <v>1</v>
      </c>
      <c r="M950" t="str">
        <f>IF(final_data786[[#This Row],[WEATHER_CODE]]=1,"clear",IF(final_data786[[#This Row],[WEATHER_CODE]]=2,"cloudy",IF(final_data786[[#This Row],[WEATHER_CODE]]=3,"light rain",IF(final_data786[[#This Row],[WEATHER_CODE]]=4,"heavy rain",0))))</f>
        <v>clear</v>
      </c>
      <c r="N950">
        <v>0.12</v>
      </c>
      <c r="O950">
        <v>0.19700000000000001</v>
      </c>
      <c r="P950">
        <v>0.8</v>
      </c>
      <c r="Q950">
        <v>0</v>
      </c>
      <c r="R950">
        <v>3</v>
      </c>
      <c r="S950">
        <v>7</v>
      </c>
      <c r="T950">
        <v>10</v>
      </c>
    </row>
    <row r="951" spans="1:20" x14ac:dyDescent="0.35">
      <c r="A951">
        <v>950</v>
      </c>
      <c r="B951" s="1">
        <v>40586</v>
      </c>
      <c r="C951">
        <v>1</v>
      </c>
      <c r="D951">
        <v>0</v>
      </c>
      <c r="E951">
        <v>2</v>
      </c>
      <c r="F951" t="str">
        <f>IF(final_data786[[#This Row],[MONTH_CODE]]=1,"JANUARY",IF(final_data786[[#This Row],[MONTH_CODE]]=2,"FEBRUARY"))</f>
        <v>FEBRUARY</v>
      </c>
      <c r="G951">
        <v>4</v>
      </c>
      <c r="H951">
        <v>0</v>
      </c>
      <c r="I951">
        <v>6</v>
      </c>
      <c r="J95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1" t="str">
        <f>IF(final_data786[[#This Row],[DAY_CODE]]=0,"weekend",IF(final_data786[[#This Row],[DAY_CODE]]=6,"weekend","weekday"))</f>
        <v>weekend</v>
      </c>
      <c r="L951">
        <v>1</v>
      </c>
      <c r="M951" t="str">
        <f>IF(final_data786[[#This Row],[WEATHER_CODE]]=1,"clear",IF(final_data786[[#This Row],[WEATHER_CODE]]=2,"cloudy",IF(final_data786[[#This Row],[WEATHER_CODE]]=3,"light rain",IF(final_data786[[#This Row],[WEATHER_CODE]]=4,"heavy rain",0))))</f>
        <v>clear</v>
      </c>
      <c r="N951">
        <v>0.12</v>
      </c>
      <c r="O951">
        <v>0.16669999999999999</v>
      </c>
      <c r="P951">
        <v>0.74</v>
      </c>
      <c r="Q951">
        <v>8.9599999999999999E-2</v>
      </c>
      <c r="R951">
        <v>0</v>
      </c>
      <c r="S951">
        <v>4</v>
      </c>
      <c r="T951">
        <v>4</v>
      </c>
    </row>
    <row r="952" spans="1:20" x14ac:dyDescent="0.35">
      <c r="A952">
        <v>951</v>
      </c>
      <c r="B952" s="1">
        <v>40586</v>
      </c>
      <c r="C952">
        <v>1</v>
      </c>
      <c r="D952">
        <v>0</v>
      </c>
      <c r="E952">
        <v>2</v>
      </c>
      <c r="F952" t="str">
        <f>IF(final_data786[[#This Row],[MONTH_CODE]]=1,"JANUARY",IF(final_data786[[#This Row],[MONTH_CODE]]=2,"FEBRUARY"))</f>
        <v>FEBRUARY</v>
      </c>
      <c r="G952">
        <v>5</v>
      </c>
      <c r="H952">
        <v>0</v>
      </c>
      <c r="I952">
        <v>6</v>
      </c>
      <c r="J95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2" t="str">
        <f>IF(final_data786[[#This Row],[DAY_CODE]]=0,"weekend",IF(final_data786[[#This Row],[DAY_CODE]]=6,"weekend","weekday"))</f>
        <v>weekend</v>
      </c>
      <c r="L952">
        <v>1</v>
      </c>
      <c r="M952" t="str">
        <f>IF(final_data786[[#This Row],[WEATHER_CODE]]=1,"clear",IF(final_data786[[#This Row],[WEATHER_CODE]]=2,"cloudy",IF(final_data786[[#This Row],[WEATHER_CODE]]=3,"light rain",IF(final_data786[[#This Row],[WEATHER_CODE]]=4,"heavy rain",0))))</f>
        <v>clear</v>
      </c>
      <c r="N952">
        <v>0.12</v>
      </c>
      <c r="O952">
        <v>0.16669999999999999</v>
      </c>
      <c r="P952">
        <v>0.74</v>
      </c>
      <c r="Q952">
        <v>8.9599999999999999E-2</v>
      </c>
      <c r="R952">
        <v>0</v>
      </c>
      <c r="S952">
        <v>1</v>
      </c>
      <c r="T952">
        <v>1</v>
      </c>
    </row>
    <row r="953" spans="1:20" x14ac:dyDescent="0.35">
      <c r="A953">
        <v>952</v>
      </c>
      <c r="B953" s="1">
        <v>40586</v>
      </c>
      <c r="C953">
        <v>1</v>
      </c>
      <c r="D953">
        <v>0</v>
      </c>
      <c r="E953">
        <v>2</v>
      </c>
      <c r="F953" t="str">
        <f>IF(final_data786[[#This Row],[MONTH_CODE]]=1,"JANUARY",IF(final_data786[[#This Row],[MONTH_CODE]]=2,"FEBRUARY"))</f>
        <v>FEBRUARY</v>
      </c>
      <c r="G953">
        <v>6</v>
      </c>
      <c r="H953">
        <v>0</v>
      </c>
      <c r="I953">
        <v>6</v>
      </c>
      <c r="J95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3" t="str">
        <f>IF(final_data786[[#This Row],[DAY_CODE]]=0,"weekend",IF(final_data786[[#This Row],[DAY_CODE]]=6,"weekend","weekday"))</f>
        <v>weekend</v>
      </c>
      <c r="L953">
        <v>1</v>
      </c>
      <c r="M953" t="str">
        <f>IF(final_data786[[#This Row],[WEATHER_CODE]]=1,"clear",IF(final_data786[[#This Row],[WEATHER_CODE]]=2,"cloudy",IF(final_data786[[#This Row],[WEATHER_CODE]]=3,"light rain",IF(final_data786[[#This Row],[WEATHER_CODE]]=4,"heavy rain",0))))</f>
        <v>clear</v>
      </c>
      <c r="N953">
        <v>0.12</v>
      </c>
      <c r="O953">
        <v>0.13639999999999999</v>
      </c>
      <c r="P953">
        <v>0.93</v>
      </c>
      <c r="Q953">
        <v>0.19400000000000001</v>
      </c>
      <c r="R953">
        <v>1</v>
      </c>
      <c r="S953">
        <v>1</v>
      </c>
      <c r="T953">
        <v>2</v>
      </c>
    </row>
    <row r="954" spans="1:20" x14ac:dyDescent="0.35">
      <c r="A954">
        <v>953</v>
      </c>
      <c r="B954" s="1">
        <v>40586</v>
      </c>
      <c r="C954">
        <v>1</v>
      </c>
      <c r="D954">
        <v>0</v>
      </c>
      <c r="E954">
        <v>2</v>
      </c>
      <c r="F954" t="str">
        <f>IF(final_data786[[#This Row],[MONTH_CODE]]=1,"JANUARY",IF(final_data786[[#This Row],[MONTH_CODE]]=2,"FEBRUARY"))</f>
        <v>FEBRUARY</v>
      </c>
      <c r="G954">
        <v>7</v>
      </c>
      <c r="H954">
        <v>0</v>
      </c>
      <c r="I954">
        <v>6</v>
      </c>
      <c r="J95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4" t="str">
        <f>IF(final_data786[[#This Row],[DAY_CODE]]=0,"weekend",IF(final_data786[[#This Row],[DAY_CODE]]=6,"weekend","weekday"))</f>
        <v>weekend</v>
      </c>
      <c r="L954">
        <v>1</v>
      </c>
      <c r="M954" t="str">
        <f>IF(final_data786[[#This Row],[WEATHER_CODE]]=1,"clear",IF(final_data786[[#This Row],[WEATHER_CODE]]=2,"cloudy",IF(final_data786[[#This Row],[WEATHER_CODE]]=3,"light rain",IF(final_data786[[#This Row],[WEATHER_CODE]]=4,"heavy rain",0))))</f>
        <v>clear</v>
      </c>
      <c r="N954">
        <v>0.12</v>
      </c>
      <c r="O954">
        <v>0.1515</v>
      </c>
      <c r="P954">
        <v>0.8</v>
      </c>
      <c r="Q954">
        <v>0.1045</v>
      </c>
      <c r="R954">
        <v>2</v>
      </c>
      <c r="S954">
        <v>9</v>
      </c>
      <c r="T954">
        <v>11</v>
      </c>
    </row>
    <row r="955" spans="1:20" x14ac:dyDescent="0.35">
      <c r="A955">
        <v>954</v>
      </c>
      <c r="B955" s="1">
        <v>40586</v>
      </c>
      <c r="C955">
        <v>1</v>
      </c>
      <c r="D955">
        <v>0</v>
      </c>
      <c r="E955">
        <v>2</v>
      </c>
      <c r="F955" t="str">
        <f>IF(final_data786[[#This Row],[MONTH_CODE]]=1,"JANUARY",IF(final_data786[[#This Row],[MONTH_CODE]]=2,"FEBRUARY"))</f>
        <v>FEBRUARY</v>
      </c>
      <c r="G955">
        <v>8</v>
      </c>
      <c r="H955">
        <v>0</v>
      </c>
      <c r="I955">
        <v>6</v>
      </c>
      <c r="J95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5" t="str">
        <f>IF(final_data786[[#This Row],[DAY_CODE]]=0,"weekend",IF(final_data786[[#This Row],[DAY_CODE]]=6,"weekend","weekday"))</f>
        <v>weekend</v>
      </c>
      <c r="L955">
        <v>1</v>
      </c>
      <c r="M955" t="str">
        <f>IF(final_data786[[#This Row],[WEATHER_CODE]]=1,"clear",IF(final_data786[[#This Row],[WEATHER_CODE]]=2,"cloudy",IF(final_data786[[#This Row],[WEATHER_CODE]]=3,"light rain",IF(final_data786[[#This Row],[WEATHER_CODE]]=4,"heavy rain",0))))</f>
        <v>clear</v>
      </c>
      <c r="N955">
        <v>0.14000000000000001</v>
      </c>
      <c r="O955">
        <v>0.1515</v>
      </c>
      <c r="P955">
        <v>0.86</v>
      </c>
      <c r="Q955">
        <v>0.1343</v>
      </c>
      <c r="R955">
        <v>2</v>
      </c>
      <c r="S955">
        <v>28</v>
      </c>
      <c r="T955">
        <v>30</v>
      </c>
    </row>
    <row r="956" spans="1:20" x14ac:dyDescent="0.35">
      <c r="A956">
        <v>955</v>
      </c>
      <c r="B956" s="1">
        <v>40586</v>
      </c>
      <c r="C956">
        <v>1</v>
      </c>
      <c r="D956">
        <v>0</v>
      </c>
      <c r="E956">
        <v>2</v>
      </c>
      <c r="F956" t="str">
        <f>IF(final_data786[[#This Row],[MONTH_CODE]]=1,"JANUARY",IF(final_data786[[#This Row],[MONTH_CODE]]=2,"FEBRUARY"))</f>
        <v>FEBRUARY</v>
      </c>
      <c r="G956">
        <v>9</v>
      </c>
      <c r="H956">
        <v>0</v>
      </c>
      <c r="I956">
        <v>6</v>
      </c>
      <c r="J95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6" t="str">
        <f>IF(final_data786[[#This Row],[DAY_CODE]]=0,"weekend",IF(final_data786[[#This Row],[DAY_CODE]]=6,"weekend","weekday"))</f>
        <v>weekend</v>
      </c>
      <c r="L956">
        <v>1</v>
      </c>
      <c r="M956" t="str">
        <f>IF(final_data786[[#This Row],[WEATHER_CODE]]=1,"clear",IF(final_data786[[#This Row],[WEATHER_CODE]]=2,"cloudy",IF(final_data786[[#This Row],[WEATHER_CODE]]=3,"light rain",IF(final_data786[[#This Row],[WEATHER_CODE]]=4,"heavy rain",0))))</f>
        <v>clear</v>
      </c>
      <c r="N956">
        <v>0.16</v>
      </c>
      <c r="O956">
        <v>0.18179999999999999</v>
      </c>
      <c r="P956">
        <v>0.64</v>
      </c>
      <c r="Q956">
        <v>0.1343</v>
      </c>
      <c r="R956">
        <v>5</v>
      </c>
      <c r="S956">
        <v>38</v>
      </c>
      <c r="T956">
        <v>43</v>
      </c>
    </row>
    <row r="957" spans="1:20" x14ac:dyDescent="0.35">
      <c r="A957">
        <v>956</v>
      </c>
      <c r="B957" s="1">
        <v>40586</v>
      </c>
      <c r="C957">
        <v>1</v>
      </c>
      <c r="D957">
        <v>0</v>
      </c>
      <c r="E957">
        <v>2</v>
      </c>
      <c r="F957" t="str">
        <f>IF(final_data786[[#This Row],[MONTH_CODE]]=1,"JANUARY",IF(final_data786[[#This Row],[MONTH_CODE]]=2,"FEBRUARY"))</f>
        <v>FEBRUARY</v>
      </c>
      <c r="G957">
        <v>10</v>
      </c>
      <c r="H957">
        <v>0</v>
      </c>
      <c r="I957">
        <v>6</v>
      </c>
      <c r="J95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7" t="str">
        <f>IF(final_data786[[#This Row],[DAY_CODE]]=0,"weekend",IF(final_data786[[#This Row],[DAY_CODE]]=6,"weekend","weekday"))</f>
        <v>weekend</v>
      </c>
      <c r="L957">
        <v>1</v>
      </c>
      <c r="M957" t="str">
        <f>IF(final_data786[[#This Row],[WEATHER_CODE]]=1,"clear",IF(final_data786[[#This Row],[WEATHER_CODE]]=2,"cloudy",IF(final_data786[[#This Row],[WEATHER_CODE]]=3,"light rain",IF(final_data786[[#This Row],[WEATHER_CODE]]=4,"heavy rain",0))))</f>
        <v>clear</v>
      </c>
      <c r="N957">
        <v>0.22</v>
      </c>
      <c r="O957">
        <v>0.21210000000000001</v>
      </c>
      <c r="P957">
        <v>0.41</v>
      </c>
      <c r="Q957">
        <v>0.25369999999999998</v>
      </c>
      <c r="R957">
        <v>13</v>
      </c>
      <c r="S957">
        <v>71</v>
      </c>
      <c r="T957">
        <v>84</v>
      </c>
    </row>
    <row r="958" spans="1:20" x14ac:dyDescent="0.35">
      <c r="A958">
        <v>957</v>
      </c>
      <c r="B958" s="1">
        <v>40586</v>
      </c>
      <c r="C958">
        <v>1</v>
      </c>
      <c r="D958">
        <v>0</v>
      </c>
      <c r="E958">
        <v>2</v>
      </c>
      <c r="F958" t="str">
        <f>IF(final_data786[[#This Row],[MONTH_CODE]]=1,"JANUARY",IF(final_data786[[#This Row],[MONTH_CODE]]=2,"FEBRUARY"))</f>
        <v>FEBRUARY</v>
      </c>
      <c r="G958">
        <v>11</v>
      </c>
      <c r="H958">
        <v>0</v>
      </c>
      <c r="I958">
        <v>6</v>
      </c>
      <c r="J95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8" t="str">
        <f>IF(final_data786[[#This Row],[DAY_CODE]]=0,"weekend",IF(final_data786[[#This Row],[DAY_CODE]]=6,"weekend","weekday"))</f>
        <v>weekend</v>
      </c>
      <c r="L958">
        <v>1</v>
      </c>
      <c r="M958" t="str">
        <f>IF(final_data786[[#This Row],[WEATHER_CODE]]=1,"clear",IF(final_data786[[#This Row],[WEATHER_CODE]]=2,"cloudy",IF(final_data786[[#This Row],[WEATHER_CODE]]=3,"light rain",IF(final_data786[[#This Row],[WEATHER_CODE]]=4,"heavy rain",0))))</f>
        <v>clear</v>
      </c>
      <c r="N958">
        <v>0.3</v>
      </c>
      <c r="O958">
        <v>0.2727</v>
      </c>
      <c r="P958">
        <v>0.28000000000000003</v>
      </c>
      <c r="Q958">
        <v>0.32840000000000003</v>
      </c>
      <c r="R958">
        <v>30</v>
      </c>
      <c r="S958">
        <v>84</v>
      </c>
      <c r="T958">
        <v>114</v>
      </c>
    </row>
    <row r="959" spans="1:20" x14ac:dyDescent="0.35">
      <c r="A959">
        <v>958</v>
      </c>
      <c r="B959" s="1">
        <v>40586</v>
      </c>
      <c r="C959">
        <v>1</v>
      </c>
      <c r="D959">
        <v>0</v>
      </c>
      <c r="E959">
        <v>2</v>
      </c>
      <c r="F959" t="str">
        <f>IF(final_data786[[#This Row],[MONTH_CODE]]=1,"JANUARY",IF(final_data786[[#This Row],[MONTH_CODE]]=2,"FEBRUARY"))</f>
        <v>FEBRUARY</v>
      </c>
      <c r="G959">
        <v>12</v>
      </c>
      <c r="H959">
        <v>0</v>
      </c>
      <c r="I959">
        <v>6</v>
      </c>
      <c r="J95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59" t="str">
        <f>IF(final_data786[[#This Row],[DAY_CODE]]=0,"weekend",IF(final_data786[[#This Row],[DAY_CODE]]=6,"weekend","weekday"))</f>
        <v>weekend</v>
      </c>
      <c r="L959">
        <v>1</v>
      </c>
      <c r="M959" t="str">
        <f>IF(final_data786[[#This Row],[WEATHER_CODE]]=1,"clear",IF(final_data786[[#This Row],[WEATHER_CODE]]=2,"cloudy",IF(final_data786[[#This Row],[WEATHER_CODE]]=3,"light rain",IF(final_data786[[#This Row],[WEATHER_CODE]]=4,"heavy rain",0))))</f>
        <v>clear</v>
      </c>
      <c r="N959">
        <v>0.3</v>
      </c>
      <c r="O959">
        <v>0.2727</v>
      </c>
      <c r="P959">
        <v>0.39</v>
      </c>
      <c r="Q959">
        <v>0.4627</v>
      </c>
      <c r="R959">
        <v>27</v>
      </c>
      <c r="S959">
        <v>93</v>
      </c>
      <c r="T959">
        <v>120</v>
      </c>
    </row>
    <row r="960" spans="1:20" x14ac:dyDescent="0.35">
      <c r="A960">
        <v>959</v>
      </c>
      <c r="B960" s="1">
        <v>40586</v>
      </c>
      <c r="C960">
        <v>1</v>
      </c>
      <c r="D960">
        <v>0</v>
      </c>
      <c r="E960">
        <v>2</v>
      </c>
      <c r="F960" t="str">
        <f>IF(final_data786[[#This Row],[MONTH_CODE]]=1,"JANUARY",IF(final_data786[[#This Row],[MONTH_CODE]]=2,"FEBRUARY"))</f>
        <v>FEBRUARY</v>
      </c>
      <c r="G960">
        <v>13</v>
      </c>
      <c r="H960">
        <v>0</v>
      </c>
      <c r="I960">
        <v>6</v>
      </c>
      <c r="J96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0" t="str">
        <f>IF(final_data786[[#This Row],[DAY_CODE]]=0,"weekend",IF(final_data786[[#This Row],[DAY_CODE]]=6,"weekend","weekday"))</f>
        <v>weekend</v>
      </c>
      <c r="L960">
        <v>1</v>
      </c>
      <c r="M960" t="str">
        <f>IF(final_data786[[#This Row],[WEATHER_CODE]]=1,"clear",IF(final_data786[[#This Row],[WEATHER_CODE]]=2,"cloudy",IF(final_data786[[#This Row],[WEATHER_CODE]]=3,"light rain",IF(final_data786[[#This Row],[WEATHER_CODE]]=4,"heavy rain",0))))</f>
        <v>clear</v>
      </c>
      <c r="N960">
        <v>0.3</v>
      </c>
      <c r="O960">
        <v>0.2727</v>
      </c>
      <c r="P960">
        <v>0.39</v>
      </c>
      <c r="Q960">
        <v>0.41789999999999999</v>
      </c>
      <c r="R960">
        <v>32</v>
      </c>
      <c r="S960">
        <v>103</v>
      </c>
      <c r="T960">
        <v>135</v>
      </c>
    </row>
    <row r="961" spans="1:20" x14ac:dyDescent="0.35">
      <c r="A961">
        <v>960</v>
      </c>
      <c r="B961" s="1">
        <v>40586</v>
      </c>
      <c r="C961">
        <v>1</v>
      </c>
      <c r="D961">
        <v>0</v>
      </c>
      <c r="E961">
        <v>2</v>
      </c>
      <c r="F961" t="str">
        <f>IF(final_data786[[#This Row],[MONTH_CODE]]=1,"JANUARY",IF(final_data786[[#This Row],[MONTH_CODE]]=2,"FEBRUARY"))</f>
        <v>FEBRUARY</v>
      </c>
      <c r="G961">
        <v>14</v>
      </c>
      <c r="H961">
        <v>0</v>
      </c>
      <c r="I961">
        <v>6</v>
      </c>
      <c r="J96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1" t="str">
        <f>IF(final_data786[[#This Row],[DAY_CODE]]=0,"weekend",IF(final_data786[[#This Row],[DAY_CODE]]=6,"weekend","weekday"))</f>
        <v>weekend</v>
      </c>
      <c r="L961">
        <v>1</v>
      </c>
      <c r="M961" t="str">
        <f>IF(final_data786[[#This Row],[WEATHER_CODE]]=1,"clear",IF(final_data786[[#This Row],[WEATHER_CODE]]=2,"cloudy",IF(final_data786[[#This Row],[WEATHER_CODE]]=3,"light rain",IF(final_data786[[#This Row],[WEATHER_CODE]]=4,"heavy rain",0))))</f>
        <v>clear</v>
      </c>
      <c r="N961">
        <v>0.34</v>
      </c>
      <c r="O961">
        <v>0.31819999999999998</v>
      </c>
      <c r="P961">
        <v>0.31</v>
      </c>
      <c r="Q961">
        <v>0.28360000000000002</v>
      </c>
      <c r="R961">
        <v>30</v>
      </c>
      <c r="S961">
        <v>90</v>
      </c>
      <c r="T961">
        <v>120</v>
      </c>
    </row>
    <row r="962" spans="1:20" x14ac:dyDescent="0.35">
      <c r="A962">
        <v>961</v>
      </c>
      <c r="B962" s="1">
        <v>40586</v>
      </c>
      <c r="C962">
        <v>1</v>
      </c>
      <c r="D962">
        <v>0</v>
      </c>
      <c r="E962">
        <v>2</v>
      </c>
      <c r="F962" t="str">
        <f>IF(final_data786[[#This Row],[MONTH_CODE]]=1,"JANUARY",IF(final_data786[[#This Row],[MONTH_CODE]]=2,"FEBRUARY"))</f>
        <v>FEBRUARY</v>
      </c>
      <c r="G962">
        <v>15</v>
      </c>
      <c r="H962">
        <v>0</v>
      </c>
      <c r="I962">
        <v>6</v>
      </c>
      <c r="J96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2" t="str">
        <f>IF(final_data786[[#This Row],[DAY_CODE]]=0,"weekend",IF(final_data786[[#This Row],[DAY_CODE]]=6,"weekend","weekday"))</f>
        <v>weekend</v>
      </c>
      <c r="L962">
        <v>1</v>
      </c>
      <c r="M962" t="str">
        <f>IF(final_data786[[#This Row],[WEATHER_CODE]]=1,"clear",IF(final_data786[[#This Row],[WEATHER_CODE]]=2,"cloudy",IF(final_data786[[#This Row],[WEATHER_CODE]]=3,"light rain",IF(final_data786[[#This Row],[WEATHER_CODE]]=4,"heavy rain",0))))</f>
        <v>clear</v>
      </c>
      <c r="N962">
        <v>0.34</v>
      </c>
      <c r="O962">
        <v>0.30299999999999999</v>
      </c>
      <c r="P962">
        <v>0.28999999999999998</v>
      </c>
      <c r="Q962">
        <v>0.41789999999999999</v>
      </c>
      <c r="R962">
        <v>47</v>
      </c>
      <c r="S962">
        <v>127</v>
      </c>
      <c r="T962">
        <v>174</v>
      </c>
    </row>
    <row r="963" spans="1:20" x14ac:dyDescent="0.35">
      <c r="A963">
        <v>962</v>
      </c>
      <c r="B963" s="1">
        <v>40586</v>
      </c>
      <c r="C963">
        <v>1</v>
      </c>
      <c r="D963">
        <v>0</v>
      </c>
      <c r="E963">
        <v>2</v>
      </c>
      <c r="F963" t="str">
        <f>IF(final_data786[[#This Row],[MONTH_CODE]]=1,"JANUARY",IF(final_data786[[#This Row],[MONTH_CODE]]=2,"FEBRUARY"))</f>
        <v>FEBRUARY</v>
      </c>
      <c r="G963">
        <v>16</v>
      </c>
      <c r="H963">
        <v>0</v>
      </c>
      <c r="I963">
        <v>6</v>
      </c>
      <c r="J96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3" t="str">
        <f>IF(final_data786[[#This Row],[DAY_CODE]]=0,"weekend",IF(final_data786[[#This Row],[DAY_CODE]]=6,"weekend","weekday"))</f>
        <v>weekend</v>
      </c>
      <c r="L963">
        <v>1</v>
      </c>
      <c r="M963" t="str">
        <f>IF(final_data786[[#This Row],[WEATHER_CODE]]=1,"clear",IF(final_data786[[#This Row],[WEATHER_CODE]]=2,"cloudy",IF(final_data786[[#This Row],[WEATHER_CODE]]=3,"light rain",IF(final_data786[[#This Row],[WEATHER_CODE]]=4,"heavy rain",0))))</f>
        <v>clear</v>
      </c>
      <c r="N963">
        <v>0.34</v>
      </c>
      <c r="O963">
        <v>0.30299999999999999</v>
      </c>
      <c r="P963">
        <v>0.28999999999999998</v>
      </c>
      <c r="Q963">
        <v>0.41789999999999999</v>
      </c>
      <c r="R963">
        <v>42</v>
      </c>
      <c r="S963">
        <v>103</v>
      </c>
      <c r="T963">
        <v>145</v>
      </c>
    </row>
    <row r="964" spans="1:20" x14ac:dyDescent="0.35">
      <c r="A964">
        <v>963</v>
      </c>
      <c r="B964" s="1">
        <v>40586</v>
      </c>
      <c r="C964">
        <v>1</v>
      </c>
      <c r="D964">
        <v>0</v>
      </c>
      <c r="E964">
        <v>2</v>
      </c>
      <c r="F964" t="str">
        <f>IF(final_data786[[#This Row],[MONTH_CODE]]=1,"JANUARY",IF(final_data786[[#This Row],[MONTH_CODE]]=2,"FEBRUARY"))</f>
        <v>FEBRUARY</v>
      </c>
      <c r="G964">
        <v>17</v>
      </c>
      <c r="H964">
        <v>0</v>
      </c>
      <c r="I964">
        <v>6</v>
      </c>
      <c r="J96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4" t="str">
        <f>IF(final_data786[[#This Row],[DAY_CODE]]=0,"weekend",IF(final_data786[[#This Row],[DAY_CODE]]=6,"weekend","weekday"))</f>
        <v>weekend</v>
      </c>
      <c r="L964">
        <v>1</v>
      </c>
      <c r="M964" t="str">
        <f>IF(final_data786[[#This Row],[WEATHER_CODE]]=1,"clear",IF(final_data786[[#This Row],[WEATHER_CODE]]=2,"cloudy",IF(final_data786[[#This Row],[WEATHER_CODE]]=3,"light rain",IF(final_data786[[#This Row],[WEATHER_CODE]]=4,"heavy rain",0))))</f>
        <v>clear</v>
      </c>
      <c r="N964">
        <v>0.32</v>
      </c>
      <c r="O964">
        <v>0.28789999999999999</v>
      </c>
      <c r="P964">
        <v>0.31</v>
      </c>
      <c r="Q964">
        <v>0.52239999999999998</v>
      </c>
      <c r="R964">
        <v>24</v>
      </c>
      <c r="S964">
        <v>113</v>
      </c>
      <c r="T964">
        <v>137</v>
      </c>
    </row>
    <row r="965" spans="1:20" x14ac:dyDescent="0.35">
      <c r="A965">
        <v>964</v>
      </c>
      <c r="B965" s="1">
        <v>40586</v>
      </c>
      <c r="C965">
        <v>1</v>
      </c>
      <c r="D965">
        <v>0</v>
      </c>
      <c r="E965">
        <v>2</v>
      </c>
      <c r="F965" t="str">
        <f>IF(final_data786[[#This Row],[MONTH_CODE]]=1,"JANUARY",IF(final_data786[[#This Row],[MONTH_CODE]]=2,"FEBRUARY"))</f>
        <v>FEBRUARY</v>
      </c>
      <c r="G965">
        <v>18</v>
      </c>
      <c r="H965">
        <v>0</v>
      </c>
      <c r="I965">
        <v>6</v>
      </c>
      <c r="J96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5" t="str">
        <f>IF(final_data786[[#This Row],[DAY_CODE]]=0,"weekend",IF(final_data786[[#This Row],[DAY_CODE]]=6,"weekend","weekday"))</f>
        <v>weekend</v>
      </c>
      <c r="L965">
        <v>1</v>
      </c>
      <c r="M965" t="str">
        <f>IF(final_data786[[#This Row],[WEATHER_CODE]]=1,"clear",IF(final_data786[[#This Row],[WEATHER_CODE]]=2,"cloudy",IF(final_data786[[#This Row],[WEATHER_CODE]]=3,"light rain",IF(final_data786[[#This Row],[WEATHER_CODE]]=4,"heavy rain",0))))</f>
        <v>clear</v>
      </c>
      <c r="N965">
        <v>0.28000000000000003</v>
      </c>
      <c r="O965">
        <v>0.2576</v>
      </c>
      <c r="P965">
        <v>0.38</v>
      </c>
      <c r="Q965">
        <v>0.32840000000000003</v>
      </c>
      <c r="R965">
        <v>4</v>
      </c>
      <c r="S965">
        <v>60</v>
      </c>
      <c r="T965">
        <v>64</v>
      </c>
    </row>
    <row r="966" spans="1:20" x14ac:dyDescent="0.35">
      <c r="A966">
        <v>965</v>
      </c>
      <c r="B966" s="1">
        <v>40586</v>
      </c>
      <c r="C966">
        <v>1</v>
      </c>
      <c r="D966">
        <v>0</v>
      </c>
      <c r="E966">
        <v>2</v>
      </c>
      <c r="F966" t="str">
        <f>IF(final_data786[[#This Row],[MONTH_CODE]]=1,"JANUARY",IF(final_data786[[#This Row],[MONTH_CODE]]=2,"FEBRUARY"))</f>
        <v>FEBRUARY</v>
      </c>
      <c r="G966">
        <v>19</v>
      </c>
      <c r="H966">
        <v>0</v>
      </c>
      <c r="I966">
        <v>6</v>
      </c>
      <c r="J96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6" t="str">
        <f>IF(final_data786[[#This Row],[DAY_CODE]]=0,"weekend",IF(final_data786[[#This Row],[DAY_CODE]]=6,"weekend","weekday"))</f>
        <v>weekend</v>
      </c>
      <c r="L966">
        <v>1</v>
      </c>
      <c r="M966" t="str">
        <f>IF(final_data786[[#This Row],[WEATHER_CODE]]=1,"clear",IF(final_data786[[#This Row],[WEATHER_CODE]]=2,"cloudy",IF(final_data786[[#This Row],[WEATHER_CODE]]=3,"light rain",IF(final_data786[[#This Row],[WEATHER_CODE]]=4,"heavy rain",0))))</f>
        <v>clear</v>
      </c>
      <c r="N966">
        <v>0.28000000000000003</v>
      </c>
      <c r="O966">
        <v>0.2727</v>
      </c>
      <c r="P966">
        <v>0.38</v>
      </c>
      <c r="Q966">
        <v>0.16420000000000001</v>
      </c>
      <c r="R966">
        <v>2</v>
      </c>
      <c r="S966">
        <v>39</v>
      </c>
      <c r="T966">
        <v>41</v>
      </c>
    </row>
    <row r="967" spans="1:20" x14ac:dyDescent="0.35">
      <c r="A967">
        <v>966</v>
      </c>
      <c r="B967" s="1">
        <v>40586</v>
      </c>
      <c r="C967">
        <v>1</v>
      </c>
      <c r="D967">
        <v>0</v>
      </c>
      <c r="E967">
        <v>2</v>
      </c>
      <c r="F967" t="str">
        <f>IF(final_data786[[#This Row],[MONTH_CODE]]=1,"JANUARY",IF(final_data786[[#This Row],[MONTH_CODE]]=2,"FEBRUARY"))</f>
        <v>FEBRUARY</v>
      </c>
      <c r="G967">
        <v>20</v>
      </c>
      <c r="H967">
        <v>0</v>
      </c>
      <c r="I967">
        <v>6</v>
      </c>
      <c r="J96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7" t="str">
        <f>IF(final_data786[[#This Row],[DAY_CODE]]=0,"weekend",IF(final_data786[[#This Row],[DAY_CODE]]=6,"weekend","weekday"))</f>
        <v>weekend</v>
      </c>
      <c r="L967">
        <v>1</v>
      </c>
      <c r="M967" t="str">
        <f>IF(final_data786[[#This Row],[WEATHER_CODE]]=1,"clear",IF(final_data786[[#This Row],[WEATHER_CODE]]=2,"cloudy",IF(final_data786[[#This Row],[WEATHER_CODE]]=3,"light rain",IF(final_data786[[#This Row],[WEATHER_CODE]]=4,"heavy rain",0))))</f>
        <v>clear</v>
      </c>
      <c r="N967">
        <v>0.26</v>
      </c>
      <c r="O967">
        <v>0.2576</v>
      </c>
      <c r="P967">
        <v>0.41</v>
      </c>
      <c r="Q967">
        <v>0.22389999999999999</v>
      </c>
      <c r="R967">
        <v>1</v>
      </c>
      <c r="S967">
        <v>39</v>
      </c>
      <c r="T967">
        <v>40</v>
      </c>
    </row>
    <row r="968" spans="1:20" x14ac:dyDescent="0.35">
      <c r="A968">
        <v>967</v>
      </c>
      <c r="B968" s="1">
        <v>40586</v>
      </c>
      <c r="C968">
        <v>1</v>
      </c>
      <c r="D968">
        <v>0</v>
      </c>
      <c r="E968">
        <v>2</v>
      </c>
      <c r="F968" t="str">
        <f>IF(final_data786[[#This Row],[MONTH_CODE]]=1,"JANUARY",IF(final_data786[[#This Row],[MONTH_CODE]]=2,"FEBRUARY"))</f>
        <v>FEBRUARY</v>
      </c>
      <c r="G968">
        <v>21</v>
      </c>
      <c r="H968">
        <v>0</v>
      </c>
      <c r="I968">
        <v>6</v>
      </c>
      <c r="J96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8" t="str">
        <f>IF(final_data786[[#This Row],[DAY_CODE]]=0,"weekend",IF(final_data786[[#This Row],[DAY_CODE]]=6,"weekend","weekday"))</f>
        <v>weekend</v>
      </c>
      <c r="L968">
        <v>1</v>
      </c>
      <c r="M968" t="str">
        <f>IF(final_data786[[#This Row],[WEATHER_CODE]]=1,"clear",IF(final_data786[[#This Row],[WEATHER_CODE]]=2,"cloudy",IF(final_data786[[#This Row],[WEATHER_CODE]]=3,"light rain",IF(final_data786[[#This Row],[WEATHER_CODE]]=4,"heavy rain",0))))</f>
        <v>clear</v>
      </c>
      <c r="N968">
        <v>0.26</v>
      </c>
      <c r="O968">
        <v>0.30299999999999999</v>
      </c>
      <c r="P968">
        <v>0.41</v>
      </c>
      <c r="Q968">
        <v>0</v>
      </c>
      <c r="R968">
        <v>9</v>
      </c>
      <c r="S968">
        <v>42</v>
      </c>
      <c r="T968">
        <v>51</v>
      </c>
    </row>
    <row r="969" spans="1:20" x14ac:dyDescent="0.35">
      <c r="A969">
        <v>968</v>
      </c>
      <c r="B969" s="1">
        <v>40586</v>
      </c>
      <c r="C969">
        <v>1</v>
      </c>
      <c r="D969">
        <v>0</v>
      </c>
      <c r="E969">
        <v>2</v>
      </c>
      <c r="F969" t="str">
        <f>IF(final_data786[[#This Row],[MONTH_CODE]]=1,"JANUARY",IF(final_data786[[#This Row],[MONTH_CODE]]=2,"FEBRUARY"))</f>
        <v>FEBRUARY</v>
      </c>
      <c r="G969">
        <v>22</v>
      </c>
      <c r="H969">
        <v>0</v>
      </c>
      <c r="I969">
        <v>6</v>
      </c>
      <c r="J96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69" t="str">
        <f>IF(final_data786[[#This Row],[DAY_CODE]]=0,"weekend",IF(final_data786[[#This Row],[DAY_CODE]]=6,"weekend","weekday"))</f>
        <v>weekend</v>
      </c>
      <c r="L969">
        <v>1</v>
      </c>
      <c r="M969" t="str">
        <f>IF(final_data786[[#This Row],[WEATHER_CODE]]=1,"clear",IF(final_data786[[#This Row],[WEATHER_CODE]]=2,"cloudy",IF(final_data786[[#This Row],[WEATHER_CODE]]=3,"light rain",IF(final_data786[[#This Row],[WEATHER_CODE]]=4,"heavy rain",0))))</f>
        <v>clear</v>
      </c>
      <c r="N969">
        <v>0.24</v>
      </c>
      <c r="O969">
        <v>0.2576</v>
      </c>
      <c r="P969">
        <v>0.44</v>
      </c>
      <c r="Q969">
        <v>8.9599999999999999E-2</v>
      </c>
      <c r="R969">
        <v>6</v>
      </c>
      <c r="S969">
        <v>39</v>
      </c>
      <c r="T969">
        <v>45</v>
      </c>
    </row>
    <row r="970" spans="1:20" x14ac:dyDescent="0.35">
      <c r="A970">
        <v>969</v>
      </c>
      <c r="B970" s="1">
        <v>40586</v>
      </c>
      <c r="C970">
        <v>1</v>
      </c>
      <c r="D970">
        <v>0</v>
      </c>
      <c r="E970">
        <v>2</v>
      </c>
      <c r="F970" t="str">
        <f>IF(final_data786[[#This Row],[MONTH_CODE]]=1,"JANUARY",IF(final_data786[[#This Row],[MONTH_CODE]]=2,"FEBRUARY"))</f>
        <v>FEBRUARY</v>
      </c>
      <c r="G970">
        <v>23</v>
      </c>
      <c r="H970">
        <v>0</v>
      </c>
      <c r="I970">
        <v>6</v>
      </c>
      <c r="J97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Saturday</v>
      </c>
      <c r="K970" t="str">
        <f>IF(final_data786[[#This Row],[DAY_CODE]]=0,"weekend",IF(final_data786[[#This Row],[DAY_CODE]]=6,"weekend","weekday"))</f>
        <v>weekend</v>
      </c>
      <c r="L970">
        <v>1</v>
      </c>
      <c r="M970" t="str">
        <f>IF(final_data786[[#This Row],[WEATHER_CODE]]=1,"clear",IF(final_data786[[#This Row],[WEATHER_CODE]]=2,"cloudy",IF(final_data786[[#This Row],[WEATHER_CODE]]=3,"light rain",IF(final_data786[[#This Row],[WEATHER_CODE]]=4,"heavy rain",0))))</f>
        <v>clear</v>
      </c>
      <c r="N970">
        <v>0.22</v>
      </c>
      <c r="O970">
        <v>0.2273</v>
      </c>
      <c r="P970">
        <v>0.51</v>
      </c>
      <c r="Q970">
        <v>0.1343</v>
      </c>
      <c r="R970">
        <v>1</v>
      </c>
      <c r="S970">
        <v>31</v>
      </c>
      <c r="T970">
        <v>32</v>
      </c>
    </row>
    <row r="971" spans="1:20" x14ac:dyDescent="0.35">
      <c r="A971">
        <v>970</v>
      </c>
      <c r="B971" s="1">
        <v>40587</v>
      </c>
      <c r="C971">
        <v>1</v>
      </c>
      <c r="D971">
        <v>0</v>
      </c>
      <c r="E971">
        <v>2</v>
      </c>
      <c r="F971" t="str">
        <f>IF(final_data786[[#This Row],[MONTH_CODE]]=1,"JANUARY",IF(final_data786[[#This Row],[MONTH_CODE]]=2,"FEBRUARY"))</f>
        <v>FEBRUARY</v>
      </c>
      <c r="G971">
        <v>0</v>
      </c>
      <c r="H971">
        <v>0</v>
      </c>
      <c r="I971">
        <v>0</v>
      </c>
      <c r="J97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1" t="str">
        <f>IF(final_data786[[#This Row],[DAY_CODE]]=0,"weekend",IF(final_data786[[#This Row],[DAY_CODE]]=6,"weekend","weekday"))</f>
        <v>weekend</v>
      </c>
      <c r="L971">
        <v>1</v>
      </c>
      <c r="M971" t="str">
        <f>IF(final_data786[[#This Row],[WEATHER_CODE]]=1,"clear",IF(final_data786[[#This Row],[WEATHER_CODE]]=2,"cloudy",IF(final_data786[[#This Row],[WEATHER_CODE]]=3,"light rain",IF(final_data786[[#This Row],[WEATHER_CODE]]=4,"heavy rain",0))))</f>
        <v>clear</v>
      </c>
      <c r="N971">
        <v>0.2</v>
      </c>
      <c r="O971">
        <v>0.2273</v>
      </c>
      <c r="P971">
        <v>0.64</v>
      </c>
      <c r="Q971">
        <v>0.1045</v>
      </c>
      <c r="R971">
        <v>5</v>
      </c>
      <c r="S971">
        <v>34</v>
      </c>
      <c r="T971">
        <v>39</v>
      </c>
    </row>
    <row r="972" spans="1:20" x14ac:dyDescent="0.35">
      <c r="A972">
        <v>971</v>
      </c>
      <c r="B972" s="1">
        <v>40587</v>
      </c>
      <c r="C972">
        <v>1</v>
      </c>
      <c r="D972">
        <v>0</v>
      </c>
      <c r="E972">
        <v>2</v>
      </c>
      <c r="F972" t="str">
        <f>IF(final_data786[[#This Row],[MONTH_CODE]]=1,"JANUARY",IF(final_data786[[#This Row],[MONTH_CODE]]=2,"FEBRUARY"))</f>
        <v>FEBRUARY</v>
      </c>
      <c r="G972">
        <v>1</v>
      </c>
      <c r="H972">
        <v>0</v>
      </c>
      <c r="I972">
        <v>0</v>
      </c>
      <c r="J97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2" t="str">
        <f>IF(final_data786[[#This Row],[DAY_CODE]]=0,"weekend",IF(final_data786[[#This Row],[DAY_CODE]]=6,"weekend","weekday"))</f>
        <v>weekend</v>
      </c>
      <c r="L972">
        <v>1</v>
      </c>
      <c r="M972" t="str">
        <f>IF(final_data786[[#This Row],[WEATHER_CODE]]=1,"clear",IF(final_data786[[#This Row],[WEATHER_CODE]]=2,"cloudy",IF(final_data786[[#This Row],[WEATHER_CODE]]=3,"light rain",IF(final_data786[[#This Row],[WEATHER_CODE]]=4,"heavy rain",0))))</f>
        <v>clear</v>
      </c>
      <c r="N972">
        <v>0.2</v>
      </c>
      <c r="O972">
        <v>0.2273</v>
      </c>
      <c r="P972">
        <v>0.59</v>
      </c>
      <c r="Q972">
        <v>8.9599999999999999E-2</v>
      </c>
      <c r="R972">
        <v>1</v>
      </c>
      <c r="S972">
        <v>23</v>
      </c>
      <c r="T972">
        <v>24</v>
      </c>
    </row>
    <row r="973" spans="1:20" x14ac:dyDescent="0.35">
      <c r="A973">
        <v>972</v>
      </c>
      <c r="B973" s="1">
        <v>40587</v>
      </c>
      <c r="C973">
        <v>1</v>
      </c>
      <c r="D973">
        <v>0</v>
      </c>
      <c r="E973">
        <v>2</v>
      </c>
      <c r="F973" t="str">
        <f>IF(final_data786[[#This Row],[MONTH_CODE]]=1,"JANUARY",IF(final_data786[[#This Row],[MONTH_CODE]]=2,"FEBRUARY"))</f>
        <v>FEBRUARY</v>
      </c>
      <c r="G973">
        <v>2</v>
      </c>
      <c r="H973">
        <v>0</v>
      </c>
      <c r="I973">
        <v>0</v>
      </c>
      <c r="J97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3" t="str">
        <f>IF(final_data786[[#This Row],[DAY_CODE]]=0,"weekend",IF(final_data786[[#This Row],[DAY_CODE]]=6,"weekend","weekday"))</f>
        <v>weekend</v>
      </c>
      <c r="L973">
        <v>2</v>
      </c>
      <c r="M973" t="str">
        <f>IF(final_data786[[#This Row],[WEATHER_CODE]]=1,"clear",IF(final_data786[[#This Row],[WEATHER_CODE]]=2,"cloudy",IF(final_data786[[#This Row],[WEATHER_CODE]]=3,"light rain",IF(final_data786[[#This Row],[WEATHER_CODE]]=4,"heavy rain",0))))</f>
        <v>cloudy</v>
      </c>
      <c r="N973">
        <v>0.2</v>
      </c>
      <c r="O973">
        <v>0.2273</v>
      </c>
      <c r="P973">
        <v>0.75</v>
      </c>
      <c r="Q973">
        <v>8.9599999999999999E-2</v>
      </c>
      <c r="R973">
        <v>1</v>
      </c>
      <c r="S973">
        <v>19</v>
      </c>
      <c r="T973">
        <v>20</v>
      </c>
    </row>
    <row r="974" spans="1:20" x14ac:dyDescent="0.35">
      <c r="A974">
        <v>973</v>
      </c>
      <c r="B974" s="1">
        <v>40587</v>
      </c>
      <c r="C974">
        <v>1</v>
      </c>
      <c r="D974">
        <v>0</v>
      </c>
      <c r="E974">
        <v>2</v>
      </c>
      <c r="F974" t="str">
        <f>IF(final_data786[[#This Row],[MONTH_CODE]]=1,"JANUARY",IF(final_data786[[#This Row],[MONTH_CODE]]=2,"FEBRUARY"))</f>
        <v>FEBRUARY</v>
      </c>
      <c r="G974">
        <v>3</v>
      </c>
      <c r="H974">
        <v>0</v>
      </c>
      <c r="I974">
        <v>0</v>
      </c>
      <c r="J97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4" t="str">
        <f>IF(final_data786[[#This Row],[DAY_CODE]]=0,"weekend",IF(final_data786[[#This Row],[DAY_CODE]]=6,"weekend","weekday"))</f>
        <v>weekend</v>
      </c>
      <c r="L974">
        <v>2</v>
      </c>
      <c r="M974" t="str">
        <f>IF(final_data786[[#This Row],[WEATHER_CODE]]=1,"clear",IF(final_data786[[#This Row],[WEATHER_CODE]]=2,"cloudy",IF(final_data786[[#This Row],[WEATHER_CODE]]=3,"light rain",IF(final_data786[[#This Row],[WEATHER_CODE]]=4,"heavy rain",0))))</f>
        <v>cloudy</v>
      </c>
      <c r="N974">
        <v>0.2</v>
      </c>
      <c r="O974">
        <v>0.2273</v>
      </c>
      <c r="P974">
        <v>0.69</v>
      </c>
      <c r="Q974">
        <v>0.1045</v>
      </c>
      <c r="R974">
        <v>4</v>
      </c>
      <c r="S974">
        <v>8</v>
      </c>
      <c r="T974">
        <v>12</v>
      </c>
    </row>
    <row r="975" spans="1:20" x14ac:dyDescent="0.35">
      <c r="A975">
        <v>974</v>
      </c>
      <c r="B975" s="1">
        <v>40587</v>
      </c>
      <c r="C975">
        <v>1</v>
      </c>
      <c r="D975">
        <v>0</v>
      </c>
      <c r="E975">
        <v>2</v>
      </c>
      <c r="F975" t="str">
        <f>IF(final_data786[[#This Row],[MONTH_CODE]]=1,"JANUARY",IF(final_data786[[#This Row],[MONTH_CODE]]=2,"FEBRUARY"))</f>
        <v>FEBRUARY</v>
      </c>
      <c r="G975">
        <v>4</v>
      </c>
      <c r="H975">
        <v>0</v>
      </c>
      <c r="I975">
        <v>0</v>
      </c>
      <c r="J97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5" t="str">
        <f>IF(final_data786[[#This Row],[DAY_CODE]]=0,"weekend",IF(final_data786[[#This Row],[DAY_CODE]]=6,"weekend","weekday"))</f>
        <v>weekend</v>
      </c>
      <c r="L975">
        <v>2</v>
      </c>
      <c r="M975" t="str">
        <f>IF(final_data786[[#This Row],[WEATHER_CODE]]=1,"clear",IF(final_data786[[#This Row],[WEATHER_CODE]]=2,"cloudy",IF(final_data786[[#This Row],[WEATHER_CODE]]=3,"light rain",IF(final_data786[[#This Row],[WEATHER_CODE]]=4,"heavy rain",0))))</f>
        <v>cloudy</v>
      </c>
      <c r="N975">
        <v>0.2</v>
      </c>
      <c r="O975">
        <v>0.21210000000000001</v>
      </c>
      <c r="P975">
        <v>0.69</v>
      </c>
      <c r="Q975">
        <v>0.16420000000000001</v>
      </c>
      <c r="R975">
        <v>0</v>
      </c>
      <c r="S975">
        <v>2</v>
      </c>
      <c r="T975">
        <v>2</v>
      </c>
    </row>
    <row r="976" spans="1:20" x14ac:dyDescent="0.35">
      <c r="A976">
        <v>975</v>
      </c>
      <c r="B976" s="1">
        <v>40587</v>
      </c>
      <c r="C976">
        <v>1</v>
      </c>
      <c r="D976">
        <v>0</v>
      </c>
      <c r="E976">
        <v>2</v>
      </c>
      <c r="F976" t="str">
        <f>IF(final_data786[[#This Row],[MONTH_CODE]]=1,"JANUARY",IF(final_data786[[#This Row],[MONTH_CODE]]=2,"FEBRUARY"))</f>
        <v>FEBRUARY</v>
      </c>
      <c r="G976">
        <v>6</v>
      </c>
      <c r="H976">
        <v>0</v>
      </c>
      <c r="I976">
        <v>0</v>
      </c>
      <c r="J97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6" t="str">
        <f>IF(final_data786[[#This Row],[DAY_CODE]]=0,"weekend",IF(final_data786[[#This Row],[DAY_CODE]]=6,"weekend","weekday"))</f>
        <v>weekend</v>
      </c>
      <c r="L976">
        <v>2</v>
      </c>
      <c r="M976" t="str">
        <f>IF(final_data786[[#This Row],[WEATHER_CODE]]=1,"clear",IF(final_data786[[#This Row],[WEATHER_CODE]]=2,"cloudy",IF(final_data786[[#This Row],[WEATHER_CODE]]=3,"light rain",IF(final_data786[[#This Row],[WEATHER_CODE]]=4,"heavy rain",0))))</f>
        <v>cloudy</v>
      </c>
      <c r="N976">
        <v>0.2</v>
      </c>
      <c r="O976">
        <v>0.21210000000000001</v>
      </c>
      <c r="P976">
        <v>0.69</v>
      </c>
      <c r="Q976">
        <v>0.1343</v>
      </c>
      <c r="R976">
        <v>2</v>
      </c>
      <c r="S976">
        <v>3</v>
      </c>
      <c r="T976">
        <v>5</v>
      </c>
    </row>
    <row r="977" spans="1:20" x14ac:dyDescent="0.35">
      <c r="A977">
        <v>976</v>
      </c>
      <c r="B977" s="1">
        <v>40587</v>
      </c>
      <c r="C977">
        <v>1</v>
      </c>
      <c r="D977">
        <v>0</v>
      </c>
      <c r="E977">
        <v>2</v>
      </c>
      <c r="F977" t="str">
        <f>IF(final_data786[[#This Row],[MONTH_CODE]]=1,"JANUARY",IF(final_data786[[#This Row],[MONTH_CODE]]=2,"FEBRUARY"))</f>
        <v>FEBRUARY</v>
      </c>
      <c r="G977">
        <v>7</v>
      </c>
      <c r="H977">
        <v>0</v>
      </c>
      <c r="I977">
        <v>0</v>
      </c>
      <c r="J97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7" t="str">
        <f>IF(final_data786[[#This Row],[DAY_CODE]]=0,"weekend",IF(final_data786[[#This Row],[DAY_CODE]]=6,"weekend","weekday"))</f>
        <v>weekend</v>
      </c>
      <c r="L977">
        <v>2</v>
      </c>
      <c r="M977" t="str">
        <f>IF(final_data786[[#This Row],[WEATHER_CODE]]=1,"clear",IF(final_data786[[#This Row],[WEATHER_CODE]]=2,"cloudy",IF(final_data786[[#This Row],[WEATHER_CODE]]=3,"light rain",IF(final_data786[[#This Row],[WEATHER_CODE]]=4,"heavy rain",0))))</f>
        <v>cloudy</v>
      </c>
      <c r="N977">
        <v>0.22</v>
      </c>
      <c r="O977">
        <v>0.2727</v>
      </c>
      <c r="P977">
        <v>0.55000000000000004</v>
      </c>
      <c r="Q977">
        <v>0</v>
      </c>
      <c r="R977">
        <v>0</v>
      </c>
      <c r="S977">
        <v>3</v>
      </c>
      <c r="T977">
        <v>3</v>
      </c>
    </row>
    <row r="978" spans="1:20" x14ac:dyDescent="0.35">
      <c r="A978">
        <v>977</v>
      </c>
      <c r="B978" s="1">
        <v>40587</v>
      </c>
      <c r="C978">
        <v>1</v>
      </c>
      <c r="D978">
        <v>0</v>
      </c>
      <c r="E978">
        <v>2</v>
      </c>
      <c r="F978" t="str">
        <f>IF(final_data786[[#This Row],[MONTH_CODE]]=1,"JANUARY",IF(final_data786[[#This Row],[MONTH_CODE]]=2,"FEBRUARY"))</f>
        <v>FEBRUARY</v>
      </c>
      <c r="G978">
        <v>8</v>
      </c>
      <c r="H978">
        <v>0</v>
      </c>
      <c r="I978">
        <v>0</v>
      </c>
      <c r="J97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8" t="str">
        <f>IF(final_data786[[#This Row],[DAY_CODE]]=0,"weekend",IF(final_data786[[#This Row],[DAY_CODE]]=6,"weekend","weekday"))</f>
        <v>weekend</v>
      </c>
      <c r="L978">
        <v>2</v>
      </c>
      <c r="M978" t="str">
        <f>IF(final_data786[[#This Row],[WEATHER_CODE]]=1,"clear",IF(final_data786[[#This Row],[WEATHER_CODE]]=2,"cloudy",IF(final_data786[[#This Row],[WEATHER_CODE]]=3,"light rain",IF(final_data786[[#This Row],[WEATHER_CODE]]=4,"heavy rain",0))))</f>
        <v>cloudy</v>
      </c>
      <c r="N978">
        <v>0.22</v>
      </c>
      <c r="O978">
        <v>0.2273</v>
      </c>
      <c r="P978">
        <v>0.64</v>
      </c>
      <c r="Q978">
        <v>0.19400000000000001</v>
      </c>
      <c r="R978">
        <v>1</v>
      </c>
      <c r="S978">
        <v>11</v>
      </c>
      <c r="T978">
        <v>12</v>
      </c>
    </row>
    <row r="979" spans="1:20" x14ac:dyDescent="0.35">
      <c r="A979">
        <v>978</v>
      </c>
      <c r="B979" s="1">
        <v>40587</v>
      </c>
      <c r="C979">
        <v>1</v>
      </c>
      <c r="D979">
        <v>0</v>
      </c>
      <c r="E979">
        <v>2</v>
      </c>
      <c r="F979" t="str">
        <f>IF(final_data786[[#This Row],[MONTH_CODE]]=1,"JANUARY",IF(final_data786[[#This Row],[MONTH_CODE]]=2,"FEBRUARY"))</f>
        <v>FEBRUARY</v>
      </c>
      <c r="G979">
        <v>9</v>
      </c>
      <c r="H979">
        <v>0</v>
      </c>
      <c r="I979">
        <v>0</v>
      </c>
      <c r="J97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79" t="str">
        <f>IF(final_data786[[#This Row],[DAY_CODE]]=0,"weekend",IF(final_data786[[#This Row],[DAY_CODE]]=6,"weekend","weekday"))</f>
        <v>weekend</v>
      </c>
      <c r="L979">
        <v>2</v>
      </c>
      <c r="M979" t="str">
        <f>IF(final_data786[[#This Row],[WEATHER_CODE]]=1,"clear",IF(final_data786[[#This Row],[WEATHER_CODE]]=2,"cloudy",IF(final_data786[[#This Row],[WEATHER_CODE]]=3,"light rain",IF(final_data786[[#This Row],[WEATHER_CODE]]=4,"heavy rain",0))))</f>
        <v>cloudy</v>
      </c>
      <c r="N979">
        <v>0.24</v>
      </c>
      <c r="O979">
        <v>0.2273</v>
      </c>
      <c r="P979">
        <v>0.6</v>
      </c>
      <c r="Q979">
        <v>0.22389999999999999</v>
      </c>
      <c r="R979">
        <v>12</v>
      </c>
      <c r="S979">
        <v>35</v>
      </c>
      <c r="T979">
        <v>47</v>
      </c>
    </row>
    <row r="980" spans="1:20" x14ac:dyDescent="0.35">
      <c r="A980">
        <v>979</v>
      </c>
      <c r="B980" s="1">
        <v>40587</v>
      </c>
      <c r="C980">
        <v>1</v>
      </c>
      <c r="D980">
        <v>0</v>
      </c>
      <c r="E980">
        <v>2</v>
      </c>
      <c r="F980" t="str">
        <f>IF(final_data786[[#This Row],[MONTH_CODE]]=1,"JANUARY",IF(final_data786[[#This Row],[MONTH_CODE]]=2,"FEBRUARY"))</f>
        <v>FEBRUARY</v>
      </c>
      <c r="G980">
        <v>10</v>
      </c>
      <c r="H980">
        <v>0</v>
      </c>
      <c r="I980">
        <v>0</v>
      </c>
      <c r="J98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0" t="str">
        <f>IF(final_data786[[#This Row],[DAY_CODE]]=0,"weekend",IF(final_data786[[#This Row],[DAY_CODE]]=6,"weekend","weekday"))</f>
        <v>weekend</v>
      </c>
      <c r="L980">
        <v>1</v>
      </c>
      <c r="M980" t="str">
        <f>IF(final_data786[[#This Row],[WEATHER_CODE]]=1,"clear",IF(final_data786[[#This Row],[WEATHER_CODE]]=2,"cloudy",IF(final_data786[[#This Row],[WEATHER_CODE]]=3,"light rain",IF(final_data786[[#This Row],[WEATHER_CODE]]=4,"heavy rain",0))))</f>
        <v>clear</v>
      </c>
      <c r="N980">
        <v>0.3</v>
      </c>
      <c r="O980">
        <v>0.2727</v>
      </c>
      <c r="P980">
        <v>0.45</v>
      </c>
      <c r="Q980">
        <v>0.32840000000000003</v>
      </c>
      <c r="R980">
        <v>19</v>
      </c>
      <c r="S980">
        <v>86</v>
      </c>
      <c r="T980">
        <v>105</v>
      </c>
    </row>
    <row r="981" spans="1:20" x14ac:dyDescent="0.35">
      <c r="A981">
        <v>980</v>
      </c>
      <c r="B981" s="1">
        <v>40587</v>
      </c>
      <c r="C981">
        <v>1</v>
      </c>
      <c r="D981">
        <v>0</v>
      </c>
      <c r="E981">
        <v>2</v>
      </c>
      <c r="F981" t="str">
        <f>IF(final_data786[[#This Row],[MONTH_CODE]]=1,"JANUARY",IF(final_data786[[#This Row],[MONTH_CODE]]=2,"FEBRUARY"))</f>
        <v>FEBRUARY</v>
      </c>
      <c r="G981">
        <v>11</v>
      </c>
      <c r="H981">
        <v>0</v>
      </c>
      <c r="I981">
        <v>0</v>
      </c>
      <c r="J98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1" t="str">
        <f>IF(final_data786[[#This Row],[DAY_CODE]]=0,"weekend",IF(final_data786[[#This Row],[DAY_CODE]]=6,"weekend","weekday"))</f>
        <v>weekend</v>
      </c>
      <c r="L981">
        <v>1</v>
      </c>
      <c r="M981" t="str">
        <f>IF(final_data786[[#This Row],[WEATHER_CODE]]=1,"clear",IF(final_data786[[#This Row],[WEATHER_CODE]]=2,"cloudy",IF(final_data786[[#This Row],[WEATHER_CODE]]=3,"light rain",IF(final_data786[[#This Row],[WEATHER_CODE]]=4,"heavy rain",0))))</f>
        <v>clear</v>
      </c>
      <c r="N981">
        <v>0.32</v>
      </c>
      <c r="O981">
        <v>0.28789999999999999</v>
      </c>
      <c r="P981">
        <v>0.39</v>
      </c>
      <c r="Q981">
        <v>0.44779999999999998</v>
      </c>
      <c r="R981">
        <v>26</v>
      </c>
      <c r="S981">
        <v>86</v>
      </c>
      <c r="T981">
        <v>112</v>
      </c>
    </row>
    <row r="982" spans="1:20" x14ac:dyDescent="0.35">
      <c r="A982">
        <v>981</v>
      </c>
      <c r="B982" s="1">
        <v>40587</v>
      </c>
      <c r="C982">
        <v>1</v>
      </c>
      <c r="D982">
        <v>0</v>
      </c>
      <c r="E982">
        <v>2</v>
      </c>
      <c r="F982" t="str">
        <f>IF(final_data786[[#This Row],[MONTH_CODE]]=1,"JANUARY",IF(final_data786[[#This Row],[MONTH_CODE]]=2,"FEBRUARY"))</f>
        <v>FEBRUARY</v>
      </c>
      <c r="G982">
        <v>12</v>
      </c>
      <c r="H982">
        <v>0</v>
      </c>
      <c r="I982">
        <v>0</v>
      </c>
      <c r="J98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2" t="str">
        <f>IF(final_data786[[#This Row],[DAY_CODE]]=0,"weekend",IF(final_data786[[#This Row],[DAY_CODE]]=6,"weekend","weekday"))</f>
        <v>weekend</v>
      </c>
      <c r="L982">
        <v>1</v>
      </c>
      <c r="M982" t="str">
        <f>IF(final_data786[[#This Row],[WEATHER_CODE]]=1,"clear",IF(final_data786[[#This Row],[WEATHER_CODE]]=2,"cloudy",IF(final_data786[[#This Row],[WEATHER_CODE]]=3,"light rain",IF(final_data786[[#This Row],[WEATHER_CODE]]=4,"heavy rain",0))))</f>
        <v>clear</v>
      </c>
      <c r="N982">
        <v>0.36</v>
      </c>
      <c r="O982">
        <v>0.31819999999999998</v>
      </c>
      <c r="P982">
        <v>0.32</v>
      </c>
      <c r="Q982">
        <v>0.4627</v>
      </c>
      <c r="R982">
        <v>58</v>
      </c>
      <c r="S982">
        <v>94</v>
      </c>
      <c r="T982">
        <v>152</v>
      </c>
    </row>
    <row r="983" spans="1:20" x14ac:dyDescent="0.35">
      <c r="A983">
        <v>982</v>
      </c>
      <c r="B983" s="1">
        <v>40587</v>
      </c>
      <c r="C983">
        <v>1</v>
      </c>
      <c r="D983">
        <v>0</v>
      </c>
      <c r="E983">
        <v>2</v>
      </c>
      <c r="F983" t="str">
        <f>IF(final_data786[[#This Row],[MONTH_CODE]]=1,"JANUARY",IF(final_data786[[#This Row],[MONTH_CODE]]=2,"FEBRUARY"))</f>
        <v>FEBRUARY</v>
      </c>
      <c r="G983">
        <v>13</v>
      </c>
      <c r="H983">
        <v>0</v>
      </c>
      <c r="I983">
        <v>0</v>
      </c>
      <c r="J98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3" t="str">
        <f>IF(final_data786[[#This Row],[DAY_CODE]]=0,"weekend",IF(final_data786[[#This Row],[DAY_CODE]]=6,"weekend","weekday"))</f>
        <v>weekend</v>
      </c>
      <c r="L983">
        <v>1</v>
      </c>
      <c r="M983" t="str">
        <f>IF(final_data786[[#This Row],[WEATHER_CODE]]=1,"clear",IF(final_data786[[#This Row],[WEATHER_CODE]]=2,"cloudy",IF(final_data786[[#This Row],[WEATHER_CODE]]=3,"light rain",IF(final_data786[[#This Row],[WEATHER_CODE]]=4,"heavy rain",0))))</f>
        <v>clear</v>
      </c>
      <c r="N983">
        <v>0.38</v>
      </c>
      <c r="O983">
        <v>0.39389999999999997</v>
      </c>
      <c r="P983">
        <v>0.28999999999999998</v>
      </c>
      <c r="Q983">
        <v>0.35820000000000002</v>
      </c>
      <c r="R983">
        <v>62</v>
      </c>
      <c r="S983">
        <v>92</v>
      </c>
      <c r="T983">
        <v>154</v>
      </c>
    </row>
    <row r="984" spans="1:20" x14ac:dyDescent="0.35">
      <c r="A984">
        <v>983</v>
      </c>
      <c r="B984" s="1">
        <v>40587</v>
      </c>
      <c r="C984">
        <v>1</v>
      </c>
      <c r="D984">
        <v>0</v>
      </c>
      <c r="E984">
        <v>2</v>
      </c>
      <c r="F984" t="str">
        <f>IF(final_data786[[#This Row],[MONTH_CODE]]=1,"JANUARY",IF(final_data786[[#This Row],[MONTH_CODE]]=2,"FEBRUARY"))</f>
        <v>FEBRUARY</v>
      </c>
      <c r="G984">
        <v>14</v>
      </c>
      <c r="H984">
        <v>0</v>
      </c>
      <c r="I984">
        <v>0</v>
      </c>
      <c r="J98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4" t="str">
        <f>IF(final_data786[[#This Row],[DAY_CODE]]=0,"weekend",IF(final_data786[[#This Row],[DAY_CODE]]=6,"weekend","weekday"))</f>
        <v>weekend</v>
      </c>
      <c r="L984">
        <v>2</v>
      </c>
      <c r="M984" t="str">
        <f>IF(final_data786[[#This Row],[WEATHER_CODE]]=1,"clear",IF(final_data786[[#This Row],[WEATHER_CODE]]=2,"cloudy",IF(final_data786[[#This Row],[WEATHER_CODE]]=3,"light rain",IF(final_data786[[#This Row],[WEATHER_CODE]]=4,"heavy rain",0))))</f>
        <v>cloudy</v>
      </c>
      <c r="N984">
        <v>0.4</v>
      </c>
      <c r="O984">
        <v>0.40910000000000002</v>
      </c>
      <c r="P984">
        <v>0.3</v>
      </c>
      <c r="Q984">
        <v>0.41789999999999999</v>
      </c>
      <c r="R984">
        <v>51</v>
      </c>
      <c r="S984">
        <v>110</v>
      </c>
      <c r="T984">
        <v>161</v>
      </c>
    </row>
    <row r="985" spans="1:20" x14ac:dyDescent="0.35">
      <c r="A985">
        <v>984</v>
      </c>
      <c r="B985" s="1">
        <v>40587</v>
      </c>
      <c r="C985">
        <v>1</v>
      </c>
      <c r="D985">
        <v>0</v>
      </c>
      <c r="E985">
        <v>2</v>
      </c>
      <c r="F985" t="str">
        <f>IF(final_data786[[#This Row],[MONTH_CODE]]=1,"JANUARY",IF(final_data786[[#This Row],[MONTH_CODE]]=2,"FEBRUARY"))</f>
        <v>FEBRUARY</v>
      </c>
      <c r="G985">
        <v>15</v>
      </c>
      <c r="H985">
        <v>0</v>
      </c>
      <c r="I985">
        <v>0</v>
      </c>
      <c r="J98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5" t="str">
        <f>IF(final_data786[[#This Row],[DAY_CODE]]=0,"weekend",IF(final_data786[[#This Row],[DAY_CODE]]=6,"weekend","weekday"))</f>
        <v>weekend</v>
      </c>
      <c r="L985">
        <v>2</v>
      </c>
      <c r="M985" t="str">
        <f>IF(final_data786[[#This Row],[WEATHER_CODE]]=1,"clear",IF(final_data786[[#This Row],[WEATHER_CODE]]=2,"cloudy",IF(final_data786[[#This Row],[WEATHER_CODE]]=3,"light rain",IF(final_data786[[#This Row],[WEATHER_CODE]]=4,"heavy rain",0))))</f>
        <v>cloudy</v>
      </c>
      <c r="N985">
        <v>0.4</v>
      </c>
      <c r="O985">
        <v>0.40910000000000002</v>
      </c>
      <c r="P985">
        <v>0.3</v>
      </c>
      <c r="Q985">
        <v>0.29849999999999999</v>
      </c>
      <c r="R985">
        <v>40</v>
      </c>
      <c r="S985">
        <v>122</v>
      </c>
      <c r="T985">
        <v>162</v>
      </c>
    </row>
    <row r="986" spans="1:20" x14ac:dyDescent="0.35">
      <c r="A986">
        <v>985</v>
      </c>
      <c r="B986" s="1">
        <v>40587</v>
      </c>
      <c r="C986">
        <v>1</v>
      </c>
      <c r="D986">
        <v>0</v>
      </c>
      <c r="E986">
        <v>2</v>
      </c>
      <c r="F986" t="str">
        <f>IF(final_data786[[#This Row],[MONTH_CODE]]=1,"JANUARY",IF(final_data786[[#This Row],[MONTH_CODE]]=2,"FEBRUARY"))</f>
        <v>FEBRUARY</v>
      </c>
      <c r="G986">
        <v>16</v>
      </c>
      <c r="H986">
        <v>0</v>
      </c>
      <c r="I986">
        <v>0</v>
      </c>
      <c r="J98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6" t="str">
        <f>IF(final_data786[[#This Row],[DAY_CODE]]=0,"weekend",IF(final_data786[[#This Row],[DAY_CODE]]=6,"weekend","weekday"))</f>
        <v>weekend</v>
      </c>
      <c r="L986">
        <v>2</v>
      </c>
      <c r="M986" t="str">
        <f>IF(final_data786[[#This Row],[WEATHER_CODE]]=1,"clear",IF(final_data786[[#This Row],[WEATHER_CODE]]=2,"cloudy",IF(final_data786[[#This Row],[WEATHER_CODE]]=3,"light rain",IF(final_data786[[#This Row],[WEATHER_CODE]]=4,"heavy rain",0))))</f>
        <v>cloudy</v>
      </c>
      <c r="N986">
        <v>0.42</v>
      </c>
      <c r="O986">
        <v>0.42420000000000002</v>
      </c>
      <c r="P986">
        <v>0.28000000000000003</v>
      </c>
      <c r="Q986">
        <v>0.32840000000000003</v>
      </c>
      <c r="R986">
        <v>28</v>
      </c>
      <c r="S986">
        <v>106</v>
      </c>
      <c r="T986">
        <v>134</v>
      </c>
    </row>
    <row r="987" spans="1:20" x14ac:dyDescent="0.35">
      <c r="A987">
        <v>986</v>
      </c>
      <c r="B987" s="1">
        <v>40587</v>
      </c>
      <c r="C987">
        <v>1</v>
      </c>
      <c r="D987">
        <v>0</v>
      </c>
      <c r="E987">
        <v>2</v>
      </c>
      <c r="F987" t="str">
        <f>IF(final_data786[[#This Row],[MONTH_CODE]]=1,"JANUARY",IF(final_data786[[#This Row],[MONTH_CODE]]=2,"FEBRUARY"))</f>
        <v>FEBRUARY</v>
      </c>
      <c r="G987">
        <v>17</v>
      </c>
      <c r="H987">
        <v>0</v>
      </c>
      <c r="I987">
        <v>0</v>
      </c>
      <c r="J98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7" t="str">
        <f>IF(final_data786[[#This Row],[DAY_CODE]]=0,"weekend",IF(final_data786[[#This Row],[DAY_CODE]]=6,"weekend","weekday"))</f>
        <v>weekend</v>
      </c>
      <c r="L987">
        <v>1</v>
      </c>
      <c r="M987" t="str">
        <f>IF(final_data786[[#This Row],[WEATHER_CODE]]=1,"clear",IF(final_data786[[#This Row],[WEATHER_CODE]]=2,"cloudy",IF(final_data786[[#This Row],[WEATHER_CODE]]=3,"light rain",IF(final_data786[[#This Row],[WEATHER_CODE]]=4,"heavy rain",0))))</f>
        <v>clear</v>
      </c>
      <c r="N987">
        <v>0.42</v>
      </c>
      <c r="O987">
        <v>0.42420000000000002</v>
      </c>
      <c r="P987">
        <v>0.28000000000000003</v>
      </c>
      <c r="Q987">
        <v>0.32840000000000003</v>
      </c>
      <c r="R987">
        <v>30</v>
      </c>
      <c r="S987">
        <v>95</v>
      </c>
      <c r="T987">
        <v>125</v>
      </c>
    </row>
    <row r="988" spans="1:20" x14ac:dyDescent="0.35">
      <c r="A988">
        <v>987</v>
      </c>
      <c r="B988" s="1">
        <v>40587</v>
      </c>
      <c r="C988">
        <v>1</v>
      </c>
      <c r="D988">
        <v>0</v>
      </c>
      <c r="E988">
        <v>2</v>
      </c>
      <c r="F988" t="str">
        <f>IF(final_data786[[#This Row],[MONTH_CODE]]=1,"JANUARY",IF(final_data786[[#This Row],[MONTH_CODE]]=2,"FEBRUARY"))</f>
        <v>FEBRUARY</v>
      </c>
      <c r="G988">
        <v>18</v>
      </c>
      <c r="H988">
        <v>0</v>
      </c>
      <c r="I988">
        <v>0</v>
      </c>
      <c r="J98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8" t="str">
        <f>IF(final_data786[[#This Row],[DAY_CODE]]=0,"weekend",IF(final_data786[[#This Row],[DAY_CODE]]=6,"weekend","weekday"))</f>
        <v>weekend</v>
      </c>
      <c r="L988">
        <v>1</v>
      </c>
      <c r="M988" t="str">
        <f>IF(final_data786[[#This Row],[WEATHER_CODE]]=1,"clear",IF(final_data786[[#This Row],[WEATHER_CODE]]=2,"cloudy",IF(final_data786[[#This Row],[WEATHER_CODE]]=3,"light rain",IF(final_data786[[#This Row],[WEATHER_CODE]]=4,"heavy rain",0))))</f>
        <v>clear</v>
      </c>
      <c r="N988">
        <v>0.4</v>
      </c>
      <c r="O988">
        <v>0.40910000000000002</v>
      </c>
      <c r="P988">
        <v>0.32</v>
      </c>
      <c r="Q988">
        <v>0.29849999999999999</v>
      </c>
      <c r="R988">
        <v>17</v>
      </c>
      <c r="S988">
        <v>78</v>
      </c>
      <c r="T988">
        <v>95</v>
      </c>
    </row>
    <row r="989" spans="1:20" x14ac:dyDescent="0.35">
      <c r="A989">
        <v>988</v>
      </c>
      <c r="B989" s="1">
        <v>40587</v>
      </c>
      <c r="C989">
        <v>1</v>
      </c>
      <c r="D989">
        <v>0</v>
      </c>
      <c r="E989">
        <v>2</v>
      </c>
      <c r="F989" t="str">
        <f>IF(final_data786[[#This Row],[MONTH_CODE]]=1,"JANUARY",IF(final_data786[[#This Row],[MONTH_CODE]]=2,"FEBRUARY"))</f>
        <v>FEBRUARY</v>
      </c>
      <c r="G989">
        <v>19</v>
      </c>
      <c r="H989">
        <v>0</v>
      </c>
      <c r="I989">
        <v>0</v>
      </c>
      <c r="J98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89" t="str">
        <f>IF(final_data786[[#This Row],[DAY_CODE]]=0,"weekend",IF(final_data786[[#This Row],[DAY_CODE]]=6,"weekend","weekday"))</f>
        <v>weekend</v>
      </c>
      <c r="L989">
        <v>1</v>
      </c>
      <c r="M989" t="str">
        <f>IF(final_data786[[#This Row],[WEATHER_CODE]]=1,"clear",IF(final_data786[[#This Row],[WEATHER_CODE]]=2,"cloudy",IF(final_data786[[#This Row],[WEATHER_CODE]]=3,"light rain",IF(final_data786[[#This Row],[WEATHER_CODE]]=4,"heavy rain",0))))</f>
        <v>clear</v>
      </c>
      <c r="N989">
        <v>0.4</v>
      </c>
      <c r="O989">
        <v>0.40910000000000002</v>
      </c>
      <c r="P989">
        <v>0.35</v>
      </c>
      <c r="Q989">
        <v>0.28360000000000002</v>
      </c>
      <c r="R989">
        <v>11</v>
      </c>
      <c r="S989">
        <v>50</v>
      </c>
      <c r="T989">
        <v>61</v>
      </c>
    </row>
    <row r="990" spans="1:20" x14ac:dyDescent="0.35">
      <c r="A990">
        <v>989</v>
      </c>
      <c r="B990" s="1">
        <v>40587</v>
      </c>
      <c r="C990">
        <v>1</v>
      </c>
      <c r="D990">
        <v>0</v>
      </c>
      <c r="E990">
        <v>2</v>
      </c>
      <c r="F990" t="str">
        <f>IF(final_data786[[#This Row],[MONTH_CODE]]=1,"JANUARY",IF(final_data786[[#This Row],[MONTH_CODE]]=2,"FEBRUARY"))</f>
        <v>FEBRUARY</v>
      </c>
      <c r="G990">
        <v>20</v>
      </c>
      <c r="H990">
        <v>0</v>
      </c>
      <c r="I990">
        <v>0</v>
      </c>
      <c r="J99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90" t="str">
        <f>IF(final_data786[[#This Row],[DAY_CODE]]=0,"weekend",IF(final_data786[[#This Row],[DAY_CODE]]=6,"weekend","weekday"))</f>
        <v>weekend</v>
      </c>
      <c r="L990">
        <v>1</v>
      </c>
      <c r="M990" t="str">
        <f>IF(final_data786[[#This Row],[WEATHER_CODE]]=1,"clear",IF(final_data786[[#This Row],[WEATHER_CODE]]=2,"cloudy",IF(final_data786[[#This Row],[WEATHER_CODE]]=3,"light rain",IF(final_data786[[#This Row],[WEATHER_CODE]]=4,"heavy rain",0))))</f>
        <v>clear</v>
      </c>
      <c r="N990">
        <v>0.4</v>
      </c>
      <c r="O990">
        <v>0.40910000000000002</v>
      </c>
      <c r="P990">
        <v>0.35</v>
      </c>
      <c r="Q990">
        <v>0.32840000000000003</v>
      </c>
      <c r="R990">
        <v>15</v>
      </c>
      <c r="S990">
        <v>32</v>
      </c>
      <c r="T990">
        <v>47</v>
      </c>
    </row>
    <row r="991" spans="1:20" x14ac:dyDescent="0.35">
      <c r="A991">
        <v>990</v>
      </c>
      <c r="B991" s="1">
        <v>40587</v>
      </c>
      <c r="C991">
        <v>1</v>
      </c>
      <c r="D991">
        <v>0</v>
      </c>
      <c r="E991">
        <v>2</v>
      </c>
      <c r="F991" t="str">
        <f>IF(final_data786[[#This Row],[MONTH_CODE]]=1,"JANUARY",IF(final_data786[[#This Row],[MONTH_CODE]]=2,"FEBRUARY"))</f>
        <v>FEBRUARY</v>
      </c>
      <c r="G991">
        <v>21</v>
      </c>
      <c r="H991">
        <v>0</v>
      </c>
      <c r="I991">
        <v>0</v>
      </c>
      <c r="J99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91" t="str">
        <f>IF(final_data786[[#This Row],[DAY_CODE]]=0,"weekend",IF(final_data786[[#This Row],[DAY_CODE]]=6,"weekend","weekday"))</f>
        <v>weekend</v>
      </c>
      <c r="L991">
        <v>1</v>
      </c>
      <c r="M991" t="str">
        <f>IF(final_data786[[#This Row],[WEATHER_CODE]]=1,"clear",IF(final_data786[[#This Row],[WEATHER_CODE]]=2,"cloudy",IF(final_data786[[#This Row],[WEATHER_CODE]]=3,"light rain",IF(final_data786[[#This Row],[WEATHER_CODE]]=4,"heavy rain",0))))</f>
        <v>clear</v>
      </c>
      <c r="N991">
        <v>0.4</v>
      </c>
      <c r="O991">
        <v>0.40910000000000002</v>
      </c>
      <c r="P991">
        <v>0.35</v>
      </c>
      <c r="Q991">
        <v>0.35820000000000002</v>
      </c>
      <c r="R991">
        <v>6</v>
      </c>
      <c r="S991">
        <v>45</v>
      </c>
      <c r="T991">
        <v>51</v>
      </c>
    </row>
    <row r="992" spans="1:20" x14ac:dyDescent="0.35">
      <c r="A992">
        <v>991</v>
      </c>
      <c r="B992" s="1">
        <v>40587</v>
      </c>
      <c r="C992">
        <v>1</v>
      </c>
      <c r="D992">
        <v>0</v>
      </c>
      <c r="E992">
        <v>2</v>
      </c>
      <c r="F992" t="str">
        <f>IF(final_data786[[#This Row],[MONTH_CODE]]=1,"JANUARY",IF(final_data786[[#This Row],[MONTH_CODE]]=2,"FEBRUARY"))</f>
        <v>FEBRUARY</v>
      </c>
      <c r="G992">
        <v>22</v>
      </c>
      <c r="H992">
        <v>0</v>
      </c>
      <c r="I992">
        <v>0</v>
      </c>
      <c r="J992"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92" t="str">
        <f>IF(final_data786[[#This Row],[DAY_CODE]]=0,"weekend",IF(final_data786[[#This Row],[DAY_CODE]]=6,"weekend","weekday"))</f>
        <v>weekend</v>
      </c>
      <c r="L992">
        <v>1</v>
      </c>
      <c r="M992" t="str">
        <f>IF(final_data786[[#This Row],[WEATHER_CODE]]=1,"clear",IF(final_data786[[#This Row],[WEATHER_CODE]]=2,"cloudy",IF(final_data786[[#This Row],[WEATHER_CODE]]=3,"light rain",IF(final_data786[[#This Row],[WEATHER_CODE]]=4,"heavy rain",0))))</f>
        <v>clear</v>
      </c>
      <c r="N992">
        <v>0.4</v>
      </c>
      <c r="O992">
        <v>0.40910000000000002</v>
      </c>
      <c r="P992">
        <v>0.35</v>
      </c>
      <c r="Q992">
        <v>0.29849999999999999</v>
      </c>
      <c r="R992">
        <v>5</v>
      </c>
      <c r="S992">
        <v>31</v>
      </c>
      <c r="T992">
        <v>36</v>
      </c>
    </row>
    <row r="993" spans="1:20" x14ac:dyDescent="0.35">
      <c r="A993">
        <v>992</v>
      </c>
      <c r="B993" s="1">
        <v>40587</v>
      </c>
      <c r="C993">
        <v>1</v>
      </c>
      <c r="D993">
        <v>0</v>
      </c>
      <c r="E993">
        <v>2</v>
      </c>
      <c r="F993" t="str">
        <f>IF(final_data786[[#This Row],[MONTH_CODE]]=1,"JANUARY",IF(final_data786[[#This Row],[MONTH_CODE]]=2,"FEBRUARY"))</f>
        <v>FEBRUARY</v>
      </c>
      <c r="G993">
        <v>23</v>
      </c>
      <c r="H993">
        <v>0</v>
      </c>
      <c r="I993">
        <v>0</v>
      </c>
      <c r="J993"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Sunday</v>
      </c>
      <c r="K993" t="str">
        <f>IF(final_data786[[#This Row],[DAY_CODE]]=0,"weekend",IF(final_data786[[#This Row],[DAY_CODE]]=6,"weekend","weekday"))</f>
        <v>weekend</v>
      </c>
      <c r="L993">
        <v>1</v>
      </c>
      <c r="M993" t="str">
        <f>IF(final_data786[[#This Row],[WEATHER_CODE]]=1,"clear",IF(final_data786[[#This Row],[WEATHER_CODE]]=2,"cloudy",IF(final_data786[[#This Row],[WEATHER_CODE]]=3,"light rain",IF(final_data786[[#This Row],[WEATHER_CODE]]=4,"heavy rain",0))))</f>
        <v>clear</v>
      </c>
      <c r="N993">
        <v>0.4</v>
      </c>
      <c r="O993">
        <v>0.40910000000000002</v>
      </c>
      <c r="P993">
        <v>0.35</v>
      </c>
      <c r="Q993">
        <v>0.35820000000000002</v>
      </c>
      <c r="R993">
        <v>3</v>
      </c>
      <c r="S993">
        <v>27</v>
      </c>
      <c r="T993">
        <v>30</v>
      </c>
    </row>
    <row r="994" spans="1:20" x14ac:dyDescent="0.35">
      <c r="A994">
        <v>993</v>
      </c>
      <c r="B994" s="1">
        <v>40588</v>
      </c>
      <c r="C994">
        <v>1</v>
      </c>
      <c r="D994">
        <v>0</v>
      </c>
      <c r="E994">
        <v>2</v>
      </c>
      <c r="F994" t="str">
        <f>IF(final_data786[[#This Row],[MONTH_CODE]]=1,"JANUARY",IF(final_data786[[#This Row],[MONTH_CODE]]=2,"FEBRUARY"))</f>
        <v>FEBRUARY</v>
      </c>
      <c r="G994">
        <v>0</v>
      </c>
      <c r="H994">
        <v>0</v>
      </c>
      <c r="I994">
        <v>1</v>
      </c>
      <c r="J994"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4" t="str">
        <f>IF(final_data786[[#This Row],[DAY_CODE]]=0,"weekend",IF(final_data786[[#This Row],[DAY_CODE]]=6,"weekend","weekday"))</f>
        <v>weekday</v>
      </c>
      <c r="L994">
        <v>1</v>
      </c>
      <c r="M994" t="str">
        <f>IF(final_data786[[#This Row],[WEATHER_CODE]]=1,"clear",IF(final_data786[[#This Row],[WEATHER_CODE]]=2,"cloudy",IF(final_data786[[#This Row],[WEATHER_CODE]]=3,"light rain",IF(final_data786[[#This Row],[WEATHER_CODE]]=4,"heavy rain",0))))</f>
        <v>clear</v>
      </c>
      <c r="N994">
        <v>0.38</v>
      </c>
      <c r="O994">
        <v>0.39389999999999997</v>
      </c>
      <c r="P994">
        <v>0.37</v>
      </c>
      <c r="Q994">
        <v>0.35820000000000002</v>
      </c>
      <c r="R994">
        <v>3</v>
      </c>
      <c r="S994">
        <v>8</v>
      </c>
      <c r="T994">
        <v>11</v>
      </c>
    </row>
    <row r="995" spans="1:20" x14ac:dyDescent="0.35">
      <c r="A995">
        <v>994</v>
      </c>
      <c r="B995" s="1">
        <v>40588</v>
      </c>
      <c r="C995">
        <v>1</v>
      </c>
      <c r="D995">
        <v>0</v>
      </c>
      <c r="E995">
        <v>2</v>
      </c>
      <c r="F995" t="str">
        <f>IF(final_data786[[#This Row],[MONTH_CODE]]=1,"JANUARY",IF(final_data786[[#This Row],[MONTH_CODE]]=2,"FEBRUARY"))</f>
        <v>FEBRUARY</v>
      </c>
      <c r="G995">
        <v>1</v>
      </c>
      <c r="H995">
        <v>0</v>
      </c>
      <c r="I995">
        <v>1</v>
      </c>
      <c r="J995"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5" t="str">
        <f>IF(final_data786[[#This Row],[DAY_CODE]]=0,"weekend",IF(final_data786[[#This Row],[DAY_CODE]]=6,"weekend","weekday"))</f>
        <v>weekday</v>
      </c>
      <c r="L995">
        <v>1</v>
      </c>
      <c r="M995" t="str">
        <f>IF(final_data786[[#This Row],[WEATHER_CODE]]=1,"clear",IF(final_data786[[#This Row],[WEATHER_CODE]]=2,"cloudy",IF(final_data786[[#This Row],[WEATHER_CODE]]=3,"light rain",IF(final_data786[[#This Row],[WEATHER_CODE]]=4,"heavy rain",0))))</f>
        <v>clear</v>
      </c>
      <c r="N995">
        <v>0.38</v>
      </c>
      <c r="O995">
        <v>0.39389999999999997</v>
      </c>
      <c r="P995">
        <v>0.37</v>
      </c>
      <c r="Q995">
        <v>0.35820000000000002</v>
      </c>
      <c r="R995">
        <v>1</v>
      </c>
      <c r="S995">
        <v>6</v>
      </c>
      <c r="T995">
        <v>7</v>
      </c>
    </row>
    <row r="996" spans="1:20" x14ac:dyDescent="0.35">
      <c r="A996">
        <v>995</v>
      </c>
      <c r="B996" s="1">
        <v>40588</v>
      </c>
      <c r="C996">
        <v>1</v>
      </c>
      <c r="D996">
        <v>0</v>
      </c>
      <c r="E996">
        <v>2</v>
      </c>
      <c r="F996" t="str">
        <f>IF(final_data786[[#This Row],[MONTH_CODE]]=1,"JANUARY",IF(final_data786[[#This Row],[MONTH_CODE]]=2,"FEBRUARY"))</f>
        <v>FEBRUARY</v>
      </c>
      <c r="G996">
        <v>2</v>
      </c>
      <c r="H996">
        <v>0</v>
      </c>
      <c r="I996">
        <v>1</v>
      </c>
      <c r="J996"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6" t="str">
        <f>IF(final_data786[[#This Row],[DAY_CODE]]=0,"weekend",IF(final_data786[[#This Row],[DAY_CODE]]=6,"weekend","weekday"))</f>
        <v>weekday</v>
      </c>
      <c r="L996">
        <v>1</v>
      </c>
      <c r="M996" t="str">
        <f>IF(final_data786[[#This Row],[WEATHER_CODE]]=1,"clear",IF(final_data786[[#This Row],[WEATHER_CODE]]=2,"cloudy",IF(final_data786[[#This Row],[WEATHER_CODE]]=3,"light rain",IF(final_data786[[#This Row],[WEATHER_CODE]]=4,"heavy rain",0))))</f>
        <v>clear</v>
      </c>
      <c r="N996">
        <v>0.36</v>
      </c>
      <c r="O996">
        <v>0.33329999999999999</v>
      </c>
      <c r="P996">
        <v>0.4</v>
      </c>
      <c r="Q996">
        <v>0.29849999999999999</v>
      </c>
      <c r="R996">
        <v>0</v>
      </c>
      <c r="S996">
        <v>2</v>
      </c>
      <c r="T996">
        <v>2</v>
      </c>
    </row>
    <row r="997" spans="1:20" x14ac:dyDescent="0.35">
      <c r="A997">
        <v>996</v>
      </c>
      <c r="B997" s="1">
        <v>40588</v>
      </c>
      <c r="C997">
        <v>1</v>
      </c>
      <c r="D997">
        <v>0</v>
      </c>
      <c r="E997">
        <v>2</v>
      </c>
      <c r="F997" t="str">
        <f>IF(final_data786[[#This Row],[MONTH_CODE]]=1,"JANUARY",IF(final_data786[[#This Row],[MONTH_CODE]]=2,"FEBRUARY"))</f>
        <v>FEBRUARY</v>
      </c>
      <c r="G997">
        <v>3</v>
      </c>
      <c r="H997">
        <v>0</v>
      </c>
      <c r="I997">
        <v>1</v>
      </c>
      <c r="J997"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7" t="str">
        <f>IF(final_data786[[#This Row],[DAY_CODE]]=0,"weekend",IF(final_data786[[#This Row],[DAY_CODE]]=6,"weekend","weekday"))</f>
        <v>weekday</v>
      </c>
      <c r="L997">
        <v>1</v>
      </c>
      <c r="M997" t="str">
        <f>IF(final_data786[[#This Row],[WEATHER_CODE]]=1,"clear",IF(final_data786[[#This Row],[WEATHER_CODE]]=2,"cloudy",IF(final_data786[[#This Row],[WEATHER_CODE]]=3,"light rain",IF(final_data786[[#This Row],[WEATHER_CODE]]=4,"heavy rain",0))))</f>
        <v>clear</v>
      </c>
      <c r="N997">
        <v>0.34</v>
      </c>
      <c r="O997">
        <v>0.31819999999999998</v>
      </c>
      <c r="P997">
        <v>0.46</v>
      </c>
      <c r="Q997">
        <v>0.22389999999999999</v>
      </c>
      <c r="R997">
        <v>1</v>
      </c>
      <c r="S997">
        <v>1</v>
      </c>
      <c r="T997">
        <v>2</v>
      </c>
    </row>
    <row r="998" spans="1:20" x14ac:dyDescent="0.35">
      <c r="A998">
        <v>997</v>
      </c>
      <c r="B998" s="1">
        <v>40588</v>
      </c>
      <c r="C998">
        <v>1</v>
      </c>
      <c r="D998">
        <v>0</v>
      </c>
      <c r="E998">
        <v>2</v>
      </c>
      <c r="F998" t="str">
        <f>IF(final_data786[[#This Row],[MONTH_CODE]]=1,"JANUARY",IF(final_data786[[#This Row],[MONTH_CODE]]=2,"FEBRUARY"))</f>
        <v>FEBRUARY</v>
      </c>
      <c r="G998">
        <v>4</v>
      </c>
      <c r="H998">
        <v>0</v>
      </c>
      <c r="I998">
        <v>1</v>
      </c>
      <c r="J998"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8" t="str">
        <f>IF(final_data786[[#This Row],[DAY_CODE]]=0,"weekend",IF(final_data786[[#This Row],[DAY_CODE]]=6,"weekend","weekday"))</f>
        <v>weekday</v>
      </c>
      <c r="L998">
        <v>1</v>
      </c>
      <c r="M998" t="str">
        <f>IF(final_data786[[#This Row],[WEATHER_CODE]]=1,"clear",IF(final_data786[[#This Row],[WEATHER_CODE]]=2,"cloudy",IF(final_data786[[#This Row],[WEATHER_CODE]]=3,"light rain",IF(final_data786[[#This Row],[WEATHER_CODE]]=4,"heavy rain",0))))</f>
        <v>clear</v>
      </c>
      <c r="N998">
        <v>0.32</v>
      </c>
      <c r="O998">
        <v>0.30299999999999999</v>
      </c>
      <c r="P998">
        <v>0.53</v>
      </c>
      <c r="Q998">
        <v>0.28360000000000002</v>
      </c>
      <c r="R998">
        <v>0</v>
      </c>
      <c r="S998">
        <v>2</v>
      </c>
      <c r="T998">
        <v>2</v>
      </c>
    </row>
    <row r="999" spans="1:20" x14ac:dyDescent="0.35">
      <c r="A999">
        <v>998</v>
      </c>
      <c r="B999" s="1">
        <v>40588</v>
      </c>
      <c r="C999">
        <v>1</v>
      </c>
      <c r="D999">
        <v>0</v>
      </c>
      <c r="E999">
        <v>2</v>
      </c>
      <c r="F999" t="str">
        <f>IF(final_data786[[#This Row],[MONTH_CODE]]=1,"JANUARY",IF(final_data786[[#This Row],[MONTH_CODE]]=2,"FEBRUARY"))</f>
        <v>FEBRUARY</v>
      </c>
      <c r="G999">
        <v>5</v>
      </c>
      <c r="H999">
        <v>0</v>
      </c>
      <c r="I999">
        <v>1</v>
      </c>
      <c r="J999"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999" t="str">
        <f>IF(final_data786[[#This Row],[DAY_CODE]]=0,"weekend",IF(final_data786[[#This Row],[DAY_CODE]]=6,"weekend","weekday"))</f>
        <v>weekday</v>
      </c>
      <c r="L999">
        <v>1</v>
      </c>
      <c r="M999" t="str">
        <f>IF(final_data786[[#This Row],[WEATHER_CODE]]=1,"clear",IF(final_data786[[#This Row],[WEATHER_CODE]]=2,"cloudy",IF(final_data786[[#This Row],[WEATHER_CODE]]=3,"light rain",IF(final_data786[[#This Row],[WEATHER_CODE]]=4,"heavy rain",0))))</f>
        <v>clear</v>
      </c>
      <c r="N999">
        <v>0.32</v>
      </c>
      <c r="O999">
        <v>0.30299999999999999</v>
      </c>
      <c r="P999">
        <v>0.53</v>
      </c>
      <c r="Q999">
        <v>0.28360000000000002</v>
      </c>
      <c r="R999">
        <v>0</v>
      </c>
      <c r="S999">
        <v>3</v>
      </c>
      <c r="T999">
        <v>3</v>
      </c>
    </row>
    <row r="1000" spans="1:20" x14ac:dyDescent="0.35">
      <c r="A1000">
        <v>999</v>
      </c>
      <c r="B1000" s="1">
        <v>40588</v>
      </c>
      <c r="C1000">
        <v>1</v>
      </c>
      <c r="D1000">
        <v>0</v>
      </c>
      <c r="E1000">
        <v>2</v>
      </c>
      <c r="F1000" t="str">
        <f>IF(final_data786[[#This Row],[MONTH_CODE]]=1,"JANUARY",IF(final_data786[[#This Row],[MONTH_CODE]]=2,"FEBRUARY"))</f>
        <v>FEBRUARY</v>
      </c>
      <c r="G1000">
        <v>6</v>
      </c>
      <c r="H1000">
        <v>0</v>
      </c>
      <c r="I1000">
        <v>1</v>
      </c>
      <c r="J1000"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1000" t="str">
        <f>IF(final_data786[[#This Row],[DAY_CODE]]=0,"weekend",IF(final_data786[[#This Row],[DAY_CODE]]=6,"weekend","weekday"))</f>
        <v>weekday</v>
      </c>
      <c r="L1000">
        <v>1</v>
      </c>
      <c r="M1000" t="str">
        <f>IF(final_data786[[#This Row],[WEATHER_CODE]]=1,"clear",IF(final_data786[[#This Row],[WEATHER_CODE]]=2,"cloudy",IF(final_data786[[#This Row],[WEATHER_CODE]]=3,"light rain",IF(final_data786[[#This Row],[WEATHER_CODE]]=4,"heavy rain",0))))</f>
        <v>clear</v>
      </c>
      <c r="N1000">
        <v>0.34</v>
      </c>
      <c r="O1000">
        <v>0.30299999999999999</v>
      </c>
      <c r="P1000">
        <v>0.46</v>
      </c>
      <c r="Q1000">
        <v>0.29849999999999999</v>
      </c>
      <c r="R1000">
        <v>1</v>
      </c>
      <c r="S1000">
        <v>25</v>
      </c>
      <c r="T1000">
        <v>26</v>
      </c>
    </row>
    <row r="1001" spans="1:20" x14ac:dyDescent="0.35">
      <c r="A1001">
        <v>1000</v>
      </c>
      <c r="B1001" s="1">
        <v>40588</v>
      </c>
      <c r="C1001">
        <v>1</v>
      </c>
      <c r="D1001">
        <v>0</v>
      </c>
      <c r="E1001">
        <v>2</v>
      </c>
      <c r="F1001" t="str">
        <f>IF(final_data786[[#This Row],[MONTH_CODE]]=1,"JANUARY",IF(final_data786[[#This Row],[MONTH_CODE]]=2,"FEBRUARY"))</f>
        <v>FEBRUARY</v>
      </c>
      <c r="G1001">
        <v>7</v>
      </c>
      <c r="H1001">
        <v>0</v>
      </c>
      <c r="I1001">
        <v>1</v>
      </c>
      <c r="J1001" t="str">
        <f>IF(final_data786[[#This Row],[DAY_CODE]]=6,"Saturday",IF(final_data786[[#This Row],[DAY_CODE]]=5,"Friday",IF(final_data786[[#This Row],[DAY_CODE]]=4,"Thursday",IF(final_data786[[#This Row],[DAY_CODE]]=3,"Wednesday",IF(final_data786[[#This Row],[DAY_CODE]]=2,"Tuesday",IF(final_data786[[#This Row],[DAY_CODE]]=1,"monday",IF(final_data786[[#This Row],[DAY_CODE]]=0,"Sunday",0)))))))</f>
        <v>monday</v>
      </c>
      <c r="K1001" t="str">
        <f>IF(final_data786[[#This Row],[DAY_CODE]]=0,"weekend",IF(final_data786[[#This Row],[DAY_CODE]]=6,"weekend","weekday"))</f>
        <v>weekday</v>
      </c>
      <c r="L1001">
        <v>1</v>
      </c>
      <c r="M1001" t="str">
        <f>IF(final_data786[[#This Row],[WEATHER_CODE]]=1,"clear",IF(final_data786[[#This Row],[WEATHER_CODE]]=2,"cloudy",IF(final_data786[[#This Row],[WEATHER_CODE]]=3,"light rain",IF(final_data786[[#This Row],[WEATHER_CODE]]=4,"heavy rain",0))))</f>
        <v>clear</v>
      </c>
      <c r="N1001">
        <v>0.34</v>
      </c>
      <c r="O1001">
        <v>0.30299999999999999</v>
      </c>
      <c r="P1001">
        <v>0.46</v>
      </c>
      <c r="Q1001">
        <v>0.29849999999999999</v>
      </c>
      <c r="R1001">
        <v>2</v>
      </c>
      <c r="S1001">
        <v>96</v>
      </c>
      <c r="T1001">
        <v>98</v>
      </c>
    </row>
  </sheetData>
  <conditionalFormatting sqref="P2:P1001">
    <cfRule type="dataBar" priority="1">
      <dataBar>
        <cfvo type="min"/>
        <cfvo type="max"/>
        <color rgb="FFFF555A"/>
      </dataBar>
      <extLst>
        <ext xmlns:x14="http://schemas.microsoft.com/office/spreadsheetml/2009/9/main" uri="{B025F937-C7B1-47D3-B67F-A62EFF666E3E}">
          <x14:id>{99E87F4A-F0F7-4EB2-90D5-FED2728E6057}</x14:id>
        </ext>
      </extLst>
    </cfRule>
  </conditionalFormatting>
  <conditionalFormatting sqref="Q2:Q1001">
    <cfRule type="dataBar" priority="2">
      <dataBar>
        <cfvo type="min"/>
        <cfvo type="max"/>
        <color rgb="FF638EC6"/>
      </dataBar>
      <extLst>
        <ext xmlns:x14="http://schemas.microsoft.com/office/spreadsheetml/2009/9/main" uri="{B025F937-C7B1-47D3-B67F-A62EFF666E3E}">
          <x14:id>{C0F0DB13-A32F-420A-AB23-D85C4F77E816}</x14:id>
        </ext>
      </extLst>
    </cfRule>
  </conditionalFormatting>
  <conditionalFormatting sqref="T1:T1001">
    <cfRule type="colorScale" priority="3">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9E87F4A-F0F7-4EB2-90D5-FED2728E6057}">
            <x14:dataBar minLength="0" maxLength="100" border="1" negativeBarBorderColorSameAsPositive="0">
              <x14:cfvo type="autoMin"/>
              <x14:cfvo type="autoMax"/>
              <x14:borderColor rgb="FFFF555A"/>
              <x14:negativeFillColor rgb="FFFF0000"/>
              <x14:negativeBorderColor rgb="FFFF0000"/>
              <x14:axisColor rgb="FF000000"/>
            </x14:dataBar>
          </x14:cfRule>
          <xm:sqref>P2:P1001</xm:sqref>
        </x14:conditionalFormatting>
        <x14:conditionalFormatting xmlns:xm="http://schemas.microsoft.com/office/excel/2006/main">
          <x14:cfRule type="dataBar" id="{C0F0DB13-A32F-420A-AB23-D85C4F77E816}">
            <x14:dataBar minLength="0" maxLength="100" border="1" negativeBarBorderColorSameAsPositive="0">
              <x14:cfvo type="autoMin"/>
              <x14:cfvo type="autoMax"/>
              <x14:borderColor rgb="FF638EC6"/>
              <x14:negativeFillColor rgb="FFFF0000"/>
              <x14:negativeBorderColor rgb="FFFF0000"/>
              <x14:axisColor rgb="FF000000"/>
            </x14:dataBar>
          </x14:cfRule>
          <xm:sqref>Q2:Q1001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4D78-EA86-431A-8106-7EA420FAA62A}">
  <dimension ref="A1:P1001"/>
  <sheetViews>
    <sheetView workbookViewId="0">
      <selection activeCell="P17" sqref="P17"/>
    </sheetView>
  </sheetViews>
  <sheetFormatPr defaultRowHeight="14.5" x14ac:dyDescent="0.35"/>
  <cols>
    <col min="1" max="1" width="11.1796875" customWidth="1"/>
    <col min="2" max="2" width="11.36328125" customWidth="1"/>
    <col min="3" max="3" width="11.81640625" customWidth="1"/>
    <col min="4" max="4" width="11.26953125" customWidth="1"/>
    <col min="5" max="5" width="9.90625" customWidth="1"/>
    <col min="6" max="6" width="12.7265625" customWidth="1"/>
    <col min="7" max="7" width="13.08984375" customWidth="1"/>
    <col min="9" max="9" width="14.54296875" customWidth="1"/>
    <col min="10" max="10" width="5.36328125" customWidth="1"/>
    <col min="11" max="11" width="6.6328125" customWidth="1"/>
    <col min="12" max="12" width="10.36328125" customWidth="1"/>
    <col min="13" max="13" width="11.7265625" customWidth="1"/>
    <col min="14" max="14" width="7.1796875" customWidth="1"/>
    <col min="15" max="15" width="10.453125" customWidth="1"/>
  </cols>
  <sheetData>
    <row r="1" spans="1:16" x14ac:dyDescent="0.35">
      <c r="A1" t="s">
        <v>38</v>
      </c>
      <c r="B1" t="s">
        <v>39</v>
      </c>
      <c r="C1" t="s">
        <v>40</v>
      </c>
      <c r="D1" t="s">
        <v>41</v>
      </c>
      <c r="E1" t="s">
        <v>42</v>
      </c>
      <c r="F1" t="s">
        <v>43</v>
      </c>
      <c r="G1" t="s">
        <v>44</v>
      </c>
    </row>
    <row r="2" spans="1:16" x14ac:dyDescent="0.35">
      <c r="A2">
        <v>0.24</v>
      </c>
      <c r="B2">
        <v>0.28789999999999999</v>
      </c>
      <c r="C2">
        <v>0.81</v>
      </c>
      <c r="D2">
        <v>0</v>
      </c>
      <c r="E2">
        <v>3</v>
      </c>
      <c r="F2">
        <v>13</v>
      </c>
      <c r="G2">
        <v>16</v>
      </c>
    </row>
    <row r="3" spans="1:16" x14ac:dyDescent="0.35">
      <c r="A3">
        <v>0.22</v>
      </c>
      <c r="B3">
        <v>0.2727</v>
      </c>
      <c r="C3">
        <v>0.8</v>
      </c>
      <c r="D3">
        <v>0</v>
      </c>
      <c r="E3">
        <v>8</v>
      </c>
      <c r="F3">
        <v>32</v>
      </c>
      <c r="G3">
        <v>40</v>
      </c>
    </row>
    <row r="4" spans="1:16" x14ac:dyDescent="0.35">
      <c r="A4">
        <v>0.22</v>
      </c>
      <c r="B4">
        <v>0.2727</v>
      </c>
      <c r="C4">
        <v>0.8</v>
      </c>
      <c r="D4">
        <v>0</v>
      </c>
      <c r="E4">
        <v>5</v>
      </c>
      <c r="F4">
        <v>27</v>
      </c>
      <c r="G4">
        <v>32</v>
      </c>
      <c r="I4" s="139" t="s">
        <v>196</v>
      </c>
      <c r="J4" s="140"/>
      <c r="K4" s="140"/>
      <c r="L4" s="140"/>
      <c r="M4" s="140"/>
      <c r="N4" s="41"/>
      <c r="O4" s="41"/>
      <c r="P4" s="41"/>
    </row>
    <row r="5" spans="1:16" x14ac:dyDescent="0.35">
      <c r="A5">
        <v>0.24</v>
      </c>
      <c r="B5">
        <v>0.28789999999999999</v>
      </c>
      <c r="C5">
        <v>0.75</v>
      </c>
      <c r="D5">
        <v>0</v>
      </c>
      <c r="E5">
        <v>3</v>
      </c>
      <c r="F5">
        <v>10</v>
      </c>
      <c r="G5">
        <v>13</v>
      </c>
    </row>
    <row r="6" spans="1:16" x14ac:dyDescent="0.35">
      <c r="A6">
        <v>0.24</v>
      </c>
      <c r="B6">
        <v>0.28789999999999999</v>
      </c>
      <c r="C6">
        <v>0.75</v>
      </c>
      <c r="D6">
        <v>0</v>
      </c>
      <c r="E6">
        <v>0</v>
      </c>
      <c r="F6">
        <v>1</v>
      </c>
      <c r="G6">
        <v>1</v>
      </c>
    </row>
    <row r="7" spans="1:16" x14ac:dyDescent="0.35">
      <c r="A7">
        <v>0.24</v>
      </c>
      <c r="B7">
        <v>0.2576</v>
      </c>
      <c r="C7">
        <v>0.75</v>
      </c>
      <c r="D7">
        <v>8.9599999999999999E-2</v>
      </c>
      <c r="E7">
        <v>0</v>
      </c>
      <c r="F7">
        <v>1</v>
      </c>
      <c r="G7">
        <v>1</v>
      </c>
      <c r="I7" s="138"/>
      <c r="J7" s="138" t="s">
        <v>59</v>
      </c>
      <c r="K7" s="138" t="s">
        <v>193</v>
      </c>
      <c r="L7" s="138" t="s">
        <v>40</v>
      </c>
      <c r="M7" s="138" t="s">
        <v>41</v>
      </c>
      <c r="N7" s="138" t="s">
        <v>54</v>
      </c>
      <c r="O7" s="138" t="s">
        <v>55</v>
      </c>
      <c r="P7" s="138" t="s">
        <v>195</v>
      </c>
    </row>
    <row r="8" spans="1:16" x14ac:dyDescent="0.35">
      <c r="A8">
        <v>0.22</v>
      </c>
      <c r="B8">
        <v>0.2727</v>
      </c>
      <c r="C8">
        <v>0.8</v>
      </c>
      <c r="D8">
        <v>0</v>
      </c>
      <c r="E8">
        <v>2</v>
      </c>
      <c r="F8">
        <v>0</v>
      </c>
      <c r="G8">
        <v>2</v>
      </c>
      <c r="I8" s="138" t="s">
        <v>59</v>
      </c>
      <c r="J8" s="5">
        <f>CORREL($A$2:$A$1001,$A$2:$A$1001)</f>
        <v>1.0000000000000002</v>
      </c>
      <c r="K8" s="5">
        <f>CORREL(B2:B1001,A2:A1001)</f>
        <v>0.90993997286057815</v>
      </c>
      <c r="L8" s="5">
        <f>CORREL(C2:C1001,A2:A1001)</f>
        <v>8.0720147162812214E-2</v>
      </c>
      <c r="M8" s="5">
        <f>CORREL(D2:D1001,A2:A1001)</f>
        <v>0.12262532562998485</v>
      </c>
      <c r="N8" s="5">
        <f>CORREL(E2:E1001,A2:A1001)</f>
        <v>0.47022073160199324</v>
      </c>
      <c r="O8" s="5">
        <f>CORREL(F2:F1001,A2:A1001)</f>
        <v>0.16904504909761614</v>
      </c>
      <c r="P8" s="5">
        <f>CORREL(G2:G1001,A2:A1001)</f>
        <v>0.22929155386993369</v>
      </c>
    </row>
    <row r="9" spans="1:16" x14ac:dyDescent="0.35">
      <c r="A9">
        <v>0.2</v>
      </c>
      <c r="B9">
        <v>0.2576</v>
      </c>
      <c r="C9">
        <v>0.86</v>
      </c>
      <c r="D9">
        <v>0</v>
      </c>
      <c r="E9">
        <v>1</v>
      </c>
      <c r="F9">
        <v>2</v>
      </c>
      <c r="G9">
        <v>3</v>
      </c>
      <c r="I9" s="138" t="s">
        <v>193</v>
      </c>
      <c r="J9" s="5">
        <f>CORREL($A$2:$A$1001,$B$2:$B$1001)</f>
        <v>0.90993997286057815</v>
      </c>
      <c r="K9" s="5">
        <f>CORREL(B2:B1001,B2:B1001)</f>
        <v>0.99999999999999989</v>
      </c>
      <c r="L9" s="5">
        <f>CORREL(C2:C1001,B2:B1001)</f>
        <v>0.19244031095294237</v>
      </c>
      <c r="M9" s="5">
        <f>CORREL(D2:D1001,B2:B1001)</f>
        <v>-0.21211890643302544</v>
      </c>
      <c r="N9" s="5">
        <f>CORREL(E2:E1001,B2:B1001)</f>
        <v>0.4235527525620208</v>
      </c>
      <c r="O9" s="5">
        <f>CORREL(F2:F1001,B2:B1001)</f>
        <v>0.13823080131207147</v>
      </c>
      <c r="P9" s="5">
        <f>CORREL(G2:G1001,B2:B1001)</f>
        <v>0.19334918171516929</v>
      </c>
    </row>
    <row r="10" spans="1:16" x14ac:dyDescent="0.35">
      <c r="A10">
        <v>0.24</v>
      </c>
      <c r="B10">
        <v>0.19993489148580967</v>
      </c>
      <c r="C10">
        <v>0.75</v>
      </c>
      <c r="D10">
        <v>0</v>
      </c>
      <c r="E10">
        <v>1</v>
      </c>
      <c r="F10">
        <v>7</v>
      </c>
      <c r="G10">
        <v>8</v>
      </c>
      <c r="I10" s="138" t="s">
        <v>40</v>
      </c>
      <c r="J10" s="5">
        <f>CORREL($A$2:$A$1001,$C$2:$C$1001)</f>
        <v>8.0720147162812214E-2</v>
      </c>
      <c r="K10" s="5">
        <f>CORREL(B2:B1001,C2:C1001)</f>
        <v>0.19244031095294237</v>
      </c>
      <c r="L10" s="5">
        <f>CORREL(C2:C1001,C2:C1001)</f>
        <v>1</v>
      </c>
      <c r="M10" s="5">
        <f>CORREL(D2:D1001,C2:C1001)</f>
        <v>-0.38555034700358864</v>
      </c>
      <c r="N10" s="5">
        <f>CORREL(E2:E1001,C2:C1001)</f>
        <v>-0.2594074545428624</v>
      </c>
      <c r="O10" s="5">
        <f>CORREL(F2:F1001,C2:C1001)</f>
        <v>-0.22937044088624536</v>
      </c>
      <c r="P10" s="5">
        <f>CORREL(G2:G1001,C2:C1001)</f>
        <v>-0.25435329828790432</v>
      </c>
    </row>
    <row r="11" spans="1:16" x14ac:dyDescent="0.35">
      <c r="A11">
        <v>0.32</v>
      </c>
      <c r="B11">
        <v>0.34849999999999998</v>
      </c>
      <c r="C11">
        <v>0.76</v>
      </c>
      <c r="D11">
        <v>0</v>
      </c>
      <c r="E11">
        <v>8</v>
      </c>
      <c r="F11">
        <v>6</v>
      </c>
      <c r="G11">
        <v>14</v>
      </c>
      <c r="I11" s="138" t="s">
        <v>41</v>
      </c>
      <c r="J11" s="5">
        <f>CORREL(A2:A1001,D2:D1001)</f>
        <v>0.12262532562998485</v>
      </c>
      <c r="K11" s="5">
        <f>CORREL(B2:B1001,D2:D1001)</f>
        <v>-0.21211890643302544</v>
      </c>
      <c r="L11" s="5">
        <f>CORREL(C2:C1001,D2:D1001)</f>
        <v>-0.38555034700358864</v>
      </c>
      <c r="M11" s="5">
        <f>CORREL(D2:D1001,D2:D1001)</f>
        <v>1.0000000000000002</v>
      </c>
      <c r="N11" s="5">
        <f>CORREL(E2:E1001,D2:D1001)</f>
        <v>0.12939194234487605</v>
      </c>
      <c r="O11" s="5">
        <f>CORREL(F2:F1001,D2:D1001)</f>
        <v>9.0058728679306796E-2</v>
      </c>
      <c r="P11" s="5">
        <f>CORREL(G2:G1001,D2:D1001)</f>
        <v>0.10399668008577614</v>
      </c>
    </row>
    <row r="12" spans="1:16" x14ac:dyDescent="0.35">
      <c r="A12">
        <v>0.38</v>
      </c>
      <c r="B12">
        <v>0.39389999999999997</v>
      </c>
      <c r="C12">
        <v>0.76</v>
      </c>
      <c r="D12">
        <v>0.25369999999999998</v>
      </c>
      <c r="E12">
        <v>12</v>
      </c>
      <c r="F12">
        <v>24</v>
      </c>
      <c r="G12">
        <v>36</v>
      </c>
      <c r="I12" s="138" t="s">
        <v>54</v>
      </c>
      <c r="J12" s="5">
        <f>CORREL(A2:A1001,E2:E1001)</f>
        <v>0.47022073160199324</v>
      </c>
      <c r="K12" s="5">
        <f>CORREL(B2:B1001,E2:E1001)</f>
        <v>0.4235527525620208</v>
      </c>
      <c r="L12" s="5">
        <f>CORREL(C2:C1001,E2:E1001)</f>
        <v>-0.2594074545428624</v>
      </c>
      <c r="M12" s="5">
        <f>CORREL(D2:D1001,E2:E1001)</f>
        <v>0.12939194234487605</v>
      </c>
      <c r="N12" s="5">
        <f>CORREL(E2:E1001,E2:E1001)</f>
        <v>1</v>
      </c>
      <c r="O12" s="5">
        <f>CORREL(F2:F1001,E2:E1001)</f>
        <v>0.33770561189314974</v>
      </c>
      <c r="P12" s="5">
        <f>CORREL(G2:G1001,E2:E1001)</f>
        <v>0.46715111933058207</v>
      </c>
    </row>
    <row r="13" spans="1:16" x14ac:dyDescent="0.35">
      <c r="A13">
        <v>0.36</v>
      </c>
      <c r="B13">
        <v>0.33329999999999999</v>
      </c>
      <c r="C13">
        <v>0.81</v>
      </c>
      <c r="D13">
        <v>0.28360000000000002</v>
      </c>
      <c r="E13">
        <v>26</v>
      </c>
      <c r="F13">
        <v>30</v>
      </c>
      <c r="G13">
        <v>56</v>
      </c>
      <c r="I13" s="138" t="s">
        <v>55</v>
      </c>
      <c r="J13" s="5">
        <f>CORREL(A2:A1001,F2:F1001)</f>
        <v>0.16904504909761614</v>
      </c>
      <c r="K13" s="5">
        <f>CORREL(B2:B1001,F2:F1001)</f>
        <v>0.13823080131207147</v>
      </c>
      <c r="L13" s="5">
        <f>CORREL(C2:C1001,F2:F1001)</f>
        <v>-0.22937044088624536</v>
      </c>
      <c r="M13" s="5">
        <f>CORREL(D2:D1001,F2:F1001)</f>
        <v>9.0058728679306796E-2</v>
      </c>
      <c r="N13" s="5">
        <f>CORREL(E2:E1001,F2:F1001)</f>
        <v>0.33770561189314974</v>
      </c>
      <c r="O13" s="5">
        <f>CORREL(F2:F1001,F2:F1001)</f>
        <v>1</v>
      </c>
      <c r="P13" s="5">
        <f>CORREL(G2:G1001,F2:F1001)</f>
        <v>0.98999319275208175</v>
      </c>
    </row>
    <row r="14" spans="1:16" x14ac:dyDescent="0.35">
      <c r="A14">
        <v>0.42</v>
      </c>
      <c r="B14">
        <v>0.42420000000000002</v>
      </c>
      <c r="C14">
        <v>0.77</v>
      </c>
      <c r="D14">
        <v>0.28360000000000002</v>
      </c>
      <c r="E14">
        <v>29</v>
      </c>
      <c r="F14">
        <v>55</v>
      </c>
      <c r="G14">
        <v>84</v>
      </c>
      <c r="I14" s="138" t="s">
        <v>194</v>
      </c>
      <c r="J14" s="5">
        <f>CORREL(A2:A1001,G2:G1001)</f>
        <v>0.22929155386993369</v>
      </c>
      <c r="K14" s="5">
        <f>CORREL(B2:B1001,G2:G1001)</f>
        <v>0.19334918171516929</v>
      </c>
      <c r="L14" s="5">
        <f>CORREL(C2:C1001,G2:G1001)</f>
        <v>-0.25435329828790432</v>
      </c>
      <c r="M14" s="5">
        <f>CORREL(D2:D1001,G2:G1001)</f>
        <v>0.10399668008577614</v>
      </c>
      <c r="N14" s="5">
        <f>CORREL(E2:E1001,G2:G1001)</f>
        <v>0.46715111933058207</v>
      </c>
      <c r="O14" s="5">
        <f>CORREL(F2:F1001,G2:G1001)</f>
        <v>0.98999319275208175</v>
      </c>
      <c r="P14" s="5">
        <f>CORREL(G2:G1001,G2:G1001)</f>
        <v>1</v>
      </c>
    </row>
    <row r="15" spans="1:16" x14ac:dyDescent="0.35">
      <c r="A15">
        <v>0.46</v>
      </c>
      <c r="B15">
        <v>0.45450000000000002</v>
      </c>
      <c r="C15">
        <v>0.72</v>
      </c>
      <c r="D15">
        <v>0.29849999999999999</v>
      </c>
      <c r="E15">
        <v>47</v>
      </c>
      <c r="F15">
        <v>47</v>
      </c>
      <c r="G15">
        <v>94</v>
      </c>
    </row>
    <row r="16" spans="1:16" x14ac:dyDescent="0.35">
      <c r="A16">
        <v>0.46</v>
      </c>
      <c r="B16">
        <v>0.45450000000000002</v>
      </c>
      <c r="C16">
        <v>0.72</v>
      </c>
      <c r="D16">
        <v>0.28360000000000002</v>
      </c>
      <c r="E16">
        <v>35</v>
      </c>
      <c r="F16">
        <v>71</v>
      </c>
      <c r="G16">
        <v>106</v>
      </c>
    </row>
    <row r="17" spans="1:7" x14ac:dyDescent="0.35">
      <c r="A17">
        <v>0.44</v>
      </c>
      <c r="B17">
        <v>0.43940000000000001</v>
      </c>
      <c r="C17">
        <v>0.77</v>
      </c>
      <c r="D17">
        <v>0.29849999999999999</v>
      </c>
      <c r="E17">
        <v>40</v>
      </c>
      <c r="F17">
        <v>70</v>
      </c>
      <c r="G17">
        <v>110</v>
      </c>
    </row>
    <row r="18" spans="1:7" x14ac:dyDescent="0.35">
      <c r="A18">
        <v>0.42</v>
      </c>
      <c r="B18">
        <v>0.42420000000000002</v>
      </c>
      <c r="C18">
        <v>0.82</v>
      </c>
      <c r="D18">
        <v>0.29849999999999999</v>
      </c>
      <c r="E18">
        <v>41</v>
      </c>
      <c r="F18">
        <v>52</v>
      </c>
      <c r="G18">
        <v>93</v>
      </c>
    </row>
    <row r="19" spans="1:7" x14ac:dyDescent="0.35">
      <c r="A19">
        <v>0.44</v>
      </c>
      <c r="B19">
        <v>0.19993489148580967</v>
      </c>
      <c r="C19">
        <v>0.82</v>
      </c>
      <c r="D19">
        <v>0.28360000000000002</v>
      </c>
      <c r="E19">
        <v>15</v>
      </c>
      <c r="F19">
        <v>52</v>
      </c>
      <c r="G19">
        <v>67</v>
      </c>
    </row>
    <row r="20" spans="1:7" x14ac:dyDescent="0.35">
      <c r="A20">
        <v>0.42</v>
      </c>
      <c r="B20">
        <v>0.42420000000000002</v>
      </c>
      <c r="C20">
        <v>0.88</v>
      </c>
      <c r="D20">
        <v>0.25369999999999998</v>
      </c>
      <c r="E20">
        <v>9</v>
      </c>
      <c r="F20">
        <v>26</v>
      </c>
      <c r="G20">
        <v>35</v>
      </c>
    </row>
    <row r="21" spans="1:7" x14ac:dyDescent="0.35">
      <c r="A21">
        <v>0.42</v>
      </c>
      <c r="B21">
        <v>0.42420000000000002</v>
      </c>
      <c r="C21">
        <v>0.88</v>
      </c>
      <c r="D21">
        <v>0.25369999999999998</v>
      </c>
      <c r="E21">
        <v>6</v>
      </c>
      <c r="F21">
        <v>31</v>
      </c>
      <c r="G21">
        <v>37</v>
      </c>
    </row>
    <row r="22" spans="1:7" x14ac:dyDescent="0.35">
      <c r="A22">
        <v>0.4</v>
      </c>
      <c r="B22">
        <v>0.40910000000000002</v>
      </c>
      <c r="C22">
        <v>0.87</v>
      </c>
      <c r="D22">
        <v>0.25369999999999998</v>
      </c>
      <c r="E22">
        <v>11</v>
      </c>
      <c r="F22">
        <v>25</v>
      </c>
      <c r="G22">
        <v>36</v>
      </c>
    </row>
    <row r="23" spans="1:7" x14ac:dyDescent="0.35">
      <c r="A23">
        <v>0.4</v>
      </c>
      <c r="B23">
        <v>0.40910000000000002</v>
      </c>
      <c r="C23">
        <v>0.87</v>
      </c>
      <c r="D23">
        <v>0.19400000000000001</v>
      </c>
      <c r="E23">
        <v>3</v>
      </c>
      <c r="F23">
        <v>31</v>
      </c>
      <c r="G23">
        <v>34</v>
      </c>
    </row>
    <row r="24" spans="1:7" x14ac:dyDescent="0.35">
      <c r="A24">
        <v>0.4</v>
      </c>
      <c r="B24">
        <v>0.40910000000000002</v>
      </c>
      <c r="C24">
        <v>0.94</v>
      </c>
      <c r="D24">
        <v>0.22389999999999999</v>
      </c>
      <c r="E24">
        <v>11</v>
      </c>
      <c r="F24">
        <v>17</v>
      </c>
      <c r="G24">
        <v>28</v>
      </c>
    </row>
    <row r="25" spans="1:7" x14ac:dyDescent="0.35">
      <c r="A25">
        <v>0.46</v>
      </c>
      <c r="B25">
        <v>0.19993489148580967</v>
      </c>
      <c r="C25">
        <v>0.88</v>
      </c>
      <c r="D25">
        <v>0.29849999999999999</v>
      </c>
      <c r="E25">
        <v>15</v>
      </c>
      <c r="F25">
        <v>24</v>
      </c>
      <c r="G25">
        <v>39</v>
      </c>
    </row>
    <row r="26" spans="1:7" x14ac:dyDescent="0.35">
      <c r="A26">
        <v>0.46</v>
      </c>
      <c r="B26">
        <v>0.45450000000000002</v>
      </c>
      <c r="C26">
        <v>0.88</v>
      </c>
      <c r="D26">
        <v>0.29849999999999999</v>
      </c>
      <c r="E26">
        <v>4</v>
      </c>
      <c r="F26">
        <v>13</v>
      </c>
      <c r="G26">
        <v>17</v>
      </c>
    </row>
    <row r="27" spans="1:7" x14ac:dyDescent="0.35">
      <c r="A27">
        <v>0.44</v>
      </c>
      <c r="B27">
        <v>0.43940000000000001</v>
      </c>
      <c r="C27">
        <v>0.94</v>
      </c>
      <c r="D27">
        <v>0.25369999999999998</v>
      </c>
      <c r="E27">
        <v>1</v>
      </c>
      <c r="F27">
        <v>16</v>
      </c>
      <c r="G27">
        <v>17</v>
      </c>
    </row>
    <row r="28" spans="1:7" x14ac:dyDescent="0.35">
      <c r="A28">
        <v>0.42</v>
      </c>
      <c r="B28">
        <v>0.42420000000000002</v>
      </c>
      <c r="C28">
        <v>1</v>
      </c>
      <c r="D28">
        <v>0.28360000000000002</v>
      </c>
      <c r="E28">
        <v>1</v>
      </c>
      <c r="F28">
        <v>8</v>
      </c>
      <c r="G28">
        <v>9</v>
      </c>
    </row>
    <row r="29" spans="1:7" x14ac:dyDescent="0.35">
      <c r="A29">
        <v>0.46</v>
      </c>
      <c r="B29">
        <v>0.45450000000000002</v>
      </c>
      <c r="C29">
        <v>0.94</v>
      </c>
      <c r="D29">
        <v>0.19400000000000001</v>
      </c>
      <c r="E29">
        <v>2</v>
      </c>
      <c r="F29">
        <v>4</v>
      </c>
      <c r="G29">
        <v>6</v>
      </c>
    </row>
    <row r="30" spans="1:7" x14ac:dyDescent="0.35">
      <c r="A30">
        <v>0.46</v>
      </c>
      <c r="B30">
        <v>0.19993489148580967</v>
      </c>
      <c r="C30">
        <v>0.94</v>
      </c>
      <c r="D30">
        <v>0.19400000000000001</v>
      </c>
      <c r="E30">
        <v>2</v>
      </c>
      <c r="F30">
        <v>1</v>
      </c>
      <c r="G30">
        <v>3</v>
      </c>
    </row>
    <row r="31" spans="1:7" x14ac:dyDescent="0.35">
      <c r="A31">
        <v>0.42</v>
      </c>
      <c r="B31">
        <v>0.42420000000000002</v>
      </c>
      <c r="C31">
        <v>0.77</v>
      </c>
      <c r="D31">
        <v>0.29849999999999999</v>
      </c>
      <c r="E31">
        <v>0</v>
      </c>
      <c r="F31">
        <v>2</v>
      </c>
      <c r="G31">
        <v>2</v>
      </c>
    </row>
    <row r="32" spans="1:7" x14ac:dyDescent="0.35">
      <c r="A32">
        <v>0.4</v>
      </c>
      <c r="B32">
        <v>0.40910000000000002</v>
      </c>
      <c r="C32">
        <v>0.76</v>
      </c>
      <c r="D32">
        <v>0.19400000000000001</v>
      </c>
      <c r="E32">
        <v>0</v>
      </c>
      <c r="F32">
        <v>1</v>
      </c>
      <c r="G32">
        <v>1</v>
      </c>
    </row>
    <row r="33" spans="1:7" x14ac:dyDescent="0.35">
      <c r="A33">
        <v>0.4</v>
      </c>
      <c r="B33">
        <v>0.40910000000000002</v>
      </c>
      <c r="C33">
        <v>0.71</v>
      </c>
      <c r="D33">
        <v>0.22389999999999999</v>
      </c>
      <c r="E33">
        <v>0</v>
      </c>
      <c r="F33">
        <v>8</v>
      </c>
      <c r="G33">
        <v>8</v>
      </c>
    </row>
    <row r="34" spans="1:7" x14ac:dyDescent="0.35">
      <c r="A34">
        <v>0.38</v>
      </c>
      <c r="B34">
        <v>0.19993489148580967</v>
      </c>
      <c r="C34">
        <v>0.76</v>
      </c>
      <c r="D34">
        <v>0.22389999999999999</v>
      </c>
      <c r="E34">
        <v>1</v>
      </c>
      <c r="F34">
        <v>19</v>
      </c>
      <c r="G34">
        <v>20</v>
      </c>
    </row>
    <row r="35" spans="1:7" x14ac:dyDescent="0.35">
      <c r="A35">
        <v>0.36</v>
      </c>
      <c r="B35">
        <v>0.34849999999999998</v>
      </c>
      <c r="C35">
        <v>0.81</v>
      </c>
      <c r="D35">
        <v>0.22389999999999999</v>
      </c>
      <c r="E35">
        <v>7</v>
      </c>
      <c r="F35">
        <v>46</v>
      </c>
      <c r="G35">
        <v>53</v>
      </c>
    </row>
    <row r="36" spans="1:7" x14ac:dyDescent="0.35">
      <c r="A36">
        <v>0.36</v>
      </c>
      <c r="B36">
        <v>0.33329999999999999</v>
      </c>
      <c r="C36">
        <v>0.71</v>
      </c>
      <c r="D36">
        <v>0.25369999999999998</v>
      </c>
      <c r="E36">
        <v>16</v>
      </c>
      <c r="F36">
        <v>54</v>
      </c>
      <c r="G36">
        <v>70</v>
      </c>
    </row>
    <row r="37" spans="1:7" x14ac:dyDescent="0.35">
      <c r="A37">
        <v>0.36</v>
      </c>
      <c r="B37">
        <v>0.33329999999999999</v>
      </c>
      <c r="C37">
        <v>0.66</v>
      </c>
      <c r="D37">
        <v>0.29849999999999999</v>
      </c>
      <c r="E37">
        <v>20</v>
      </c>
      <c r="F37">
        <v>73</v>
      </c>
      <c r="G37">
        <v>93</v>
      </c>
    </row>
    <row r="38" spans="1:7" x14ac:dyDescent="0.35">
      <c r="A38">
        <v>0.36</v>
      </c>
      <c r="B38">
        <v>0.34849999999999998</v>
      </c>
      <c r="C38">
        <v>0.66</v>
      </c>
      <c r="D38">
        <v>0.1343</v>
      </c>
      <c r="E38">
        <v>11</v>
      </c>
      <c r="F38">
        <v>64</v>
      </c>
      <c r="G38">
        <v>75</v>
      </c>
    </row>
    <row r="39" spans="1:7" x14ac:dyDescent="0.35">
      <c r="A39">
        <v>0.36</v>
      </c>
      <c r="B39">
        <v>0.19993489148580967</v>
      </c>
      <c r="C39">
        <v>0.76</v>
      </c>
      <c r="D39">
        <v>0.19400000000000001</v>
      </c>
      <c r="E39">
        <v>4</v>
      </c>
      <c r="F39">
        <v>55</v>
      </c>
      <c r="G39">
        <v>59</v>
      </c>
    </row>
    <row r="40" spans="1:7" x14ac:dyDescent="0.35">
      <c r="A40">
        <v>0.34</v>
      </c>
      <c r="B40">
        <v>0.33329999999999999</v>
      </c>
      <c r="C40">
        <v>0.81</v>
      </c>
      <c r="D40">
        <v>0.16420000000000001</v>
      </c>
      <c r="E40">
        <v>19</v>
      </c>
      <c r="F40">
        <v>55</v>
      </c>
      <c r="G40">
        <v>74</v>
      </c>
    </row>
    <row r="41" spans="1:7" x14ac:dyDescent="0.35">
      <c r="A41">
        <v>0.34</v>
      </c>
      <c r="B41">
        <v>0.33329999999999999</v>
      </c>
      <c r="C41">
        <v>0.71</v>
      </c>
      <c r="D41">
        <v>0.16420000000000001</v>
      </c>
      <c r="E41">
        <v>9</v>
      </c>
      <c r="F41">
        <v>67</v>
      </c>
      <c r="G41">
        <v>76</v>
      </c>
    </row>
    <row r="42" spans="1:7" x14ac:dyDescent="0.35">
      <c r="A42">
        <v>0.34</v>
      </c>
      <c r="B42">
        <v>0.33329999999999999</v>
      </c>
      <c r="C42">
        <v>0.56999999999999995</v>
      </c>
      <c r="D42">
        <v>0.19400000000000001</v>
      </c>
      <c r="E42">
        <v>7</v>
      </c>
      <c r="F42">
        <v>58</v>
      </c>
      <c r="G42">
        <v>65</v>
      </c>
    </row>
    <row r="43" spans="1:7" x14ac:dyDescent="0.35">
      <c r="A43">
        <v>0.36</v>
      </c>
      <c r="B43">
        <v>0.33329999999999999</v>
      </c>
      <c r="C43">
        <v>0.46</v>
      </c>
      <c r="D43">
        <v>0.32840000000000003</v>
      </c>
      <c r="E43">
        <v>10</v>
      </c>
      <c r="F43">
        <v>43</v>
      </c>
      <c r="G43">
        <v>53</v>
      </c>
    </row>
    <row r="44" spans="1:7" x14ac:dyDescent="0.35">
      <c r="A44">
        <v>0.32</v>
      </c>
      <c r="B44">
        <v>0.28789999999999999</v>
      </c>
      <c r="C44">
        <v>0.42</v>
      </c>
      <c r="D44">
        <v>0.44779999999999998</v>
      </c>
      <c r="E44">
        <v>1</v>
      </c>
      <c r="F44">
        <v>29</v>
      </c>
      <c r="G44">
        <v>30</v>
      </c>
    </row>
    <row r="45" spans="1:7" x14ac:dyDescent="0.35">
      <c r="A45">
        <v>0.3</v>
      </c>
      <c r="B45">
        <v>0.19993489148580967</v>
      </c>
      <c r="C45">
        <v>0.39</v>
      </c>
      <c r="D45">
        <v>0.35820000000000002</v>
      </c>
      <c r="E45">
        <v>5</v>
      </c>
      <c r="F45">
        <v>17</v>
      </c>
      <c r="G45">
        <v>22</v>
      </c>
    </row>
    <row r="46" spans="1:7" x14ac:dyDescent="0.35">
      <c r="A46">
        <v>0.26</v>
      </c>
      <c r="B46">
        <v>0.2273</v>
      </c>
      <c r="C46">
        <v>0.44</v>
      </c>
      <c r="D46">
        <v>0.32840000000000003</v>
      </c>
      <c r="E46">
        <v>11</v>
      </c>
      <c r="F46">
        <v>20</v>
      </c>
      <c r="G46">
        <v>31</v>
      </c>
    </row>
    <row r="47" spans="1:7" x14ac:dyDescent="0.35">
      <c r="A47">
        <v>0.24</v>
      </c>
      <c r="B47">
        <v>0.21210000000000001</v>
      </c>
      <c r="C47">
        <v>0.44</v>
      </c>
      <c r="D47">
        <v>0.29849999999999999</v>
      </c>
      <c r="E47">
        <v>0</v>
      </c>
      <c r="F47">
        <v>9</v>
      </c>
      <c r="G47">
        <v>9</v>
      </c>
    </row>
    <row r="48" spans="1:7" x14ac:dyDescent="0.35">
      <c r="A48">
        <v>0.22</v>
      </c>
      <c r="B48">
        <v>0.2273</v>
      </c>
      <c r="C48">
        <v>0.47</v>
      </c>
      <c r="D48">
        <v>0.16420000000000001</v>
      </c>
      <c r="E48">
        <v>0</v>
      </c>
      <c r="F48">
        <v>8</v>
      </c>
      <c r="G48">
        <v>8</v>
      </c>
    </row>
    <row r="49" spans="1:7" x14ac:dyDescent="0.35">
      <c r="A49">
        <v>0.22</v>
      </c>
      <c r="B49">
        <v>0.19700000000000001</v>
      </c>
      <c r="C49">
        <v>0.44</v>
      </c>
      <c r="D49">
        <v>0.35820000000000002</v>
      </c>
      <c r="E49">
        <v>0</v>
      </c>
      <c r="F49">
        <v>5</v>
      </c>
      <c r="G49">
        <v>5</v>
      </c>
    </row>
    <row r="50" spans="1:7" x14ac:dyDescent="0.35">
      <c r="A50">
        <v>0.2</v>
      </c>
      <c r="B50">
        <v>0.19993489148580967</v>
      </c>
      <c r="C50">
        <v>0.44</v>
      </c>
      <c r="D50">
        <v>0.41789999999999999</v>
      </c>
      <c r="E50">
        <v>0</v>
      </c>
      <c r="F50">
        <v>2</v>
      </c>
      <c r="G50">
        <v>2</v>
      </c>
    </row>
    <row r="51" spans="1:7" x14ac:dyDescent="0.35">
      <c r="A51">
        <v>0.16</v>
      </c>
      <c r="B51">
        <v>0.13639999999999999</v>
      </c>
      <c r="C51">
        <v>0.47</v>
      </c>
      <c r="D51">
        <v>0.3881</v>
      </c>
      <c r="E51">
        <v>0</v>
      </c>
      <c r="F51">
        <v>1</v>
      </c>
      <c r="G51">
        <v>1</v>
      </c>
    </row>
    <row r="52" spans="1:7" x14ac:dyDescent="0.35">
      <c r="A52">
        <v>0.16</v>
      </c>
      <c r="B52">
        <v>0.13639999999999999</v>
      </c>
      <c r="C52">
        <v>0.47</v>
      </c>
      <c r="D52">
        <v>0.28360000000000002</v>
      </c>
      <c r="E52">
        <v>0</v>
      </c>
      <c r="F52">
        <v>3</v>
      </c>
      <c r="G52">
        <v>3</v>
      </c>
    </row>
    <row r="53" spans="1:7" x14ac:dyDescent="0.35">
      <c r="A53">
        <v>0.14000000000000001</v>
      </c>
      <c r="B53">
        <v>0.1061</v>
      </c>
      <c r="C53">
        <v>0.5</v>
      </c>
      <c r="D53">
        <v>0.3881</v>
      </c>
      <c r="E53">
        <v>0</v>
      </c>
      <c r="F53">
        <v>30</v>
      </c>
      <c r="G53">
        <v>30</v>
      </c>
    </row>
    <row r="54" spans="1:7" x14ac:dyDescent="0.35">
      <c r="A54">
        <v>0.14000000000000001</v>
      </c>
      <c r="B54">
        <v>0.13639999999999999</v>
      </c>
      <c r="C54">
        <v>0.5</v>
      </c>
      <c r="D54">
        <v>0.19400000000000001</v>
      </c>
      <c r="E54">
        <v>1</v>
      </c>
      <c r="F54">
        <v>63</v>
      </c>
      <c r="G54">
        <v>64</v>
      </c>
    </row>
    <row r="55" spans="1:7" x14ac:dyDescent="0.35">
      <c r="A55">
        <v>0.14000000000000001</v>
      </c>
      <c r="B55">
        <v>0.1212</v>
      </c>
      <c r="C55">
        <v>0.5</v>
      </c>
      <c r="D55">
        <v>0.28360000000000002</v>
      </c>
      <c r="E55">
        <v>1</v>
      </c>
      <c r="F55">
        <v>153</v>
      </c>
      <c r="G55">
        <v>154</v>
      </c>
    </row>
    <row r="56" spans="1:7" x14ac:dyDescent="0.35">
      <c r="A56">
        <v>0.16</v>
      </c>
      <c r="B56">
        <v>0.13639999999999999</v>
      </c>
      <c r="C56">
        <v>0.43</v>
      </c>
      <c r="D56">
        <v>0.3881</v>
      </c>
      <c r="E56">
        <v>7</v>
      </c>
      <c r="F56">
        <v>81</v>
      </c>
      <c r="G56">
        <v>88</v>
      </c>
    </row>
    <row r="57" spans="1:7" x14ac:dyDescent="0.35">
      <c r="A57">
        <v>0.18</v>
      </c>
      <c r="B57">
        <v>0.16669999999999999</v>
      </c>
      <c r="C57">
        <v>0.43</v>
      </c>
      <c r="D57">
        <v>0.25369999999999998</v>
      </c>
      <c r="E57">
        <v>11</v>
      </c>
      <c r="F57">
        <v>33</v>
      </c>
      <c r="G57">
        <v>44</v>
      </c>
    </row>
    <row r="58" spans="1:7" x14ac:dyDescent="0.35">
      <c r="A58">
        <v>0.2</v>
      </c>
      <c r="B58">
        <v>0.18179999999999999</v>
      </c>
      <c r="C58">
        <v>0.4</v>
      </c>
      <c r="D58">
        <v>0.32840000000000003</v>
      </c>
      <c r="E58">
        <v>10</v>
      </c>
      <c r="F58">
        <v>41</v>
      </c>
      <c r="G58">
        <v>51</v>
      </c>
    </row>
    <row r="59" spans="1:7" x14ac:dyDescent="0.35">
      <c r="A59">
        <v>0.22</v>
      </c>
      <c r="B59">
        <v>0.21210000000000001</v>
      </c>
      <c r="C59">
        <v>0.35</v>
      </c>
      <c r="D59">
        <v>0.29849999999999999</v>
      </c>
      <c r="E59">
        <v>13</v>
      </c>
      <c r="F59">
        <v>48</v>
      </c>
      <c r="G59">
        <v>61</v>
      </c>
    </row>
    <row r="60" spans="1:7" x14ac:dyDescent="0.35">
      <c r="A60">
        <v>0.24</v>
      </c>
      <c r="B60">
        <v>0.19993489148580967</v>
      </c>
      <c r="C60">
        <v>0.35</v>
      </c>
      <c r="D60">
        <v>0.28360000000000002</v>
      </c>
      <c r="E60">
        <v>8</v>
      </c>
      <c r="F60">
        <v>53</v>
      </c>
      <c r="G60">
        <v>61</v>
      </c>
    </row>
    <row r="61" spans="1:7" x14ac:dyDescent="0.35">
      <c r="A61">
        <v>0.26</v>
      </c>
      <c r="B61">
        <v>0.2424</v>
      </c>
      <c r="C61">
        <v>0.3</v>
      </c>
      <c r="D61">
        <v>0.28360000000000002</v>
      </c>
      <c r="E61">
        <v>11</v>
      </c>
      <c r="F61">
        <v>66</v>
      </c>
      <c r="G61">
        <v>77</v>
      </c>
    </row>
    <row r="62" spans="1:7" x14ac:dyDescent="0.35">
      <c r="A62">
        <v>0.26</v>
      </c>
      <c r="B62">
        <v>0.2424</v>
      </c>
      <c r="C62">
        <v>0.3</v>
      </c>
      <c r="D62">
        <v>0.25369999999999998</v>
      </c>
      <c r="E62">
        <v>14</v>
      </c>
      <c r="F62">
        <v>58</v>
      </c>
      <c r="G62">
        <v>72</v>
      </c>
    </row>
    <row r="63" spans="1:7" x14ac:dyDescent="0.35">
      <c r="A63">
        <v>0.26</v>
      </c>
      <c r="B63">
        <v>0.2424</v>
      </c>
      <c r="C63">
        <v>0.3</v>
      </c>
      <c r="D63">
        <v>0.25369999999999998</v>
      </c>
      <c r="E63">
        <v>9</v>
      </c>
      <c r="F63">
        <v>67</v>
      </c>
      <c r="G63">
        <v>76</v>
      </c>
    </row>
    <row r="64" spans="1:7" x14ac:dyDescent="0.35">
      <c r="A64">
        <v>0.24</v>
      </c>
      <c r="B64">
        <v>0.2273</v>
      </c>
      <c r="C64">
        <v>0.3</v>
      </c>
      <c r="D64">
        <v>0.22389999999999999</v>
      </c>
      <c r="E64">
        <v>11</v>
      </c>
      <c r="F64">
        <v>146</v>
      </c>
      <c r="G64">
        <v>157</v>
      </c>
    </row>
    <row r="65" spans="1:7" x14ac:dyDescent="0.35">
      <c r="A65">
        <v>0.24</v>
      </c>
      <c r="B65">
        <v>0.2576</v>
      </c>
      <c r="C65">
        <v>0.32</v>
      </c>
      <c r="D65">
        <v>0.1045</v>
      </c>
      <c r="E65">
        <v>9</v>
      </c>
      <c r="F65">
        <v>148</v>
      </c>
      <c r="G65">
        <v>157</v>
      </c>
    </row>
    <row r="66" spans="1:7" x14ac:dyDescent="0.35">
      <c r="A66">
        <v>0.2</v>
      </c>
      <c r="B66">
        <v>0.2576</v>
      </c>
      <c r="C66">
        <v>0.47</v>
      </c>
      <c r="D66">
        <v>0</v>
      </c>
      <c r="E66">
        <v>8</v>
      </c>
      <c r="F66">
        <v>102</v>
      </c>
      <c r="G66">
        <v>110</v>
      </c>
    </row>
    <row r="67" spans="1:7" x14ac:dyDescent="0.35">
      <c r="A67">
        <v>0.2</v>
      </c>
      <c r="B67">
        <v>0.19993489148580967</v>
      </c>
      <c r="C67">
        <v>0.47</v>
      </c>
      <c r="D67">
        <v>0.1045</v>
      </c>
      <c r="E67">
        <v>3</v>
      </c>
      <c r="F67">
        <v>49</v>
      </c>
      <c r="G67">
        <v>52</v>
      </c>
    </row>
    <row r="68" spans="1:7" x14ac:dyDescent="0.35">
      <c r="A68">
        <v>0.18</v>
      </c>
      <c r="B68">
        <v>0.19700000000000001</v>
      </c>
      <c r="C68">
        <v>0.64</v>
      </c>
      <c r="D68">
        <v>0.1343</v>
      </c>
      <c r="E68">
        <v>3</v>
      </c>
      <c r="F68">
        <v>49</v>
      </c>
      <c r="G68">
        <v>52</v>
      </c>
    </row>
    <row r="69" spans="1:7" x14ac:dyDescent="0.35">
      <c r="A69">
        <v>0.14000000000000001</v>
      </c>
      <c r="B69">
        <v>0.1515</v>
      </c>
      <c r="C69">
        <v>0.69</v>
      </c>
      <c r="D69">
        <v>0.1343</v>
      </c>
      <c r="E69">
        <v>0</v>
      </c>
      <c r="F69">
        <v>20</v>
      </c>
      <c r="G69">
        <v>20</v>
      </c>
    </row>
    <row r="70" spans="1:7" x14ac:dyDescent="0.35">
      <c r="A70">
        <v>0.18</v>
      </c>
      <c r="B70">
        <v>0.21210000000000001</v>
      </c>
      <c r="C70">
        <v>0.55000000000000004</v>
      </c>
      <c r="D70">
        <v>0.1045</v>
      </c>
      <c r="E70">
        <v>1</v>
      </c>
      <c r="F70">
        <v>11</v>
      </c>
      <c r="G70">
        <v>12</v>
      </c>
    </row>
    <row r="71" spans="1:7" x14ac:dyDescent="0.35">
      <c r="A71">
        <v>0.16</v>
      </c>
      <c r="B71">
        <v>0.19993489148580967</v>
      </c>
      <c r="C71">
        <v>0.55000000000000004</v>
      </c>
      <c r="D71">
        <v>0.1045</v>
      </c>
      <c r="E71">
        <v>0</v>
      </c>
      <c r="F71">
        <v>5</v>
      </c>
      <c r="G71">
        <v>5</v>
      </c>
    </row>
    <row r="72" spans="1:7" x14ac:dyDescent="0.35">
      <c r="A72">
        <v>0.16</v>
      </c>
      <c r="B72">
        <v>0.18179999999999999</v>
      </c>
      <c r="C72">
        <v>0.59</v>
      </c>
      <c r="D72">
        <v>0.1045</v>
      </c>
      <c r="E72">
        <v>0</v>
      </c>
      <c r="F72">
        <v>2</v>
      </c>
      <c r="G72">
        <v>2</v>
      </c>
    </row>
    <row r="73" spans="1:7" x14ac:dyDescent="0.35">
      <c r="A73">
        <v>0.14000000000000001</v>
      </c>
      <c r="B73">
        <v>0.1515</v>
      </c>
      <c r="C73">
        <v>0.63</v>
      </c>
      <c r="D73">
        <v>0.1343</v>
      </c>
      <c r="E73">
        <v>0</v>
      </c>
      <c r="F73">
        <v>1</v>
      </c>
      <c r="G73">
        <v>1</v>
      </c>
    </row>
    <row r="74" spans="1:7" x14ac:dyDescent="0.35">
      <c r="A74">
        <v>0.14000000000000001</v>
      </c>
      <c r="B74">
        <v>0.18179999999999999</v>
      </c>
      <c r="C74">
        <v>0.63</v>
      </c>
      <c r="D74">
        <v>8.9599999999999999E-2</v>
      </c>
      <c r="E74">
        <v>0</v>
      </c>
      <c r="F74">
        <v>2</v>
      </c>
      <c r="G74">
        <v>2</v>
      </c>
    </row>
    <row r="75" spans="1:7" x14ac:dyDescent="0.35">
      <c r="A75">
        <v>0.12</v>
      </c>
      <c r="B75">
        <v>0.1515</v>
      </c>
      <c r="C75">
        <v>0.68</v>
      </c>
      <c r="D75">
        <v>0.1045</v>
      </c>
      <c r="E75">
        <v>0</v>
      </c>
      <c r="F75">
        <v>4</v>
      </c>
      <c r="G75">
        <v>4</v>
      </c>
    </row>
    <row r="76" spans="1:7" x14ac:dyDescent="0.35">
      <c r="A76">
        <v>0.12</v>
      </c>
      <c r="B76">
        <v>0.1515</v>
      </c>
      <c r="C76">
        <v>0.74</v>
      </c>
      <c r="D76">
        <v>0.1045</v>
      </c>
      <c r="E76">
        <v>0</v>
      </c>
      <c r="F76">
        <v>36</v>
      </c>
      <c r="G76">
        <v>36</v>
      </c>
    </row>
    <row r="77" spans="1:7" x14ac:dyDescent="0.35">
      <c r="A77">
        <v>0.12</v>
      </c>
      <c r="B77">
        <v>0.1515</v>
      </c>
      <c r="C77">
        <v>0.74</v>
      </c>
      <c r="D77">
        <v>0.1343</v>
      </c>
      <c r="E77">
        <v>2</v>
      </c>
      <c r="F77">
        <v>92</v>
      </c>
      <c r="G77">
        <v>94</v>
      </c>
    </row>
    <row r="78" spans="1:7" x14ac:dyDescent="0.35">
      <c r="A78">
        <v>0.14000000000000001</v>
      </c>
      <c r="B78">
        <v>0.1515</v>
      </c>
      <c r="C78">
        <v>0.69</v>
      </c>
      <c r="D78">
        <v>0.16420000000000001</v>
      </c>
      <c r="E78">
        <v>2</v>
      </c>
      <c r="F78">
        <v>177</v>
      </c>
      <c r="G78">
        <v>179</v>
      </c>
    </row>
    <row r="79" spans="1:7" x14ac:dyDescent="0.35">
      <c r="A79">
        <v>0.16</v>
      </c>
      <c r="B79">
        <v>0.1515</v>
      </c>
      <c r="C79">
        <v>0.64</v>
      </c>
      <c r="D79">
        <v>0.22389999999999999</v>
      </c>
      <c r="E79">
        <v>2</v>
      </c>
      <c r="F79">
        <v>98</v>
      </c>
      <c r="G79">
        <v>100</v>
      </c>
    </row>
    <row r="80" spans="1:7" x14ac:dyDescent="0.35">
      <c r="A80">
        <v>0.16</v>
      </c>
      <c r="B80">
        <v>0.13639999999999999</v>
      </c>
      <c r="C80">
        <v>0.69</v>
      </c>
      <c r="D80">
        <v>0.32840000000000003</v>
      </c>
      <c r="E80">
        <v>5</v>
      </c>
      <c r="F80">
        <v>37</v>
      </c>
      <c r="G80">
        <v>42</v>
      </c>
    </row>
    <row r="81" spans="1:7" x14ac:dyDescent="0.35">
      <c r="A81">
        <v>0.22</v>
      </c>
      <c r="B81">
        <v>0.21210000000000001</v>
      </c>
      <c r="C81">
        <v>0.51</v>
      </c>
      <c r="D81">
        <v>0.29849999999999999</v>
      </c>
      <c r="E81">
        <v>7</v>
      </c>
      <c r="F81">
        <v>50</v>
      </c>
      <c r="G81">
        <v>57</v>
      </c>
    </row>
    <row r="82" spans="1:7" x14ac:dyDescent="0.35">
      <c r="A82">
        <v>0.22</v>
      </c>
      <c r="B82">
        <v>0.2273</v>
      </c>
      <c r="C82">
        <v>0.51</v>
      </c>
      <c r="D82">
        <v>0.16420000000000001</v>
      </c>
      <c r="E82">
        <v>12</v>
      </c>
      <c r="F82">
        <v>66</v>
      </c>
      <c r="G82">
        <v>78</v>
      </c>
    </row>
    <row r="83" spans="1:7" x14ac:dyDescent="0.35">
      <c r="A83">
        <v>0.24</v>
      </c>
      <c r="B83">
        <v>0.2273</v>
      </c>
      <c r="C83">
        <v>0.56000000000000005</v>
      </c>
      <c r="D83">
        <v>0.19400000000000001</v>
      </c>
      <c r="E83">
        <v>18</v>
      </c>
      <c r="F83">
        <v>79</v>
      </c>
      <c r="G83">
        <v>97</v>
      </c>
    </row>
    <row r="84" spans="1:7" x14ac:dyDescent="0.35">
      <c r="A84">
        <v>0.26</v>
      </c>
      <c r="B84">
        <v>0.2576</v>
      </c>
      <c r="C84">
        <v>0.52</v>
      </c>
      <c r="D84">
        <v>0.22389999999999999</v>
      </c>
      <c r="E84">
        <v>9</v>
      </c>
      <c r="F84">
        <v>54</v>
      </c>
      <c r="G84">
        <v>63</v>
      </c>
    </row>
    <row r="85" spans="1:7" x14ac:dyDescent="0.35">
      <c r="A85">
        <v>0.28000000000000003</v>
      </c>
      <c r="B85">
        <v>0.2727</v>
      </c>
      <c r="C85">
        <v>0.52</v>
      </c>
      <c r="D85">
        <v>0.25369999999999998</v>
      </c>
      <c r="E85">
        <v>17</v>
      </c>
      <c r="F85">
        <v>48</v>
      </c>
      <c r="G85">
        <v>65</v>
      </c>
    </row>
    <row r="86" spans="1:7" x14ac:dyDescent="0.35">
      <c r="A86">
        <v>0.3</v>
      </c>
      <c r="B86">
        <v>0.28789999999999999</v>
      </c>
      <c r="C86">
        <v>0.49</v>
      </c>
      <c r="D86">
        <v>0.25369999999999998</v>
      </c>
      <c r="E86">
        <v>15</v>
      </c>
      <c r="F86">
        <v>68</v>
      </c>
      <c r="G86">
        <v>83</v>
      </c>
    </row>
    <row r="87" spans="1:7" x14ac:dyDescent="0.35">
      <c r="A87">
        <v>0.28000000000000003</v>
      </c>
      <c r="B87">
        <v>0.2727</v>
      </c>
      <c r="C87">
        <v>0.48</v>
      </c>
      <c r="D87">
        <v>0.22389999999999999</v>
      </c>
      <c r="E87">
        <v>10</v>
      </c>
      <c r="F87">
        <v>202</v>
      </c>
      <c r="G87">
        <v>212</v>
      </c>
    </row>
    <row r="88" spans="1:7" x14ac:dyDescent="0.35">
      <c r="A88">
        <v>0.26</v>
      </c>
      <c r="B88">
        <v>0.2576</v>
      </c>
      <c r="C88">
        <v>0.48</v>
      </c>
      <c r="D88">
        <v>0.19400000000000001</v>
      </c>
      <c r="E88">
        <v>3</v>
      </c>
      <c r="F88">
        <v>179</v>
      </c>
      <c r="G88">
        <v>182</v>
      </c>
    </row>
    <row r="89" spans="1:7" x14ac:dyDescent="0.35">
      <c r="A89">
        <v>0.24</v>
      </c>
      <c r="B89">
        <v>0.2576</v>
      </c>
      <c r="C89">
        <v>0.48</v>
      </c>
      <c r="D89">
        <v>0.1045</v>
      </c>
      <c r="E89">
        <v>2</v>
      </c>
      <c r="F89">
        <v>110</v>
      </c>
      <c r="G89">
        <v>112</v>
      </c>
    </row>
    <row r="90" spans="1:7" x14ac:dyDescent="0.35">
      <c r="A90">
        <v>0.24</v>
      </c>
      <c r="B90">
        <v>0.2576</v>
      </c>
      <c r="C90">
        <v>0.48</v>
      </c>
      <c r="D90">
        <v>0.1045</v>
      </c>
      <c r="E90">
        <v>1</v>
      </c>
      <c r="F90">
        <v>53</v>
      </c>
      <c r="G90">
        <v>54</v>
      </c>
    </row>
    <row r="91" spans="1:7" x14ac:dyDescent="0.35">
      <c r="A91">
        <v>0.22</v>
      </c>
      <c r="B91">
        <v>0.2727</v>
      </c>
      <c r="C91">
        <v>0.64</v>
      </c>
      <c r="D91">
        <v>0</v>
      </c>
      <c r="E91">
        <v>0</v>
      </c>
      <c r="F91">
        <v>48</v>
      </c>
      <c r="G91">
        <v>48</v>
      </c>
    </row>
    <row r="92" spans="1:7" x14ac:dyDescent="0.35">
      <c r="A92">
        <v>0.22</v>
      </c>
      <c r="B92">
        <v>0.2576</v>
      </c>
      <c r="C92">
        <v>0.64</v>
      </c>
      <c r="D92">
        <v>8.9599999999999999E-2</v>
      </c>
      <c r="E92">
        <v>1</v>
      </c>
      <c r="F92">
        <v>34</v>
      </c>
      <c r="G92">
        <v>35</v>
      </c>
    </row>
    <row r="93" spans="1:7" x14ac:dyDescent="0.35">
      <c r="A93">
        <v>0.2</v>
      </c>
      <c r="B93">
        <v>0.2273</v>
      </c>
      <c r="C93">
        <v>0.69</v>
      </c>
      <c r="D93">
        <v>8.9599999999999999E-2</v>
      </c>
      <c r="E93">
        <v>2</v>
      </c>
      <c r="F93">
        <v>9</v>
      </c>
      <c r="G93">
        <v>11</v>
      </c>
    </row>
    <row r="94" spans="1:7" x14ac:dyDescent="0.35">
      <c r="A94">
        <v>0.2</v>
      </c>
      <c r="B94">
        <v>0.2576</v>
      </c>
      <c r="C94">
        <v>0.64</v>
      </c>
      <c r="D94">
        <v>0</v>
      </c>
      <c r="E94">
        <v>0</v>
      </c>
      <c r="F94">
        <v>6</v>
      </c>
      <c r="G94">
        <v>6</v>
      </c>
    </row>
    <row r="95" spans="1:7" x14ac:dyDescent="0.35">
      <c r="A95">
        <v>0.16</v>
      </c>
      <c r="B95">
        <v>0.19700000000000001</v>
      </c>
      <c r="C95">
        <v>0.74</v>
      </c>
      <c r="D95">
        <v>8.9599999999999999E-2</v>
      </c>
      <c r="E95">
        <v>0</v>
      </c>
      <c r="F95">
        <v>6</v>
      </c>
      <c r="G95">
        <v>6</v>
      </c>
    </row>
    <row r="96" spans="1:7" x14ac:dyDescent="0.35">
      <c r="A96">
        <v>0.16</v>
      </c>
      <c r="B96">
        <v>0.19700000000000001</v>
      </c>
      <c r="C96">
        <v>0.74</v>
      </c>
      <c r="D96">
        <v>8.9599999999999999E-2</v>
      </c>
      <c r="E96">
        <v>0</v>
      </c>
      <c r="F96">
        <v>2</v>
      </c>
      <c r="G96">
        <v>2</v>
      </c>
    </row>
    <row r="97" spans="1:7" x14ac:dyDescent="0.35">
      <c r="A97">
        <v>0.24</v>
      </c>
      <c r="B97">
        <v>0.2273</v>
      </c>
      <c r="C97">
        <v>0.48</v>
      </c>
      <c r="D97">
        <v>0.22389999999999999</v>
      </c>
      <c r="E97">
        <v>0</v>
      </c>
      <c r="F97">
        <v>2</v>
      </c>
      <c r="G97">
        <v>2</v>
      </c>
    </row>
    <row r="98" spans="1:7" x14ac:dyDescent="0.35">
      <c r="A98">
        <v>0.22</v>
      </c>
      <c r="B98">
        <v>0.2273</v>
      </c>
      <c r="C98">
        <v>0.47</v>
      </c>
      <c r="D98">
        <v>0.16420000000000001</v>
      </c>
      <c r="E98">
        <v>0</v>
      </c>
      <c r="F98">
        <v>3</v>
      </c>
      <c r="G98">
        <v>3</v>
      </c>
    </row>
    <row r="99" spans="1:7" x14ac:dyDescent="0.35">
      <c r="A99">
        <v>0.2</v>
      </c>
      <c r="B99">
        <v>0.19700000000000001</v>
      </c>
      <c r="C99">
        <v>0.47</v>
      </c>
      <c r="D99">
        <v>0.22389999999999999</v>
      </c>
      <c r="E99">
        <v>0</v>
      </c>
      <c r="F99">
        <v>33</v>
      </c>
      <c r="G99">
        <v>33</v>
      </c>
    </row>
    <row r="100" spans="1:7" x14ac:dyDescent="0.35">
      <c r="A100">
        <v>0.18</v>
      </c>
      <c r="B100">
        <v>0.18179999999999999</v>
      </c>
      <c r="C100">
        <v>0.43</v>
      </c>
      <c r="D100">
        <v>0.19400000000000001</v>
      </c>
      <c r="E100">
        <v>1</v>
      </c>
      <c r="F100">
        <v>87</v>
      </c>
      <c r="G100">
        <v>88</v>
      </c>
    </row>
    <row r="101" spans="1:7" x14ac:dyDescent="0.35">
      <c r="A101">
        <v>0.2</v>
      </c>
      <c r="B101">
        <v>0.18179999999999999</v>
      </c>
      <c r="C101">
        <v>0.4</v>
      </c>
      <c r="D101">
        <v>0.29849999999999999</v>
      </c>
      <c r="E101">
        <v>3</v>
      </c>
      <c r="F101">
        <v>192</v>
      </c>
      <c r="G101">
        <v>195</v>
      </c>
    </row>
    <row r="102" spans="1:7" x14ac:dyDescent="0.35">
      <c r="A102">
        <v>0.22</v>
      </c>
      <c r="B102">
        <v>0.19700000000000001</v>
      </c>
      <c r="C102">
        <v>0.37</v>
      </c>
      <c r="D102">
        <v>0.32840000000000003</v>
      </c>
      <c r="E102">
        <v>6</v>
      </c>
      <c r="F102">
        <v>109</v>
      </c>
      <c r="G102">
        <v>115</v>
      </c>
    </row>
    <row r="103" spans="1:7" x14ac:dyDescent="0.35">
      <c r="A103">
        <v>0.22</v>
      </c>
      <c r="B103">
        <v>0.19700000000000001</v>
      </c>
      <c r="C103">
        <v>0.37</v>
      </c>
      <c r="D103">
        <v>0.32840000000000003</v>
      </c>
      <c r="E103">
        <v>4</v>
      </c>
      <c r="F103">
        <v>53</v>
      </c>
      <c r="G103">
        <v>57</v>
      </c>
    </row>
    <row r="104" spans="1:7" x14ac:dyDescent="0.35">
      <c r="A104">
        <v>0.26</v>
      </c>
      <c r="B104">
        <v>0.2273</v>
      </c>
      <c r="C104">
        <v>0.33</v>
      </c>
      <c r="D104">
        <v>0.32840000000000003</v>
      </c>
      <c r="E104">
        <v>12</v>
      </c>
      <c r="F104">
        <v>34</v>
      </c>
      <c r="G104">
        <v>46</v>
      </c>
    </row>
    <row r="105" spans="1:7" x14ac:dyDescent="0.35">
      <c r="A105">
        <v>0.26</v>
      </c>
      <c r="B105">
        <v>0.2273</v>
      </c>
      <c r="C105">
        <v>0.33</v>
      </c>
      <c r="D105">
        <v>0.32840000000000003</v>
      </c>
      <c r="E105">
        <v>5</v>
      </c>
      <c r="F105">
        <v>74</v>
      </c>
      <c r="G105">
        <v>79</v>
      </c>
    </row>
    <row r="106" spans="1:7" x14ac:dyDescent="0.35">
      <c r="A106">
        <v>0.28000000000000003</v>
      </c>
      <c r="B106">
        <v>0.2576</v>
      </c>
      <c r="C106">
        <v>0.3</v>
      </c>
      <c r="D106">
        <v>0.29849999999999999</v>
      </c>
      <c r="E106">
        <v>6</v>
      </c>
      <c r="F106">
        <v>65</v>
      </c>
      <c r="G106">
        <v>71</v>
      </c>
    </row>
    <row r="107" spans="1:7" x14ac:dyDescent="0.35">
      <c r="A107">
        <v>0.3</v>
      </c>
      <c r="B107">
        <v>0.28789999999999999</v>
      </c>
      <c r="C107">
        <v>0.28000000000000003</v>
      </c>
      <c r="D107">
        <v>0.19400000000000001</v>
      </c>
      <c r="E107">
        <v>10</v>
      </c>
      <c r="F107">
        <v>52</v>
      </c>
      <c r="G107">
        <v>62</v>
      </c>
    </row>
    <row r="108" spans="1:7" x14ac:dyDescent="0.35">
      <c r="A108">
        <v>0.3</v>
      </c>
      <c r="B108">
        <v>0.28789999999999999</v>
      </c>
      <c r="C108">
        <v>0.28000000000000003</v>
      </c>
      <c r="D108">
        <v>0.19400000000000001</v>
      </c>
      <c r="E108">
        <v>7</v>
      </c>
      <c r="F108">
        <v>55</v>
      </c>
      <c r="G108">
        <v>62</v>
      </c>
    </row>
    <row r="109" spans="1:7" x14ac:dyDescent="0.35">
      <c r="A109">
        <v>0.3</v>
      </c>
      <c r="B109">
        <v>0.31819999999999998</v>
      </c>
      <c r="C109">
        <v>0.28000000000000003</v>
      </c>
      <c r="D109">
        <v>8.9599999999999999E-2</v>
      </c>
      <c r="E109">
        <v>4</v>
      </c>
      <c r="F109">
        <v>85</v>
      </c>
      <c r="G109">
        <v>89</v>
      </c>
    </row>
    <row r="110" spans="1:7" x14ac:dyDescent="0.35">
      <c r="A110">
        <v>0.24</v>
      </c>
      <c r="B110">
        <v>0.2273</v>
      </c>
      <c r="C110">
        <v>0.38</v>
      </c>
      <c r="D110">
        <v>0.19400000000000001</v>
      </c>
      <c r="E110">
        <v>4</v>
      </c>
      <c r="F110">
        <v>186</v>
      </c>
      <c r="G110">
        <v>190</v>
      </c>
    </row>
    <row r="111" spans="1:7" x14ac:dyDescent="0.35">
      <c r="A111">
        <v>0.24</v>
      </c>
      <c r="B111">
        <v>0.2424</v>
      </c>
      <c r="C111">
        <v>0.38</v>
      </c>
      <c r="D111">
        <v>0.1343</v>
      </c>
      <c r="E111">
        <v>3</v>
      </c>
      <c r="F111">
        <v>166</v>
      </c>
      <c r="G111">
        <v>169</v>
      </c>
    </row>
    <row r="112" spans="1:7" x14ac:dyDescent="0.35">
      <c r="A112">
        <v>0.24</v>
      </c>
      <c r="B112">
        <v>0.2576</v>
      </c>
      <c r="C112">
        <v>0.38</v>
      </c>
      <c r="D112">
        <v>0.1045</v>
      </c>
      <c r="E112">
        <v>5</v>
      </c>
      <c r="F112">
        <v>127</v>
      </c>
      <c r="G112">
        <v>132</v>
      </c>
    </row>
    <row r="113" spans="1:7" x14ac:dyDescent="0.35">
      <c r="A113">
        <v>0.22</v>
      </c>
      <c r="B113">
        <v>0.2273</v>
      </c>
      <c r="C113">
        <v>0.47</v>
      </c>
      <c r="D113">
        <v>0.16420000000000001</v>
      </c>
      <c r="E113">
        <v>7</v>
      </c>
      <c r="F113">
        <v>82</v>
      </c>
      <c r="G113">
        <v>89</v>
      </c>
    </row>
    <row r="114" spans="1:7" x14ac:dyDescent="0.35">
      <c r="A114">
        <v>0.2</v>
      </c>
      <c r="B114">
        <v>0.19700000000000001</v>
      </c>
      <c r="C114">
        <v>0.51</v>
      </c>
      <c r="D114">
        <v>0.19400000000000001</v>
      </c>
      <c r="E114">
        <v>3</v>
      </c>
      <c r="F114">
        <v>40</v>
      </c>
      <c r="G114">
        <v>43</v>
      </c>
    </row>
    <row r="115" spans="1:7" x14ac:dyDescent="0.35">
      <c r="A115">
        <v>0.18</v>
      </c>
      <c r="B115">
        <v>0.19700000000000001</v>
      </c>
      <c r="C115">
        <v>0.55000000000000004</v>
      </c>
      <c r="D115">
        <v>0.1343</v>
      </c>
      <c r="E115">
        <v>1</v>
      </c>
      <c r="F115">
        <v>41</v>
      </c>
      <c r="G115">
        <v>42</v>
      </c>
    </row>
    <row r="116" spans="1:7" x14ac:dyDescent="0.35">
      <c r="A116">
        <v>0.2</v>
      </c>
      <c r="B116">
        <v>0.2576</v>
      </c>
      <c r="C116">
        <v>0.47</v>
      </c>
      <c r="D116">
        <v>0</v>
      </c>
      <c r="E116">
        <v>1</v>
      </c>
      <c r="F116">
        <v>18</v>
      </c>
      <c r="G116">
        <v>19</v>
      </c>
    </row>
    <row r="117" spans="1:7" x14ac:dyDescent="0.35">
      <c r="A117">
        <v>0.18</v>
      </c>
      <c r="B117">
        <v>0.2424</v>
      </c>
      <c r="C117">
        <v>0.55000000000000004</v>
      </c>
      <c r="D117">
        <v>0</v>
      </c>
      <c r="E117">
        <v>0</v>
      </c>
      <c r="F117">
        <v>11</v>
      </c>
      <c r="G117">
        <v>11</v>
      </c>
    </row>
    <row r="118" spans="1:7" x14ac:dyDescent="0.35">
      <c r="A118">
        <v>0.16</v>
      </c>
      <c r="B118">
        <v>0.2273</v>
      </c>
      <c r="C118">
        <v>0.64</v>
      </c>
      <c r="D118">
        <v>0</v>
      </c>
      <c r="E118">
        <v>0</v>
      </c>
      <c r="F118">
        <v>4</v>
      </c>
      <c r="G118">
        <v>4</v>
      </c>
    </row>
    <row r="119" spans="1:7" x14ac:dyDescent="0.35">
      <c r="A119">
        <v>0.16</v>
      </c>
      <c r="B119">
        <v>0.2273</v>
      </c>
      <c r="C119">
        <v>0.64</v>
      </c>
      <c r="D119">
        <v>0</v>
      </c>
      <c r="E119">
        <v>0</v>
      </c>
      <c r="F119">
        <v>2</v>
      </c>
      <c r="G119">
        <v>2</v>
      </c>
    </row>
    <row r="120" spans="1:7" x14ac:dyDescent="0.35">
      <c r="A120">
        <v>0.16</v>
      </c>
      <c r="B120">
        <v>0.19700000000000001</v>
      </c>
      <c r="C120">
        <v>0.64</v>
      </c>
      <c r="D120">
        <v>8.9599999999999999E-2</v>
      </c>
      <c r="E120">
        <v>0</v>
      </c>
      <c r="F120">
        <v>1</v>
      </c>
      <c r="G120">
        <v>1</v>
      </c>
    </row>
    <row r="121" spans="1:7" x14ac:dyDescent="0.35">
      <c r="A121">
        <v>0.14000000000000001</v>
      </c>
      <c r="B121">
        <v>0.18179999999999999</v>
      </c>
      <c r="C121">
        <v>0.69</v>
      </c>
      <c r="D121">
        <v>8.9599999999999999E-2</v>
      </c>
      <c r="E121">
        <v>0</v>
      </c>
      <c r="F121">
        <v>4</v>
      </c>
      <c r="G121">
        <v>4</v>
      </c>
    </row>
    <row r="122" spans="1:7" x14ac:dyDescent="0.35">
      <c r="A122">
        <v>0.14000000000000001</v>
      </c>
      <c r="B122">
        <v>0.16669999999999999</v>
      </c>
      <c r="C122">
        <v>0.63</v>
      </c>
      <c r="D122">
        <v>0.1045</v>
      </c>
      <c r="E122">
        <v>0</v>
      </c>
      <c r="F122">
        <v>36</v>
      </c>
      <c r="G122">
        <v>36</v>
      </c>
    </row>
    <row r="123" spans="1:7" x14ac:dyDescent="0.35">
      <c r="A123">
        <v>0.16</v>
      </c>
      <c r="B123">
        <v>0.2273</v>
      </c>
      <c r="C123">
        <v>0.59</v>
      </c>
      <c r="D123">
        <v>0</v>
      </c>
      <c r="E123">
        <v>0</v>
      </c>
      <c r="F123">
        <v>95</v>
      </c>
      <c r="G123">
        <v>95</v>
      </c>
    </row>
    <row r="124" spans="1:7" x14ac:dyDescent="0.35">
      <c r="A124">
        <v>0.16</v>
      </c>
      <c r="B124">
        <v>0.2273</v>
      </c>
      <c r="C124">
        <v>0.59</v>
      </c>
      <c r="D124">
        <v>0</v>
      </c>
      <c r="E124">
        <v>3</v>
      </c>
      <c r="F124">
        <v>216</v>
      </c>
      <c r="G124">
        <v>219</v>
      </c>
    </row>
    <row r="125" spans="1:7" x14ac:dyDescent="0.35">
      <c r="A125">
        <v>0.18</v>
      </c>
      <c r="B125">
        <v>0.2424</v>
      </c>
      <c r="C125">
        <v>0.51</v>
      </c>
      <c r="D125">
        <v>0</v>
      </c>
      <c r="E125">
        <v>6</v>
      </c>
      <c r="F125">
        <v>116</v>
      </c>
      <c r="G125">
        <v>122</v>
      </c>
    </row>
    <row r="126" spans="1:7" x14ac:dyDescent="0.35">
      <c r="A126">
        <v>0.2</v>
      </c>
      <c r="B126">
        <v>0.2576</v>
      </c>
      <c r="C126">
        <v>0.47</v>
      </c>
      <c r="D126">
        <v>0</v>
      </c>
      <c r="E126">
        <v>3</v>
      </c>
      <c r="F126">
        <v>42</v>
      </c>
      <c r="G126">
        <v>45</v>
      </c>
    </row>
    <row r="127" spans="1:7" x14ac:dyDescent="0.35">
      <c r="A127">
        <v>0.22</v>
      </c>
      <c r="B127">
        <v>0.2576</v>
      </c>
      <c r="C127">
        <v>0.44</v>
      </c>
      <c r="D127">
        <v>8.9599999999999999E-2</v>
      </c>
      <c r="E127">
        <v>2</v>
      </c>
      <c r="F127">
        <v>57</v>
      </c>
      <c r="G127">
        <v>59</v>
      </c>
    </row>
    <row r="128" spans="1:7" x14ac:dyDescent="0.35">
      <c r="A128">
        <v>0.26</v>
      </c>
      <c r="B128">
        <v>0.28789999999999999</v>
      </c>
      <c r="C128">
        <v>0.35</v>
      </c>
      <c r="D128">
        <v>0</v>
      </c>
      <c r="E128">
        <v>6</v>
      </c>
      <c r="F128">
        <v>78</v>
      </c>
      <c r="G128">
        <v>84</v>
      </c>
    </row>
    <row r="129" spans="1:7" x14ac:dyDescent="0.35">
      <c r="A129">
        <v>0.26</v>
      </c>
      <c r="B129">
        <v>0.2727</v>
      </c>
      <c r="C129">
        <v>0.35</v>
      </c>
      <c r="D129">
        <v>0.1045</v>
      </c>
      <c r="E129">
        <v>12</v>
      </c>
      <c r="F129">
        <v>55</v>
      </c>
      <c r="G129">
        <v>67</v>
      </c>
    </row>
    <row r="130" spans="1:7" x14ac:dyDescent="0.35">
      <c r="A130">
        <v>0.28000000000000003</v>
      </c>
      <c r="B130">
        <v>0.2727</v>
      </c>
      <c r="C130">
        <v>0.36</v>
      </c>
      <c r="D130">
        <v>0.16420000000000001</v>
      </c>
      <c r="E130">
        <v>11</v>
      </c>
      <c r="F130">
        <v>59</v>
      </c>
      <c r="G130">
        <v>70</v>
      </c>
    </row>
    <row r="131" spans="1:7" x14ac:dyDescent="0.35">
      <c r="A131">
        <v>0.28000000000000003</v>
      </c>
      <c r="B131">
        <v>0.2727</v>
      </c>
      <c r="C131">
        <v>0.36</v>
      </c>
      <c r="D131">
        <v>0</v>
      </c>
      <c r="E131">
        <v>8</v>
      </c>
      <c r="F131">
        <v>54</v>
      </c>
      <c r="G131">
        <v>62</v>
      </c>
    </row>
    <row r="132" spans="1:7" x14ac:dyDescent="0.35">
      <c r="A132">
        <v>0.26</v>
      </c>
      <c r="B132">
        <v>0.2576</v>
      </c>
      <c r="C132">
        <v>0.38</v>
      </c>
      <c r="D132">
        <v>0.16420000000000001</v>
      </c>
      <c r="E132">
        <v>12</v>
      </c>
      <c r="F132">
        <v>74</v>
      </c>
      <c r="G132">
        <v>86</v>
      </c>
    </row>
    <row r="133" spans="1:7" x14ac:dyDescent="0.35">
      <c r="A133">
        <v>0.22</v>
      </c>
      <c r="B133">
        <v>0.2273</v>
      </c>
      <c r="C133">
        <v>0.51</v>
      </c>
      <c r="D133">
        <v>0.16420000000000001</v>
      </c>
      <c r="E133">
        <v>9</v>
      </c>
      <c r="F133">
        <v>163</v>
      </c>
      <c r="G133">
        <v>172</v>
      </c>
    </row>
    <row r="134" spans="1:7" x14ac:dyDescent="0.35">
      <c r="A134">
        <v>0.22</v>
      </c>
      <c r="B134">
        <v>0.2273</v>
      </c>
      <c r="C134">
        <v>0.51</v>
      </c>
      <c r="D134">
        <v>0.1343</v>
      </c>
      <c r="E134">
        <v>5</v>
      </c>
      <c r="F134">
        <v>158</v>
      </c>
      <c r="G134">
        <v>163</v>
      </c>
    </row>
    <row r="135" spans="1:7" x14ac:dyDescent="0.35">
      <c r="A135">
        <v>0.22</v>
      </c>
      <c r="B135">
        <v>0.2576</v>
      </c>
      <c r="C135">
        <v>0.55000000000000004</v>
      </c>
      <c r="D135">
        <v>8.9599999999999999E-2</v>
      </c>
      <c r="E135">
        <v>3</v>
      </c>
      <c r="F135">
        <v>109</v>
      </c>
      <c r="G135">
        <v>112</v>
      </c>
    </row>
    <row r="136" spans="1:7" x14ac:dyDescent="0.35">
      <c r="A136">
        <v>0.2</v>
      </c>
      <c r="B136">
        <v>0.21210000000000001</v>
      </c>
      <c r="C136">
        <v>0.51</v>
      </c>
      <c r="D136">
        <v>0.16420000000000001</v>
      </c>
      <c r="E136">
        <v>3</v>
      </c>
      <c r="F136">
        <v>66</v>
      </c>
      <c r="G136">
        <v>69</v>
      </c>
    </row>
    <row r="137" spans="1:7" x14ac:dyDescent="0.35">
      <c r="A137">
        <v>0.22</v>
      </c>
      <c r="B137">
        <v>0.21210000000000001</v>
      </c>
      <c r="C137">
        <v>0.55000000000000004</v>
      </c>
      <c r="D137">
        <v>0.22389999999999999</v>
      </c>
      <c r="E137">
        <v>0</v>
      </c>
      <c r="F137">
        <v>48</v>
      </c>
      <c r="G137">
        <v>48</v>
      </c>
    </row>
    <row r="138" spans="1:7" x14ac:dyDescent="0.35">
      <c r="A138">
        <v>0.22</v>
      </c>
      <c r="B138">
        <v>0.21210000000000001</v>
      </c>
      <c r="C138">
        <v>0.51</v>
      </c>
      <c r="D138">
        <v>0.28360000000000002</v>
      </c>
      <c r="E138">
        <v>1</v>
      </c>
      <c r="F138">
        <v>51</v>
      </c>
      <c r="G138">
        <v>52</v>
      </c>
    </row>
    <row r="139" spans="1:7" x14ac:dyDescent="0.35">
      <c r="A139">
        <v>0.2</v>
      </c>
      <c r="B139">
        <v>0.19700000000000001</v>
      </c>
      <c r="C139">
        <v>0.59</v>
      </c>
      <c r="D139">
        <v>0.19400000000000001</v>
      </c>
      <c r="E139">
        <v>4</v>
      </c>
      <c r="F139">
        <v>19</v>
      </c>
      <c r="G139">
        <v>23</v>
      </c>
    </row>
    <row r="140" spans="1:7" x14ac:dyDescent="0.35">
      <c r="A140">
        <v>0.2</v>
      </c>
      <c r="B140">
        <v>0.19700000000000001</v>
      </c>
      <c r="C140">
        <v>0.64</v>
      </c>
      <c r="D140">
        <v>0.19400000000000001</v>
      </c>
      <c r="E140">
        <v>4</v>
      </c>
      <c r="F140">
        <v>13</v>
      </c>
      <c r="G140">
        <v>17</v>
      </c>
    </row>
    <row r="141" spans="1:7" x14ac:dyDescent="0.35">
      <c r="A141">
        <v>0.2</v>
      </c>
      <c r="B141">
        <v>0.19700000000000001</v>
      </c>
      <c r="C141">
        <v>0.69</v>
      </c>
      <c r="D141">
        <v>0.22389999999999999</v>
      </c>
      <c r="E141">
        <v>2</v>
      </c>
      <c r="F141">
        <v>5</v>
      </c>
      <c r="G141">
        <v>7</v>
      </c>
    </row>
    <row r="142" spans="1:7" x14ac:dyDescent="0.35">
      <c r="A142">
        <v>0.2</v>
      </c>
      <c r="B142">
        <v>0.19700000000000001</v>
      </c>
      <c r="C142">
        <v>0.69</v>
      </c>
      <c r="D142">
        <v>0.22389999999999999</v>
      </c>
      <c r="E142">
        <v>0</v>
      </c>
      <c r="F142">
        <v>1</v>
      </c>
      <c r="G142">
        <v>1</v>
      </c>
    </row>
    <row r="143" spans="1:7" x14ac:dyDescent="0.35">
      <c r="A143">
        <v>0.2</v>
      </c>
      <c r="B143">
        <v>0.21210000000000001</v>
      </c>
      <c r="C143">
        <v>0.69</v>
      </c>
      <c r="D143">
        <v>0.1343</v>
      </c>
      <c r="E143">
        <v>0</v>
      </c>
      <c r="F143">
        <v>1</v>
      </c>
      <c r="G143">
        <v>1</v>
      </c>
    </row>
    <row r="144" spans="1:7" x14ac:dyDescent="0.35">
      <c r="A144">
        <v>0.22</v>
      </c>
      <c r="B144">
        <v>0.2727</v>
      </c>
      <c r="C144">
        <v>0.55000000000000004</v>
      </c>
      <c r="D144">
        <v>0</v>
      </c>
      <c r="E144">
        <v>0</v>
      </c>
      <c r="F144">
        <v>5</v>
      </c>
      <c r="G144">
        <v>5</v>
      </c>
    </row>
    <row r="145" spans="1:7" x14ac:dyDescent="0.35">
      <c r="A145">
        <v>0.2</v>
      </c>
      <c r="B145">
        <v>0.2576</v>
      </c>
      <c r="C145">
        <v>0.69</v>
      </c>
      <c r="D145">
        <v>0</v>
      </c>
      <c r="E145">
        <v>8</v>
      </c>
      <c r="F145">
        <v>26</v>
      </c>
      <c r="G145">
        <v>34</v>
      </c>
    </row>
    <row r="146" spans="1:7" x14ac:dyDescent="0.35">
      <c r="A146">
        <v>0.2</v>
      </c>
      <c r="B146">
        <v>0.21210000000000001</v>
      </c>
      <c r="C146">
        <v>0.69</v>
      </c>
      <c r="D146">
        <v>0.1343</v>
      </c>
      <c r="E146">
        <v>8</v>
      </c>
      <c r="F146">
        <v>76</v>
      </c>
      <c r="G146">
        <v>84</v>
      </c>
    </row>
    <row r="147" spans="1:7" x14ac:dyDescent="0.35">
      <c r="A147">
        <v>0.2</v>
      </c>
      <c r="B147">
        <v>0.19700000000000001</v>
      </c>
      <c r="C147">
        <v>0.51</v>
      </c>
      <c r="D147">
        <v>0.25369999999999998</v>
      </c>
      <c r="E147">
        <v>20</v>
      </c>
      <c r="F147">
        <v>190</v>
      </c>
      <c r="G147">
        <v>210</v>
      </c>
    </row>
    <row r="148" spans="1:7" x14ac:dyDescent="0.35">
      <c r="A148">
        <v>0.2</v>
      </c>
      <c r="B148">
        <v>0.18179999999999999</v>
      </c>
      <c r="C148">
        <v>0.47</v>
      </c>
      <c r="D148">
        <v>0.29849999999999999</v>
      </c>
      <c r="E148">
        <v>9</v>
      </c>
      <c r="F148">
        <v>125</v>
      </c>
      <c r="G148">
        <v>134</v>
      </c>
    </row>
    <row r="149" spans="1:7" x14ac:dyDescent="0.35">
      <c r="A149">
        <v>0.22</v>
      </c>
      <c r="B149">
        <v>0.19700000000000001</v>
      </c>
      <c r="C149">
        <v>0.37</v>
      </c>
      <c r="D149">
        <v>0.32840000000000003</v>
      </c>
      <c r="E149">
        <v>16</v>
      </c>
      <c r="F149">
        <v>47</v>
      </c>
      <c r="G149">
        <v>63</v>
      </c>
    </row>
    <row r="150" spans="1:7" x14ac:dyDescent="0.35">
      <c r="A150">
        <v>0.2</v>
      </c>
      <c r="B150">
        <v>0.19700000000000001</v>
      </c>
      <c r="C150">
        <v>0.4</v>
      </c>
      <c r="D150">
        <v>0.22389999999999999</v>
      </c>
      <c r="E150">
        <v>19</v>
      </c>
      <c r="F150">
        <v>48</v>
      </c>
      <c r="G150">
        <v>67</v>
      </c>
    </row>
    <row r="151" spans="1:7" x14ac:dyDescent="0.35">
      <c r="A151">
        <v>0.2</v>
      </c>
      <c r="B151">
        <v>0.19700000000000001</v>
      </c>
      <c r="C151">
        <v>0.37</v>
      </c>
      <c r="D151">
        <v>0.25369999999999998</v>
      </c>
      <c r="E151">
        <v>9</v>
      </c>
      <c r="F151">
        <v>50</v>
      </c>
      <c r="G151">
        <v>59</v>
      </c>
    </row>
    <row r="152" spans="1:7" x14ac:dyDescent="0.35">
      <c r="A152">
        <v>0.2</v>
      </c>
      <c r="B152">
        <v>0.18179999999999999</v>
      </c>
      <c r="C152">
        <v>0.37</v>
      </c>
      <c r="D152">
        <v>0.28360000000000002</v>
      </c>
      <c r="E152">
        <v>9</v>
      </c>
      <c r="F152">
        <v>64</v>
      </c>
      <c r="G152">
        <v>73</v>
      </c>
    </row>
    <row r="153" spans="1:7" x14ac:dyDescent="0.35">
      <c r="A153">
        <v>0.2</v>
      </c>
      <c r="B153">
        <v>0.19700000000000001</v>
      </c>
      <c r="C153">
        <v>0.4</v>
      </c>
      <c r="D153">
        <v>0.25369999999999998</v>
      </c>
      <c r="E153">
        <v>7</v>
      </c>
      <c r="F153">
        <v>43</v>
      </c>
      <c r="G153">
        <v>50</v>
      </c>
    </row>
    <row r="154" spans="1:7" x14ac:dyDescent="0.35">
      <c r="A154">
        <v>0.2</v>
      </c>
      <c r="B154">
        <v>0.21210000000000001</v>
      </c>
      <c r="C154">
        <v>0.37</v>
      </c>
      <c r="D154">
        <v>0.16420000000000001</v>
      </c>
      <c r="E154">
        <v>9</v>
      </c>
      <c r="F154">
        <v>63</v>
      </c>
      <c r="G154">
        <v>72</v>
      </c>
    </row>
    <row r="155" spans="1:7" x14ac:dyDescent="0.35">
      <c r="A155">
        <v>0.2</v>
      </c>
      <c r="B155">
        <v>0.21210000000000001</v>
      </c>
      <c r="C155">
        <v>0.37</v>
      </c>
      <c r="D155">
        <v>0.16420000000000001</v>
      </c>
      <c r="E155">
        <v>5</v>
      </c>
      <c r="F155">
        <v>82</v>
      </c>
      <c r="G155">
        <v>87</v>
      </c>
    </row>
    <row r="156" spans="1:7" x14ac:dyDescent="0.35">
      <c r="A156">
        <v>0.2</v>
      </c>
      <c r="B156">
        <v>0.2576</v>
      </c>
      <c r="C156">
        <v>0.37</v>
      </c>
      <c r="D156">
        <v>0</v>
      </c>
      <c r="E156">
        <v>9</v>
      </c>
      <c r="F156">
        <v>178</v>
      </c>
      <c r="G156">
        <v>187</v>
      </c>
    </row>
    <row r="157" spans="1:7" x14ac:dyDescent="0.35">
      <c r="A157">
        <v>0.2</v>
      </c>
      <c r="B157">
        <v>0.2273</v>
      </c>
      <c r="C157">
        <v>0.4</v>
      </c>
      <c r="D157">
        <v>8.9599999999999999E-2</v>
      </c>
      <c r="E157">
        <v>7</v>
      </c>
      <c r="F157">
        <v>116</v>
      </c>
      <c r="G157">
        <v>123</v>
      </c>
    </row>
    <row r="158" spans="1:7" x14ac:dyDescent="0.35">
      <c r="A158">
        <v>0.16</v>
      </c>
      <c r="B158">
        <v>0.19700000000000001</v>
      </c>
      <c r="C158">
        <v>0.55000000000000004</v>
      </c>
      <c r="D158">
        <v>8.9599999999999999E-2</v>
      </c>
      <c r="E158">
        <v>3</v>
      </c>
      <c r="F158">
        <v>92</v>
      </c>
      <c r="G158">
        <v>95</v>
      </c>
    </row>
    <row r="159" spans="1:7" x14ac:dyDescent="0.35">
      <c r="A159">
        <v>0.18</v>
      </c>
      <c r="B159">
        <v>0.21210000000000001</v>
      </c>
      <c r="C159">
        <v>0.47</v>
      </c>
      <c r="D159">
        <v>0.1045</v>
      </c>
      <c r="E159">
        <v>1</v>
      </c>
      <c r="F159">
        <v>50</v>
      </c>
      <c r="G159">
        <v>51</v>
      </c>
    </row>
    <row r="160" spans="1:7" x14ac:dyDescent="0.35">
      <c r="A160">
        <v>0.18</v>
      </c>
      <c r="B160">
        <v>0.19700000000000001</v>
      </c>
      <c r="C160">
        <v>0.47</v>
      </c>
      <c r="D160">
        <v>0.1343</v>
      </c>
      <c r="E160">
        <v>0</v>
      </c>
      <c r="F160">
        <v>39</v>
      </c>
      <c r="G160">
        <v>39</v>
      </c>
    </row>
    <row r="161" spans="1:7" x14ac:dyDescent="0.35">
      <c r="A161">
        <v>0.18</v>
      </c>
      <c r="B161">
        <v>0.19700000000000001</v>
      </c>
      <c r="C161">
        <v>0.43</v>
      </c>
      <c r="D161">
        <v>0.16420000000000001</v>
      </c>
      <c r="E161">
        <v>2</v>
      </c>
      <c r="F161">
        <v>34</v>
      </c>
      <c r="G161">
        <v>36</v>
      </c>
    </row>
    <row r="162" spans="1:7" x14ac:dyDescent="0.35">
      <c r="A162">
        <v>0.18</v>
      </c>
      <c r="B162">
        <v>0.19700000000000001</v>
      </c>
      <c r="C162">
        <v>0.51</v>
      </c>
      <c r="D162">
        <v>0.16420000000000001</v>
      </c>
      <c r="E162">
        <v>1</v>
      </c>
      <c r="F162">
        <v>14</v>
      </c>
      <c r="G162">
        <v>15</v>
      </c>
    </row>
    <row r="163" spans="1:7" x14ac:dyDescent="0.35">
      <c r="A163">
        <v>0.18</v>
      </c>
      <c r="B163">
        <v>0.19700000000000001</v>
      </c>
      <c r="C163">
        <v>0.51</v>
      </c>
      <c r="D163">
        <v>0.16420000000000001</v>
      </c>
      <c r="E163">
        <v>1</v>
      </c>
      <c r="F163">
        <v>24</v>
      </c>
      <c r="G163">
        <v>25</v>
      </c>
    </row>
    <row r="164" spans="1:7" x14ac:dyDescent="0.35">
      <c r="A164">
        <v>0.18</v>
      </c>
      <c r="B164">
        <v>0.21210000000000001</v>
      </c>
      <c r="C164">
        <v>0.55000000000000004</v>
      </c>
      <c r="D164">
        <v>8.9599999999999999E-2</v>
      </c>
      <c r="E164">
        <v>1</v>
      </c>
      <c r="F164">
        <v>15</v>
      </c>
      <c r="G164">
        <v>16</v>
      </c>
    </row>
    <row r="165" spans="1:7" x14ac:dyDescent="0.35">
      <c r="A165">
        <v>0.18</v>
      </c>
      <c r="B165">
        <v>0.2424</v>
      </c>
      <c r="C165">
        <v>0.55000000000000004</v>
      </c>
      <c r="D165">
        <v>0</v>
      </c>
      <c r="E165">
        <v>3</v>
      </c>
      <c r="F165">
        <v>13</v>
      </c>
      <c r="G165">
        <v>16</v>
      </c>
    </row>
    <row r="166" spans="1:7" x14ac:dyDescent="0.35">
      <c r="A166">
        <v>0.18</v>
      </c>
      <c r="B166">
        <v>0.19700000000000001</v>
      </c>
      <c r="C166">
        <v>0.55000000000000004</v>
      </c>
      <c r="D166">
        <v>0.16420000000000001</v>
      </c>
      <c r="E166">
        <v>0</v>
      </c>
      <c r="F166">
        <v>7</v>
      </c>
      <c r="G166">
        <v>7</v>
      </c>
    </row>
    <row r="167" spans="1:7" x14ac:dyDescent="0.35">
      <c r="A167">
        <v>0.18</v>
      </c>
      <c r="B167">
        <v>0.19700000000000001</v>
      </c>
      <c r="C167">
        <v>0.55000000000000004</v>
      </c>
      <c r="D167">
        <v>0.16420000000000001</v>
      </c>
      <c r="E167">
        <v>0</v>
      </c>
      <c r="F167">
        <v>1</v>
      </c>
      <c r="G167">
        <v>1</v>
      </c>
    </row>
    <row r="168" spans="1:7" x14ac:dyDescent="0.35">
      <c r="A168">
        <v>0.16</v>
      </c>
      <c r="B168">
        <v>0.16669999999999999</v>
      </c>
      <c r="C168">
        <v>0.74</v>
      </c>
      <c r="D168">
        <v>0.16420000000000001</v>
      </c>
      <c r="E168">
        <v>0</v>
      </c>
      <c r="F168">
        <v>5</v>
      </c>
      <c r="G168">
        <v>5</v>
      </c>
    </row>
    <row r="169" spans="1:7" x14ac:dyDescent="0.35">
      <c r="A169">
        <v>0.16</v>
      </c>
      <c r="B169">
        <v>0.16669999999999999</v>
      </c>
      <c r="C169">
        <v>0.74</v>
      </c>
      <c r="D169">
        <v>0.16420000000000001</v>
      </c>
      <c r="E169">
        <v>0</v>
      </c>
      <c r="F169">
        <v>2</v>
      </c>
      <c r="G169">
        <v>2</v>
      </c>
    </row>
    <row r="170" spans="1:7" x14ac:dyDescent="0.35">
      <c r="A170">
        <v>0.16</v>
      </c>
      <c r="B170">
        <v>0.18179999999999999</v>
      </c>
      <c r="C170">
        <v>0.74</v>
      </c>
      <c r="D170">
        <v>0.1045</v>
      </c>
      <c r="E170">
        <v>1</v>
      </c>
      <c r="F170">
        <v>8</v>
      </c>
      <c r="G170">
        <v>9</v>
      </c>
    </row>
    <row r="171" spans="1:7" x14ac:dyDescent="0.35">
      <c r="A171">
        <v>0.16</v>
      </c>
      <c r="B171">
        <v>0.18179999999999999</v>
      </c>
      <c r="C171">
        <v>0.93</v>
      </c>
      <c r="D171">
        <v>0.1045</v>
      </c>
      <c r="E171">
        <v>0</v>
      </c>
      <c r="F171">
        <v>15</v>
      </c>
      <c r="G171">
        <v>15</v>
      </c>
    </row>
    <row r="172" spans="1:7" x14ac:dyDescent="0.35">
      <c r="A172">
        <v>0.16</v>
      </c>
      <c r="B172">
        <v>0.18179999999999999</v>
      </c>
      <c r="C172">
        <v>0.93</v>
      </c>
      <c r="D172">
        <v>0.1045</v>
      </c>
      <c r="E172">
        <v>0</v>
      </c>
      <c r="F172">
        <v>20</v>
      </c>
      <c r="G172">
        <v>20</v>
      </c>
    </row>
    <row r="173" spans="1:7" x14ac:dyDescent="0.35">
      <c r="A173">
        <v>0.18</v>
      </c>
      <c r="B173">
        <v>0.19700000000000001</v>
      </c>
      <c r="C173">
        <v>0.8</v>
      </c>
      <c r="D173">
        <v>0.16420000000000001</v>
      </c>
      <c r="E173">
        <v>5</v>
      </c>
      <c r="F173">
        <v>56</v>
      </c>
      <c r="G173">
        <v>61</v>
      </c>
    </row>
    <row r="174" spans="1:7" x14ac:dyDescent="0.35">
      <c r="A174">
        <v>0.2</v>
      </c>
      <c r="B174">
        <v>0.18179999999999999</v>
      </c>
      <c r="C174">
        <v>0.69</v>
      </c>
      <c r="D174">
        <v>0.3881</v>
      </c>
      <c r="E174">
        <v>2</v>
      </c>
      <c r="F174">
        <v>60</v>
      </c>
      <c r="G174">
        <v>62</v>
      </c>
    </row>
    <row r="175" spans="1:7" x14ac:dyDescent="0.35">
      <c r="A175">
        <v>0.2</v>
      </c>
      <c r="B175">
        <v>0.18179999999999999</v>
      </c>
      <c r="C175">
        <v>0.59</v>
      </c>
      <c r="D175">
        <v>0.35820000000000002</v>
      </c>
      <c r="E175">
        <v>8</v>
      </c>
      <c r="F175">
        <v>90</v>
      </c>
      <c r="G175">
        <v>98</v>
      </c>
    </row>
    <row r="176" spans="1:7" x14ac:dyDescent="0.35">
      <c r="A176">
        <v>0.2</v>
      </c>
      <c r="B176">
        <v>0.18179999999999999</v>
      </c>
      <c r="C176">
        <v>0.44</v>
      </c>
      <c r="D176">
        <v>0.32840000000000003</v>
      </c>
      <c r="E176">
        <v>7</v>
      </c>
      <c r="F176">
        <v>95</v>
      </c>
      <c r="G176">
        <v>102</v>
      </c>
    </row>
    <row r="177" spans="1:7" x14ac:dyDescent="0.35">
      <c r="A177">
        <v>0.2</v>
      </c>
      <c r="B177">
        <v>0.16669999999999999</v>
      </c>
      <c r="C177">
        <v>0.32</v>
      </c>
      <c r="D177">
        <v>0.49249999999999999</v>
      </c>
      <c r="E177">
        <v>12</v>
      </c>
      <c r="F177">
        <v>83</v>
      </c>
      <c r="G177">
        <v>95</v>
      </c>
    </row>
    <row r="178" spans="1:7" x14ac:dyDescent="0.35">
      <c r="A178">
        <v>0.2</v>
      </c>
      <c r="B178">
        <v>0.16669999999999999</v>
      </c>
      <c r="C178">
        <v>0.32</v>
      </c>
      <c r="D178">
        <v>0.44779999999999998</v>
      </c>
      <c r="E178">
        <v>5</v>
      </c>
      <c r="F178">
        <v>69</v>
      </c>
      <c r="G178">
        <v>74</v>
      </c>
    </row>
    <row r="179" spans="1:7" x14ac:dyDescent="0.35">
      <c r="A179">
        <v>0.18</v>
      </c>
      <c r="B179">
        <v>0.13639999999999999</v>
      </c>
      <c r="C179">
        <v>0.28999999999999998</v>
      </c>
      <c r="D179">
        <v>0.44779999999999998</v>
      </c>
      <c r="E179">
        <v>8</v>
      </c>
      <c r="F179">
        <v>68</v>
      </c>
      <c r="G179">
        <v>76</v>
      </c>
    </row>
    <row r="180" spans="1:7" x14ac:dyDescent="0.35">
      <c r="A180">
        <v>0.16</v>
      </c>
      <c r="B180">
        <v>0.1212</v>
      </c>
      <c r="C180">
        <v>0.37</v>
      </c>
      <c r="D180">
        <v>0.55220000000000002</v>
      </c>
      <c r="E180">
        <v>5</v>
      </c>
      <c r="F180">
        <v>64</v>
      </c>
      <c r="G180">
        <v>69</v>
      </c>
    </row>
    <row r="181" spans="1:7" x14ac:dyDescent="0.35">
      <c r="A181">
        <v>0.14000000000000001</v>
      </c>
      <c r="B181">
        <v>0.1212</v>
      </c>
      <c r="C181">
        <v>0.39</v>
      </c>
      <c r="D181">
        <v>0.29849999999999999</v>
      </c>
      <c r="E181">
        <v>3</v>
      </c>
      <c r="F181">
        <v>52</v>
      </c>
      <c r="G181">
        <v>55</v>
      </c>
    </row>
    <row r="182" spans="1:7" x14ac:dyDescent="0.35">
      <c r="A182">
        <v>0.14000000000000001</v>
      </c>
      <c r="B182">
        <v>0.1212</v>
      </c>
      <c r="C182">
        <v>0.36</v>
      </c>
      <c r="D182">
        <v>0.25369999999999998</v>
      </c>
      <c r="E182">
        <v>4</v>
      </c>
      <c r="F182">
        <v>26</v>
      </c>
      <c r="G182">
        <v>30</v>
      </c>
    </row>
    <row r="183" spans="1:7" x14ac:dyDescent="0.35">
      <c r="A183">
        <v>0.12</v>
      </c>
      <c r="B183">
        <v>0.1212</v>
      </c>
      <c r="C183">
        <v>0.36</v>
      </c>
      <c r="D183">
        <v>0.25369999999999998</v>
      </c>
      <c r="E183">
        <v>0</v>
      </c>
      <c r="F183">
        <v>28</v>
      </c>
      <c r="G183">
        <v>28</v>
      </c>
    </row>
    <row r="184" spans="1:7" x14ac:dyDescent="0.35">
      <c r="A184">
        <v>0.12</v>
      </c>
      <c r="B184">
        <v>0.1061</v>
      </c>
      <c r="C184">
        <v>0.39</v>
      </c>
      <c r="D184">
        <v>0.35820000000000002</v>
      </c>
      <c r="E184">
        <v>2</v>
      </c>
      <c r="F184">
        <v>35</v>
      </c>
      <c r="G184">
        <v>37</v>
      </c>
    </row>
    <row r="185" spans="1:7" x14ac:dyDescent="0.35">
      <c r="A185">
        <v>0.12</v>
      </c>
      <c r="B185">
        <v>0.1061</v>
      </c>
      <c r="C185">
        <v>0.36</v>
      </c>
      <c r="D185">
        <v>0.3881</v>
      </c>
      <c r="E185">
        <v>1</v>
      </c>
      <c r="F185">
        <v>33</v>
      </c>
      <c r="G185">
        <v>34</v>
      </c>
    </row>
    <row r="186" spans="1:7" x14ac:dyDescent="0.35">
      <c r="A186">
        <v>0.1</v>
      </c>
      <c r="B186">
        <v>6.0600000000000001E-2</v>
      </c>
      <c r="C186">
        <v>0.39</v>
      </c>
      <c r="D186">
        <v>0.44779999999999998</v>
      </c>
      <c r="E186">
        <v>0</v>
      </c>
      <c r="F186">
        <v>22</v>
      </c>
      <c r="G186">
        <v>22</v>
      </c>
    </row>
    <row r="187" spans="1:7" x14ac:dyDescent="0.35">
      <c r="A187">
        <v>0.1</v>
      </c>
      <c r="B187">
        <v>7.5800000000000006E-2</v>
      </c>
      <c r="C187">
        <v>0.42</v>
      </c>
      <c r="D187">
        <v>0.3881</v>
      </c>
      <c r="E187">
        <v>1</v>
      </c>
      <c r="F187">
        <v>24</v>
      </c>
      <c r="G187">
        <v>25</v>
      </c>
    </row>
    <row r="188" spans="1:7" x14ac:dyDescent="0.35">
      <c r="A188">
        <v>0.1</v>
      </c>
      <c r="B188">
        <v>6.0600000000000001E-2</v>
      </c>
      <c r="C188">
        <v>0.42</v>
      </c>
      <c r="D188">
        <v>0.4627</v>
      </c>
      <c r="E188">
        <v>0</v>
      </c>
      <c r="F188">
        <v>12</v>
      </c>
      <c r="G188">
        <v>12</v>
      </c>
    </row>
    <row r="189" spans="1:7" x14ac:dyDescent="0.35">
      <c r="A189">
        <v>0.1</v>
      </c>
      <c r="B189">
        <v>6.0600000000000001E-2</v>
      </c>
      <c r="C189">
        <v>0.46</v>
      </c>
      <c r="D189">
        <v>0.4627</v>
      </c>
      <c r="E189">
        <v>0</v>
      </c>
      <c r="F189">
        <v>11</v>
      </c>
      <c r="G189">
        <v>11</v>
      </c>
    </row>
    <row r="190" spans="1:7" x14ac:dyDescent="0.35">
      <c r="A190">
        <v>0.1</v>
      </c>
      <c r="B190">
        <v>7.5800000000000006E-2</v>
      </c>
      <c r="C190">
        <v>0.46</v>
      </c>
      <c r="D190">
        <v>0.41789999999999999</v>
      </c>
      <c r="E190">
        <v>0</v>
      </c>
      <c r="F190">
        <v>4</v>
      </c>
      <c r="G190">
        <v>4</v>
      </c>
    </row>
    <row r="191" spans="1:7" x14ac:dyDescent="0.35">
      <c r="A191">
        <v>0.08</v>
      </c>
      <c r="B191">
        <v>9.0899999999999995E-2</v>
      </c>
      <c r="C191">
        <v>0.53</v>
      </c>
      <c r="D191">
        <v>0.19400000000000001</v>
      </c>
      <c r="E191">
        <v>0</v>
      </c>
      <c r="F191">
        <v>1</v>
      </c>
      <c r="G191">
        <v>1</v>
      </c>
    </row>
    <row r="192" spans="1:7" x14ac:dyDescent="0.35">
      <c r="A192">
        <v>0.08</v>
      </c>
      <c r="B192">
        <v>9.0899999999999995E-2</v>
      </c>
      <c r="C192">
        <v>0.53</v>
      </c>
      <c r="D192">
        <v>0.19400000000000001</v>
      </c>
      <c r="E192">
        <v>0</v>
      </c>
      <c r="F192">
        <v>1</v>
      </c>
      <c r="G192">
        <v>1</v>
      </c>
    </row>
    <row r="193" spans="1:7" x14ac:dyDescent="0.35">
      <c r="A193">
        <v>0.1</v>
      </c>
      <c r="B193">
        <v>9.0899999999999995E-2</v>
      </c>
      <c r="C193">
        <v>0.49</v>
      </c>
      <c r="D193">
        <v>0.28360000000000002</v>
      </c>
      <c r="E193">
        <v>0</v>
      </c>
      <c r="F193">
        <v>1</v>
      </c>
      <c r="G193">
        <v>1</v>
      </c>
    </row>
    <row r="194" spans="1:7" x14ac:dyDescent="0.35">
      <c r="A194">
        <v>0.08</v>
      </c>
      <c r="B194">
        <v>9.0899999999999995E-2</v>
      </c>
      <c r="C194">
        <v>0.53</v>
      </c>
      <c r="D194">
        <v>0.19400000000000001</v>
      </c>
      <c r="E194">
        <v>1</v>
      </c>
      <c r="F194">
        <v>5</v>
      </c>
      <c r="G194">
        <v>6</v>
      </c>
    </row>
    <row r="195" spans="1:7" x14ac:dyDescent="0.35">
      <c r="A195">
        <v>0.1</v>
      </c>
      <c r="B195">
        <v>9.0899999999999995E-2</v>
      </c>
      <c r="C195">
        <v>0.49</v>
      </c>
      <c r="D195">
        <v>0.28360000000000002</v>
      </c>
      <c r="E195">
        <v>0</v>
      </c>
      <c r="F195">
        <v>10</v>
      </c>
      <c r="G195">
        <v>10</v>
      </c>
    </row>
    <row r="196" spans="1:7" x14ac:dyDescent="0.35">
      <c r="A196">
        <v>0.12</v>
      </c>
      <c r="B196">
        <v>7.5800000000000006E-2</v>
      </c>
      <c r="C196">
        <v>0.46</v>
      </c>
      <c r="D196">
        <v>0.52239999999999998</v>
      </c>
      <c r="E196">
        <v>0</v>
      </c>
      <c r="F196">
        <v>19</v>
      </c>
      <c r="G196">
        <v>19</v>
      </c>
    </row>
    <row r="197" spans="1:7" x14ac:dyDescent="0.35">
      <c r="A197">
        <v>0.14000000000000001</v>
      </c>
      <c r="B197">
        <v>0.1061</v>
      </c>
      <c r="C197">
        <v>0.43</v>
      </c>
      <c r="D197">
        <v>0.3881</v>
      </c>
      <c r="E197">
        <v>0</v>
      </c>
      <c r="F197">
        <v>49</v>
      </c>
      <c r="G197">
        <v>49</v>
      </c>
    </row>
    <row r="198" spans="1:7" x14ac:dyDescent="0.35">
      <c r="A198">
        <v>0.16</v>
      </c>
      <c r="B198">
        <v>0.1212</v>
      </c>
      <c r="C198">
        <v>0.4</v>
      </c>
      <c r="D198">
        <v>0.52239999999999998</v>
      </c>
      <c r="E198">
        <v>2</v>
      </c>
      <c r="F198">
        <v>47</v>
      </c>
      <c r="G198">
        <v>49</v>
      </c>
    </row>
    <row r="199" spans="1:7" x14ac:dyDescent="0.35">
      <c r="A199">
        <v>0.18</v>
      </c>
      <c r="B199">
        <v>0.13639999999999999</v>
      </c>
      <c r="C199">
        <v>0.37</v>
      </c>
      <c r="D199">
        <v>0.44779999999999998</v>
      </c>
      <c r="E199">
        <v>4</v>
      </c>
      <c r="F199">
        <v>79</v>
      </c>
      <c r="G199">
        <v>83</v>
      </c>
    </row>
    <row r="200" spans="1:7" x14ac:dyDescent="0.35">
      <c r="A200">
        <v>0.2</v>
      </c>
      <c r="B200">
        <v>0.16669999999999999</v>
      </c>
      <c r="C200">
        <v>0.34</v>
      </c>
      <c r="D200">
        <v>0.44779999999999998</v>
      </c>
      <c r="E200">
        <v>6</v>
      </c>
      <c r="F200">
        <v>69</v>
      </c>
      <c r="G200">
        <v>75</v>
      </c>
    </row>
    <row r="201" spans="1:7" x14ac:dyDescent="0.35">
      <c r="A201">
        <v>0.22</v>
      </c>
      <c r="B201">
        <v>0.18179999999999999</v>
      </c>
      <c r="C201">
        <v>0.32</v>
      </c>
      <c r="D201">
        <v>0.4627</v>
      </c>
      <c r="E201">
        <v>8</v>
      </c>
      <c r="F201">
        <v>64</v>
      </c>
      <c r="G201">
        <v>72</v>
      </c>
    </row>
    <row r="202" spans="1:7" x14ac:dyDescent="0.35">
      <c r="A202">
        <v>0.22</v>
      </c>
      <c r="B202">
        <v>0.19700000000000001</v>
      </c>
      <c r="C202">
        <v>0.35</v>
      </c>
      <c r="D202">
        <v>0.35820000000000002</v>
      </c>
      <c r="E202">
        <v>5</v>
      </c>
      <c r="F202">
        <v>77</v>
      </c>
      <c r="G202">
        <v>82</v>
      </c>
    </row>
    <row r="203" spans="1:7" x14ac:dyDescent="0.35">
      <c r="A203">
        <v>0.2</v>
      </c>
      <c r="B203">
        <v>0.16669999999999999</v>
      </c>
      <c r="C203">
        <v>0.34</v>
      </c>
      <c r="D203">
        <v>0.44779999999999998</v>
      </c>
      <c r="E203">
        <v>13</v>
      </c>
      <c r="F203">
        <v>79</v>
      </c>
      <c r="G203">
        <v>92</v>
      </c>
    </row>
    <row r="204" spans="1:7" x14ac:dyDescent="0.35">
      <c r="A204">
        <v>0.18</v>
      </c>
      <c r="B204">
        <v>0.1515</v>
      </c>
      <c r="C204">
        <v>0.37</v>
      </c>
      <c r="D204">
        <v>0.3881</v>
      </c>
      <c r="E204">
        <v>3</v>
      </c>
      <c r="F204">
        <v>59</v>
      </c>
      <c r="G204">
        <v>62</v>
      </c>
    </row>
    <row r="205" spans="1:7" x14ac:dyDescent="0.35">
      <c r="A205">
        <v>0.16</v>
      </c>
      <c r="B205">
        <v>0.13639999999999999</v>
      </c>
      <c r="C205">
        <v>0.4</v>
      </c>
      <c r="D205">
        <v>0.32840000000000003</v>
      </c>
      <c r="E205">
        <v>4</v>
      </c>
      <c r="F205">
        <v>44</v>
      </c>
      <c r="G205">
        <v>48</v>
      </c>
    </row>
    <row r="206" spans="1:7" x14ac:dyDescent="0.35">
      <c r="A206">
        <v>0.16</v>
      </c>
      <c r="B206">
        <v>0.13639999999999999</v>
      </c>
      <c r="C206">
        <v>0.43</v>
      </c>
      <c r="D206">
        <v>0.32840000000000003</v>
      </c>
      <c r="E206">
        <v>1</v>
      </c>
      <c r="F206">
        <v>40</v>
      </c>
      <c r="G206">
        <v>41</v>
      </c>
    </row>
    <row r="207" spans="1:7" x14ac:dyDescent="0.35">
      <c r="A207">
        <v>0.14000000000000001</v>
      </c>
      <c r="B207">
        <v>0.1212</v>
      </c>
      <c r="C207">
        <v>0.46</v>
      </c>
      <c r="D207">
        <v>0.25369999999999998</v>
      </c>
      <c r="E207">
        <v>0</v>
      </c>
      <c r="F207">
        <v>38</v>
      </c>
      <c r="G207">
        <v>38</v>
      </c>
    </row>
    <row r="208" spans="1:7" x14ac:dyDescent="0.35">
      <c r="A208">
        <v>0.14000000000000001</v>
      </c>
      <c r="B208">
        <v>0.1061</v>
      </c>
      <c r="C208">
        <v>0.46</v>
      </c>
      <c r="D208">
        <v>0.41789999999999999</v>
      </c>
      <c r="E208">
        <v>1</v>
      </c>
      <c r="F208">
        <v>19</v>
      </c>
      <c r="G208">
        <v>20</v>
      </c>
    </row>
    <row r="209" spans="1:7" x14ac:dyDescent="0.35">
      <c r="A209">
        <v>0.14000000000000001</v>
      </c>
      <c r="B209">
        <v>0.1212</v>
      </c>
      <c r="C209">
        <v>0.46</v>
      </c>
      <c r="D209">
        <v>0.29849999999999999</v>
      </c>
      <c r="E209">
        <v>5</v>
      </c>
      <c r="F209">
        <v>10</v>
      </c>
      <c r="G209">
        <v>15</v>
      </c>
    </row>
    <row r="210" spans="1:7" x14ac:dyDescent="0.35">
      <c r="A210">
        <v>0.12</v>
      </c>
      <c r="B210">
        <v>0.13639999999999999</v>
      </c>
      <c r="C210">
        <v>0.5</v>
      </c>
      <c r="D210">
        <v>0.19400000000000001</v>
      </c>
      <c r="E210">
        <v>0</v>
      </c>
      <c r="F210">
        <v>6</v>
      </c>
      <c r="G210">
        <v>6</v>
      </c>
    </row>
    <row r="211" spans="1:7" x14ac:dyDescent="0.35">
      <c r="A211">
        <v>0.12</v>
      </c>
      <c r="B211">
        <v>0.1212</v>
      </c>
      <c r="C211">
        <v>0.5</v>
      </c>
      <c r="D211">
        <v>0.28360000000000002</v>
      </c>
      <c r="E211">
        <v>2</v>
      </c>
      <c r="F211">
        <v>3</v>
      </c>
      <c r="G211">
        <v>5</v>
      </c>
    </row>
    <row r="212" spans="1:7" x14ac:dyDescent="0.35">
      <c r="A212">
        <v>0.12</v>
      </c>
      <c r="B212">
        <v>0.1212</v>
      </c>
      <c r="C212">
        <v>0.5</v>
      </c>
      <c r="D212">
        <v>0.28360000000000002</v>
      </c>
      <c r="E212">
        <v>1</v>
      </c>
      <c r="F212">
        <v>0</v>
      </c>
      <c r="G212">
        <v>1</v>
      </c>
    </row>
    <row r="213" spans="1:7" x14ac:dyDescent="0.35">
      <c r="A213">
        <v>0.12</v>
      </c>
      <c r="B213">
        <v>0.1212</v>
      </c>
      <c r="C213">
        <v>0.5</v>
      </c>
      <c r="D213">
        <v>0.22389999999999999</v>
      </c>
      <c r="E213">
        <v>0</v>
      </c>
      <c r="F213">
        <v>3</v>
      </c>
      <c r="G213">
        <v>3</v>
      </c>
    </row>
    <row r="214" spans="1:7" x14ac:dyDescent="0.35">
      <c r="A214">
        <v>0.12</v>
      </c>
      <c r="B214">
        <v>0.1212</v>
      </c>
      <c r="C214">
        <v>0.5</v>
      </c>
      <c r="D214">
        <v>0.22389999999999999</v>
      </c>
      <c r="E214">
        <v>0</v>
      </c>
      <c r="F214">
        <v>1</v>
      </c>
      <c r="G214">
        <v>1</v>
      </c>
    </row>
    <row r="215" spans="1:7" x14ac:dyDescent="0.35">
      <c r="A215">
        <v>0.1</v>
      </c>
      <c r="B215">
        <v>0.1212</v>
      </c>
      <c r="C215">
        <v>0.54</v>
      </c>
      <c r="D215">
        <v>0.1343</v>
      </c>
      <c r="E215">
        <v>1</v>
      </c>
      <c r="F215">
        <v>2</v>
      </c>
      <c r="G215">
        <v>3</v>
      </c>
    </row>
    <row r="216" spans="1:7" x14ac:dyDescent="0.35">
      <c r="A216">
        <v>0.1</v>
      </c>
      <c r="B216">
        <v>0.1061</v>
      </c>
      <c r="C216">
        <v>0.54</v>
      </c>
      <c r="D216">
        <v>0.25369999999999998</v>
      </c>
      <c r="E216">
        <v>0</v>
      </c>
      <c r="F216">
        <v>3</v>
      </c>
      <c r="G216">
        <v>3</v>
      </c>
    </row>
    <row r="217" spans="1:7" x14ac:dyDescent="0.35">
      <c r="A217">
        <v>0.12</v>
      </c>
      <c r="B217">
        <v>0.1212</v>
      </c>
      <c r="C217">
        <v>0.5</v>
      </c>
      <c r="D217">
        <v>0.28360000000000002</v>
      </c>
      <c r="E217">
        <v>0</v>
      </c>
      <c r="F217">
        <v>31</v>
      </c>
      <c r="G217">
        <v>31</v>
      </c>
    </row>
    <row r="218" spans="1:7" x14ac:dyDescent="0.35">
      <c r="A218">
        <v>0.12</v>
      </c>
      <c r="B218">
        <v>0.1212</v>
      </c>
      <c r="C218">
        <v>0.5</v>
      </c>
      <c r="D218">
        <v>0.22389999999999999</v>
      </c>
      <c r="E218">
        <v>2</v>
      </c>
      <c r="F218">
        <v>75</v>
      </c>
      <c r="G218">
        <v>77</v>
      </c>
    </row>
    <row r="219" spans="1:7" x14ac:dyDescent="0.35">
      <c r="A219">
        <v>0.12</v>
      </c>
      <c r="B219">
        <v>0.1212</v>
      </c>
      <c r="C219">
        <v>0.5</v>
      </c>
      <c r="D219">
        <v>0.28360000000000002</v>
      </c>
      <c r="E219">
        <v>4</v>
      </c>
      <c r="F219">
        <v>184</v>
      </c>
      <c r="G219">
        <v>188</v>
      </c>
    </row>
    <row r="220" spans="1:7" x14ac:dyDescent="0.35">
      <c r="A220">
        <v>0.14000000000000001</v>
      </c>
      <c r="B220">
        <v>0.1212</v>
      </c>
      <c r="C220">
        <v>0.5</v>
      </c>
      <c r="D220">
        <v>0.25369999999999998</v>
      </c>
      <c r="E220">
        <v>2</v>
      </c>
      <c r="F220">
        <v>92</v>
      </c>
      <c r="G220">
        <v>94</v>
      </c>
    </row>
    <row r="221" spans="1:7" x14ac:dyDescent="0.35">
      <c r="A221">
        <v>0.14000000000000001</v>
      </c>
      <c r="B221">
        <v>0.1212</v>
      </c>
      <c r="C221">
        <v>0.5</v>
      </c>
      <c r="D221">
        <v>0.29849999999999999</v>
      </c>
      <c r="E221">
        <v>0</v>
      </c>
      <c r="F221">
        <v>31</v>
      </c>
      <c r="G221">
        <v>31</v>
      </c>
    </row>
    <row r="222" spans="1:7" x14ac:dyDescent="0.35">
      <c r="A222">
        <v>0.16</v>
      </c>
      <c r="B222">
        <v>0.13639999999999999</v>
      </c>
      <c r="C222">
        <v>0.47</v>
      </c>
      <c r="D222">
        <v>0.28360000000000002</v>
      </c>
      <c r="E222">
        <v>2</v>
      </c>
      <c r="F222">
        <v>28</v>
      </c>
      <c r="G222">
        <v>30</v>
      </c>
    </row>
    <row r="223" spans="1:7" x14ac:dyDescent="0.35">
      <c r="A223">
        <v>0.2</v>
      </c>
      <c r="B223">
        <v>0.18179999999999999</v>
      </c>
      <c r="C223">
        <v>0.4</v>
      </c>
      <c r="D223">
        <v>0.28360000000000002</v>
      </c>
      <c r="E223">
        <v>5</v>
      </c>
      <c r="F223">
        <v>47</v>
      </c>
      <c r="G223">
        <v>52</v>
      </c>
    </row>
    <row r="224" spans="1:7" x14ac:dyDescent="0.35">
      <c r="A224">
        <v>0.2</v>
      </c>
      <c r="B224">
        <v>0.18179999999999999</v>
      </c>
      <c r="C224">
        <v>0.4</v>
      </c>
      <c r="D224">
        <v>0.28360000000000002</v>
      </c>
      <c r="E224">
        <v>4</v>
      </c>
      <c r="F224">
        <v>50</v>
      </c>
      <c r="G224">
        <v>54</v>
      </c>
    </row>
    <row r="225" spans="1:7" x14ac:dyDescent="0.35">
      <c r="A225">
        <v>0.2</v>
      </c>
      <c r="B225">
        <v>0.19700000000000001</v>
      </c>
      <c r="C225">
        <v>0.4</v>
      </c>
      <c r="D225">
        <v>0.22389999999999999</v>
      </c>
      <c r="E225">
        <v>0</v>
      </c>
      <c r="F225">
        <v>47</v>
      </c>
      <c r="G225">
        <v>47</v>
      </c>
    </row>
    <row r="226" spans="1:7" x14ac:dyDescent="0.35">
      <c r="A226">
        <v>0.2</v>
      </c>
      <c r="B226">
        <v>0.19700000000000001</v>
      </c>
      <c r="C226">
        <v>0.4</v>
      </c>
      <c r="D226">
        <v>0.22389999999999999</v>
      </c>
      <c r="E226">
        <v>2</v>
      </c>
      <c r="F226">
        <v>43</v>
      </c>
      <c r="G226">
        <v>45</v>
      </c>
    </row>
    <row r="227" spans="1:7" x14ac:dyDescent="0.35">
      <c r="A227">
        <v>0.2</v>
      </c>
      <c r="B227">
        <v>0.21210000000000001</v>
      </c>
      <c r="C227">
        <v>0.4</v>
      </c>
      <c r="D227">
        <v>0.1343</v>
      </c>
      <c r="E227">
        <v>4</v>
      </c>
      <c r="F227">
        <v>70</v>
      </c>
      <c r="G227">
        <v>74</v>
      </c>
    </row>
    <row r="228" spans="1:7" x14ac:dyDescent="0.35">
      <c r="A228">
        <v>0.2</v>
      </c>
      <c r="B228">
        <v>0.2273</v>
      </c>
      <c r="C228">
        <v>0.4</v>
      </c>
      <c r="D228">
        <v>0.1045</v>
      </c>
      <c r="E228">
        <v>4</v>
      </c>
      <c r="F228">
        <v>174</v>
      </c>
      <c r="G228">
        <v>178</v>
      </c>
    </row>
    <row r="229" spans="1:7" x14ac:dyDescent="0.35">
      <c r="A229">
        <v>0.2</v>
      </c>
      <c r="B229">
        <v>0.19700000000000001</v>
      </c>
      <c r="C229">
        <v>0.4</v>
      </c>
      <c r="D229">
        <v>0.22389999999999999</v>
      </c>
      <c r="E229">
        <v>1</v>
      </c>
      <c r="F229">
        <v>154</v>
      </c>
      <c r="G229">
        <v>155</v>
      </c>
    </row>
    <row r="230" spans="1:7" x14ac:dyDescent="0.35">
      <c r="A230">
        <v>0.16</v>
      </c>
      <c r="B230">
        <v>0.16669999999999999</v>
      </c>
      <c r="C230">
        <v>0.47</v>
      </c>
      <c r="D230">
        <v>0.16420000000000001</v>
      </c>
      <c r="E230">
        <v>3</v>
      </c>
      <c r="F230">
        <v>92</v>
      </c>
      <c r="G230">
        <v>95</v>
      </c>
    </row>
    <row r="231" spans="1:7" x14ac:dyDescent="0.35">
      <c r="A231">
        <v>0.16</v>
      </c>
      <c r="B231">
        <v>0.16669999999999999</v>
      </c>
      <c r="C231">
        <v>0.5</v>
      </c>
      <c r="D231">
        <v>0.16420000000000001</v>
      </c>
      <c r="E231">
        <v>1</v>
      </c>
      <c r="F231">
        <v>73</v>
      </c>
      <c r="G231">
        <v>74</v>
      </c>
    </row>
    <row r="232" spans="1:7" x14ac:dyDescent="0.35">
      <c r="A232">
        <v>0.14000000000000001</v>
      </c>
      <c r="B232">
        <v>0.13639999999999999</v>
      </c>
      <c r="C232">
        <v>0.59</v>
      </c>
      <c r="D232">
        <v>0.19400000000000001</v>
      </c>
      <c r="E232">
        <v>1</v>
      </c>
      <c r="F232">
        <v>37</v>
      </c>
      <c r="G232">
        <v>38</v>
      </c>
    </row>
    <row r="233" spans="1:7" x14ac:dyDescent="0.35">
      <c r="A233">
        <v>0.14000000000000001</v>
      </c>
      <c r="B233">
        <v>0.1515</v>
      </c>
      <c r="C233">
        <v>0.59</v>
      </c>
      <c r="D233">
        <v>0.16420000000000001</v>
      </c>
      <c r="E233">
        <v>2</v>
      </c>
      <c r="F233">
        <v>22</v>
      </c>
      <c r="G233">
        <v>24</v>
      </c>
    </row>
    <row r="234" spans="1:7" x14ac:dyDescent="0.35">
      <c r="A234">
        <v>0.14000000000000001</v>
      </c>
      <c r="B234">
        <v>0.1515</v>
      </c>
      <c r="C234">
        <v>0.59</v>
      </c>
      <c r="D234">
        <v>0.16420000000000001</v>
      </c>
      <c r="E234">
        <v>0</v>
      </c>
      <c r="F234">
        <v>18</v>
      </c>
      <c r="G234">
        <v>18</v>
      </c>
    </row>
    <row r="235" spans="1:7" x14ac:dyDescent="0.35">
      <c r="A235">
        <v>0.14000000000000001</v>
      </c>
      <c r="B235">
        <v>0.16669999999999999</v>
      </c>
      <c r="C235">
        <v>0.59</v>
      </c>
      <c r="D235">
        <v>0.1045</v>
      </c>
      <c r="E235">
        <v>2</v>
      </c>
      <c r="F235">
        <v>10</v>
      </c>
      <c r="G235">
        <v>12</v>
      </c>
    </row>
    <row r="236" spans="1:7" x14ac:dyDescent="0.35">
      <c r="A236">
        <v>0.14000000000000001</v>
      </c>
      <c r="B236">
        <v>0.1515</v>
      </c>
      <c r="C236">
        <v>0.59</v>
      </c>
      <c r="D236">
        <v>0.16420000000000001</v>
      </c>
      <c r="E236">
        <v>0</v>
      </c>
      <c r="F236">
        <v>3</v>
      </c>
      <c r="G236">
        <v>3</v>
      </c>
    </row>
    <row r="237" spans="1:7" x14ac:dyDescent="0.35">
      <c r="A237">
        <v>0.16</v>
      </c>
      <c r="B237">
        <v>0.1515</v>
      </c>
      <c r="C237">
        <v>0.55000000000000004</v>
      </c>
      <c r="D237">
        <v>0.19400000000000001</v>
      </c>
      <c r="E237">
        <v>0</v>
      </c>
      <c r="F237">
        <v>3</v>
      </c>
      <c r="G237">
        <v>3</v>
      </c>
    </row>
    <row r="238" spans="1:7" x14ac:dyDescent="0.35">
      <c r="A238">
        <v>0.16</v>
      </c>
      <c r="B238">
        <v>0.18179999999999999</v>
      </c>
      <c r="C238">
        <v>0.55000000000000004</v>
      </c>
      <c r="D238">
        <v>0.1343</v>
      </c>
      <c r="E238">
        <v>0</v>
      </c>
      <c r="F238">
        <v>6</v>
      </c>
      <c r="G238">
        <v>6</v>
      </c>
    </row>
    <row r="239" spans="1:7" x14ac:dyDescent="0.35">
      <c r="A239">
        <v>0.16</v>
      </c>
      <c r="B239">
        <v>0.18179999999999999</v>
      </c>
      <c r="C239">
        <v>0.55000000000000004</v>
      </c>
      <c r="D239">
        <v>0.1343</v>
      </c>
      <c r="E239">
        <v>0</v>
      </c>
      <c r="F239">
        <v>27</v>
      </c>
      <c r="G239">
        <v>27</v>
      </c>
    </row>
    <row r="240" spans="1:7" x14ac:dyDescent="0.35">
      <c r="A240">
        <v>0.16</v>
      </c>
      <c r="B240">
        <v>0.2273</v>
      </c>
      <c r="C240">
        <v>0.55000000000000004</v>
      </c>
      <c r="D240">
        <v>0</v>
      </c>
      <c r="E240">
        <v>2</v>
      </c>
      <c r="F240">
        <v>97</v>
      </c>
      <c r="G240">
        <v>99</v>
      </c>
    </row>
    <row r="241" spans="1:7" x14ac:dyDescent="0.35">
      <c r="A241">
        <v>0.18</v>
      </c>
      <c r="B241">
        <v>0.21210000000000001</v>
      </c>
      <c r="C241">
        <v>0.51</v>
      </c>
      <c r="D241">
        <v>8.9599999999999999E-2</v>
      </c>
      <c r="E241">
        <v>3</v>
      </c>
      <c r="F241">
        <v>214</v>
      </c>
      <c r="G241">
        <v>217</v>
      </c>
    </row>
    <row r="242" spans="1:7" x14ac:dyDescent="0.35">
      <c r="A242">
        <v>0.18</v>
      </c>
      <c r="B242">
        <v>0.19700000000000001</v>
      </c>
      <c r="C242">
        <v>0.51</v>
      </c>
      <c r="D242">
        <v>0.16420000000000001</v>
      </c>
      <c r="E242">
        <v>3</v>
      </c>
      <c r="F242">
        <v>127</v>
      </c>
      <c r="G242">
        <v>130</v>
      </c>
    </row>
    <row r="243" spans="1:7" x14ac:dyDescent="0.35">
      <c r="A243">
        <v>0.2</v>
      </c>
      <c r="B243">
        <v>0.21210000000000001</v>
      </c>
      <c r="C243">
        <v>0.51</v>
      </c>
      <c r="D243">
        <v>0.16420000000000001</v>
      </c>
      <c r="E243">
        <v>3</v>
      </c>
      <c r="F243">
        <v>51</v>
      </c>
      <c r="G243">
        <v>54</v>
      </c>
    </row>
    <row r="244" spans="1:7" x14ac:dyDescent="0.35">
      <c r="A244">
        <v>0.2</v>
      </c>
      <c r="B244">
        <v>0.21210000000000001</v>
      </c>
      <c r="C244">
        <v>0.47</v>
      </c>
      <c r="D244">
        <v>0.1343</v>
      </c>
      <c r="E244">
        <v>4</v>
      </c>
      <c r="F244">
        <v>31</v>
      </c>
      <c r="G244">
        <v>35</v>
      </c>
    </row>
    <row r="245" spans="1:7" x14ac:dyDescent="0.35">
      <c r="A245">
        <v>0.2</v>
      </c>
      <c r="B245">
        <v>0.2273</v>
      </c>
      <c r="C245">
        <v>0.51</v>
      </c>
      <c r="D245">
        <v>0.1045</v>
      </c>
      <c r="E245">
        <v>2</v>
      </c>
      <c r="F245">
        <v>55</v>
      </c>
      <c r="G245">
        <v>57</v>
      </c>
    </row>
    <row r="246" spans="1:7" x14ac:dyDescent="0.35">
      <c r="A246">
        <v>0.2</v>
      </c>
      <c r="B246">
        <v>0.2273</v>
      </c>
      <c r="C246">
        <v>0.59</v>
      </c>
      <c r="D246">
        <v>8.9599999999999999E-2</v>
      </c>
      <c r="E246">
        <v>6</v>
      </c>
      <c r="F246">
        <v>46</v>
      </c>
      <c r="G246">
        <v>52</v>
      </c>
    </row>
    <row r="247" spans="1:7" x14ac:dyDescent="0.35">
      <c r="A247">
        <v>0.2</v>
      </c>
      <c r="B247">
        <v>0.2273</v>
      </c>
      <c r="C247">
        <v>0.59</v>
      </c>
      <c r="D247">
        <v>8.9599999999999999E-2</v>
      </c>
      <c r="E247">
        <v>3</v>
      </c>
      <c r="F247">
        <v>60</v>
      </c>
      <c r="G247">
        <v>63</v>
      </c>
    </row>
    <row r="248" spans="1:7" x14ac:dyDescent="0.35">
      <c r="A248">
        <v>0.16</v>
      </c>
      <c r="B248">
        <v>0.19700000000000001</v>
      </c>
      <c r="C248">
        <v>0.8</v>
      </c>
      <c r="D248">
        <v>8.9599999999999999E-2</v>
      </c>
      <c r="E248">
        <v>2</v>
      </c>
      <c r="F248">
        <v>45</v>
      </c>
      <c r="G248">
        <v>47</v>
      </c>
    </row>
    <row r="249" spans="1:7" x14ac:dyDescent="0.35">
      <c r="A249">
        <v>0.16</v>
      </c>
      <c r="B249">
        <v>0.1515</v>
      </c>
      <c r="C249">
        <v>0.86</v>
      </c>
      <c r="D249">
        <v>0.22389999999999999</v>
      </c>
      <c r="E249">
        <v>4</v>
      </c>
      <c r="F249">
        <v>72</v>
      </c>
      <c r="G249">
        <v>76</v>
      </c>
    </row>
    <row r="250" spans="1:7" x14ac:dyDescent="0.35">
      <c r="A250">
        <v>0.16</v>
      </c>
      <c r="B250">
        <v>0.1515</v>
      </c>
      <c r="C250">
        <v>0.86</v>
      </c>
      <c r="D250">
        <v>0.22389999999999999</v>
      </c>
      <c r="E250">
        <v>6</v>
      </c>
      <c r="F250">
        <v>130</v>
      </c>
      <c r="G250">
        <v>136</v>
      </c>
    </row>
    <row r="251" spans="1:7" x14ac:dyDescent="0.35">
      <c r="A251">
        <v>0.16</v>
      </c>
      <c r="B251">
        <v>0.18179999999999999</v>
      </c>
      <c r="C251">
        <v>0.93</v>
      </c>
      <c r="D251">
        <v>0.1045</v>
      </c>
      <c r="E251">
        <v>1</v>
      </c>
      <c r="F251">
        <v>94</v>
      </c>
      <c r="G251">
        <v>95</v>
      </c>
    </row>
    <row r="252" spans="1:7" x14ac:dyDescent="0.35">
      <c r="A252">
        <v>0.16</v>
      </c>
      <c r="B252">
        <v>0.2273</v>
      </c>
      <c r="C252">
        <v>0.93</v>
      </c>
      <c r="D252">
        <v>0</v>
      </c>
      <c r="E252">
        <v>0</v>
      </c>
      <c r="F252">
        <v>51</v>
      </c>
      <c r="G252">
        <v>51</v>
      </c>
    </row>
    <row r="253" spans="1:7" x14ac:dyDescent="0.35">
      <c r="A253">
        <v>0.16</v>
      </c>
      <c r="B253">
        <v>0.1515</v>
      </c>
      <c r="C253">
        <v>0.93</v>
      </c>
      <c r="D253">
        <v>0.19400000000000001</v>
      </c>
      <c r="E253">
        <v>0</v>
      </c>
      <c r="F253">
        <v>32</v>
      </c>
      <c r="G253">
        <v>32</v>
      </c>
    </row>
    <row r="254" spans="1:7" x14ac:dyDescent="0.35">
      <c r="A254">
        <v>0.16</v>
      </c>
      <c r="B254">
        <v>0.19700000000000001</v>
      </c>
      <c r="C254">
        <v>0.86</v>
      </c>
      <c r="D254">
        <v>8.9599999999999999E-2</v>
      </c>
      <c r="E254">
        <v>0</v>
      </c>
      <c r="F254">
        <v>20</v>
      </c>
      <c r="G254">
        <v>20</v>
      </c>
    </row>
    <row r="255" spans="1:7" x14ac:dyDescent="0.35">
      <c r="A255">
        <v>0.16</v>
      </c>
      <c r="B255">
        <v>0.18179999999999999</v>
      </c>
      <c r="C255">
        <v>0.93</v>
      </c>
      <c r="D255">
        <v>0.1045</v>
      </c>
      <c r="E255">
        <v>1</v>
      </c>
      <c r="F255">
        <v>28</v>
      </c>
      <c r="G255">
        <v>29</v>
      </c>
    </row>
    <row r="256" spans="1:7" x14ac:dyDescent="0.35">
      <c r="A256">
        <v>0.16</v>
      </c>
      <c r="B256">
        <v>0.19700000000000001</v>
      </c>
      <c r="C256">
        <v>0.93</v>
      </c>
      <c r="D256">
        <v>8.9599999999999999E-2</v>
      </c>
      <c r="E256">
        <v>1</v>
      </c>
      <c r="F256">
        <v>18</v>
      </c>
      <c r="G256">
        <v>19</v>
      </c>
    </row>
    <row r="257" spans="1:7" x14ac:dyDescent="0.35">
      <c r="A257">
        <v>0.16</v>
      </c>
      <c r="B257">
        <v>0.19700000000000001</v>
      </c>
      <c r="C257">
        <v>0.86</v>
      </c>
      <c r="D257">
        <v>8.9599999999999999E-2</v>
      </c>
      <c r="E257">
        <v>0</v>
      </c>
      <c r="F257">
        <v>7</v>
      </c>
      <c r="G257">
        <v>7</v>
      </c>
    </row>
    <row r="258" spans="1:7" x14ac:dyDescent="0.35">
      <c r="A258">
        <v>0.16</v>
      </c>
      <c r="B258">
        <v>0.18179999999999999</v>
      </c>
      <c r="C258">
        <v>0.86</v>
      </c>
      <c r="D258">
        <v>0.1045</v>
      </c>
      <c r="E258">
        <v>0</v>
      </c>
      <c r="F258">
        <v>6</v>
      </c>
      <c r="G258">
        <v>6</v>
      </c>
    </row>
    <row r="259" spans="1:7" x14ac:dyDescent="0.35">
      <c r="A259">
        <v>0.14000000000000001</v>
      </c>
      <c r="B259">
        <v>0.1515</v>
      </c>
      <c r="C259">
        <v>0.86</v>
      </c>
      <c r="D259">
        <v>0.1343</v>
      </c>
      <c r="E259">
        <v>0</v>
      </c>
      <c r="F259">
        <v>1</v>
      </c>
      <c r="G259">
        <v>1</v>
      </c>
    </row>
    <row r="260" spans="1:7" x14ac:dyDescent="0.35">
      <c r="A260">
        <v>0.14000000000000001</v>
      </c>
      <c r="B260">
        <v>0.1515</v>
      </c>
      <c r="C260">
        <v>0.86</v>
      </c>
      <c r="D260">
        <v>0.16420000000000001</v>
      </c>
      <c r="E260">
        <v>0</v>
      </c>
      <c r="F260">
        <v>5</v>
      </c>
      <c r="G260">
        <v>5</v>
      </c>
    </row>
    <row r="261" spans="1:7" x14ac:dyDescent="0.35">
      <c r="A261">
        <v>0.12</v>
      </c>
      <c r="B261">
        <v>0.1515</v>
      </c>
      <c r="C261">
        <v>0.93</v>
      </c>
      <c r="D261">
        <v>0.1343</v>
      </c>
      <c r="E261">
        <v>0</v>
      </c>
      <c r="F261">
        <v>16</v>
      </c>
      <c r="G261">
        <v>16</v>
      </c>
    </row>
    <row r="262" spans="1:7" x14ac:dyDescent="0.35">
      <c r="A262">
        <v>0.14000000000000001</v>
      </c>
      <c r="B262">
        <v>0.1515</v>
      </c>
      <c r="C262">
        <v>0.69</v>
      </c>
      <c r="D262">
        <v>0.1343</v>
      </c>
      <c r="E262">
        <v>0</v>
      </c>
      <c r="F262">
        <v>54</v>
      </c>
      <c r="G262">
        <v>54</v>
      </c>
    </row>
    <row r="263" spans="1:7" x14ac:dyDescent="0.35">
      <c r="A263">
        <v>0.16</v>
      </c>
      <c r="B263">
        <v>0.16669999999999999</v>
      </c>
      <c r="C263">
        <v>0.59</v>
      </c>
      <c r="D263">
        <v>0.16420000000000001</v>
      </c>
      <c r="E263">
        <v>3</v>
      </c>
      <c r="F263">
        <v>125</v>
      </c>
      <c r="G263">
        <v>128</v>
      </c>
    </row>
    <row r="264" spans="1:7" x14ac:dyDescent="0.35">
      <c r="A264">
        <v>0.16</v>
      </c>
      <c r="B264">
        <v>0.13639999999999999</v>
      </c>
      <c r="C264">
        <v>0.59</v>
      </c>
      <c r="D264">
        <v>0.32840000000000003</v>
      </c>
      <c r="E264">
        <v>3</v>
      </c>
      <c r="F264">
        <v>78</v>
      </c>
      <c r="G264">
        <v>81</v>
      </c>
    </row>
    <row r="265" spans="1:7" x14ac:dyDescent="0.35">
      <c r="A265">
        <v>0.18</v>
      </c>
      <c r="B265">
        <v>0.18179999999999999</v>
      </c>
      <c r="C265">
        <v>0.55000000000000004</v>
      </c>
      <c r="D265">
        <v>0.22389999999999999</v>
      </c>
      <c r="E265">
        <v>0</v>
      </c>
      <c r="F265">
        <v>39</v>
      </c>
      <c r="G265">
        <v>39</v>
      </c>
    </row>
    <row r="266" spans="1:7" x14ac:dyDescent="0.35">
      <c r="A266">
        <v>0.2</v>
      </c>
      <c r="B266">
        <v>0.18179999999999999</v>
      </c>
      <c r="C266">
        <v>0.51</v>
      </c>
      <c r="D266">
        <v>0.3881</v>
      </c>
      <c r="E266">
        <v>3</v>
      </c>
      <c r="F266">
        <v>32</v>
      </c>
      <c r="G266">
        <v>35</v>
      </c>
    </row>
    <row r="267" spans="1:7" x14ac:dyDescent="0.35">
      <c r="A267">
        <v>0.2</v>
      </c>
      <c r="B267">
        <v>0.1515</v>
      </c>
      <c r="C267">
        <v>0.47</v>
      </c>
      <c r="D267">
        <v>0.58209999999999995</v>
      </c>
      <c r="E267">
        <v>3</v>
      </c>
      <c r="F267">
        <v>52</v>
      </c>
      <c r="G267">
        <v>55</v>
      </c>
    </row>
    <row r="268" spans="1:7" x14ac:dyDescent="0.35">
      <c r="A268">
        <v>0.22</v>
      </c>
      <c r="B268">
        <v>0.19700000000000001</v>
      </c>
      <c r="C268">
        <v>0.44</v>
      </c>
      <c r="D268">
        <v>0.35820000000000002</v>
      </c>
      <c r="E268">
        <v>0</v>
      </c>
      <c r="F268">
        <v>49</v>
      </c>
      <c r="G268">
        <v>49</v>
      </c>
    </row>
    <row r="269" spans="1:7" x14ac:dyDescent="0.35">
      <c r="A269">
        <v>0.2</v>
      </c>
      <c r="B269">
        <v>0.18179999999999999</v>
      </c>
      <c r="C269">
        <v>0.47</v>
      </c>
      <c r="D269">
        <v>0.32840000000000003</v>
      </c>
      <c r="E269">
        <v>0</v>
      </c>
      <c r="F269">
        <v>44</v>
      </c>
      <c r="G269">
        <v>44</v>
      </c>
    </row>
    <row r="270" spans="1:7" x14ac:dyDescent="0.35">
      <c r="A270">
        <v>0.2</v>
      </c>
      <c r="B270">
        <v>0.16669999999999999</v>
      </c>
      <c r="C270">
        <v>0.47</v>
      </c>
      <c r="D270">
        <v>0.41789999999999999</v>
      </c>
      <c r="E270">
        <v>1</v>
      </c>
      <c r="F270">
        <v>48</v>
      </c>
      <c r="G270">
        <v>49</v>
      </c>
    </row>
    <row r="271" spans="1:7" x14ac:dyDescent="0.35">
      <c r="A271">
        <v>0.22</v>
      </c>
      <c r="B271">
        <v>0.19700000000000001</v>
      </c>
      <c r="C271">
        <v>0.44</v>
      </c>
      <c r="D271">
        <v>0.32840000000000003</v>
      </c>
      <c r="E271">
        <v>5</v>
      </c>
      <c r="F271">
        <v>63</v>
      </c>
      <c r="G271">
        <v>68</v>
      </c>
    </row>
    <row r="272" spans="1:7" x14ac:dyDescent="0.35">
      <c r="A272">
        <v>0.2</v>
      </c>
      <c r="B272">
        <v>0.18179999999999999</v>
      </c>
      <c r="C272">
        <v>0.47</v>
      </c>
      <c r="D272">
        <v>0.35820000000000002</v>
      </c>
      <c r="E272">
        <v>0</v>
      </c>
      <c r="F272">
        <v>139</v>
      </c>
      <c r="G272">
        <v>139</v>
      </c>
    </row>
    <row r="273" spans="1:7" x14ac:dyDescent="0.35">
      <c r="A273">
        <v>0.2</v>
      </c>
      <c r="B273">
        <v>0.1515</v>
      </c>
      <c r="C273">
        <v>0.47</v>
      </c>
      <c r="D273">
        <v>0.52239999999999998</v>
      </c>
      <c r="E273">
        <v>2</v>
      </c>
      <c r="F273">
        <v>135</v>
      </c>
      <c r="G273">
        <v>137</v>
      </c>
    </row>
    <row r="274" spans="1:7" x14ac:dyDescent="0.35">
      <c r="A274">
        <v>0.18</v>
      </c>
      <c r="B274">
        <v>0.1515</v>
      </c>
      <c r="C274">
        <v>0.47</v>
      </c>
      <c r="D274">
        <v>0.41789999999999999</v>
      </c>
      <c r="E274">
        <v>1</v>
      </c>
      <c r="F274">
        <v>82</v>
      </c>
      <c r="G274">
        <v>83</v>
      </c>
    </row>
    <row r="275" spans="1:7" x14ac:dyDescent="0.35">
      <c r="A275">
        <v>0.16</v>
      </c>
      <c r="B275">
        <v>0.13639999999999999</v>
      </c>
      <c r="C275">
        <v>0.5</v>
      </c>
      <c r="D275">
        <v>0.32840000000000003</v>
      </c>
      <c r="E275">
        <v>2</v>
      </c>
      <c r="F275">
        <v>54</v>
      </c>
      <c r="G275">
        <v>56</v>
      </c>
    </row>
    <row r="276" spans="1:7" x14ac:dyDescent="0.35">
      <c r="A276">
        <v>0.16</v>
      </c>
      <c r="B276">
        <v>0.13639999999999999</v>
      </c>
      <c r="C276">
        <v>0.55000000000000004</v>
      </c>
      <c r="D276">
        <v>0.32840000000000003</v>
      </c>
      <c r="E276">
        <v>0</v>
      </c>
      <c r="F276">
        <v>57</v>
      </c>
      <c r="G276">
        <v>57</v>
      </c>
    </row>
    <row r="277" spans="1:7" x14ac:dyDescent="0.35">
      <c r="A277">
        <v>0.16</v>
      </c>
      <c r="B277">
        <v>0.1212</v>
      </c>
      <c r="C277">
        <v>0.55000000000000004</v>
      </c>
      <c r="D277">
        <v>0.44779999999999998</v>
      </c>
      <c r="E277">
        <v>1</v>
      </c>
      <c r="F277">
        <v>32</v>
      </c>
      <c r="G277">
        <v>33</v>
      </c>
    </row>
    <row r="278" spans="1:7" x14ac:dyDescent="0.35">
      <c r="A278">
        <v>0.14000000000000001</v>
      </c>
      <c r="B278">
        <v>0.1061</v>
      </c>
      <c r="C278">
        <v>0.59</v>
      </c>
      <c r="D278">
        <v>0.41789999999999999</v>
      </c>
      <c r="E278">
        <v>1</v>
      </c>
      <c r="F278">
        <v>19</v>
      </c>
      <c r="G278">
        <v>20</v>
      </c>
    </row>
    <row r="279" spans="1:7" x14ac:dyDescent="0.35">
      <c r="A279">
        <v>0.14000000000000001</v>
      </c>
      <c r="B279">
        <v>0.1212</v>
      </c>
      <c r="C279">
        <v>0.59</v>
      </c>
      <c r="D279">
        <v>0.28360000000000002</v>
      </c>
      <c r="E279">
        <v>1</v>
      </c>
      <c r="F279">
        <v>6</v>
      </c>
      <c r="G279">
        <v>7</v>
      </c>
    </row>
    <row r="280" spans="1:7" x14ac:dyDescent="0.35">
      <c r="A280">
        <v>0.14000000000000001</v>
      </c>
      <c r="B280">
        <v>0.1212</v>
      </c>
      <c r="C280">
        <v>0.5</v>
      </c>
      <c r="D280">
        <v>0.28360000000000002</v>
      </c>
      <c r="E280">
        <v>0</v>
      </c>
      <c r="F280">
        <v>2</v>
      </c>
      <c r="G280">
        <v>2</v>
      </c>
    </row>
    <row r="281" spans="1:7" x14ac:dyDescent="0.35">
      <c r="A281">
        <v>0.14000000000000001</v>
      </c>
      <c r="B281">
        <v>0.1212</v>
      </c>
      <c r="C281">
        <v>0.5</v>
      </c>
      <c r="D281">
        <v>0.35820000000000002</v>
      </c>
      <c r="E281">
        <v>0</v>
      </c>
      <c r="F281">
        <v>2</v>
      </c>
      <c r="G281">
        <v>2</v>
      </c>
    </row>
    <row r="282" spans="1:7" x14ac:dyDescent="0.35">
      <c r="A282">
        <v>0.14000000000000001</v>
      </c>
      <c r="B282">
        <v>0.1212</v>
      </c>
      <c r="C282">
        <v>0.5</v>
      </c>
      <c r="D282">
        <v>0.32840000000000003</v>
      </c>
      <c r="E282">
        <v>0</v>
      </c>
      <c r="F282">
        <v>3</v>
      </c>
      <c r="G282">
        <v>3</v>
      </c>
    </row>
    <row r="283" spans="1:7" x14ac:dyDescent="0.35">
      <c r="A283">
        <v>0.14000000000000001</v>
      </c>
      <c r="B283">
        <v>0.1212</v>
      </c>
      <c r="C283">
        <v>0.5</v>
      </c>
      <c r="D283">
        <v>0.25369999999999998</v>
      </c>
      <c r="E283">
        <v>0</v>
      </c>
      <c r="F283">
        <v>4</v>
      </c>
      <c r="G283">
        <v>4</v>
      </c>
    </row>
    <row r="284" spans="1:7" x14ac:dyDescent="0.35">
      <c r="A284">
        <v>0.14000000000000001</v>
      </c>
      <c r="B284">
        <v>0.1212</v>
      </c>
      <c r="C284">
        <v>0.5</v>
      </c>
      <c r="D284">
        <v>0.29849999999999999</v>
      </c>
      <c r="E284">
        <v>0</v>
      </c>
      <c r="F284">
        <v>3</v>
      </c>
      <c r="G284">
        <v>3</v>
      </c>
    </row>
    <row r="285" spans="1:7" x14ac:dyDescent="0.35">
      <c r="A285">
        <v>0.12</v>
      </c>
      <c r="B285">
        <v>0.1515</v>
      </c>
      <c r="C285">
        <v>0.54</v>
      </c>
      <c r="D285">
        <v>0.1343</v>
      </c>
      <c r="E285">
        <v>0</v>
      </c>
      <c r="F285">
        <v>28</v>
      </c>
      <c r="G285">
        <v>28</v>
      </c>
    </row>
    <row r="286" spans="1:7" x14ac:dyDescent="0.35">
      <c r="A286">
        <v>0.12</v>
      </c>
      <c r="B286">
        <v>0.1515</v>
      </c>
      <c r="C286">
        <v>0.54</v>
      </c>
      <c r="D286">
        <v>0.1343</v>
      </c>
      <c r="E286">
        <v>0</v>
      </c>
      <c r="F286">
        <v>72</v>
      </c>
      <c r="G286">
        <v>72</v>
      </c>
    </row>
    <row r="287" spans="1:7" x14ac:dyDescent="0.35">
      <c r="A287">
        <v>0.14000000000000001</v>
      </c>
      <c r="B287">
        <v>0.13639999999999999</v>
      </c>
      <c r="C287">
        <v>0.5</v>
      </c>
      <c r="D287">
        <v>0.19400000000000001</v>
      </c>
      <c r="E287">
        <v>5</v>
      </c>
      <c r="F287">
        <v>197</v>
      </c>
      <c r="G287">
        <v>202</v>
      </c>
    </row>
    <row r="288" spans="1:7" x14ac:dyDescent="0.35">
      <c r="A288">
        <v>0.14000000000000001</v>
      </c>
      <c r="B288">
        <v>0.1212</v>
      </c>
      <c r="C288">
        <v>0.5</v>
      </c>
      <c r="D288">
        <v>0.32840000000000003</v>
      </c>
      <c r="E288">
        <v>2</v>
      </c>
      <c r="F288">
        <v>137</v>
      </c>
      <c r="G288">
        <v>139</v>
      </c>
    </row>
    <row r="289" spans="1:7" x14ac:dyDescent="0.35">
      <c r="A289">
        <v>0.16</v>
      </c>
      <c r="B289">
        <v>0.13639999999999999</v>
      </c>
      <c r="C289">
        <v>0.5</v>
      </c>
      <c r="D289">
        <v>0.35820000000000002</v>
      </c>
      <c r="E289">
        <v>2</v>
      </c>
      <c r="F289">
        <v>36</v>
      </c>
      <c r="G289">
        <v>38</v>
      </c>
    </row>
    <row r="290" spans="1:7" x14ac:dyDescent="0.35">
      <c r="A290">
        <v>0.2</v>
      </c>
      <c r="B290">
        <v>0.16669999999999999</v>
      </c>
      <c r="C290">
        <v>0.44</v>
      </c>
      <c r="D290">
        <v>0.44779999999999998</v>
      </c>
      <c r="E290">
        <v>4</v>
      </c>
      <c r="F290">
        <v>33</v>
      </c>
      <c r="G290">
        <v>37</v>
      </c>
    </row>
    <row r="291" spans="1:7" x14ac:dyDescent="0.35">
      <c r="A291">
        <v>0.2</v>
      </c>
      <c r="B291">
        <v>0.16669999999999999</v>
      </c>
      <c r="C291">
        <v>0.44</v>
      </c>
      <c r="D291">
        <v>0.41789999999999999</v>
      </c>
      <c r="E291">
        <v>3</v>
      </c>
      <c r="F291">
        <v>49</v>
      </c>
      <c r="G291">
        <v>52</v>
      </c>
    </row>
    <row r="292" spans="1:7" x14ac:dyDescent="0.35">
      <c r="A292">
        <v>0.22</v>
      </c>
      <c r="B292">
        <v>0.19700000000000001</v>
      </c>
      <c r="C292">
        <v>0.41</v>
      </c>
      <c r="D292">
        <v>0.44779999999999998</v>
      </c>
      <c r="E292">
        <v>2</v>
      </c>
      <c r="F292">
        <v>81</v>
      </c>
      <c r="G292">
        <v>83</v>
      </c>
    </row>
    <row r="293" spans="1:7" x14ac:dyDescent="0.35">
      <c r="A293">
        <v>0.22</v>
      </c>
      <c r="B293">
        <v>0.19700000000000001</v>
      </c>
      <c r="C293">
        <v>0.41</v>
      </c>
      <c r="D293">
        <v>0.3881</v>
      </c>
      <c r="E293">
        <v>3</v>
      </c>
      <c r="F293">
        <v>39</v>
      </c>
      <c r="G293">
        <v>42</v>
      </c>
    </row>
    <row r="294" spans="1:7" x14ac:dyDescent="0.35">
      <c r="A294">
        <v>0.24</v>
      </c>
      <c r="B294">
        <v>0.21210000000000001</v>
      </c>
      <c r="C294">
        <v>0.38</v>
      </c>
      <c r="D294">
        <v>0.29849999999999999</v>
      </c>
      <c r="E294">
        <v>5</v>
      </c>
      <c r="F294">
        <v>55</v>
      </c>
      <c r="G294">
        <v>60</v>
      </c>
    </row>
    <row r="295" spans="1:7" x14ac:dyDescent="0.35">
      <c r="A295">
        <v>0.24</v>
      </c>
      <c r="B295">
        <v>0.21210000000000001</v>
      </c>
      <c r="C295">
        <v>0.38</v>
      </c>
      <c r="D295">
        <v>0.35820000000000002</v>
      </c>
      <c r="E295">
        <v>2</v>
      </c>
      <c r="F295">
        <v>76</v>
      </c>
      <c r="G295">
        <v>78</v>
      </c>
    </row>
    <row r="296" spans="1:7" x14ac:dyDescent="0.35">
      <c r="A296">
        <v>0.2</v>
      </c>
      <c r="B296">
        <v>0.18179999999999999</v>
      </c>
      <c r="C296">
        <v>0.4</v>
      </c>
      <c r="D296">
        <v>0.28360000000000002</v>
      </c>
      <c r="E296">
        <v>4</v>
      </c>
      <c r="F296">
        <v>158</v>
      </c>
      <c r="G296">
        <v>162</v>
      </c>
    </row>
    <row r="297" spans="1:7" x14ac:dyDescent="0.35">
      <c r="A297">
        <v>0.2</v>
      </c>
      <c r="B297">
        <v>0.18179999999999999</v>
      </c>
      <c r="C297">
        <v>0.4</v>
      </c>
      <c r="D297">
        <v>0.32840000000000003</v>
      </c>
      <c r="E297">
        <v>3</v>
      </c>
      <c r="F297">
        <v>141</v>
      </c>
      <c r="G297">
        <v>144</v>
      </c>
    </row>
    <row r="298" spans="1:7" x14ac:dyDescent="0.35">
      <c r="A298">
        <v>0.16</v>
      </c>
      <c r="B298">
        <v>0.1515</v>
      </c>
      <c r="C298">
        <v>0.47</v>
      </c>
      <c r="D298">
        <v>0.25369999999999998</v>
      </c>
      <c r="E298">
        <v>1</v>
      </c>
      <c r="F298">
        <v>98</v>
      </c>
      <c r="G298">
        <v>99</v>
      </c>
    </row>
    <row r="299" spans="1:7" x14ac:dyDescent="0.35">
      <c r="A299">
        <v>0.16</v>
      </c>
      <c r="B299">
        <v>0.1515</v>
      </c>
      <c r="C299">
        <v>0.47</v>
      </c>
      <c r="D299">
        <v>0.22389999999999999</v>
      </c>
      <c r="E299">
        <v>0</v>
      </c>
      <c r="F299">
        <v>64</v>
      </c>
      <c r="G299">
        <v>64</v>
      </c>
    </row>
    <row r="300" spans="1:7" x14ac:dyDescent="0.35">
      <c r="A300">
        <v>0.14000000000000001</v>
      </c>
      <c r="B300">
        <v>0.1212</v>
      </c>
      <c r="C300">
        <v>0.46</v>
      </c>
      <c r="D300">
        <v>0.29849999999999999</v>
      </c>
      <c r="E300">
        <v>0</v>
      </c>
      <c r="F300">
        <v>40</v>
      </c>
      <c r="G300">
        <v>40</v>
      </c>
    </row>
    <row r="301" spans="1:7" x14ac:dyDescent="0.35">
      <c r="A301">
        <v>0.14000000000000001</v>
      </c>
      <c r="B301">
        <v>0.1212</v>
      </c>
      <c r="C301">
        <v>0.46</v>
      </c>
      <c r="D301">
        <v>0.32840000000000003</v>
      </c>
      <c r="E301">
        <v>0</v>
      </c>
      <c r="F301">
        <v>30</v>
      </c>
      <c r="G301">
        <v>30</v>
      </c>
    </row>
    <row r="302" spans="1:7" x14ac:dyDescent="0.35">
      <c r="A302">
        <v>0.12</v>
      </c>
      <c r="B302">
        <v>0.13639999999999999</v>
      </c>
      <c r="C302">
        <v>0.5</v>
      </c>
      <c r="D302">
        <v>0.19400000000000001</v>
      </c>
      <c r="E302">
        <v>1</v>
      </c>
      <c r="F302">
        <v>14</v>
      </c>
      <c r="G302">
        <v>15</v>
      </c>
    </row>
    <row r="303" spans="1:7" x14ac:dyDescent="0.35">
      <c r="A303">
        <v>0.12</v>
      </c>
      <c r="B303">
        <v>0.13639999999999999</v>
      </c>
      <c r="C303">
        <v>0.5</v>
      </c>
      <c r="D303">
        <v>0.19400000000000001</v>
      </c>
      <c r="E303">
        <v>0</v>
      </c>
      <c r="F303">
        <v>14</v>
      </c>
      <c r="G303">
        <v>14</v>
      </c>
    </row>
    <row r="304" spans="1:7" x14ac:dyDescent="0.35">
      <c r="A304">
        <v>0.1</v>
      </c>
      <c r="B304">
        <v>0.1212</v>
      </c>
      <c r="C304">
        <v>0.54</v>
      </c>
      <c r="D304">
        <v>0.16420000000000001</v>
      </c>
      <c r="E304">
        <v>0</v>
      </c>
      <c r="F304">
        <v>5</v>
      </c>
      <c r="G304">
        <v>5</v>
      </c>
    </row>
    <row r="305" spans="1:7" x14ac:dyDescent="0.35">
      <c r="A305">
        <v>0.1</v>
      </c>
      <c r="B305">
        <v>0.1212</v>
      </c>
      <c r="C305">
        <v>0.54</v>
      </c>
      <c r="D305">
        <v>0.1343</v>
      </c>
      <c r="E305">
        <v>0</v>
      </c>
      <c r="F305">
        <v>1</v>
      </c>
      <c r="G305">
        <v>1</v>
      </c>
    </row>
    <row r="306" spans="1:7" x14ac:dyDescent="0.35">
      <c r="A306">
        <v>0.1</v>
      </c>
      <c r="B306">
        <v>0.13639999999999999</v>
      </c>
      <c r="C306">
        <v>0.54</v>
      </c>
      <c r="D306">
        <v>0.1045</v>
      </c>
      <c r="E306">
        <v>0</v>
      </c>
      <c r="F306">
        <v>1</v>
      </c>
      <c r="G306">
        <v>1</v>
      </c>
    </row>
    <row r="307" spans="1:7" x14ac:dyDescent="0.35">
      <c r="A307">
        <v>0.1</v>
      </c>
      <c r="B307">
        <v>0.13639999999999999</v>
      </c>
      <c r="C307">
        <v>0.54</v>
      </c>
      <c r="D307">
        <v>8.9599999999999999E-2</v>
      </c>
      <c r="E307">
        <v>0</v>
      </c>
      <c r="F307">
        <v>8</v>
      </c>
      <c r="G307">
        <v>8</v>
      </c>
    </row>
    <row r="308" spans="1:7" x14ac:dyDescent="0.35">
      <c r="A308">
        <v>0.1</v>
      </c>
      <c r="B308">
        <v>0.18179999999999999</v>
      </c>
      <c r="C308">
        <v>0.54</v>
      </c>
      <c r="D308">
        <v>0</v>
      </c>
      <c r="E308">
        <v>0</v>
      </c>
      <c r="F308">
        <v>17</v>
      </c>
      <c r="G308">
        <v>17</v>
      </c>
    </row>
    <row r="309" spans="1:7" x14ac:dyDescent="0.35">
      <c r="A309">
        <v>0.1</v>
      </c>
      <c r="B309">
        <v>0.1212</v>
      </c>
      <c r="C309">
        <v>0.74</v>
      </c>
      <c r="D309">
        <v>0.16420000000000001</v>
      </c>
      <c r="E309">
        <v>0</v>
      </c>
      <c r="F309">
        <v>70</v>
      </c>
      <c r="G309">
        <v>70</v>
      </c>
    </row>
    <row r="310" spans="1:7" x14ac:dyDescent="0.35">
      <c r="A310">
        <v>0.12</v>
      </c>
      <c r="B310">
        <v>0.16669999999999999</v>
      </c>
      <c r="C310">
        <v>0.68</v>
      </c>
      <c r="D310">
        <v>0</v>
      </c>
      <c r="E310">
        <v>2</v>
      </c>
      <c r="F310">
        <v>156</v>
      </c>
      <c r="G310">
        <v>158</v>
      </c>
    </row>
    <row r="311" spans="1:7" x14ac:dyDescent="0.35">
      <c r="A311">
        <v>0.14000000000000001</v>
      </c>
      <c r="B311">
        <v>0.1515</v>
      </c>
      <c r="C311">
        <v>0.69</v>
      </c>
      <c r="D311">
        <v>0.1343</v>
      </c>
      <c r="E311">
        <v>0</v>
      </c>
      <c r="F311">
        <v>117</v>
      </c>
      <c r="G311">
        <v>117</v>
      </c>
    </row>
    <row r="312" spans="1:7" x14ac:dyDescent="0.35">
      <c r="A312">
        <v>0.18</v>
      </c>
      <c r="B312">
        <v>0.18179999999999999</v>
      </c>
      <c r="C312">
        <v>0.55000000000000004</v>
      </c>
      <c r="D312">
        <v>0.19400000000000001</v>
      </c>
      <c r="E312">
        <v>4</v>
      </c>
      <c r="F312">
        <v>40</v>
      </c>
      <c r="G312">
        <v>44</v>
      </c>
    </row>
    <row r="313" spans="1:7" x14ac:dyDescent="0.35">
      <c r="A313">
        <v>0.18</v>
      </c>
      <c r="B313">
        <v>0.16669999999999999</v>
      </c>
      <c r="C313">
        <v>0.51</v>
      </c>
      <c r="D313">
        <v>0.28360000000000002</v>
      </c>
      <c r="E313">
        <v>6</v>
      </c>
      <c r="F313">
        <v>47</v>
      </c>
      <c r="G313">
        <v>53</v>
      </c>
    </row>
    <row r="314" spans="1:7" x14ac:dyDescent="0.35">
      <c r="A314">
        <v>0.2</v>
      </c>
      <c r="B314">
        <v>0.19700000000000001</v>
      </c>
      <c r="C314">
        <v>0.44</v>
      </c>
      <c r="D314">
        <v>0.25369999999999998</v>
      </c>
      <c r="E314">
        <v>2</v>
      </c>
      <c r="F314">
        <v>59</v>
      </c>
      <c r="G314">
        <v>61</v>
      </c>
    </row>
    <row r="315" spans="1:7" x14ac:dyDescent="0.35">
      <c r="A315">
        <v>0.22</v>
      </c>
      <c r="B315">
        <v>0.19700000000000001</v>
      </c>
      <c r="C315">
        <v>0.37</v>
      </c>
      <c r="D315">
        <v>0.3881</v>
      </c>
      <c r="E315">
        <v>4</v>
      </c>
      <c r="F315">
        <v>73</v>
      </c>
      <c r="G315">
        <v>77</v>
      </c>
    </row>
    <row r="316" spans="1:7" x14ac:dyDescent="0.35">
      <c r="A316">
        <v>0.22</v>
      </c>
      <c r="B316">
        <v>0.21210000000000001</v>
      </c>
      <c r="C316">
        <v>0.41</v>
      </c>
      <c r="D316">
        <v>0.28360000000000002</v>
      </c>
      <c r="E316">
        <v>5</v>
      </c>
      <c r="F316">
        <v>59</v>
      </c>
      <c r="G316">
        <v>64</v>
      </c>
    </row>
    <row r="317" spans="1:7" x14ac:dyDescent="0.35">
      <c r="A317">
        <v>0.24</v>
      </c>
      <c r="B317">
        <v>0.2424</v>
      </c>
      <c r="C317">
        <v>0.38</v>
      </c>
      <c r="D317">
        <v>0.16420000000000001</v>
      </c>
      <c r="E317">
        <v>9</v>
      </c>
      <c r="F317">
        <v>59</v>
      </c>
      <c r="G317">
        <v>68</v>
      </c>
    </row>
    <row r="318" spans="1:7" x14ac:dyDescent="0.35">
      <c r="A318">
        <v>0.22</v>
      </c>
      <c r="B318">
        <v>0.2424</v>
      </c>
      <c r="C318">
        <v>0.41</v>
      </c>
      <c r="D318">
        <v>0.1045</v>
      </c>
      <c r="E318">
        <v>3</v>
      </c>
      <c r="F318">
        <v>87</v>
      </c>
      <c r="G318">
        <v>90</v>
      </c>
    </row>
    <row r="319" spans="1:7" x14ac:dyDescent="0.35">
      <c r="A319">
        <v>0.22</v>
      </c>
      <c r="B319">
        <v>0.2273</v>
      </c>
      <c r="C319">
        <v>0.41</v>
      </c>
      <c r="D319">
        <v>0.16420000000000001</v>
      </c>
      <c r="E319">
        <v>4</v>
      </c>
      <c r="F319">
        <v>155</v>
      </c>
      <c r="G319">
        <v>159</v>
      </c>
    </row>
    <row r="320" spans="1:7" x14ac:dyDescent="0.35">
      <c r="A320">
        <v>0.2</v>
      </c>
      <c r="B320">
        <v>0.2576</v>
      </c>
      <c r="C320">
        <v>0.47</v>
      </c>
      <c r="D320">
        <v>0</v>
      </c>
      <c r="E320">
        <v>5</v>
      </c>
      <c r="F320">
        <v>134</v>
      </c>
      <c r="G320">
        <v>139</v>
      </c>
    </row>
    <row r="321" spans="1:7" x14ac:dyDescent="0.35">
      <c r="A321">
        <v>0.16</v>
      </c>
      <c r="B321">
        <v>0.19700000000000001</v>
      </c>
      <c r="C321">
        <v>0.59</v>
      </c>
      <c r="D321">
        <v>8.9599999999999999E-2</v>
      </c>
      <c r="E321">
        <v>3</v>
      </c>
      <c r="F321">
        <v>89</v>
      </c>
      <c r="G321">
        <v>92</v>
      </c>
    </row>
    <row r="322" spans="1:7" x14ac:dyDescent="0.35">
      <c r="A322">
        <v>0.18</v>
      </c>
      <c r="B322">
        <v>0.2424</v>
      </c>
      <c r="C322">
        <v>0.59</v>
      </c>
      <c r="D322">
        <v>0</v>
      </c>
      <c r="E322">
        <v>0</v>
      </c>
      <c r="F322">
        <v>68</v>
      </c>
      <c r="G322">
        <v>68</v>
      </c>
    </row>
    <row r="323" spans="1:7" x14ac:dyDescent="0.35">
      <c r="A323">
        <v>0.16</v>
      </c>
      <c r="B323">
        <v>0.2273</v>
      </c>
      <c r="C323">
        <v>0.69</v>
      </c>
      <c r="D323">
        <v>0</v>
      </c>
      <c r="E323">
        <v>4</v>
      </c>
      <c r="F323">
        <v>48</v>
      </c>
      <c r="G323">
        <v>52</v>
      </c>
    </row>
    <row r="324" spans="1:7" x14ac:dyDescent="0.35">
      <c r="A324">
        <v>0.16</v>
      </c>
      <c r="B324">
        <v>0.2273</v>
      </c>
      <c r="C324">
        <v>0.69</v>
      </c>
      <c r="D324">
        <v>0</v>
      </c>
      <c r="E324">
        <v>2</v>
      </c>
      <c r="F324">
        <v>34</v>
      </c>
      <c r="G324">
        <v>36</v>
      </c>
    </row>
    <row r="325" spans="1:7" x14ac:dyDescent="0.35">
      <c r="A325">
        <v>0.18</v>
      </c>
      <c r="B325">
        <v>0.2424</v>
      </c>
      <c r="C325">
        <v>0.55000000000000004</v>
      </c>
      <c r="D325">
        <v>0</v>
      </c>
      <c r="E325">
        <v>1</v>
      </c>
      <c r="F325">
        <v>26</v>
      </c>
      <c r="G325">
        <v>27</v>
      </c>
    </row>
    <row r="326" spans="1:7" x14ac:dyDescent="0.35">
      <c r="A326">
        <v>0.18</v>
      </c>
      <c r="B326">
        <v>0.2424</v>
      </c>
      <c r="C326">
        <v>0.55000000000000004</v>
      </c>
      <c r="D326">
        <v>0</v>
      </c>
      <c r="E326">
        <v>3</v>
      </c>
      <c r="F326">
        <v>25</v>
      </c>
      <c r="G326">
        <v>28</v>
      </c>
    </row>
    <row r="327" spans="1:7" x14ac:dyDescent="0.35">
      <c r="A327">
        <v>0.16</v>
      </c>
      <c r="B327">
        <v>0.19700000000000001</v>
      </c>
      <c r="C327">
        <v>0.59</v>
      </c>
      <c r="D327">
        <v>8.9599999999999999E-2</v>
      </c>
      <c r="E327">
        <v>2</v>
      </c>
      <c r="F327">
        <v>18</v>
      </c>
      <c r="G327">
        <v>20</v>
      </c>
    </row>
    <row r="328" spans="1:7" x14ac:dyDescent="0.35">
      <c r="A328">
        <v>0.16</v>
      </c>
      <c r="B328">
        <v>0.19700000000000001</v>
      </c>
      <c r="C328">
        <v>0.59</v>
      </c>
      <c r="D328">
        <v>8.9599999999999999E-2</v>
      </c>
      <c r="E328">
        <v>0</v>
      </c>
      <c r="F328">
        <v>12</v>
      </c>
      <c r="G328">
        <v>12</v>
      </c>
    </row>
    <row r="329" spans="1:7" x14ac:dyDescent="0.35">
      <c r="A329">
        <v>0.16</v>
      </c>
      <c r="B329">
        <v>0.2273</v>
      </c>
      <c r="C329">
        <v>0.59</v>
      </c>
      <c r="D329">
        <v>0</v>
      </c>
      <c r="E329">
        <v>1</v>
      </c>
      <c r="F329">
        <v>7</v>
      </c>
      <c r="G329">
        <v>8</v>
      </c>
    </row>
    <row r="330" spans="1:7" x14ac:dyDescent="0.35">
      <c r="A330">
        <v>0.16</v>
      </c>
      <c r="B330">
        <v>0.2273</v>
      </c>
      <c r="C330">
        <v>0.59</v>
      </c>
      <c r="D330">
        <v>0</v>
      </c>
      <c r="E330">
        <v>0</v>
      </c>
      <c r="F330">
        <v>5</v>
      </c>
      <c r="G330">
        <v>5</v>
      </c>
    </row>
    <row r="331" spans="1:7" x14ac:dyDescent="0.35">
      <c r="A331">
        <v>0.16</v>
      </c>
      <c r="B331">
        <v>0.2273</v>
      </c>
      <c r="C331">
        <v>0.59</v>
      </c>
      <c r="D331">
        <v>0</v>
      </c>
      <c r="E331">
        <v>0</v>
      </c>
      <c r="F331">
        <v>1</v>
      </c>
      <c r="G331">
        <v>1</v>
      </c>
    </row>
    <row r="332" spans="1:7" x14ac:dyDescent="0.35">
      <c r="A332">
        <v>0.14000000000000001</v>
      </c>
      <c r="B332">
        <v>0.16669999999999999</v>
      </c>
      <c r="C332">
        <v>0.63</v>
      </c>
      <c r="D332">
        <v>0.1045</v>
      </c>
      <c r="E332">
        <v>1</v>
      </c>
      <c r="F332">
        <v>2</v>
      </c>
      <c r="G332">
        <v>3</v>
      </c>
    </row>
    <row r="333" spans="1:7" x14ac:dyDescent="0.35">
      <c r="A333">
        <v>0.14000000000000001</v>
      </c>
      <c r="B333">
        <v>0.21210000000000001</v>
      </c>
      <c r="C333">
        <v>0.63</v>
      </c>
      <c r="D333">
        <v>0</v>
      </c>
      <c r="E333">
        <v>1</v>
      </c>
      <c r="F333">
        <v>9</v>
      </c>
      <c r="G333">
        <v>10</v>
      </c>
    </row>
    <row r="334" spans="1:7" x14ac:dyDescent="0.35">
      <c r="A334">
        <v>0.14000000000000001</v>
      </c>
      <c r="B334">
        <v>0.1515</v>
      </c>
      <c r="C334">
        <v>0.63</v>
      </c>
      <c r="D334">
        <v>0.1343</v>
      </c>
      <c r="E334">
        <v>1</v>
      </c>
      <c r="F334">
        <v>22</v>
      </c>
      <c r="G334">
        <v>23</v>
      </c>
    </row>
    <row r="335" spans="1:7" x14ac:dyDescent="0.35">
      <c r="A335">
        <v>0.16</v>
      </c>
      <c r="B335">
        <v>0.18179999999999999</v>
      </c>
      <c r="C335">
        <v>0.64</v>
      </c>
      <c r="D335">
        <v>0.1343</v>
      </c>
      <c r="E335">
        <v>2</v>
      </c>
      <c r="F335">
        <v>31</v>
      </c>
      <c r="G335">
        <v>33</v>
      </c>
    </row>
    <row r="336" spans="1:7" x14ac:dyDescent="0.35">
      <c r="A336">
        <v>0.18</v>
      </c>
      <c r="B336">
        <v>0.19700000000000001</v>
      </c>
      <c r="C336">
        <v>0.59</v>
      </c>
      <c r="D336">
        <v>0.16420000000000001</v>
      </c>
      <c r="E336">
        <v>2</v>
      </c>
      <c r="F336">
        <v>57</v>
      </c>
      <c r="G336">
        <v>59</v>
      </c>
    </row>
    <row r="337" spans="1:7" x14ac:dyDescent="0.35">
      <c r="A337">
        <v>0.2</v>
      </c>
      <c r="B337">
        <v>0.19700000000000001</v>
      </c>
      <c r="C337">
        <v>0.55000000000000004</v>
      </c>
      <c r="D337">
        <v>0.22389999999999999</v>
      </c>
      <c r="E337">
        <v>18</v>
      </c>
      <c r="F337">
        <v>54</v>
      </c>
      <c r="G337">
        <v>72</v>
      </c>
    </row>
    <row r="338" spans="1:7" x14ac:dyDescent="0.35">
      <c r="A338">
        <v>0.24</v>
      </c>
      <c r="B338">
        <v>0.2273</v>
      </c>
      <c r="C338">
        <v>0.48</v>
      </c>
      <c r="D338">
        <v>0.22389999999999999</v>
      </c>
      <c r="E338">
        <v>15</v>
      </c>
      <c r="F338">
        <v>74</v>
      </c>
      <c r="G338">
        <v>89</v>
      </c>
    </row>
    <row r="339" spans="1:7" x14ac:dyDescent="0.35">
      <c r="A339">
        <v>0.28000000000000003</v>
      </c>
      <c r="B339">
        <v>0.2576</v>
      </c>
      <c r="C339">
        <v>0.38</v>
      </c>
      <c r="D339">
        <v>0.29849999999999999</v>
      </c>
      <c r="E339">
        <v>21</v>
      </c>
      <c r="F339">
        <v>80</v>
      </c>
      <c r="G339">
        <v>101</v>
      </c>
    </row>
    <row r="340" spans="1:7" x14ac:dyDescent="0.35">
      <c r="A340">
        <v>0.3</v>
      </c>
      <c r="B340">
        <v>0.28789999999999999</v>
      </c>
      <c r="C340">
        <v>0.39</v>
      </c>
      <c r="D340">
        <v>0.28360000000000002</v>
      </c>
      <c r="E340">
        <v>26</v>
      </c>
      <c r="F340">
        <v>92</v>
      </c>
      <c r="G340">
        <v>118</v>
      </c>
    </row>
    <row r="341" spans="1:7" x14ac:dyDescent="0.35">
      <c r="A341">
        <v>0.32</v>
      </c>
      <c r="B341">
        <v>0.31819999999999998</v>
      </c>
      <c r="C341">
        <v>0.36</v>
      </c>
      <c r="D341">
        <v>0.19400000000000001</v>
      </c>
      <c r="E341">
        <v>21</v>
      </c>
      <c r="F341">
        <v>108</v>
      </c>
      <c r="G341">
        <v>129</v>
      </c>
    </row>
    <row r="342" spans="1:7" x14ac:dyDescent="0.35">
      <c r="A342">
        <v>0.34</v>
      </c>
      <c r="B342">
        <v>0.33329999999999999</v>
      </c>
      <c r="C342">
        <v>0.34</v>
      </c>
      <c r="D342">
        <v>0.19400000000000001</v>
      </c>
      <c r="E342">
        <v>33</v>
      </c>
      <c r="F342">
        <v>95</v>
      </c>
      <c r="G342">
        <v>128</v>
      </c>
    </row>
    <row r="343" spans="1:7" x14ac:dyDescent="0.35">
      <c r="A343">
        <v>0.32</v>
      </c>
      <c r="B343">
        <v>0.30299999999999999</v>
      </c>
      <c r="C343">
        <v>0.36</v>
      </c>
      <c r="D343">
        <v>0.28360000000000002</v>
      </c>
      <c r="E343">
        <v>29</v>
      </c>
      <c r="F343">
        <v>54</v>
      </c>
      <c r="G343">
        <v>83</v>
      </c>
    </row>
    <row r="344" spans="1:7" x14ac:dyDescent="0.35">
      <c r="A344">
        <v>0.3</v>
      </c>
      <c r="B344">
        <v>0.28789999999999999</v>
      </c>
      <c r="C344">
        <v>0.45</v>
      </c>
      <c r="D344">
        <v>0.25369999999999998</v>
      </c>
      <c r="E344">
        <v>15</v>
      </c>
      <c r="F344">
        <v>69</v>
      </c>
      <c r="G344">
        <v>84</v>
      </c>
    </row>
    <row r="345" spans="1:7" x14ac:dyDescent="0.35">
      <c r="A345">
        <v>0.32</v>
      </c>
      <c r="B345">
        <v>0.30299999999999999</v>
      </c>
      <c r="C345">
        <v>0.39</v>
      </c>
      <c r="D345">
        <v>0.25369999999999998</v>
      </c>
      <c r="E345">
        <v>14</v>
      </c>
      <c r="F345">
        <v>60</v>
      </c>
      <c r="G345">
        <v>74</v>
      </c>
    </row>
    <row r="346" spans="1:7" x14ac:dyDescent="0.35">
      <c r="A346">
        <v>0.32</v>
      </c>
      <c r="B346">
        <v>0.30299999999999999</v>
      </c>
      <c r="C346">
        <v>0.39</v>
      </c>
      <c r="D346">
        <v>0.25369999999999998</v>
      </c>
      <c r="E346">
        <v>6</v>
      </c>
      <c r="F346">
        <v>35</v>
      </c>
      <c r="G346">
        <v>41</v>
      </c>
    </row>
    <row r="347" spans="1:7" x14ac:dyDescent="0.35">
      <c r="A347">
        <v>0.32</v>
      </c>
      <c r="B347">
        <v>0.30299999999999999</v>
      </c>
      <c r="C347">
        <v>0.39</v>
      </c>
      <c r="D347">
        <v>0.22389999999999999</v>
      </c>
      <c r="E347">
        <v>6</v>
      </c>
      <c r="F347">
        <v>51</v>
      </c>
      <c r="G347">
        <v>57</v>
      </c>
    </row>
    <row r="348" spans="1:7" x14ac:dyDescent="0.35">
      <c r="A348">
        <v>0.3</v>
      </c>
      <c r="B348">
        <v>0.31819999999999998</v>
      </c>
      <c r="C348">
        <v>0.42</v>
      </c>
      <c r="D348">
        <v>0.1045</v>
      </c>
      <c r="E348">
        <v>0</v>
      </c>
      <c r="F348">
        <v>26</v>
      </c>
      <c r="G348">
        <v>26</v>
      </c>
    </row>
    <row r="349" spans="1:7" x14ac:dyDescent="0.35">
      <c r="A349">
        <v>0.3</v>
      </c>
      <c r="B349">
        <v>0.28789999999999999</v>
      </c>
      <c r="C349">
        <v>0.45</v>
      </c>
      <c r="D349">
        <v>0.28360000000000002</v>
      </c>
      <c r="E349">
        <v>5</v>
      </c>
      <c r="F349">
        <v>39</v>
      </c>
      <c r="G349">
        <v>44</v>
      </c>
    </row>
    <row r="350" spans="1:7" x14ac:dyDescent="0.35">
      <c r="A350">
        <v>0.26</v>
      </c>
      <c r="B350">
        <v>0.30299999999999999</v>
      </c>
      <c r="C350">
        <v>0.56000000000000005</v>
      </c>
      <c r="D350">
        <v>0</v>
      </c>
      <c r="E350">
        <v>6</v>
      </c>
      <c r="F350">
        <v>33</v>
      </c>
      <c r="G350">
        <v>39</v>
      </c>
    </row>
    <row r="351" spans="1:7" x14ac:dyDescent="0.35">
      <c r="A351">
        <v>0.26</v>
      </c>
      <c r="B351">
        <v>0.2727</v>
      </c>
      <c r="C351">
        <v>0.56000000000000005</v>
      </c>
      <c r="D351">
        <v>0.1343</v>
      </c>
      <c r="E351">
        <v>4</v>
      </c>
      <c r="F351">
        <v>19</v>
      </c>
      <c r="G351">
        <v>23</v>
      </c>
    </row>
    <row r="352" spans="1:7" x14ac:dyDescent="0.35">
      <c r="A352">
        <v>0.26</v>
      </c>
      <c r="B352">
        <v>0.28789999999999999</v>
      </c>
      <c r="C352">
        <v>0.56000000000000005</v>
      </c>
      <c r="D352">
        <v>8.9599999999999999E-2</v>
      </c>
      <c r="E352">
        <v>3</v>
      </c>
      <c r="F352">
        <v>13</v>
      </c>
      <c r="G352">
        <v>16</v>
      </c>
    </row>
    <row r="353" spans="1:7" x14ac:dyDescent="0.35">
      <c r="A353">
        <v>0.22</v>
      </c>
      <c r="B353">
        <v>0.2727</v>
      </c>
      <c r="C353">
        <v>0.69</v>
      </c>
      <c r="D353">
        <v>0</v>
      </c>
      <c r="E353">
        <v>9</v>
      </c>
      <c r="F353">
        <v>6</v>
      </c>
      <c r="G353">
        <v>15</v>
      </c>
    </row>
    <row r="354" spans="1:7" x14ac:dyDescent="0.35">
      <c r="A354">
        <v>0.26</v>
      </c>
      <c r="B354">
        <v>0.2576</v>
      </c>
      <c r="C354">
        <v>0.56000000000000005</v>
      </c>
      <c r="D354">
        <v>0.16420000000000001</v>
      </c>
      <c r="E354">
        <v>0</v>
      </c>
      <c r="F354">
        <v>1</v>
      </c>
      <c r="G354">
        <v>1</v>
      </c>
    </row>
    <row r="355" spans="1:7" x14ac:dyDescent="0.35">
      <c r="A355">
        <v>0.26</v>
      </c>
      <c r="B355">
        <v>0.2576</v>
      </c>
      <c r="C355">
        <v>0.56000000000000005</v>
      </c>
      <c r="D355">
        <v>0.16420000000000001</v>
      </c>
      <c r="E355">
        <v>1</v>
      </c>
      <c r="F355">
        <v>1</v>
      </c>
      <c r="G355">
        <v>2</v>
      </c>
    </row>
    <row r="356" spans="1:7" x14ac:dyDescent="0.35">
      <c r="A356">
        <v>0.26</v>
      </c>
      <c r="B356">
        <v>0.2576</v>
      </c>
      <c r="C356">
        <v>0.56000000000000005</v>
      </c>
      <c r="D356">
        <v>0.16420000000000001</v>
      </c>
      <c r="E356">
        <v>0</v>
      </c>
      <c r="F356">
        <v>1</v>
      </c>
      <c r="G356">
        <v>1</v>
      </c>
    </row>
    <row r="357" spans="1:7" x14ac:dyDescent="0.35">
      <c r="A357">
        <v>0.24</v>
      </c>
      <c r="B357">
        <v>0.21210000000000001</v>
      </c>
      <c r="C357">
        <v>0.56000000000000005</v>
      </c>
      <c r="D357">
        <v>0.29849999999999999</v>
      </c>
      <c r="E357">
        <v>0</v>
      </c>
      <c r="F357">
        <v>3</v>
      </c>
      <c r="G357">
        <v>3</v>
      </c>
    </row>
    <row r="358" spans="1:7" x14ac:dyDescent="0.35">
      <c r="A358">
        <v>0.22</v>
      </c>
      <c r="B358">
        <v>0.21210000000000001</v>
      </c>
      <c r="C358">
        <v>0.55000000000000004</v>
      </c>
      <c r="D358">
        <v>0.28360000000000002</v>
      </c>
      <c r="E358">
        <v>0</v>
      </c>
      <c r="F358">
        <v>18</v>
      </c>
      <c r="G358">
        <v>18</v>
      </c>
    </row>
    <row r="359" spans="1:7" x14ac:dyDescent="0.35">
      <c r="A359">
        <v>0.22</v>
      </c>
      <c r="B359">
        <v>0.21210000000000001</v>
      </c>
      <c r="C359">
        <v>0.51</v>
      </c>
      <c r="D359">
        <v>0.25369999999999998</v>
      </c>
      <c r="E359">
        <v>3</v>
      </c>
      <c r="F359">
        <v>29</v>
      </c>
      <c r="G359">
        <v>32</v>
      </c>
    </row>
    <row r="360" spans="1:7" x14ac:dyDescent="0.35">
      <c r="A360">
        <v>0.22</v>
      </c>
      <c r="B360">
        <v>0.21210000000000001</v>
      </c>
      <c r="C360">
        <v>0.51</v>
      </c>
      <c r="D360">
        <v>0.28360000000000002</v>
      </c>
      <c r="E360">
        <v>8</v>
      </c>
      <c r="F360">
        <v>71</v>
      </c>
      <c r="G360">
        <v>79</v>
      </c>
    </row>
    <row r="361" spans="1:7" x14ac:dyDescent="0.35">
      <c r="A361">
        <v>0.24</v>
      </c>
      <c r="B361">
        <v>0.2273</v>
      </c>
      <c r="C361">
        <v>0.44</v>
      </c>
      <c r="D361">
        <v>0.25369999999999998</v>
      </c>
      <c r="E361">
        <v>23</v>
      </c>
      <c r="F361">
        <v>70</v>
      </c>
      <c r="G361">
        <v>93</v>
      </c>
    </row>
    <row r="362" spans="1:7" x14ac:dyDescent="0.35">
      <c r="A362">
        <v>0.24</v>
      </c>
      <c r="B362">
        <v>0.21210000000000001</v>
      </c>
      <c r="C362">
        <v>0.41</v>
      </c>
      <c r="D362">
        <v>0.28360000000000002</v>
      </c>
      <c r="E362">
        <v>29</v>
      </c>
      <c r="F362">
        <v>75</v>
      </c>
      <c r="G362">
        <v>104</v>
      </c>
    </row>
    <row r="363" spans="1:7" x14ac:dyDescent="0.35">
      <c r="A363">
        <v>0.26</v>
      </c>
      <c r="B363">
        <v>0.2273</v>
      </c>
      <c r="C363">
        <v>0.35</v>
      </c>
      <c r="D363">
        <v>0.29849999999999999</v>
      </c>
      <c r="E363">
        <v>23</v>
      </c>
      <c r="F363">
        <v>95</v>
      </c>
      <c r="G363">
        <v>118</v>
      </c>
    </row>
    <row r="364" spans="1:7" x14ac:dyDescent="0.35">
      <c r="A364">
        <v>0.28000000000000003</v>
      </c>
      <c r="B364">
        <v>0.2727</v>
      </c>
      <c r="C364">
        <v>0.36</v>
      </c>
      <c r="D364">
        <v>0.25369999999999998</v>
      </c>
      <c r="E364">
        <v>22</v>
      </c>
      <c r="F364">
        <v>69</v>
      </c>
      <c r="G364">
        <v>91</v>
      </c>
    </row>
    <row r="365" spans="1:7" x14ac:dyDescent="0.35">
      <c r="A365">
        <v>0.26</v>
      </c>
      <c r="B365">
        <v>0.2424</v>
      </c>
      <c r="C365">
        <v>0.38</v>
      </c>
      <c r="D365">
        <v>0.25369999999999998</v>
      </c>
      <c r="E365">
        <v>35</v>
      </c>
      <c r="F365">
        <v>78</v>
      </c>
      <c r="G365">
        <v>113</v>
      </c>
    </row>
    <row r="366" spans="1:7" x14ac:dyDescent="0.35">
      <c r="A366">
        <v>0.24</v>
      </c>
      <c r="B366">
        <v>0.2273</v>
      </c>
      <c r="C366">
        <v>0.38</v>
      </c>
      <c r="D366">
        <v>0.22389999999999999</v>
      </c>
      <c r="E366">
        <v>22</v>
      </c>
      <c r="F366">
        <v>77</v>
      </c>
      <c r="G366">
        <v>99</v>
      </c>
    </row>
    <row r="367" spans="1:7" x14ac:dyDescent="0.35">
      <c r="A367">
        <v>0.22</v>
      </c>
      <c r="B367">
        <v>0.21210000000000001</v>
      </c>
      <c r="C367">
        <v>0.37</v>
      </c>
      <c r="D367">
        <v>0.25369999999999998</v>
      </c>
      <c r="E367">
        <v>23</v>
      </c>
      <c r="F367">
        <v>82</v>
      </c>
      <c r="G367">
        <v>105</v>
      </c>
    </row>
    <row r="368" spans="1:7" x14ac:dyDescent="0.35">
      <c r="A368">
        <v>0.2</v>
      </c>
      <c r="B368">
        <v>0.21210000000000001</v>
      </c>
      <c r="C368">
        <v>0.4</v>
      </c>
      <c r="D368">
        <v>0.16420000000000001</v>
      </c>
      <c r="E368">
        <v>11</v>
      </c>
      <c r="F368">
        <v>56</v>
      </c>
      <c r="G368">
        <v>67</v>
      </c>
    </row>
    <row r="369" spans="1:7" x14ac:dyDescent="0.35">
      <c r="A369">
        <v>0.18</v>
      </c>
      <c r="B369">
        <v>0.19700000000000001</v>
      </c>
      <c r="C369">
        <v>0.47</v>
      </c>
      <c r="D369">
        <v>0.1343</v>
      </c>
      <c r="E369">
        <v>14</v>
      </c>
      <c r="F369">
        <v>47</v>
      </c>
      <c r="G369">
        <v>61</v>
      </c>
    </row>
    <row r="370" spans="1:7" x14ac:dyDescent="0.35">
      <c r="A370">
        <v>0.18</v>
      </c>
      <c r="B370">
        <v>0.19700000000000001</v>
      </c>
      <c r="C370">
        <v>0.47</v>
      </c>
      <c r="D370">
        <v>0.16420000000000001</v>
      </c>
      <c r="E370">
        <v>7</v>
      </c>
      <c r="F370">
        <v>50</v>
      </c>
      <c r="G370">
        <v>57</v>
      </c>
    </row>
    <row r="371" spans="1:7" x14ac:dyDescent="0.35">
      <c r="A371">
        <v>0.18</v>
      </c>
      <c r="B371">
        <v>0.19700000000000001</v>
      </c>
      <c r="C371">
        <v>0.51</v>
      </c>
      <c r="D371">
        <v>0.16420000000000001</v>
      </c>
      <c r="E371">
        <v>6</v>
      </c>
      <c r="F371">
        <v>22</v>
      </c>
      <c r="G371">
        <v>28</v>
      </c>
    </row>
    <row r="372" spans="1:7" x14ac:dyDescent="0.35">
      <c r="A372">
        <v>0.2</v>
      </c>
      <c r="B372">
        <v>0.21210000000000001</v>
      </c>
      <c r="C372">
        <v>0.49</v>
      </c>
      <c r="D372">
        <v>0.1343</v>
      </c>
      <c r="E372">
        <v>2</v>
      </c>
      <c r="F372">
        <v>19</v>
      </c>
      <c r="G372">
        <v>21</v>
      </c>
    </row>
    <row r="373" spans="1:7" x14ac:dyDescent="0.35">
      <c r="A373">
        <v>0.2</v>
      </c>
      <c r="B373">
        <v>0.2273</v>
      </c>
      <c r="C373">
        <v>0.4</v>
      </c>
      <c r="D373">
        <v>0.1045</v>
      </c>
      <c r="E373">
        <v>0</v>
      </c>
      <c r="F373">
        <v>18</v>
      </c>
      <c r="G373">
        <v>18</v>
      </c>
    </row>
    <row r="374" spans="1:7" x14ac:dyDescent="0.35">
      <c r="A374">
        <v>0.2</v>
      </c>
      <c r="B374">
        <v>0.19700000000000001</v>
      </c>
      <c r="C374">
        <v>0.47</v>
      </c>
      <c r="D374">
        <v>0.22389999999999999</v>
      </c>
      <c r="E374">
        <v>1</v>
      </c>
      <c r="F374">
        <v>16</v>
      </c>
      <c r="G374">
        <v>17</v>
      </c>
    </row>
    <row r="375" spans="1:7" x14ac:dyDescent="0.35">
      <c r="A375">
        <v>0.2</v>
      </c>
      <c r="B375">
        <v>0.19700000000000001</v>
      </c>
      <c r="C375">
        <v>0.44</v>
      </c>
      <c r="D375">
        <v>0.19400000000000001</v>
      </c>
      <c r="E375">
        <v>1</v>
      </c>
      <c r="F375">
        <v>15</v>
      </c>
      <c r="G375">
        <v>16</v>
      </c>
    </row>
    <row r="376" spans="1:7" x14ac:dyDescent="0.35">
      <c r="A376">
        <v>0.18</v>
      </c>
      <c r="B376">
        <v>0.16669999999999999</v>
      </c>
      <c r="C376">
        <v>0.43</v>
      </c>
      <c r="D376">
        <v>0.25369999999999998</v>
      </c>
      <c r="E376">
        <v>0</v>
      </c>
      <c r="F376">
        <v>8</v>
      </c>
      <c r="G376">
        <v>8</v>
      </c>
    </row>
    <row r="377" spans="1:7" x14ac:dyDescent="0.35">
      <c r="A377">
        <v>0.18</v>
      </c>
      <c r="B377">
        <v>0.18179999999999999</v>
      </c>
      <c r="C377">
        <v>0.43</v>
      </c>
      <c r="D377">
        <v>0.19400000000000001</v>
      </c>
      <c r="E377">
        <v>0</v>
      </c>
      <c r="F377">
        <v>2</v>
      </c>
      <c r="G377">
        <v>2</v>
      </c>
    </row>
    <row r="378" spans="1:7" x14ac:dyDescent="0.35">
      <c r="A378">
        <v>0.18</v>
      </c>
      <c r="B378">
        <v>0.19700000000000001</v>
      </c>
      <c r="C378">
        <v>0.43</v>
      </c>
      <c r="D378">
        <v>0.1343</v>
      </c>
      <c r="E378">
        <v>1</v>
      </c>
      <c r="F378">
        <v>2</v>
      </c>
      <c r="G378">
        <v>3</v>
      </c>
    </row>
    <row r="379" spans="1:7" x14ac:dyDescent="0.35">
      <c r="A379">
        <v>0.18</v>
      </c>
      <c r="B379">
        <v>0.19700000000000001</v>
      </c>
      <c r="C379">
        <v>0.43</v>
      </c>
      <c r="D379">
        <v>0.16420000000000001</v>
      </c>
      <c r="E379">
        <v>0</v>
      </c>
      <c r="F379">
        <v>1</v>
      </c>
      <c r="G379">
        <v>1</v>
      </c>
    </row>
    <row r="380" spans="1:7" x14ac:dyDescent="0.35">
      <c r="A380">
        <v>0.18</v>
      </c>
      <c r="B380">
        <v>0.18179999999999999</v>
      </c>
      <c r="C380">
        <v>0.43</v>
      </c>
      <c r="D380">
        <v>0.19400000000000001</v>
      </c>
      <c r="E380">
        <v>0</v>
      </c>
      <c r="F380">
        <v>5</v>
      </c>
      <c r="G380">
        <v>5</v>
      </c>
    </row>
    <row r="381" spans="1:7" x14ac:dyDescent="0.35">
      <c r="A381">
        <v>0.16</v>
      </c>
      <c r="B381">
        <v>0.18179999999999999</v>
      </c>
      <c r="C381">
        <v>0.5</v>
      </c>
      <c r="D381">
        <v>0.1343</v>
      </c>
      <c r="E381">
        <v>4</v>
      </c>
      <c r="F381">
        <v>9</v>
      </c>
      <c r="G381">
        <v>13</v>
      </c>
    </row>
    <row r="382" spans="1:7" x14ac:dyDescent="0.35">
      <c r="A382">
        <v>0.16</v>
      </c>
      <c r="B382">
        <v>0.1515</v>
      </c>
      <c r="C382">
        <v>0.47</v>
      </c>
      <c r="D382">
        <v>0.22389999999999999</v>
      </c>
      <c r="E382">
        <v>3</v>
      </c>
      <c r="F382">
        <v>30</v>
      </c>
      <c r="G382">
        <v>33</v>
      </c>
    </row>
    <row r="383" spans="1:7" x14ac:dyDescent="0.35">
      <c r="A383">
        <v>0.16</v>
      </c>
      <c r="B383">
        <v>0.1515</v>
      </c>
      <c r="C383">
        <v>0.47</v>
      </c>
      <c r="D383">
        <v>0.22389999999999999</v>
      </c>
      <c r="E383">
        <v>8</v>
      </c>
      <c r="F383">
        <v>39</v>
      </c>
      <c r="G383">
        <v>47</v>
      </c>
    </row>
    <row r="384" spans="1:7" x14ac:dyDescent="0.35">
      <c r="A384">
        <v>0.16</v>
      </c>
      <c r="B384">
        <v>0.1515</v>
      </c>
      <c r="C384">
        <v>0.5</v>
      </c>
      <c r="D384">
        <v>0.25369999999999998</v>
      </c>
      <c r="E384">
        <v>7</v>
      </c>
      <c r="F384">
        <v>50</v>
      </c>
      <c r="G384">
        <v>57</v>
      </c>
    </row>
    <row r="385" spans="1:7" x14ac:dyDescent="0.35">
      <c r="A385">
        <v>0.16</v>
      </c>
      <c r="B385">
        <v>0.1515</v>
      </c>
      <c r="C385">
        <v>0.55000000000000004</v>
      </c>
      <c r="D385">
        <v>0.19400000000000001</v>
      </c>
      <c r="E385">
        <v>9</v>
      </c>
      <c r="F385">
        <v>55</v>
      </c>
      <c r="G385">
        <v>64</v>
      </c>
    </row>
    <row r="386" spans="1:7" x14ac:dyDescent="0.35">
      <c r="A386">
        <v>0.18</v>
      </c>
      <c r="B386">
        <v>0.19700000000000001</v>
      </c>
      <c r="C386">
        <v>0.47</v>
      </c>
      <c r="D386">
        <v>0.1343</v>
      </c>
      <c r="E386">
        <v>10</v>
      </c>
      <c r="F386">
        <v>70</v>
      </c>
      <c r="G386">
        <v>80</v>
      </c>
    </row>
    <row r="387" spans="1:7" x14ac:dyDescent="0.35">
      <c r="A387">
        <v>0.18</v>
      </c>
      <c r="B387">
        <v>0.19700000000000001</v>
      </c>
      <c r="C387">
        <v>0.47</v>
      </c>
      <c r="D387">
        <v>0.1343</v>
      </c>
      <c r="E387">
        <v>13</v>
      </c>
      <c r="F387">
        <v>80</v>
      </c>
      <c r="G387">
        <v>93</v>
      </c>
    </row>
    <row r="388" spans="1:7" x14ac:dyDescent="0.35">
      <c r="A388">
        <v>0.18</v>
      </c>
      <c r="B388">
        <v>0.21210000000000001</v>
      </c>
      <c r="C388">
        <v>0.43</v>
      </c>
      <c r="D388">
        <v>0.1045</v>
      </c>
      <c r="E388">
        <v>12</v>
      </c>
      <c r="F388">
        <v>74</v>
      </c>
      <c r="G388">
        <v>86</v>
      </c>
    </row>
    <row r="389" spans="1:7" x14ac:dyDescent="0.35">
      <c r="A389">
        <v>0.2</v>
      </c>
      <c r="B389">
        <v>0.21210000000000001</v>
      </c>
      <c r="C389">
        <v>0.47</v>
      </c>
      <c r="D389">
        <v>0.16420000000000001</v>
      </c>
      <c r="E389">
        <v>21</v>
      </c>
      <c r="F389">
        <v>72</v>
      </c>
      <c r="G389">
        <v>93</v>
      </c>
    </row>
    <row r="390" spans="1:7" x14ac:dyDescent="0.35">
      <c r="A390">
        <v>0.2</v>
      </c>
      <c r="B390">
        <v>0.21210000000000001</v>
      </c>
      <c r="C390">
        <v>0.47</v>
      </c>
      <c r="D390">
        <v>0.16420000000000001</v>
      </c>
      <c r="E390">
        <v>6</v>
      </c>
      <c r="F390">
        <v>76</v>
      </c>
      <c r="G390">
        <v>82</v>
      </c>
    </row>
    <row r="391" spans="1:7" x14ac:dyDescent="0.35">
      <c r="A391">
        <v>0.2</v>
      </c>
      <c r="B391">
        <v>0.19700000000000001</v>
      </c>
      <c r="C391">
        <v>0.51</v>
      </c>
      <c r="D391">
        <v>0.19400000000000001</v>
      </c>
      <c r="E391">
        <v>4</v>
      </c>
      <c r="F391">
        <v>67</v>
      </c>
      <c r="G391">
        <v>71</v>
      </c>
    </row>
    <row r="392" spans="1:7" x14ac:dyDescent="0.35">
      <c r="A392">
        <v>0.18</v>
      </c>
      <c r="B392">
        <v>0.16669999999999999</v>
      </c>
      <c r="C392">
        <v>0.55000000000000004</v>
      </c>
      <c r="D392">
        <v>0.25369999999999998</v>
      </c>
      <c r="E392">
        <v>7</v>
      </c>
      <c r="F392">
        <v>85</v>
      </c>
      <c r="G392">
        <v>92</v>
      </c>
    </row>
    <row r="393" spans="1:7" x14ac:dyDescent="0.35">
      <c r="A393">
        <v>0.18</v>
      </c>
      <c r="B393">
        <v>0.18179999999999999</v>
      </c>
      <c r="C393">
        <v>0.59</v>
      </c>
      <c r="D393">
        <v>0.19400000000000001</v>
      </c>
      <c r="E393">
        <v>2</v>
      </c>
      <c r="F393">
        <v>58</v>
      </c>
      <c r="G393">
        <v>60</v>
      </c>
    </row>
    <row r="394" spans="1:7" x14ac:dyDescent="0.35">
      <c r="A394">
        <v>0.16</v>
      </c>
      <c r="B394">
        <v>0.1515</v>
      </c>
      <c r="C394">
        <v>0.8</v>
      </c>
      <c r="D394">
        <v>0.19400000000000001</v>
      </c>
      <c r="E394">
        <v>4</v>
      </c>
      <c r="F394">
        <v>29</v>
      </c>
      <c r="G394">
        <v>33</v>
      </c>
    </row>
    <row r="395" spans="1:7" x14ac:dyDescent="0.35">
      <c r="A395">
        <v>0.16</v>
      </c>
      <c r="B395">
        <v>0.1515</v>
      </c>
      <c r="C395">
        <v>0.8</v>
      </c>
      <c r="D395">
        <v>0.19400000000000001</v>
      </c>
      <c r="E395">
        <v>3</v>
      </c>
      <c r="F395">
        <v>24</v>
      </c>
      <c r="G395">
        <v>27</v>
      </c>
    </row>
    <row r="396" spans="1:7" x14ac:dyDescent="0.35">
      <c r="A396">
        <v>0.14000000000000001</v>
      </c>
      <c r="B396">
        <v>0.1212</v>
      </c>
      <c r="C396">
        <v>0.93</v>
      </c>
      <c r="D396">
        <v>0.25369999999999998</v>
      </c>
      <c r="E396">
        <v>0</v>
      </c>
      <c r="F396">
        <v>13</v>
      </c>
      <c r="G396">
        <v>13</v>
      </c>
    </row>
    <row r="397" spans="1:7" x14ac:dyDescent="0.35">
      <c r="A397">
        <v>0.16</v>
      </c>
      <c r="B397">
        <v>0.13639999999999999</v>
      </c>
      <c r="C397">
        <v>0.86</v>
      </c>
      <c r="D397">
        <v>0.28360000000000002</v>
      </c>
      <c r="E397">
        <v>1</v>
      </c>
      <c r="F397">
        <v>3</v>
      </c>
      <c r="G397">
        <v>4</v>
      </c>
    </row>
    <row r="398" spans="1:7" x14ac:dyDescent="0.35">
      <c r="A398">
        <v>0.2</v>
      </c>
      <c r="B398">
        <v>0.18179999999999999</v>
      </c>
      <c r="C398">
        <v>0.86</v>
      </c>
      <c r="D398">
        <v>0.32840000000000003</v>
      </c>
      <c r="E398">
        <v>0</v>
      </c>
      <c r="F398">
        <v>3</v>
      </c>
      <c r="G398">
        <v>3</v>
      </c>
    </row>
    <row r="399" spans="1:7" x14ac:dyDescent="0.35">
      <c r="A399">
        <v>0.2</v>
      </c>
      <c r="B399">
        <v>0.19700000000000001</v>
      </c>
      <c r="C399">
        <v>0.86</v>
      </c>
      <c r="D399">
        <v>0.22389999999999999</v>
      </c>
      <c r="E399">
        <v>0</v>
      </c>
      <c r="F399">
        <v>22</v>
      </c>
      <c r="G399">
        <v>22</v>
      </c>
    </row>
    <row r="400" spans="1:7" x14ac:dyDescent="0.35">
      <c r="A400">
        <v>0.22</v>
      </c>
      <c r="B400">
        <v>0.2273</v>
      </c>
      <c r="C400">
        <v>0.8</v>
      </c>
      <c r="D400">
        <v>0.16420000000000001</v>
      </c>
      <c r="E400">
        <v>2</v>
      </c>
      <c r="F400">
        <v>26</v>
      </c>
      <c r="G400">
        <v>28</v>
      </c>
    </row>
    <row r="401" spans="1:7" x14ac:dyDescent="0.35">
      <c r="A401">
        <v>0.22</v>
      </c>
      <c r="B401">
        <v>0.2273</v>
      </c>
      <c r="C401">
        <v>0.87</v>
      </c>
      <c r="D401">
        <v>0.16420000000000001</v>
      </c>
      <c r="E401">
        <v>3</v>
      </c>
      <c r="F401">
        <v>32</v>
      </c>
      <c r="G401">
        <v>35</v>
      </c>
    </row>
    <row r="402" spans="1:7" x14ac:dyDescent="0.35">
      <c r="A402">
        <v>0.22</v>
      </c>
      <c r="B402">
        <v>0.2273</v>
      </c>
      <c r="C402">
        <v>0.87</v>
      </c>
      <c r="D402">
        <v>0.19400000000000001</v>
      </c>
      <c r="E402">
        <v>0</v>
      </c>
      <c r="F402">
        <v>61</v>
      </c>
      <c r="G402">
        <v>61</v>
      </c>
    </row>
    <row r="403" spans="1:7" x14ac:dyDescent="0.35">
      <c r="A403">
        <v>0.22</v>
      </c>
      <c r="B403">
        <v>0.2273</v>
      </c>
      <c r="C403">
        <v>0.82</v>
      </c>
      <c r="D403">
        <v>0.19400000000000001</v>
      </c>
      <c r="E403">
        <v>1</v>
      </c>
      <c r="F403">
        <v>124</v>
      </c>
      <c r="G403">
        <v>125</v>
      </c>
    </row>
    <row r="404" spans="1:7" x14ac:dyDescent="0.35">
      <c r="A404">
        <v>0.22</v>
      </c>
      <c r="B404">
        <v>0.2273</v>
      </c>
      <c r="C404">
        <v>0.8</v>
      </c>
      <c r="D404">
        <v>0.16420000000000001</v>
      </c>
      <c r="E404">
        <v>1</v>
      </c>
      <c r="F404">
        <v>132</v>
      </c>
      <c r="G404">
        <v>133</v>
      </c>
    </row>
    <row r="405" spans="1:7" x14ac:dyDescent="0.35">
      <c r="A405">
        <v>0.22</v>
      </c>
      <c r="B405">
        <v>0.2273</v>
      </c>
      <c r="C405">
        <v>0.8</v>
      </c>
      <c r="D405">
        <v>0.1343</v>
      </c>
      <c r="E405">
        <v>1</v>
      </c>
      <c r="F405">
        <v>98</v>
      </c>
      <c r="G405">
        <v>99</v>
      </c>
    </row>
    <row r="406" spans="1:7" x14ac:dyDescent="0.35">
      <c r="A406">
        <v>0.22</v>
      </c>
      <c r="B406">
        <v>0.2727</v>
      </c>
      <c r="C406">
        <v>0.87</v>
      </c>
      <c r="D406">
        <v>0</v>
      </c>
      <c r="E406">
        <v>0</v>
      </c>
      <c r="F406">
        <v>83</v>
      </c>
      <c r="G406">
        <v>83</v>
      </c>
    </row>
    <row r="407" spans="1:7" x14ac:dyDescent="0.35">
      <c r="A407">
        <v>0.22</v>
      </c>
      <c r="B407">
        <v>0.2424</v>
      </c>
      <c r="C407">
        <v>0.93</v>
      </c>
      <c r="D407">
        <v>0.1045</v>
      </c>
      <c r="E407">
        <v>0</v>
      </c>
      <c r="F407">
        <v>41</v>
      </c>
      <c r="G407">
        <v>41</v>
      </c>
    </row>
    <row r="408" spans="1:7" x14ac:dyDescent="0.35">
      <c r="A408">
        <v>0.22</v>
      </c>
      <c r="B408">
        <v>0.2576</v>
      </c>
      <c r="C408">
        <v>0.93</v>
      </c>
      <c r="D408">
        <v>8.9599999999999999E-2</v>
      </c>
      <c r="E408">
        <v>0</v>
      </c>
      <c r="F408">
        <v>33</v>
      </c>
      <c r="G408">
        <v>33</v>
      </c>
    </row>
    <row r="409" spans="1:7" x14ac:dyDescent="0.35">
      <c r="A409">
        <v>0.22</v>
      </c>
      <c r="B409">
        <v>0.2727</v>
      </c>
      <c r="C409">
        <v>0.93</v>
      </c>
      <c r="D409">
        <v>0</v>
      </c>
      <c r="E409">
        <v>1</v>
      </c>
      <c r="F409">
        <v>19</v>
      </c>
      <c r="G409">
        <v>20</v>
      </c>
    </row>
    <row r="410" spans="1:7" x14ac:dyDescent="0.35">
      <c r="A410">
        <v>0.22</v>
      </c>
      <c r="B410">
        <v>0.2727</v>
      </c>
      <c r="C410">
        <v>0.93</v>
      </c>
      <c r="D410">
        <v>0</v>
      </c>
      <c r="E410">
        <v>0</v>
      </c>
      <c r="F410">
        <v>3</v>
      </c>
      <c r="G410">
        <v>3</v>
      </c>
    </row>
    <row r="411" spans="1:7" x14ac:dyDescent="0.35">
      <c r="A411">
        <v>0.22</v>
      </c>
      <c r="B411">
        <v>0.2273</v>
      </c>
      <c r="C411">
        <v>0.93</v>
      </c>
      <c r="D411">
        <v>0.1343</v>
      </c>
      <c r="E411">
        <v>1</v>
      </c>
      <c r="F411">
        <v>6</v>
      </c>
      <c r="G411">
        <v>7</v>
      </c>
    </row>
    <row r="412" spans="1:7" x14ac:dyDescent="0.35">
      <c r="A412">
        <v>0.22</v>
      </c>
      <c r="B412">
        <v>0.2273</v>
      </c>
      <c r="C412">
        <v>0.93</v>
      </c>
      <c r="D412">
        <v>0.1343</v>
      </c>
      <c r="E412">
        <v>0</v>
      </c>
      <c r="F412">
        <v>3</v>
      </c>
      <c r="G412">
        <v>3</v>
      </c>
    </row>
    <row r="413" spans="1:7" x14ac:dyDescent="0.35">
      <c r="A413">
        <v>0.22</v>
      </c>
      <c r="B413">
        <v>0.2273</v>
      </c>
      <c r="C413">
        <v>0.93</v>
      </c>
      <c r="D413">
        <v>0.1343</v>
      </c>
      <c r="E413">
        <v>1</v>
      </c>
      <c r="F413">
        <v>1</v>
      </c>
      <c r="G413">
        <v>2</v>
      </c>
    </row>
    <row r="414" spans="1:7" x14ac:dyDescent="0.35">
      <c r="A414">
        <v>0.22</v>
      </c>
      <c r="B414">
        <v>0.2576</v>
      </c>
      <c r="C414">
        <v>0.93</v>
      </c>
      <c r="D414">
        <v>8.9599999999999999E-2</v>
      </c>
      <c r="E414">
        <v>0</v>
      </c>
      <c r="F414">
        <v>7</v>
      </c>
      <c r="G414">
        <v>7</v>
      </c>
    </row>
    <row r="415" spans="1:7" x14ac:dyDescent="0.35">
      <c r="A415">
        <v>0.22</v>
      </c>
      <c r="B415">
        <v>0.2576</v>
      </c>
      <c r="C415">
        <v>0.93</v>
      </c>
      <c r="D415">
        <v>8.9599999999999999E-2</v>
      </c>
      <c r="E415">
        <v>0</v>
      </c>
      <c r="F415">
        <v>32</v>
      </c>
      <c r="G415">
        <v>32</v>
      </c>
    </row>
    <row r="416" spans="1:7" x14ac:dyDescent="0.35">
      <c r="A416">
        <v>0.24</v>
      </c>
      <c r="B416">
        <v>0.2576</v>
      </c>
      <c r="C416">
        <v>0.92</v>
      </c>
      <c r="D416">
        <v>0.1045</v>
      </c>
      <c r="E416">
        <v>1</v>
      </c>
      <c r="F416">
        <v>89</v>
      </c>
      <c r="G416">
        <v>90</v>
      </c>
    </row>
    <row r="417" spans="1:7" x14ac:dyDescent="0.35">
      <c r="A417">
        <v>0.24</v>
      </c>
      <c r="B417">
        <v>0.2576</v>
      </c>
      <c r="C417">
        <v>0.93</v>
      </c>
      <c r="D417">
        <v>0.1045</v>
      </c>
      <c r="E417">
        <v>1</v>
      </c>
      <c r="F417">
        <v>196</v>
      </c>
      <c r="G417">
        <v>197</v>
      </c>
    </row>
    <row r="418" spans="1:7" x14ac:dyDescent="0.35">
      <c r="A418">
        <v>0.24</v>
      </c>
      <c r="B418">
        <v>0.2576</v>
      </c>
      <c r="C418">
        <v>0.93</v>
      </c>
      <c r="D418">
        <v>0.1045</v>
      </c>
      <c r="E418">
        <v>2</v>
      </c>
      <c r="F418">
        <v>107</v>
      </c>
      <c r="G418">
        <v>109</v>
      </c>
    </row>
    <row r="419" spans="1:7" x14ac:dyDescent="0.35">
      <c r="A419">
        <v>0.26</v>
      </c>
      <c r="B419">
        <v>0.2727</v>
      </c>
      <c r="C419">
        <v>0.93</v>
      </c>
      <c r="D419">
        <v>0.1343</v>
      </c>
      <c r="E419">
        <v>1</v>
      </c>
      <c r="F419">
        <v>46</v>
      </c>
      <c r="G419">
        <v>47</v>
      </c>
    </row>
    <row r="420" spans="1:7" x14ac:dyDescent="0.35">
      <c r="A420">
        <v>0.28000000000000003</v>
      </c>
      <c r="B420">
        <v>0.30299999999999999</v>
      </c>
      <c r="C420">
        <v>0.87</v>
      </c>
      <c r="D420">
        <v>8.9599999999999999E-2</v>
      </c>
      <c r="E420">
        <v>5</v>
      </c>
      <c r="F420">
        <v>47</v>
      </c>
      <c r="G420">
        <v>52</v>
      </c>
    </row>
    <row r="421" spans="1:7" x14ac:dyDescent="0.35">
      <c r="A421">
        <v>0.3</v>
      </c>
      <c r="B421">
        <v>0.31819999999999998</v>
      </c>
      <c r="C421">
        <v>0.81</v>
      </c>
      <c r="D421">
        <v>8.9599999999999999E-2</v>
      </c>
      <c r="E421">
        <v>5</v>
      </c>
      <c r="F421">
        <v>65</v>
      </c>
      <c r="G421">
        <v>70</v>
      </c>
    </row>
    <row r="422" spans="1:7" x14ac:dyDescent="0.35">
      <c r="A422">
        <v>0.4</v>
      </c>
      <c r="B422">
        <v>0.40910000000000002</v>
      </c>
      <c r="C422">
        <v>0.62</v>
      </c>
      <c r="D422">
        <v>0.28360000000000002</v>
      </c>
      <c r="E422">
        <v>11</v>
      </c>
      <c r="F422">
        <v>67</v>
      </c>
      <c r="G422">
        <v>78</v>
      </c>
    </row>
    <row r="423" spans="1:7" x14ac:dyDescent="0.35">
      <c r="A423">
        <v>0.4</v>
      </c>
      <c r="B423">
        <v>0.40910000000000002</v>
      </c>
      <c r="C423">
        <v>0.57999999999999996</v>
      </c>
      <c r="D423">
        <v>0.25369999999999998</v>
      </c>
      <c r="E423">
        <v>7</v>
      </c>
      <c r="F423">
        <v>68</v>
      </c>
      <c r="G423">
        <v>75</v>
      </c>
    </row>
    <row r="424" spans="1:7" x14ac:dyDescent="0.35">
      <c r="A424">
        <v>0.4</v>
      </c>
      <c r="B424">
        <v>0.40910000000000002</v>
      </c>
      <c r="C424">
        <v>0.54</v>
      </c>
      <c r="D424">
        <v>0.28360000000000002</v>
      </c>
      <c r="E424">
        <v>4</v>
      </c>
      <c r="F424">
        <v>78</v>
      </c>
      <c r="G424">
        <v>82</v>
      </c>
    </row>
    <row r="425" spans="1:7" x14ac:dyDescent="0.35">
      <c r="A425">
        <v>0.38</v>
      </c>
      <c r="B425">
        <v>0.39389999999999997</v>
      </c>
      <c r="C425">
        <v>0.57999999999999996</v>
      </c>
      <c r="D425">
        <v>0.3881</v>
      </c>
      <c r="E425">
        <v>10</v>
      </c>
      <c r="F425">
        <v>94</v>
      </c>
      <c r="G425">
        <v>104</v>
      </c>
    </row>
    <row r="426" spans="1:7" x14ac:dyDescent="0.35">
      <c r="A426">
        <v>0.36</v>
      </c>
      <c r="B426">
        <v>0.33329999999999999</v>
      </c>
      <c r="C426">
        <v>0.56999999999999995</v>
      </c>
      <c r="D426">
        <v>0.32840000000000003</v>
      </c>
      <c r="E426">
        <v>7</v>
      </c>
      <c r="F426">
        <v>190</v>
      </c>
      <c r="G426">
        <v>197</v>
      </c>
    </row>
    <row r="427" spans="1:7" x14ac:dyDescent="0.35">
      <c r="A427">
        <v>0.34</v>
      </c>
      <c r="B427">
        <v>0.31819999999999998</v>
      </c>
      <c r="C427">
        <v>0.61</v>
      </c>
      <c r="D427">
        <v>0.28360000000000002</v>
      </c>
      <c r="E427">
        <v>5</v>
      </c>
      <c r="F427">
        <v>156</v>
      </c>
      <c r="G427">
        <v>161</v>
      </c>
    </row>
    <row r="428" spans="1:7" x14ac:dyDescent="0.35">
      <c r="A428">
        <v>0.32</v>
      </c>
      <c r="B428">
        <v>0.28789999999999999</v>
      </c>
      <c r="C428">
        <v>0.56999999999999995</v>
      </c>
      <c r="D428">
        <v>0.41789999999999999</v>
      </c>
      <c r="E428">
        <v>4</v>
      </c>
      <c r="F428">
        <v>108</v>
      </c>
      <c r="G428">
        <v>112</v>
      </c>
    </row>
    <row r="429" spans="1:7" x14ac:dyDescent="0.35">
      <c r="A429">
        <v>0.32</v>
      </c>
      <c r="B429">
        <v>0.30299999999999999</v>
      </c>
      <c r="C429">
        <v>0.49</v>
      </c>
      <c r="D429">
        <v>0.29849999999999999</v>
      </c>
      <c r="E429">
        <v>2</v>
      </c>
      <c r="F429">
        <v>74</v>
      </c>
      <c r="G429">
        <v>76</v>
      </c>
    </row>
    <row r="430" spans="1:7" x14ac:dyDescent="0.35">
      <c r="A430">
        <v>0.32</v>
      </c>
      <c r="B430">
        <v>0.28789999999999999</v>
      </c>
      <c r="C430">
        <v>0.49</v>
      </c>
      <c r="D430">
        <v>0.41789999999999999</v>
      </c>
      <c r="E430">
        <v>4</v>
      </c>
      <c r="F430">
        <v>55</v>
      </c>
      <c r="G430">
        <v>59</v>
      </c>
    </row>
    <row r="431" spans="1:7" x14ac:dyDescent="0.35">
      <c r="A431">
        <v>0.3</v>
      </c>
      <c r="B431">
        <v>0.30299999999999999</v>
      </c>
      <c r="C431">
        <v>0.52</v>
      </c>
      <c r="D431">
        <v>0.16420000000000001</v>
      </c>
      <c r="E431">
        <v>6</v>
      </c>
      <c r="F431">
        <v>53</v>
      </c>
      <c r="G431">
        <v>59</v>
      </c>
    </row>
    <row r="432" spans="1:7" x14ac:dyDescent="0.35">
      <c r="A432">
        <v>0.3</v>
      </c>
      <c r="B432">
        <v>0.2727</v>
      </c>
      <c r="C432">
        <v>0.52</v>
      </c>
      <c r="D432">
        <v>0.4627</v>
      </c>
      <c r="E432">
        <v>1</v>
      </c>
      <c r="F432">
        <v>27</v>
      </c>
      <c r="G432">
        <v>28</v>
      </c>
    </row>
    <row r="433" spans="1:7" x14ac:dyDescent="0.35">
      <c r="A433">
        <v>0.26</v>
      </c>
      <c r="B433">
        <v>0.2273</v>
      </c>
      <c r="C433">
        <v>0.56000000000000005</v>
      </c>
      <c r="D433">
        <v>0.3881</v>
      </c>
      <c r="E433">
        <v>5</v>
      </c>
      <c r="F433">
        <v>8</v>
      </c>
      <c r="G433">
        <v>13</v>
      </c>
    </row>
    <row r="434" spans="1:7" x14ac:dyDescent="0.35">
      <c r="A434">
        <v>0.26</v>
      </c>
      <c r="B434">
        <v>0.2727</v>
      </c>
      <c r="C434">
        <v>0.56000000000000005</v>
      </c>
      <c r="D434">
        <v>0</v>
      </c>
      <c r="E434">
        <v>2</v>
      </c>
      <c r="F434">
        <v>3</v>
      </c>
      <c r="G434">
        <v>5</v>
      </c>
    </row>
    <row r="435" spans="1:7" x14ac:dyDescent="0.35">
      <c r="A435">
        <v>0.26</v>
      </c>
      <c r="B435">
        <v>0.2727</v>
      </c>
      <c r="C435">
        <v>0.56000000000000005</v>
      </c>
      <c r="D435">
        <v>0</v>
      </c>
      <c r="E435">
        <v>0</v>
      </c>
      <c r="F435">
        <v>2</v>
      </c>
      <c r="G435">
        <v>2</v>
      </c>
    </row>
    <row r="436" spans="1:7" x14ac:dyDescent="0.35">
      <c r="A436">
        <v>0.26</v>
      </c>
      <c r="B436">
        <v>0.2576</v>
      </c>
      <c r="C436">
        <v>0.56000000000000005</v>
      </c>
      <c r="D436">
        <v>0.16420000000000001</v>
      </c>
      <c r="E436">
        <v>0</v>
      </c>
      <c r="F436">
        <v>1</v>
      </c>
      <c r="G436">
        <v>1</v>
      </c>
    </row>
    <row r="437" spans="1:7" x14ac:dyDescent="0.35">
      <c r="A437">
        <v>0.26</v>
      </c>
      <c r="B437">
        <v>0.2576</v>
      </c>
      <c r="C437">
        <v>0.56000000000000005</v>
      </c>
      <c r="D437">
        <v>0.16420000000000001</v>
      </c>
      <c r="E437">
        <v>0</v>
      </c>
      <c r="F437">
        <v>1</v>
      </c>
      <c r="G437">
        <v>1</v>
      </c>
    </row>
    <row r="438" spans="1:7" x14ac:dyDescent="0.35">
      <c r="A438">
        <v>0.24</v>
      </c>
      <c r="B438">
        <v>0.2273</v>
      </c>
      <c r="C438">
        <v>0.6</v>
      </c>
      <c r="D438">
        <v>0.22389999999999999</v>
      </c>
      <c r="E438">
        <v>0</v>
      </c>
      <c r="F438">
        <v>6</v>
      </c>
      <c r="G438">
        <v>6</v>
      </c>
    </row>
    <row r="439" spans="1:7" x14ac:dyDescent="0.35">
      <c r="A439">
        <v>0.22</v>
      </c>
      <c r="B439">
        <v>0.21210000000000001</v>
      </c>
      <c r="C439">
        <v>0.6</v>
      </c>
      <c r="D439">
        <v>0.22389999999999999</v>
      </c>
      <c r="E439">
        <v>0</v>
      </c>
      <c r="F439">
        <v>35</v>
      </c>
      <c r="G439">
        <v>35</v>
      </c>
    </row>
    <row r="440" spans="1:7" x14ac:dyDescent="0.35">
      <c r="A440">
        <v>0.22</v>
      </c>
      <c r="B440">
        <v>0.21210000000000001</v>
      </c>
      <c r="C440">
        <v>0.55000000000000004</v>
      </c>
      <c r="D440">
        <v>0.22389999999999999</v>
      </c>
      <c r="E440">
        <v>1</v>
      </c>
      <c r="F440">
        <v>100</v>
      </c>
      <c r="G440">
        <v>101</v>
      </c>
    </row>
    <row r="441" spans="1:7" x14ac:dyDescent="0.35">
      <c r="A441">
        <v>0.22</v>
      </c>
      <c r="B441">
        <v>0.21210000000000001</v>
      </c>
      <c r="C441">
        <v>0.55000000000000004</v>
      </c>
      <c r="D441">
        <v>0.28360000000000002</v>
      </c>
      <c r="E441">
        <v>2</v>
      </c>
      <c r="F441">
        <v>247</v>
      </c>
      <c r="G441">
        <v>249</v>
      </c>
    </row>
    <row r="442" spans="1:7" x14ac:dyDescent="0.35">
      <c r="A442">
        <v>0.24</v>
      </c>
      <c r="B442">
        <v>0.2273</v>
      </c>
      <c r="C442">
        <v>0.52</v>
      </c>
      <c r="D442">
        <v>0.22389999999999999</v>
      </c>
      <c r="E442">
        <v>3</v>
      </c>
      <c r="F442">
        <v>140</v>
      </c>
      <c r="G442">
        <v>143</v>
      </c>
    </row>
    <row r="443" spans="1:7" x14ac:dyDescent="0.35">
      <c r="A443">
        <v>0.26</v>
      </c>
      <c r="B443">
        <v>0.2273</v>
      </c>
      <c r="C443">
        <v>0.48</v>
      </c>
      <c r="D443">
        <v>0.29849999999999999</v>
      </c>
      <c r="E443">
        <v>1</v>
      </c>
      <c r="F443">
        <v>56</v>
      </c>
      <c r="G443">
        <v>57</v>
      </c>
    </row>
    <row r="444" spans="1:7" x14ac:dyDescent="0.35">
      <c r="A444">
        <v>0.28000000000000003</v>
      </c>
      <c r="B444">
        <v>0.2727</v>
      </c>
      <c r="C444">
        <v>0.45</v>
      </c>
      <c r="D444">
        <v>0.16420000000000001</v>
      </c>
      <c r="E444">
        <v>5</v>
      </c>
      <c r="F444">
        <v>63</v>
      </c>
      <c r="G444">
        <v>68</v>
      </c>
    </row>
    <row r="445" spans="1:7" x14ac:dyDescent="0.35">
      <c r="A445">
        <v>0.3</v>
      </c>
      <c r="B445">
        <v>0.33329999999999999</v>
      </c>
      <c r="C445">
        <v>0.42</v>
      </c>
      <c r="D445">
        <v>0</v>
      </c>
      <c r="E445">
        <v>7</v>
      </c>
      <c r="F445">
        <v>77</v>
      </c>
      <c r="G445">
        <v>84</v>
      </c>
    </row>
    <row r="446" spans="1:7" x14ac:dyDescent="0.35">
      <c r="A446">
        <v>0.28000000000000003</v>
      </c>
      <c r="B446">
        <v>0.28789999999999999</v>
      </c>
      <c r="C446">
        <v>0.45</v>
      </c>
      <c r="D446">
        <v>0.1045</v>
      </c>
      <c r="E446">
        <v>12</v>
      </c>
      <c r="F446">
        <v>86</v>
      </c>
      <c r="G446">
        <v>98</v>
      </c>
    </row>
    <row r="447" spans="1:7" x14ac:dyDescent="0.35">
      <c r="A447">
        <v>0.3</v>
      </c>
      <c r="B447">
        <v>0.30299999999999999</v>
      </c>
      <c r="C447">
        <v>0.45</v>
      </c>
      <c r="D447">
        <v>0.1343</v>
      </c>
      <c r="E447">
        <v>6</v>
      </c>
      <c r="F447">
        <v>75</v>
      </c>
      <c r="G447">
        <v>81</v>
      </c>
    </row>
    <row r="448" spans="1:7" x14ac:dyDescent="0.35">
      <c r="A448">
        <v>0.32</v>
      </c>
      <c r="B448">
        <v>0.31819999999999998</v>
      </c>
      <c r="C448">
        <v>0.45</v>
      </c>
      <c r="D448">
        <v>0.19400000000000001</v>
      </c>
      <c r="E448">
        <v>8</v>
      </c>
      <c r="F448">
        <v>62</v>
      </c>
      <c r="G448">
        <v>70</v>
      </c>
    </row>
    <row r="449" spans="1:7" x14ac:dyDescent="0.35">
      <c r="A449">
        <v>0.3</v>
      </c>
      <c r="B449">
        <v>0.30299999999999999</v>
      </c>
      <c r="C449">
        <v>0.49</v>
      </c>
      <c r="D449">
        <v>0.1343</v>
      </c>
      <c r="E449">
        <v>8</v>
      </c>
      <c r="F449">
        <v>83</v>
      </c>
      <c r="G449">
        <v>91</v>
      </c>
    </row>
    <row r="450" spans="1:7" x14ac:dyDescent="0.35">
      <c r="A450">
        <v>0.3</v>
      </c>
      <c r="B450">
        <v>0.31819999999999998</v>
      </c>
      <c r="C450">
        <v>0.49</v>
      </c>
      <c r="D450">
        <v>0.1045</v>
      </c>
      <c r="E450">
        <v>8</v>
      </c>
      <c r="F450">
        <v>207</v>
      </c>
      <c r="G450">
        <v>215</v>
      </c>
    </row>
    <row r="451" spans="1:7" x14ac:dyDescent="0.35">
      <c r="A451">
        <v>0.26</v>
      </c>
      <c r="B451">
        <v>0.2576</v>
      </c>
      <c r="C451">
        <v>0.56000000000000005</v>
      </c>
      <c r="D451">
        <v>0.19400000000000001</v>
      </c>
      <c r="E451">
        <v>1</v>
      </c>
      <c r="F451">
        <v>184</v>
      </c>
      <c r="G451">
        <v>185</v>
      </c>
    </row>
    <row r="452" spans="1:7" x14ac:dyDescent="0.35">
      <c r="A452">
        <v>0.26</v>
      </c>
      <c r="B452">
        <v>0.2273</v>
      </c>
      <c r="C452">
        <v>0.56000000000000005</v>
      </c>
      <c r="D452">
        <v>0.32840000000000003</v>
      </c>
      <c r="E452">
        <v>6</v>
      </c>
      <c r="F452">
        <v>146</v>
      </c>
      <c r="G452">
        <v>152</v>
      </c>
    </row>
    <row r="453" spans="1:7" x14ac:dyDescent="0.35">
      <c r="A453">
        <v>0.26</v>
      </c>
      <c r="B453">
        <v>0.2424</v>
      </c>
      <c r="C453">
        <v>0.6</v>
      </c>
      <c r="D453">
        <v>0.28360000000000002</v>
      </c>
      <c r="E453">
        <v>2</v>
      </c>
      <c r="F453">
        <v>124</v>
      </c>
      <c r="G453">
        <v>126</v>
      </c>
    </row>
    <row r="454" spans="1:7" x14ac:dyDescent="0.35">
      <c r="A454">
        <v>0.24</v>
      </c>
      <c r="B454">
        <v>0.2273</v>
      </c>
      <c r="C454">
        <v>0.6</v>
      </c>
      <c r="D454">
        <v>0.25369999999999998</v>
      </c>
      <c r="E454">
        <v>3</v>
      </c>
      <c r="F454">
        <v>54</v>
      </c>
      <c r="G454">
        <v>57</v>
      </c>
    </row>
    <row r="455" spans="1:7" x14ac:dyDescent="0.35">
      <c r="A455">
        <v>0.24</v>
      </c>
      <c r="B455">
        <v>0.21210000000000001</v>
      </c>
      <c r="C455">
        <v>0.65</v>
      </c>
      <c r="D455">
        <v>0.28360000000000002</v>
      </c>
      <c r="E455">
        <v>0</v>
      </c>
      <c r="F455">
        <v>56</v>
      </c>
      <c r="G455">
        <v>56</v>
      </c>
    </row>
    <row r="456" spans="1:7" x14ac:dyDescent="0.35">
      <c r="A456">
        <v>0.24</v>
      </c>
      <c r="B456">
        <v>0.21210000000000001</v>
      </c>
      <c r="C456">
        <v>0.65</v>
      </c>
      <c r="D456">
        <v>0.32840000000000003</v>
      </c>
      <c r="E456">
        <v>3</v>
      </c>
      <c r="F456">
        <v>28</v>
      </c>
      <c r="G456">
        <v>31</v>
      </c>
    </row>
    <row r="457" spans="1:7" x14ac:dyDescent="0.35">
      <c r="A457">
        <v>0.24</v>
      </c>
      <c r="B457">
        <v>0.2273</v>
      </c>
      <c r="C457">
        <v>0.7</v>
      </c>
      <c r="D457">
        <v>0.25369999999999998</v>
      </c>
      <c r="E457">
        <v>1</v>
      </c>
      <c r="F457">
        <v>20</v>
      </c>
      <c r="G457">
        <v>21</v>
      </c>
    </row>
    <row r="458" spans="1:7" x14ac:dyDescent="0.35">
      <c r="A458">
        <v>0.24</v>
      </c>
      <c r="B458">
        <v>0.2273</v>
      </c>
      <c r="C458">
        <v>0.7</v>
      </c>
      <c r="D458">
        <v>0.25369999999999998</v>
      </c>
      <c r="E458">
        <v>0</v>
      </c>
      <c r="F458">
        <v>6</v>
      </c>
      <c r="G458">
        <v>6</v>
      </c>
    </row>
    <row r="459" spans="1:7" x14ac:dyDescent="0.35">
      <c r="A459">
        <v>0.24</v>
      </c>
      <c r="B459">
        <v>0.2424</v>
      </c>
      <c r="C459">
        <v>0.75</v>
      </c>
      <c r="D459">
        <v>0.16420000000000001</v>
      </c>
      <c r="E459">
        <v>0</v>
      </c>
      <c r="F459">
        <v>2</v>
      </c>
      <c r="G459">
        <v>2</v>
      </c>
    </row>
    <row r="460" spans="1:7" x14ac:dyDescent="0.35">
      <c r="A460">
        <v>0.22</v>
      </c>
      <c r="B460">
        <v>0.21210000000000001</v>
      </c>
      <c r="C460">
        <v>0.8</v>
      </c>
      <c r="D460">
        <v>0.29849999999999999</v>
      </c>
      <c r="E460">
        <v>0</v>
      </c>
      <c r="F460">
        <v>1</v>
      </c>
      <c r="G460">
        <v>1</v>
      </c>
    </row>
    <row r="461" spans="1:7" x14ac:dyDescent="0.35">
      <c r="A461">
        <v>0.22</v>
      </c>
      <c r="B461">
        <v>0.2576</v>
      </c>
      <c r="C461">
        <v>0.87</v>
      </c>
      <c r="D461">
        <v>8.9599999999999999E-2</v>
      </c>
      <c r="E461">
        <v>0</v>
      </c>
      <c r="F461">
        <v>1</v>
      </c>
      <c r="G461">
        <v>1</v>
      </c>
    </row>
    <row r="462" spans="1:7" x14ac:dyDescent="0.35">
      <c r="A462">
        <v>0.24</v>
      </c>
      <c r="B462">
        <v>0.19700000000000001</v>
      </c>
      <c r="C462">
        <v>0.6</v>
      </c>
      <c r="D462">
        <v>0.41789999999999999</v>
      </c>
      <c r="E462">
        <v>1</v>
      </c>
      <c r="F462">
        <v>4</v>
      </c>
      <c r="G462">
        <v>5</v>
      </c>
    </row>
    <row r="463" spans="1:7" x14ac:dyDescent="0.35">
      <c r="A463">
        <v>0.22</v>
      </c>
      <c r="B463">
        <v>0.21210000000000001</v>
      </c>
      <c r="C463">
        <v>0.55000000000000004</v>
      </c>
      <c r="D463">
        <v>0.25369999999999998</v>
      </c>
      <c r="E463">
        <v>0</v>
      </c>
      <c r="F463">
        <v>27</v>
      </c>
      <c r="G463">
        <v>27</v>
      </c>
    </row>
    <row r="464" spans="1:7" x14ac:dyDescent="0.35">
      <c r="A464">
        <v>0.2</v>
      </c>
      <c r="B464">
        <v>0.18179999999999999</v>
      </c>
      <c r="C464">
        <v>0.51</v>
      </c>
      <c r="D464">
        <v>0.28360000000000002</v>
      </c>
      <c r="E464">
        <v>2</v>
      </c>
      <c r="F464">
        <v>66</v>
      </c>
      <c r="G464">
        <v>68</v>
      </c>
    </row>
    <row r="465" spans="1:7" x14ac:dyDescent="0.35">
      <c r="A465">
        <v>0.2</v>
      </c>
      <c r="B465">
        <v>0.18179999999999999</v>
      </c>
      <c r="C465">
        <v>0.47</v>
      </c>
      <c r="D465">
        <v>0.32840000000000003</v>
      </c>
      <c r="E465">
        <v>7</v>
      </c>
      <c r="F465">
        <v>210</v>
      </c>
      <c r="G465">
        <v>217</v>
      </c>
    </row>
    <row r="466" spans="1:7" x14ac:dyDescent="0.35">
      <c r="A466">
        <v>0.2</v>
      </c>
      <c r="B466">
        <v>0.18179999999999999</v>
      </c>
      <c r="C466">
        <v>0.51</v>
      </c>
      <c r="D466">
        <v>0.35820000000000002</v>
      </c>
      <c r="E466">
        <v>7</v>
      </c>
      <c r="F466">
        <v>159</v>
      </c>
      <c r="G466">
        <v>166</v>
      </c>
    </row>
    <row r="467" spans="1:7" x14ac:dyDescent="0.35">
      <c r="A467">
        <v>0.2</v>
      </c>
      <c r="B467">
        <v>0.16669999999999999</v>
      </c>
      <c r="C467">
        <v>0.47</v>
      </c>
      <c r="D467">
        <v>0.4627</v>
      </c>
      <c r="E467">
        <v>6</v>
      </c>
      <c r="F467">
        <v>57</v>
      </c>
      <c r="G467">
        <v>63</v>
      </c>
    </row>
    <row r="468" spans="1:7" x14ac:dyDescent="0.35">
      <c r="A468">
        <v>0.22</v>
      </c>
      <c r="B468">
        <v>0.18179999999999999</v>
      </c>
      <c r="C468">
        <v>0.41</v>
      </c>
      <c r="D468">
        <v>0.4627</v>
      </c>
      <c r="E468">
        <v>6</v>
      </c>
      <c r="F468">
        <v>53</v>
      </c>
      <c r="G468">
        <v>59</v>
      </c>
    </row>
    <row r="469" spans="1:7" x14ac:dyDescent="0.35">
      <c r="A469">
        <v>0.22</v>
      </c>
      <c r="B469">
        <v>0.18179999999999999</v>
      </c>
      <c r="C469">
        <v>0.27</v>
      </c>
      <c r="D469">
        <v>0.58209999999999995</v>
      </c>
      <c r="E469">
        <v>11</v>
      </c>
      <c r="F469">
        <v>67</v>
      </c>
      <c r="G469">
        <v>78</v>
      </c>
    </row>
    <row r="470" spans="1:7" x14ac:dyDescent="0.35">
      <c r="A470">
        <v>0.2</v>
      </c>
      <c r="B470">
        <v>0.1515</v>
      </c>
      <c r="C470">
        <v>0.21</v>
      </c>
      <c r="D470">
        <v>0.58209999999999995</v>
      </c>
      <c r="E470">
        <v>8</v>
      </c>
      <c r="F470">
        <v>65</v>
      </c>
      <c r="G470">
        <v>73</v>
      </c>
    </row>
    <row r="471" spans="1:7" x14ac:dyDescent="0.35">
      <c r="A471">
        <v>0.2</v>
      </c>
      <c r="B471">
        <v>0.1515</v>
      </c>
      <c r="C471">
        <v>0.25</v>
      </c>
      <c r="D471">
        <v>0.52239999999999998</v>
      </c>
      <c r="E471">
        <v>6</v>
      </c>
      <c r="F471">
        <v>56</v>
      </c>
      <c r="G471">
        <v>62</v>
      </c>
    </row>
    <row r="472" spans="1:7" x14ac:dyDescent="0.35">
      <c r="A472">
        <v>0.16</v>
      </c>
      <c r="B472">
        <v>0.1212</v>
      </c>
      <c r="C472">
        <v>0.26</v>
      </c>
      <c r="D472">
        <v>0.44779999999999998</v>
      </c>
      <c r="E472">
        <v>4</v>
      </c>
      <c r="F472">
        <v>61</v>
      </c>
      <c r="G472">
        <v>65</v>
      </c>
    </row>
    <row r="473" spans="1:7" x14ac:dyDescent="0.35">
      <c r="A473">
        <v>0.16</v>
      </c>
      <c r="B473">
        <v>0.13639999999999999</v>
      </c>
      <c r="C473">
        <v>0.26</v>
      </c>
      <c r="D473">
        <v>0.35820000000000002</v>
      </c>
      <c r="E473">
        <v>0</v>
      </c>
      <c r="F473">
        <v>97</v>
      </c>
      <c r="G473">
        <v>97</v>
      </c>
    </row>
    <row r="474" spans="1:7" x14ac:dyDescent="0.35">
      <c r="A474">
        <v>0.14000000000000001</v>
      </c>
      <c r="B474">
        <v>0.1212</v>
      </c>
      <c r="C474">
        <v>0.28000000000000003</v>
      </c>
      <c r="D474">
        <v>0.35820000000000002</v>
      </c>
      <c r="E474">
        <v>10</v>
      </c>
      <c r="F474">
        <v>151</v>
      </c>
      <c r="G474">
        <v>161</v>
      </c>
    </row>
    <row r="475" spans="1:7" x14ac:dyDescent="0.35">
      <c r="A475">
        <v>0.12</v>
      </c>
      <c r="B475">
        <v>0.1212</v>
      </c>
      <c r="C475">
        <v>0.3</v>
      </c>
      <c r="D475">
        <v>0.25369999999999998</v>
      </c>
      <c r="E475">
        <v>1</v>
      </c>
      <c r="F475">
        <v>119</v>
      </c>
      <c r="G475">
        <v>120</v>
      </c>
    </row>
    <row r="476" spans="1:7" x14ac:dyDescent="0.35">
      <c r="A476">
        <v>0.12</v>
      </c>
      <c r="B476">
        <v>0.1061</v>
      </c>
      <c r="C476">
        <v>0.3</v>
      </c>
      <c r="D476">
        <v>0.32840000000000003</v>
      </c>
      <c r="E476">
        <v>3</v>
      </c>
      <c r="F476">
        <v>93</v>
      </c>
      <c r="G476">
        <v>96</v>
      </c>
    </row>
    <row r="477" spans="1:7" x14ac:dyDescent="0.35">
      <c r="A477">
        <v>0.1</v>
      </c>
      <c r="B477">
        <v>7.5800000000000006E-2</v>
      </c>
      <c r="C477">
        <v>0.33</v>
      </c>
      <c r="D477">
        <v>0.41789999999999999</v>
      </c>
      <c r="E477">
        <v>1</v>
      </c>
      <c r="F477">
        <v>52</v>
      </c>
      <c r="G477">
        <v>53</v>
      </c>
    </row>
    <row r="478" spans="1:7" x14ac:dyDescent="0.35">
      <c r="A478">
        <v>0.08</v>
      </c>
      <c r="B478">
        <v>7.5800000000000006E-2</v>
      </c>
      <c r="C478">
        <v>0.38</v>
      </c>
      <c r="D478">
        <v>0.28360000000000002</v>
      </c>
      <c r="E478">
        <v>0</v>
      </c>
      <c r="F478">
        <v>41</v>
      </c>
      <c r="G478">
        <v>41</v>
      </c>
    </row>
    <row r="479" spans="1:7" x14ac:dyDescent="0.35">
      <c r="A479">
        <v>0.06</v>
      </c>
      <c r="B479">
        <v>3.0300000000000001E-2</v>
      </c>
      <c r="C479">
        <v>0.41</v>
      </c>
      <c r="D479">
        <v>0.3881</v>
      </c>
      <c r="E479">
        <v>1</v>
      </c>
      <c r="F479">
        <v>33</v>
      </c>
      <c r="G479">
        <v>34</v>
      </c>
    </row>
    <row r="480" spans="1:7" x14ac:dyDescent="0.35">
      <c r="A480">
        <v>0.06</v>
      </c>
      <c r="B480">
        <v>4.5499999999999999E-2</v>
      </c>
      <c r="C480">
        <v>0.38</v>
      </c>
      <c r="D480">
        <v>0.32840000000000003</v>
      </c>
      <c r="E480">
        <v>0</v>
      </c>
      <c r="F480">
        <v>27</v>
      </c>
      <c r="G480">
        <v>27</v>
      </c>
    </row>
    <row r="481" spans="1:7" x14ac:dyDescent="0.35">
      <c r="A481">
        <v>0.04</v>
      </c>
      <c r="B481">
        <v>3.0300000000000001E-2</v>
      </c>
      <c r="C481">
        <v>0.45</v>
      </c>
      <c r="D481">
        <v>0.25369999999999998</v>
      </c>
      <c r="E481">
        <v>0</v>
      </c>
      <c r="F481">
        <v>13</v>
      </c>
      <c r="G481">
        <v>13</v>
      </c>
    </row>
    <row r="482" spans="1:7" x14ac:dyDescent="0.35">
      <c r="A482">
        <v>0.04</v>
      </c>
      <c r="B482">
        <v>0</v>
      </c>
      <c r="C482">
        <v>0.41</v>
      </c>
      <c r="D482">
        <v>0.3881</v>
      </c>
      <c r="E482">
        <v>3</v>
      </c>
      <c r="F482">
        <v>9</v>
      </c>
      <c r="G482">
        <v>12</v>
      </c>
    </row>
    <row r="483" spans="1:7" x14ac:dyDescent="0.35">
      <c r="A483">
        <v>0.04</v>
      </c>
      <c r="B483">
        <v>3.0300000000000001E-2</v>
      </c>
      <c r="C483">
        <v>0.41</v>
      </c>
      <c r="D483">
        <v>0.25369999999999998</v>
      </c>
      <c r="E483">
        <v>0</v>
      </c>
      <c r="F483">
        <v>11</v>
      </c>
      <c r="G483">
        <v>11</v>
      </c>
    </row>
    <row r="484" spans="1:7" x14ac:dyDescent="0.35">
      <c r="A484">
        <v>0.04</v>
      </c>
      <c r="B484">
        <v>3.0300000000000001E-2</v>
      </c>
      <c r="C484">
        <v>0.41</v>
      </c>
      <c r="D484">
        <v>0.28360000000000002</v>
      </c>
      <c r="E484">
        <v>1</v>
      </c>
      <c r="F484">
        <v>6</v>
      </c>
      <c r="G484">
        <v>7</v>
      </c>
    </row>
    <row r="485" spans="1:7" x14ac:dyDescent="0.35">
      <c r="A485">
        <v>0.02</v>
      </c>
      <c r="B485">
        <v>1.52E-2</v>
      </c>
      <c r="C485">
        <v>0.48</v>
      </c>
      <c r="D485">
        <v>0.29849999999999999</v>
      </c>
      <c r="E485">
        <v>0</v>
      </c>
      <c r="F485">
        <v>3</v>
      </c>
      <c r="G485">
        <v>3</v>
      </c>
    </row>
    <row r="486" spans="1:7" x14ac:dyDescent="0.35">
      <c r="A486">
        <v>0.02</v>
      </c>
      <c r="B486">
        <v>3.0300000000000001E-2</v>
      </c>
      <c r="C486">
        <v>0.44</v>
      </c>
      <c r="D486">
        <v>0.22389999999999999</v>
      </c>
      <c r="E486">
        <v>0</v>
      </c>
      <c r="F486">
        <v>2</v>
      </c>
      <c r="G486">
        <v>2</v>
      </c>
    </row>
    <row r="487" spans="1:7" x14ac:dyDescent="0.35">
      <c r="A487">
        <v>0.02</v>
      </c>
      <c r="B487">
        <v>1.52E-2</v>
      </c>
      <c r="C487">
        <v>0.44</v>
      </c>
      <c r="D487">
        <v>0.28360000000000002</v>
      </c>
      <c r="E487">
        <v>0</v>
      </c>
      <c r="F487">
        <v>8</v>
      </c>
      <c r="G487">
        <v>8</v>
      </c>
    </row>
    <row r="488" spans="1:7" x14ac:dyDescent="0.35">
      <c r="A488">
        <v>0.02</v>
      </c>
      <c r="B488">
        <v>0</v>
      </c>
      <c r="C488">
        <v>0.44</v>
      </c>
      <c r="D488">
        <v>0.32840000000000003</v>
      </c>
      <c r="E488">
        <v>1</v>
      </c>
      <c r="F488">
        <v>26</v>
      </c>
      <c r="G488">
        <v>27</v>
      </c>
    </row>
    <row r="489" spans="1:7" x14ac:dyDescent="0.35">
      <c r="A489">
        <v>0.04</v>
      </c>
      <c r="B489">
        <v>3.0300000000000001E-2</v>
      </c>
      <c r="C489">
        <v>0.41</v>
      </c>
      <c r="D489">
        <v>0.25369999999999998</v>
      </c>
      <c r="E489">
        <v>3</v>
      </c>
      <c r="F489">
        <v>37</v>
      </c>
      <c r="G489">
        <v>40</v>
      </c>
    </row>
    <row r="490" spans="1:7" x14ac:dyDescent="0.35">
      <c r="A490">
        <v>0.04</v>
      </c>
      <c r="B490">
        <v>6.0600000000000001E-2</v>
      </c>
      <c r="C490">
        <v>0.41</v>
      </c>
      <c r="D490">
        <v>0.16420000000000001</v>
      </c>
      <c r="E490">
        <v>3</v>
      </c>
      <c r="F490">
        <v>50</v>
      </c>
      <c r="G490">
        <v>53</v>
      </c>
    </row>
    <row r="491" spans="1:7" x14ac:dyDescent="0.35">
      <c r="A491">
        <v>0.06</v>
      </c>
      <c r="B491">
        <v>7.5800000000000006E-2</v>
      </c>
      <c r="C491">
        <v>0.38</v>
      </c>
      <c r="D491">
        <v>0.1343</v>
      </c>
      <c r="E491">
        <v>4</v>
      </c>
      <c r="F491">
        <v>59</v>
      </c>
      <c r="G491">
        <v>63</v>
      </c>
    </row>
    <row r="492" spans="1:7" x14ac:dyDescent="0.35">
      <c r="A492">
        <v>0.06</v>
      </c>
      <c r="B492">
        <v>0.1061</v>
      </c>
      <c r="C492">
        <v>0.38</v>
      </c>
      <c r="D492">
        <v>0.1045</v>
      </c>
      <c r="E492">
        <v>10</v>
      </c>
      <c r="F492">
        <v>60</v>
      </c>
      <c r="G492">
        <v>70</v>
      </c>
    </row>
    <row r="493" spans="1:7" x14ac:dyDescent="0.35">
      <c r="A493">
        <v>0.08</v>
      </c>
      <c r="B493">
        <v>0.16669999999999999</v>
      </c>
      <c r="C493">
        <v>0.35</v>
      </c>
      <c r="D493">
        <v>0</v>
      </c>
      <c r="E493">
        <v>12</v>
      </c>
      <c r="F493">
        <v>72</v>
      </c>
      <c r="G493">
        <v>84</v>
      </c>
    </row>
    <row r="494" spans="1:7" x14ac:dyDescent="0.35">
      <c r="A494">
        <v>0.1</v>
      </c>
      <c r="B494">
        <v>0.13639999999999999</v>
      </c>
      <c r="C494">
        <v>0.33</v>
      </c>
      <c r="D494">
        <v>0.1045</v>
      </c>
      <c r="E494">
        <v>11</v>
      </c>
      <c r="F494">
        <v>64</v>
      </c>
      <c r="G494">
        <v>75</v>
      </c>
    </row>
    <row r="495" spans="1:7" x14ac:dyDescent="0.35">
      <c r="A495">
        <v>0.12</v>
      </c>
      <c r="B495">
        <v>0.1515</v>
      </c>
      <c r="C495">
        <v>0.28000000000000003</v>
      </c>
      <c r="D495">
        <v>0</v>
      </c>
      <c r="E495">
        <v>10</v>
      </c>
      <c r="F495">
        <v>93</v>
      </c>
      <c r="G495">
        <v>103</v>
      </c>
    </row>
    <row r="496" spans="1:7" x14ac:dyDescent="0.35">
      <c r="A496">
        <v>0.12</v>
      </c>
      <c r="B496">
        <v>0.13639999999999999</v>
      </c>
      <c r="C496">
        <v>0.28000000000000003</v>
      </c>
      <c r="D496">
        <v>0.19400000000000001</v>
      </c>
      <c r="E496">
        <v>11</v>
      </c>
      <c r="F496">
        <v>72</v>
      </c>
      <c r="G496">
        <v>83</v>
      </c>
    </row>
    <row r="497" spans="1:7" x14ac:dyDescent="0.35">
      <c r="A497">
        <v>0.12</v>
      </c>
      <c r="B497">
        <v>0.19700000000000001</v>
      </c>
      <c r="C497">
        <v>0.28000000000000003</v>
      </c>
      <c r="D497">
        <v>0</v>
      </c>
      <c r="E497">
        <v>8</v>
      </c>
      <c r="F497">
        <v>59</v>
      </c>
      <c r="G497">
        <v>67</v>
      </c>
    </row>
    <row r="498" spans="1:7" x14ac:dyDescent="0.35">
      <c r="A498">
        <v>0.08</v>
      </c>
      <c r="B498">
        <v>9.0899999999999995E-2</v>
      </c>
      <c r="C498">
        <v>0.35</v>
      </c>
      <c r="D498">
        <v>0.19400000000000001</v>
      </c>
      <c r="E498">
        <v>0</v>
      </c>
      <c r="F498">
        <v>54</v>
      </c>
      <c r="G498">
        <v>54</v>
      </c>
    </row>
    <row r="499" spans="1:7" x14ac:dyDescent="0.35">
      <c r="A499">
        <v>0.08</v>
      </c>
      <c r="B499">
        <v>0.1061</v>
      </c>
      <c r="C499">
        <v>0.35</v>
      </c>
      <c r="D499">
        <v>0.1343</v>
      </c>
      <c r="E499">
        <v>6</v>
      </c>
      <c r="F499">
        <v>53</v>
      </c>
      <c r="G499">
        <v>59</v>
      </c>
    </row>
    <row r="500" spans="1:7" x14ac:dyDescent="0.35">
      <c r="A500">
        <v>0.06</v>
      </c>
      <c r="B500">
        <v>7.5800000000000006E-2</v>
      </c>
      <c r="C500">
        <v>0.45</v>
      </c>
      <c r="D500">
        <v>0.16420000000000001</v>
      </c>
      <c r="E500">
        <v>1</v>
      </c>
      <c r="F500">
        <v>44</v>
      </c>
      <c r="G500">
        <v>45</v>
      </c>
    </row>
    <row r="501" spans="1:7" x14ac:dyDescent="0.35">
      <c r="A501">
        <v>0.06</v>
      </c>
      <c r="B501">
        <v>0.1061</v>
      </c>
      <c r="C501">
        <v>0.41</v>
      </c>
      <c r="D501">
        <v>8.9599999999999999E-2</v>
      </c>
      <c r="E501">
        <v>0</v>
      </c>
      <c r="F501">
        <v>39</v>
      </c>
      <c r="G501">
        <v>39</v>
      </c>
    </row>
    <row r="502" spans="1:7" x14ac:dyDescent="0.35">
      <c r="A502">
        <v>0.06</v>
      </c>
      <c r="B502">
        <v>0.1515</v>
      </c>
      <c r="C502">
        <v>0.49</v>
      </c>
      <c r="D502">
        <v>0</v>
      </c>
      <c r="E502">
        <v>7</v>
      </c>
      <c r="F502">
        <v>23</v>
      </c>
      <c r="G502">
        <v>30</v>
      </c>
    </row>
    <row r="503" spans="1:7" x14ac:dyDescent="0.35">
      <c r="A503">
        <v>0.04</v>
      </c>
      <c r="B503">
        <v>7.5800000000000006E-2</v>
      </c>
      <c r="C503">
        <v>0.56999999999999995</v>
      </c>
      <c r="D503">
        <v>0.1045</v>
      </c>
      <c r="E503">
        <v>2</v>
      </c>
      <c r="F503">
        <v>31</v>
      </c>
      <c r="G503">
        <v>33</v>
      </c>
    </row>
    <row r="504" spans="1:7" x14ac:dyDescent="0.35">
      <c r="A504">
        <v>0.04</v>
      </c>
      <c r="B504">
        <v>7.5800000000000006E-2</v>
      </c>
      <c r="C504">
        <v>0.56999999999999995</v>
      </c>
      <c r="D504">
        <v>0.1045</v>
      </c>
      <c r="E504">
        <v>2</v>
      </c>
      <c r="F504">
        <v>20</v>
      </c>
      <c r="G504">
        <v>22</v>
      </c>
    </row>
    <row r="505" spans="1:7" x14ac:dyDescent="0.35">
      <c r="A505">
        <v>0.04</v>
      </c>
      <c r="B505">
        <v>7.5800000000000006E-2</v>
      </c>
      <c r="C505">
        <v>0.56999999999999995</v>
      </c>
      <c r="D505">
        <v>0.1045</v>
      </c>
      <c r="E505">
        <v>1</v>
      </c>
      <c r="F505">
        <v>12</v>
      </c>
      <c r="G505">
        <v>13</v>
      </c>
    </row>
    <row r="506" spans="1:7" x14ac:dyDescent="0.35">
      <c r="A506">
        <v>0.02</v>
      </c>
      <c r="B506">
        <v>6.0600000000000001E-2</v>
      </c>
      <c r="C506">
        <v>0.62</v>
      </c>
      <c r="D506">
        <v>0.1343</v>
      </c>
      <c r="E506">
        <v>3</v>
      </c>
      <c r="F506">
        <v>15</v>
      </c>
      <c r="G506">
        <v>18</v>
      </c>
    </row>
    <row r="507" spans="1:7" x14ac:dyDescent="0.35">
      <c r="A507">
        <v>0.02</v>
      </c>
      <c r="B507">
        <v>6.0600000000000001E-2</v>
      </c>
      <c r="C507">
        <v>0.62</v>
      </c>
      <c r="D507">
        <v>0.1343</v>
      </c>
      <c r="E507">
        <v>1</v>
      </c>
      <c r="F507">
        <v>4</v>
      </c>
      <c r="G507">
        <v>5</v>
      </c>
    </row>
    <row r="508" spans="1:7" x14ac:dyDescent="0.35">
      <c r="A508">
        <v>0.04</v>
      </c>
      <c r="B508">
        <v>7.5800000000000006E-2</v>
      </c>
      <c r="C508">
        <v>0.56999999999999995</v>
      </c>
      <c r="D508">
        <v>0.1045</v>
      </c>
      <c r="E508">
        <v>0</v>
      </c>
      <c r="F508">
        <v>3</v>
      </c>
      <c r="G508">
        <v>3</v>
      </c>
    </row>
    <row r="509" spans="1:7" x14ac:dyDescent="0.35">
      <c r="A509">
        <v>0.04</v>
      </c>
      <c r="B509">
        <v>7.5800000000000006E-2</v>
      </c>
      <c r="C509">
        <v>0.56999999999999995</v>
      </c>
      <c r="D509">
        <v>0.1045</v>
      </c>
      <c r="E509">
        <v>0</v>
      </c>
      <c r="F509">
        <v>1</v>
      </c>
      <c r="G509">
        <v>1</v>
      </c>
    </row>
    <row r="510" spans="1:7" x14ac:dyDescent="0.35">
      <c r="A510">
        <v>0.08</v>
      </c>
      <c r="B510">
        <v>0.1061</v>
      </c>
      <c r="C510">
        <v>0.57999999999999996</v>
      </c>
      <c r="D510">
        <v>0.16420000000000001</v>
      </c>
      <c r="E510">
        <v>1</v>
      </c>
      <c r="F510">
        <v>1</v>
      </c>
      <c r="G510">
        <v>2</v>
      </c>
    </row>
    <row r="511" spans="1:7" x14ac:dyDescent="0.35">
      <c r="A511">
        <v>0.06</v>
      </c>
      <c r="B511">
        <v>7.5800000000000006E-2</v>
      </c>
      <c r="C511">
        <v>0.62</v>
      </c>
      <c r="D511">
        <v>0.16420000000000001</v>
      </c>
      <c r="E511">
        <v>2</v>
      </c>
      <c r="F511">
        <v>17</v>
      </c>
      <c r="G511">
        <v>19</v>
      </c>
    </row>
    <row r="512" spans="1:7" x14ac:dyDescent="0.35">
      <c r="A512">
        <v>0.1</v>
      </c>
      <c r="B512">
        <v>7.5800000000000006E-2</v>
      </c>
      <c r="C512">
        <v>0.54</v>
      </c>
      <c r="D512">
        <v>0.35820000000000002</v>
      </c>
      <c r="E512">
        <v>3</v>
      </c>
      <c r="F512">
        <v>25</v>
      </c>
      <c r="G512">
        <v>28</v>
      </c>
    </row>
    <row r="513" spans="1:7" x14ac:dyDescent="0.35">
      <c r="A513">
        <v>0.14000000000000001</v>
      </c>
      <c r="B513">
        <v>0.1061</v>
      </c>
      <c r="C513">
        <v>0.46</v>
      </c>
      <c r="D513">
        <v>0.3881</v>
      </c>
      <c r="E513">
        <v>7</v>
      </c>
      <c r="F513">
        <v>51</v>
      </c>
      <c r="G513">
        <v>58</v>
      </c>
    </row>
    <row r="514" spans="1:7" x14ac:dyDescent="0.35">
      <c r="A514">
        <v>0.14000000000000001</v>
      </c>
      <c r="B514">
        <v>0.13639999999999999</v>
      </c>
      <c r="C514">
        <v>0.43</v>
      </c>
      <c r="D514">
        <v>0.22389999999999999</v>
      </c>
      <c r="E514">
        <v>22</v>
      </c>
      <c r="F514">
        <v>77</v>
      </c>
      <c r="G514">
        <v>99</v>
      </c>
    </row>
    <row r="515" spans="1:7" x14ac:dyDescent="0.35">
      <c r="A515">
        <v>0.16</v>
      </c>
      <c r="B515">
        <v>0.1212</v>
      </c>
      <c r="C515">
        <v>0.37</v>
      </c>
      <c r="D515">
        <v>0.4627</v>
      </c>
      <c r="E515">
        <v>24</v>
      </c>
      <c r="F515">
        <v>92</v>
      </c>
      <c r="G515">
        <v>116</v>
      </c>
    </row>
    <row r="516" spans="1:7" x14ac:dyDescent="0.35">
      <c r="A516">
        <v>0.14000000000000001</v>
      </c>
      <c r="B516">
        <v>0.1061</v>
      </c>
      <c r="C516">
        <v>0.33</v>
      </c>
      <c r="D516">
        <v>0.3881</v>
      </c>
      <c r="E516">
        <v>12</v>
      </c>
      <c r="F516">
        <v>75</v>
      </c>
      <c r="G516">
        <v>87</v>
      </c>
    </row>
    <row r="517" spans="1:7" x14ac:dyDescent="0.35">
      <c r="A517">
        <v>0.16</v>
      </c>
      <c r="B517">
        <v>0.13639999999999999</v>
      </c>
      <c r="C517">
        <v>0.28000000000000003</v>
      </c>
      <c r="D517">
        <v>0.35820000000000002</v>
      </c>
      <c r="E517">
        <v>17</v>
      </c>
      <c r="F517">
        <v>93</v>
      </c>
      <c r="G517">
        <v>110</v>
      </c>
    </row>
    <row r="518" spans="1:7" x14ac:dyDescent="0.35">
      <c r="A518">
        <v>0.16</v>
      </c>
      <c r="B518">
        <v>0.13639999999999999</v>
      </c>
      <c r="C518">
        <v>0.28000000000000003</v>
      </c>
      <c r="D518">
        <v>0.35820000000000002</v>
      </c>
      <c r="E518">
        <v>13</v>
      </c>
      <c r="F518">
        <v>64</v>
      </c>
      <c r="G518">
        <v>77</v>
      </c>
    </row>
    <row r="519" spans="1:7" x14ac:dyDescent="0.35">
      <c r="A519">
        <v>0.16</v>
      </c>
      <c r="B519">
        <v>0.13639999999999999</v>
      </c>
      <c r="C519">
        <v>0.26</v>
      </c>
      <c r="D519">
        <v>0.32840000000000003</v>
      </c>
      <c r="E519">
        <v>9</v>
      </c>
      <c r="F519">
        <v>56</v>
      </c>
      <c r="G519">
        <v>65</v>
      </c>
    </row>
    <row r="520" spans="1:7" x14ac:dyDescent="0.35">
      <c r="A520">
        <v>0.14000000000000001</v>
      </c>
      <c r="B520">
        <v>0.1061</v>
      </c>
      <c r="C520">
        <v>0.26</v>
      </c>
      <c r="D520">
        <v>0.3881</v>
      </c>
      <c r="E520">
        <v>5</v>
      </c>
      <c r="F520">
        <v>50</v>
      </c>
      <c r="G520">
        <v>55</v>
      </c>
    </row>
    <row r="521" spans="1:7" x14ac:dyDescent="0.35">
      <c r="A521">
        <v>0.12</v>
      </c>
      <c r="B521">
        <v>0.1212</v>
      </c>
      <c r="C521">
        <v>0.3</v>
      </c>
      <c r="D521">
        <v>0.25369999999999998</v>
      </c>
      <c r="E521">
        <v>5</v>
      </c>
      <c r="F521">
        <v>44</v>
      </c>
      <c r="G521">
        <v>49</v>
      </c>
    </row>
    <row r="522" spans="1:7" x14ac:dyDescent="0.35">
      <c r="A522">
        <v>0.12</v>
      </c>
      <c r="B522">
        <v>0.1212</v>
      </c>
      <c r="C522">
        <v>0.3</v>
      </c>
      <c r="D522">
        <v>0.28360000000000002</v>
      </c>
      <c r="E522">
        <v>5</v>
      </c>
      <c r="F522">
        <v>45</v>
      </c>
      <c r="G522">
        <v>50</v>
      </c>
    </row>
    <row r="523" spans="1:7" x14ac:dyDescent="0.35">
      <c r="A523">
        <v>0.1</v>
      </c>
      <c r="B523">
        <v>0.1061</v>
      </c>
      <c r="C523">
        <v>0.36</v>
      </c>
      <c r="D523">
        <v>0.25369999999999998</v>
      </c>
      <c r="E523">
        <v>4</v>
      </c>
      <c r="F523">
        <v>31</v>
      </c>
      <c r="G523">
        <v>35</v>
      </c>
    </row>
    <row r="524" spans="1:7" x14ac:dyDescent="0.35">
      <c r="A524">
        <v>0.1</v>
      </c>
      <c r="B524">
        <v>0.1061</v>
      </c>
      <c r="C524">
        <v>0.36</v>
      </c>
      <c r="D524">
        <v>0.19400000000000001</v>
      </c>
      <c r="E524">
        <v>5</v>
      </c>
      <c r="F524">
        <v>20</v>
      </c>
      <c r="G524">
        <v>25</v>
      </c>
    </row>
    <row r="525" spans="1:7" x14ac:dyDescent="0.35">
      <c r="A525">
        <v>0.08</v>
      </c>
      <c r="B525">
        <v>9.0899999999999995E-2</v>
      </c>
      <c r="C525">
        <v>0.38</v>
      </c>
      <c r="D525">
        <v>0.19400000000000001</v>
      </c>
      <c r="E525">
        <v>5</v>
      </c>
      <c r="F525">
        <v>23</v>
      </c>
      <c r="G525">
        <v>28</v>
      </c>
    </row>
    <row r="526" spans="1:7" x14ac:dyDescent="0.35">
      <c r="A526">
        <v>0.06</v>
      </c>
      <c r="B526">
        <v>6.0600000000000001E-2</v>
      </c>
      <c r="C526">
        <v>0.41</v>
      </c>
      <c r="D526">
        <v>0.22389999999999999</v>
      </c>
      <c r="E526">
        <v>4</v>
      </c>
      <c r="F526">
        <v>17</v>
      </c>
      <c r="G526">
        <v>21</v>
      </c>
    </row>
    <row r="527" spans="1:7" x14ac:dyDescent="0.35">
      <c r="A527">
        <v>0.06</v>
      </c>
      <c r="B527">
        <v>6.0600000000000001E-2</v>
      </c>
      <c r="C527">
        <v>0.41</v>
      </c>
      <c r="D527">
        <v>0.19400000000000001</v>
      </c>
      <c r="E527">
        <v>0</v>
      </c>
      <c r="F527">
        <v>7</v>
      </c>
      <c r="G527">
        <v>7</v>
      </c>
    </row>
    <row r="528" spans="1:7" x14ac:dyDescent="0.35">
      <c r="A528">
        <v>0.04</v>
      </c>
      <c r="B528">
        <v>4.5499999999999999E-2</v>
      </c>
      <c r="C528">
        <v>0.45</v>
      </c>
      <c r="D528">
        <v>0.19400000000000001</v>
      </c>
      <c r="E528">
        <v>0</v>
      </c>
      <c r="F528">
        <v>1</v>
      </c>
      <c r="G528">
        <v>1</v>
      </c>
    </row>
    <row r="529" spans="1:7" x14ac:dyDescent="0.35">
      <c r="A529">
        <v>0.04</v>
      </c>
      <c r="B529">
        <v>3.0300000000000001E-2</v>
      </c>
      <c r="C529">
        <v>0.45</v>
      </c>
      <c r="D529">
        <v>0.25369999999999998</v>
      </c>
      <c r="E529">
        <v>0</v>
      </c>
      <c r="F529">
        <v>1</v>
      </c>
      <c r="G529">
        <v>1</v>
      </c>
    </row>
    <row r="530" spans="1:7" x14ac:dyDescent="0.35">
      <c r="A530">
        <v>0.02</v>
      </c>
      <c r="B530">
        <v>6.0600000000000001E-2</v>
      </c>
      <c r="C530">
        <v>0.48</v>
      </c>
      <c r="D530">
        <v>0.1343</v>
      </c>
      <c r="E530">
        <v>0</v>
      </c>
      <c r="F530">
        <v>1</v>
      </c>
      <c r="G530">
        <v>1</v>
      </c>
    </row>
    <row r="531" spans="1:7" x14ac:dyDescent="0.35">
      <c r="A531">
        <v>0.02</v>
      </c>
      <c r="B531">
        <v>6.0600000000000001E-2</v>
      </c>
      <c r="C531">
        <v>0.48</v>
      </c>
      <c r="D531">
        <v>0.1343</v>
      </c>
      <c r="E531">
        <v>0</v>
      </c>
      <c r="F531">
        <v>5</v>
      </c>
      <c r="G531">
        <v>5</v>
      </c>
    </row>
    <row r="532" spans="1:7" x14ac:dyDescent="0.35">
      <c r="A532">
        <v>0.02</v>
      </c>
      <c r="B532">
        <v>7.5800000000000006E-2</v>
      </c>
      <c r="C532">
        <v>0.48</v>
      </c>
      <c r="D532">
        <v>8.9599999999999999E-2</v>
      </c>
      <c r="E532">
        <v>0</v>
      </c>
      <c r="F532">
        <v>15</v>
      </c>
      <c r="G532">
        <v>15</v>
      </c>
    </row>
    <row r="533" spans="1:7" x14ac:dyDescent="0.35">
      <c r="A533">
        <v>0.02</v>
      </c>
      <c r="B533">
        <v>0.1212</v>
      </c>
      <c r="C533">
        <v>0.48</v>
      </c>
      <c r="D533">
        <v>0</v>
      </c>
      <c r="E533">
        <v>5</v>
      </c>
      <c r="F533">
        <v>79</v>
      </c>
      <c r="G533">
        <v>84</v>
      </c>
    </row>
    <row r="534" spans="1:7" x14ac:dyDescent="0.35">
      <c r="A534">
        <v>0.04</v>
      </c>
      <c r="B534">
        <v>0.13639999999999999</v>
      </c>
      <c r="C534">
        <v>0.49</v>
      </c>
      <c r="D534">
        <v>0</v>
      </c>
      <c r="E534">
        <v>6</v>
      </c>
      <c r="F534">
        <v>171</v>
      </c>
      <c r="G534">
        <v>177</v>
      </c>
    </row>
    <row r="535" spans="1:7" x14ac:dyDescent="0.35">
      <c r="A535">
        <v>0.06</v>
      </c>
      <c r="B535">
        <v>0.1515</v>
      </c>
      <c r="C535">
        <v>0.41</v>
      </c>
      <c r="D535">
        <v>0</v>
      </c>
      <c r="E535">
        <v>4</v>
      </c>
      <c r="F535">
        <v>98</v>
      </c>
      <c r="G535">
        <v>102</v>
      </c>
    </row>
    <row r="536" spans="1:7" x14ac:dyDescent="0.35">
      <c r="A536">
        <v>0.1</v>
      </c>
      <c r="B536">
        <v>0.13639999999999999</v>
      </c>
      <c r="C536">
        <v>0.42</v>
      </c>
      <c r="D536">
        <v>0</v>
      </c>
      <c r="E536">
        <v>6</v>
      </c>
      <c r="F536">
        <v>34</v>
      </c>
      <c r="G536">
        <v>40</v>
      </c>
    </row>
    <row r="537" spans="1:7" x14ac:dyDescent="0.35">
      <c r="A537">
        <v>0.1</v>
      </c>
      <c r="B537">
        <v>0.1212</v>
      </c>
      <c r="C537">
        <v>0.46</v>
      </c>
      <c r="D537">
        <v>0.1343</v>
      </c>
      <c r="E537">
        <v>3</v>
      </c>
      <c r="F537">
        <v>43</v>
      </c>
      <c r="G537">
        <v>46</v>
      </c>
    </row>
    <row r="538" spans="1:7" x14ac:dyDescent="0.35">
      <c r="A538">
        <v>0.12</v>
      </c>
      <c r="B538">
        <v>0.13639999999999999</v>
      </c>
      <c r="C538">
        <v>0.42</v>
      </c>
      <c r="D538">
        <v>0.19400000000000001</v>
      </c>
      <c r="E538">
        <v>11</v>
      </c>
      <c r="F538">
        <v>52</v>
      </c>
      <c r="G538">
        <v>63</v>
      </c>
    </row>
    <row r="539" spans="1:7" x14ac:dyDescent="0.35">
      <c r="A539">
        <v>0.14000000000000001</v>
      </c>
      <c r="B539">
        <v>0.13639999999999999</v>
      </c>
      <c r="C539">
        <v>0.43</v>
      </c>
      <c r="D539">
        <v>0.22389999999999999</v>
      </c>
      <c r="E539">
        <v>6</v>
      </c>
      <c r="F539">
        <v>54</v>
      </c>
      <c r="G539">
        <v>60</v>
      </c>
    </row>
    <row r="540" spans="1:7" x14ac:dyDescent="0.35">
      <c r="A540">
        <v>0.14000000000000001</v>
      </c>
      <c r="B540">
        <v>0.13639999999999999</v>
      </c>
      <c r="C540">
        <v>0.46</v>
      </c>
      <c r="D540">
        <v>0.22389999999999999</v>
      </c>
      <c r="E540">
        <v>2</v>
      </c>
      <c r="F540">
        <v>43</v>
      </c>
      <c r="G540">
        <v>45</v>
      </c>
    </row>
    <row r="541" spans="1:7" x14ac:dyDescent="0.35">
      <c r="A541">
        <v>0.16</v>
      </c>
      <c r="B541">
        <v>0.16669999999999999</v>
      </c>
      <c r="C541">
        <v>0.4</v>
      </c>
      <c r="D541">
        <v>0.16420000000000001</v>
      </c>
      <c r="E541">
        <v>7</v>
      </c>
      <c r="F541">
        <v>50</v>
      </c>
      <c r="G541">
        <v>57</v>
      </c>
    </row>
    <row r="542" spans="1:7" x14ac:dyDescent="0.35">
      <c r="A542">
        <v>0.16</v>
      </c>
      <c r="B542">
        <v>0.1515</v>
      </c>
      <c r="C542">
        <v>0.47</v>
      </c>
      <c r="D542">
        <v>0.25369999999999998</v>
      </c>
      <c r="E542">
        <v>4</v>
      </c>
      <c r="F542">
        <v>66</v>
      </c>
      <c r="G542">
        <v>70</v>
      </c>
    </row>
    <row r="543" spans="1:7" x14ac:dyDescent="0.35">
      <c r="A543">
        <v>0.14000000000000001</v>
      </c>
      <c r="B543">
        <v>0.1212</v>
      </c>
      <c r="C543">
        <v>0.5</v>
      </c>
      <c r="D543">
        <v>0.25369999999999998</v>
      </c>
      <c r="E543">
        <v>6</v>
      </c>
      <c r="F543">
        <v>178</v>
      </c>
      <c r="G543">
        <v>184</v>
      </c>
    </row>
    <row r="544" spans="1:7" x14ac:dyDescent="0.35">
      <c r="A544">
        <v>0.14000000000000001</v>
      </c>
      <c r="B544">
        <v>0.13639999999999999</v>
      </c>
      <c r="C544">
        <v>0.59</v>
      </c>
      <c r="D544">
        <v>0.19400000000000001</v>
      </c>
      <c r="E544">
        <v>8</v>
      </c>
      <c r="F544">
        <v>145</v>
      </c>
      <c r="G544">
        <v>153</v>
      </c>
    </row>
    <row r="545" spans="1:7" x14ac:dyDescent="0.35">
      <c r="A545">
        <v>0.14000000000000001</v>
      </c>
      <c r="B545">
        <v>0.1515</v>
      </c>
      <c r="C545">
        <v>0.54</v>
      </c>
      <c r="D545">
        <v>0.16420000000000001</v>
      </c>
      <c r="E545">
        <v>5</v>
      </c>
      <c r="F545">
        <v>101</v>
      </c>
      <c r="G545">
        <v>106</v>
      </c>
    </row>
    <row r="546" spans="1:7" x14ac:dyDescent="0.35">
      <c r="A546">
        <v>0.14000000000000001</v>
      </c>
      <c r="B546">
        <v>0.13639999999999999</v>
      </c>
      <c r="C546">
        <v>0.59</v>
      </c>
      <c r="D546">
        <v>0.19400000000000001</v>
      </c>
      <c r="E546">
        <v>1</v>
      </c>
      <c r="F546">
        <v>80</v>
      </c>
      <c r="G546">
        <v>81</v>
      </c>
    </row>
    <row r="547" spans="1:7" x14ac:dyDescent="0.35">
      <c r="A547">
        <v>0.14000000000000001</v>
      </c>
      <c r="B547">
        <v>0.1515</v>
      </c>
      <c r="C547">
        <v>0.63</v>
      </c>
      <c r="D547">
        <v>0.16420000000000001</v>
      </c>
      <c r="E547">
        <v>6</v>
      </c>
      <c r="F547">
        <v>53</v>
      </c>
      <c r="G547">
        <v>59</v>
      </c>
    </row>
    <row r="548" spans="1:7" x14ac:dyDescent="0.35">
      <c r="A548">
        <v>0.14000000000000001</v>
      </c>
      <c r="B548">
        <v>0.13639999999999999</v>
      </c>
      <c r="C548">
        <v>0.63</v>
      </c>
      <c r="D548">
        <v>0.22389999999999999</v>
      </c>
      <c r="E548">
        <v>3</v>
      </c>
      <c r="F548">
        <v>32</v>
      </c>
      <c r="G548">
        <v>35</v>
      </c>
    </row>
    <row r="549" spans="1:7" x14ac:dyDescent="0.35">
      <c r="A549">
        <v>0.16</v>
      </c>
      <c r="B549">
        <v>0.1515</v>
      </c>
      <c r="C549">
        <v>0.64</v>
      </c>
      <c r="D549">
        <v>0.25369999999999998</v>
      </c>
      <c r="E549">
        <v>3</v>
      </c>
      <c r="F549">
        <v>21</v>
      </c>
      <c r="G549">
        <v>24</v>
      </c>
    </row>
    <row r="550" spans="1:7" x14ac:dyDescent="0.35">
      <c r="A550">
        <v>0.16</v>
      </c>
      <c r="B550">
        <v>0.13639999999999999</v>
      </c>
      <c r="C550">
        <v>0.69</v>
      </c>
      <c r="D550">
        <v>0.28360000000000002</v>
      </c>
      <c r="E550">
        <v>3</v>
      </c>
      <c r="F550">
        <v>6</v>
      </c>
      <c r="G550">
        <v>9</v>
      </c>
    </row>
    <row r="551" spans="1:7" x14ac:dyDescent="0.35">
      <c r="A551">
        <v>0.16</v>
      </c>
      <c r="B551">
        <v>0.16669999999999999</v>
      </c>
      <c r="C551">
        <v>0.69</v>
      </c>
      <c r="D551">
        <v>0.16420000000000001</v>
      </c>
      <c r="E551">
        <v>0</v>
      </c>
      <c r="F551">
        <v>5</v>
      </c>
      <c r="G551">
        <v>5</v>
      </c>
    </row>
    <row r="552" spans="1:7" x14ac:dyDescent="0.35">
      <c r="A552">
        <v>0.16</v>
      </c>
      <c r="B552">
        <v>0.1515</v>
      </c>
      <c r="C552">
        <v>0.69</v>
      </c>
      <c r="D552">
        <v>0.22389999999999999</v>
      </c>
      <c r="E552">
        <v>0</v>
      </c>
      <c r="F552">
        <v>2</v>
      </c>
      <c r="G552">
        <v>2</v>
      </c>
    </row>
    <row r="553" spans="1:7" x14ac:dyDescent="0.35">
      <c r="A553">
        <v>0.14000000000000001</v>
      </c>
      <c r="B553">
        <v>0.16669999999999999</v>
      </c>
      <c r="C553">
        <v>0.74</v>
      </c>
      <c r="D553">
        <v>0.1045</v>
      </c>
      <c r="E553">
        <v>0</v>
      </c>
      <c r="F553">
        <v>1</v>
      </c>
      <c r="G553">
        <v>1</v>
      </c>
    </row>
    <row r="554" spans="1:7" x14ac:dyDescent="0.35">
      <c r="A554">
        <v>0.14000000000000001</v>
      </c>
      <c r="B554">
        <v>0.13639999999999999</v>
      </c>
      <c r="C554">
        <v>0.74</v>
      </c>
      <c r="D554">
        <v>0.22389999999999999</v>
      </c>
      <c r="E554">
        <v>0</v>
      </c>
      <c r="F554">
        <v>9</v>
      </c>
      <c r="G554">
        <v>9</v>
      </c>
    </row>
    <row r="555" spans="1:7" x14ac:dyDescent="0.35">
      <c r="A555">
        <v>0.16</v>
      </c>
      <c r="B555">
        <v>0.18179999999999999</v>
      </c>
      <c r="C555">
        <v>0.74</v>
      </c>
      <c r="D555">
        <v>0.1045</v>
      </c>
      <c r="E555">
        <v>1</v>
      </c>
      <c r="F555">
        <v>35</v>
      </c>
      <c r="G555">
        <v>36</v>
      </c>
    </row>
    <row r="556" spans="1:7" x14ac:dyDescent="0.35">
      <c r="A556">
        <v>0.16</v>
      </c>
      <c r="B556">
        <v>0.1515</v>
      </c>
      <c r="C556">
        <v>0.74</v>
      </c>
      <c r="D556">
        <v>0.22389999999999999</v>
      </c>
      <c r="E556">
        <v>5</v>
      </c>
      <c r="F556">
        <v>103</v>
      </c>
      <c r="G556">
        <v>108</v>
      </c>
    </row>
    <row r="557" spans="1:7" x14ac:dyDescent="0.35">
      <c r="A557">
        <v>0.16</v>
      </c>
      <c r="B557">
        <v>0.18179999999999999</v>
      </c>
      <c r="C557">
        <v>0.74</v>
      </c>
      <c r="D557">
        <v>0.1343</v>
      </c>
      <c r="E557">
        <v>5</v>
      </c>
      <c r="F557">
        <v>233</v>
      </c>
      <c r="G557">
        <v>238</v>
      </c>
    </row>
    <row r="558" spans="1:7" x14ac:dyDescent="0.35">
      <c r="A558">
        <v>0.2</v>
      </c>
      <c r="B558">
        <v>0.2273</v>
      </c>
      <c r="C558">
        <v>0.64</v>
      </c>
      <c r="D558">
        <v>8.9599999999999999E-2</v>
      </c>
      <c r="E558">
        <v>10</v>
      </c>
      <c r="F558">
        <v>134</v>
      </c>
      <c r="G558">
        <v>144</v>
      </c>
    </row>
    <row r="559" spans="1:7" x14ac:dyDescent="0.35">
      <c r="A559">
        <v>0.22</v>
      </c>
      <c r="B559">
        <v>0.2424</v>
      </c>
      <c r="C559">
        <v>0.6</v>
      </c>
      <c r="D559">
        <v>0.1045</v>
      </c>
      <c r="E559">
        <v>6</v>
      </c>
      <c r="F559">
        <v>49</v>
      </c>
      <c r="G559">
        <v>55</v>
      </c>
    </row>
    <row r="560" spans="1:7" x14ac:dyDescent="0.35">
      <c r="A560">
        <v>0.24</v>
      </c>
      <c r="B560">
        <v>0.2424</v>
      </c>
      <c r="C560">
        <v>0.6</v>
      </c>
      <c r="D560">
        <v>0.1343</v>
      </c>
      <c r="E560">
        <v>6</v>
      </c>
      <c r="F560">
        <v>55</v>
      </c>
      <c r="G560">
        <v>61</v>
      </c>
    </row>
    <row r="561" spans="1:7" x14ac:dyDescent="0.35">
      <c r="A561">
        <v>0.26</v>
      </c>
      <c r="B561">
        <v>0.28789999999999999</v>
      </c>
      <c r="C561">
        <v>0.56000000000000005</v>
      </c>
      <c r="D561">
        <v>8.9599999999999999E-2</v>
      </c>
      <c r="E561">
        <v>21</v>
      </c>
      <c r="F561">
        <v>85</v>
      </c>
      <c r="G561">
        <v>106</v>
      </c>
    </row>
    <row r="562" spans="1:7" x14ac:dyDescent="0.35">
      <c r="A562">
        <v>0.26</v>
      </c>
      <c r="B562">
        <v>0.2727</v>
      </c>
      <c r="C562">
        <v>0.56000000000000005</v>
      </c>
      <c r="D562">
        <v>0.1343</v>
      </c>
      <c r="E562">
        <v>21</v>
      </c>
      <c r="F562">
        <v>72</v>
      </c>
      <c r="G562">
        <v>93</v>
      </c>
    </row>
    <row r="563" spans="1:7" x14ac:dyDescent="0.35">
      <c r="A563">
        <v>0.3</v>
      </c>
      <c r="B563">
        <v>0.33329999999999999</v>
      </c>
      <c r="C563">
        <v>0.45</v>
      </c>
      <c r="D563">
        <v>0</v>
      </c>
      <c r="E563">
        <v>11</v>
      </c>
      <c r="F563">
        <v>57</v>
      </c>
      <c r="G563">
        <v>68</v>
      </c>
    </row>
    <row r="564" spans="1:7" x14ac:dyDescent="0.35">
      <c r="A564">
        <v>0.32</v>
      </c>
      <c r="B564">
        <v>0.34849999999999998</v>
      </c>
      <c r="C564">
        <v>0.42</v>
      </c>
      <c r="D564">
        <v>0</v>
      </c>
      <c r="E564">
        <v>21</v>
      </c>
      <c r="F564">
        <v>63</v>
      </c>
      <c r="G564">
        <v>84</v>
      </c>
    </row>
    <row r="565" spans="1:7" x14ac:dyDescent="0.35">
      <c r="A565">
        <v>0.32</v>
      </c>
      <c r="B565">
        <v>0.34849999999999998</v>
      </c>
      <c r="C565">
        <v>0.42</v>
      </c>
      <c r="D565">
        <v>0</v>
      </c>
      <c r="E565">
        <v>14</v>
      </c>
      <c r="F565">
        <v>102</v>
      </c>
      <c r="G565">
        <v>116</v>
      </c>
    </row>
    <row r="566" spans="1:7" x14ac:dyDescent="0.35">
      <c r="A566">
        <v>0.3</v>
      </c>
      <c r="B566">
        <v>0.33329999999999999</v>
      </c>
      <c r="C566">
        <v>0.45</v>
      </c>
      <c r="D566">
        <v>0</v>
      </c>
      <c r="E566">
        <v>14</v>
      </c>
      <c r="F566">
        <v>208</v>
      </c>
      <c r="G566">
        <v>222</v>
      </c>
    </row>
    <row r="567" spans="1:7" x14ac:dyDescent="0.35">
      <c r="A567">
        <v>0.3</v>
      </c>
      <c r="B567">
        <v>0.31819999999999998</v>
      </c>
      <c r="C567">
        <v>0.49</v>
      </c>
      <c r="D567">
        <v>8.9599999999999999E-2</v>
      </c>
      <c r="E567">
        <v>7</v>
      </c>
      <c r="F567">
        <v>218</v>
      </c>
      <c r="G567">
        <v>225</v>
      </c>
    </row>
    <row r="568" spans="1:7" x14ac:dyDescent="0.35">
      <c r="A568">
        <v>0.26</v>
      </c>
      <c r="B568">
        <v>0.2576</v>
      </c>
      <c r="C568">
        <v>0.65</v>
      </c>
      <c r="D568">
        <v>0.16420000000000001</v>
      </c>
      <c r="E568">
        <v>13</v>
      </c>
      <c r="F568">
        <v>133</v>
      </c>
      <c r="G568">
        <v>146</v>
      </c>
    </row>
    <row r="569" spans="1:7" x14ac:dyDescent="0.35">
      <c r="A569">
        <v>0.24</v>
      </c>
      <c r="B569">
        <v>0.2273</v>
      </c>
      <c r="C569">
        <v>0.65</v>
      </c>
      <c r="D569">
        <v>0.19400000000000001</v>
      </c>
      <c r="E569">
        <v>16</v>
      </c>
      <c r="F569">
        <v>103</v>
      </c>
      <c r="G569">
        <v>119</v>
      </c>
    </row>
    <row r="570" spans="1:7" x14ac:dyDescent="0.35">
      <c r="A570">
        <v>0.24</v>
      </c>
      <c r="B570">
        <v>0.2273</v>
      </c>
      <c r="C570">
        <v>0.65</v>
      </c>
      <c r="D570">
        <v>0.19400000000000001</v>
      </c>
      <c r="E570">
        <v>5</v>
      </c>
      <c r="F570">
        <v>40</v>
      </c>
      <c r="G570">
        <v>45</v>
      </c>
    </row>
    <row r="571" spans="1:7" x14ac:dyDescent="0.35">
      <c r="A571">
        <v>0.22</v>
      </c>
      <c r="B571">
        <v>0.2273</v>
      </c>
      <c r="C571">
        <v>0.64</v>
      </c>
      <c r="D571">
        <v>0.16420000000000001</v>
      </c>
      <c r="E571">
        <v>4</v>
      </c>
      <c r="F571">
        <v>49</v>
      </c>
      <c r="G571">
        <v>53</v>
      </c>
    </row>
    <row r="572" spans="1:7" x14ac:dyDescent="0.35">
      <c r="A572">
        <v>0.22</v>
      </c>
      <c r="B572">
        <v>0.2273</v>
      </c>
      <c r="C572">
        <v>0.64</v>
      </c>
      <c r="D572">
        <v>0.16420000000000001</v>
      </c>
      <c r="E572">
        <v>3</v>
      </c>
      <c r="F572">
        <v>37</v>
      </c>
      <c r="G572">
        <v>40</v>
      </c>
    </row>
    <row r="573" spans="1:7" x14ac:dyDescent="0.35">
      <c r="A573">
        <v>0.22</v>
      </c>
      <c r="B573">
        <v>0.2273</v>
      </c>
      <c r="C573">
        <v>0.69</v>
      </c>
      <c r="D573">
        <v>0.1343</v>
      </c>
      <c r="E573">
        <v>3</v>
      </c>
      <c r="F573">
        <v>14</v>
      </c>
      <c r="G573">
        <v>17</v>
      </c>
    </row>
    <row r="574" spans="1:7" x14ac:dyDescent="0.35">
      <c r="A574">
        <v>0.24</v>
      </c>
      <c r="B574">
        <v>0.2424</v>
      </c>
      <c r="C574">
        <v>0.65</v>
      </c>
      <c r="D574">
        <v>0.1343</v>
      </c>
      <c r="E574">
        <v>0</v>
      </c>
      <c r="F574">
        <v>5</v>
      </c>
      <c r="G574">
        <v>5</v>
      </c>
    </row>
    <row r="575" spans="1:7" x14ac:dyDescent="0.35">
      <c r="A575">
        <v>0.22</v>
      </c>
      <c r="B575">
        <v>0.2273</v>
      </c>
      <c r="C575">
        <v>0.69</v>
      </c>
      <c r="D575">
        <v>0.19400000000000001</v>
      </c>
      <c r="E575">
        <v>3</v>
      </c>
      <c r="F575">
        <v>7</v>
      </c>
      <c r="G575">
        <v>10</v>
      </c>
    </row>
    <row r="576" spans="1:7" x14ac:dyDescent="0.35">
      <c r="A576">
        <v>0.2</v>
      </c>
      <c r="B576">
        <v>0.18179999999999999</v>
      </c>
      <c r="C576">
        <v>0.86</v>
      </c>
      <c r="D576">
        <v>0.28360000000000002</v>
      </c>
      <c r="E576">
        <v>0</v>
      </c>
      <c r="F576">
        <v>1</v>
      </c>
      <c r="G576">
        <v>1</v>
      </c>
    </row>
    <row r="577" spans="1:7" x14ac:dyDescent="0.35">
      <c r="A577">
        <v>0.2</v>
      </c>
      <c r="B577">
        <v>0.18179999999999999</v>
      </c>
      <c r="C577">
        <v>0.86</v>
      </c>
      <c r="D577">
        <v>0.28360000000000002</v>
      </c>
      <c r="E577">
        <v>0</v>
      </c>
      <c r="F577">
        <v>8</v>
      </c>
      <c r="G577">
        <v>8</v>
      </c>
    </row>
    <row r="578" spans="1:7" x14ac:dyDescent="0.35">
      <c r="A578">
        <v>0.22</v>
      </c>
      <c r="B578">
        <v>0.21210000000000001</v>
      </c>
      <c r="C578">
        <v>0.87</v>
      </c>
      <c r="D578">
        <v>0.29849999999999999</v>
      </c>
      <c r="E578">
        <v>1</v>
      </c>
      <c r="F578">
        <v>29</v>
      </c>
      <c r="G578">
        <v>30</v>
      </c>
    </row>
    <row r="579" spans="1:7" x14ac:dyDescent="0.35">
      <c r="A579">
        <v>0.22</v>
      </c>
      <c r="B579">
        <v>0.21210000000000001</v>
      </c>
      <c r="C579">
        <v>0.87</v>
      </c>
      <c r="D579">
        <v>0.29849999999999999</v>
      </c>
      <c r="E579">
        <v>3</v>
      </c>
      <c r="F579">
        <v>69</v>
      </c>
      <c r="G579">
        <v>72</v>
      </c>
    </row>
    <row r="580" spans="1:7" x14ac:dyDescent="0.35">
      <c r="A580">
        <v>0.22</v>
      </c>
      <c r="B580">
        <v>0.21210000000000001</v>
      </c>
      <c r="C580">
        <v>0.87</v>
      </c>
      <c r="D580">
        <v>0.29849999999999999</v>
      </c>
      <c r="E580">
        <v>3</v>
      </c>
      <c r="F580">
        <v>55</v>
      </c>
      <c r="G580">
        <v>58</v>
      </c>
    </row>
    <row r="581" spans="1:7" x14ac:dyDescent="0.35">
      <c r="A581">
        <v>0.22</v>
      </c>
      <c r="B581">
        <v>0.21210000000000001</v>
      </c>
      <c r="C581">
        <v>0.93</v>
      </c>
      <c r="D581">
        <v>0.28360000000000002</v>
      </c>
      <c r="E581">
        <v>2</v>
      </c>
      <c r="F581">
        <v>26</v>
      </c>
      <c r="G581">
        <v>28</v>
      </c>
    </row>
    <row r="582" spans="1:7" x14ac:dyDescent="0.35">
      <c r="A582">
        <v>0.22</v>
      </c>
      <c r="B582">
        <v>0.19700000000000001</v>
      </c>
      <c r="C582">
        <v>0.93</v>
      </c>
      <c r="D582">
        <v>0.32840000000000003</v>
      </c>
      <c r="E582">
        <v>6</v>
      </c>
      <c r="F582">
        <v>35</v>
      </c>
      <c r="G582">
        <v>41</v>
      </c>
    </row>
    <row r="583" spans="1:7" x14ac:dyDescent="0.35">
      <c r="A583">
        <v>0.22</v>
      </c>
      <c r="B583">
        <v>0.19700000000000001</v>
      </c>
      <c r="C583">
        <v>0.93</v>
      </c>
      <c r="D583">
        <v>0.32840000000000003</v>
      </c>
      <c r="E583">
        <v>7</v>
      </c>
      <c r="F583">
        <v>41</v>
      </c>
      <c r="G583">
        <v>48</v>
      </c>
    </row>
    <row r="584" spans="1:7" x14ac:dyDescent="0.35">
      <c r="A584">
        <v>0.22</v>
      </c>
      <c r="B584">
        <v>0.19700000000000001</v>
      </c>
      <c r="C584">
        <v>0.93</v>
      </c>
      <c r="D584">
        <v>0.32840000000000003</v>
      </c>
      <c r="E584">
        <v>4</v>
      </c>
      <c r="F584">
        <v>43</v>
      </c>
      <c r="G584">
        <v>47</v>
      </c>
    </row>
    <row r="585" spans="1:7" x14ac:dyDescent="0.35">
      <c r="A585">
        <v>0.22</v>
      </c>
      <c r="B585">
        <v>0.19700000000000001</v>
      </c>
      <c r="C585">
        <v>0.93</v>
      </c>
      <c r="D585">
        <v>0.35820000000000002</v>
      </c>
      <c r="E585">
        <v>0</v>
      </c>
      <c r="F585">
        <v>36</v>
      </c>
      <c r="G585">
        <v>36</v>
      </c>
    </row>
    <row r="586" spans="1:7" x14ac:dyDescent="0.35">
      <c r="A586">
        <v>0.22</v>
      </c>
      <c r="B586">
        <v>0.18179999999999999</v>
      </c>
      <c r="C586">
        <v>0.93</v>
      </c>
      <c r="D586">
        <v>0.4627</v>
      </c>
      <c r="E586">
        <v>1</v>
      </c>
      <c r="F586">
        <v>42</v>
      </c>
      <c r="G586">
        <v>43</v>
      </c>
    </row>
    <row r="587" spans="1:7" x14ac:dyDescent="0.35">
      <c r="A587">
        <v>0.22</v>
      </c>
      <c r="B587">
        <v>0.19700000000000001</v>
      </c>
      <c r="C587">
        <v>0.93</v>
      </c>
      <c r="D587">
        <v>0.32840000000000003</v>
      </c>
      <c r="E587">
        <v>1</v>
      </c>
      <c r="F587">
        <v>35</v>
      </c>
      <c r="G587">
        <v>36</v>
      </c>
    </row>
    <row r="588" spans="1:7" x14ac:dyDescent="0.35">
      <c r="A588">
        <v>0.2</v>
      </c>
      <c r="B588">
        <v>0.18179999999999999</v>
      </c>
      <c r="C588">
        <v>0.93</v>
      </c>
      <c r="D588">
        <v>0.35820000000000002</v>
      </c>
      <c r="E588">
        <v>0</v>
      </c>
      <c r="F588">
        <v>26</v>
      </c>
      <c r="G588">
        <v>26</v>
      </c>
    </row>
    <row r="589" spans="1:7" x14ac:dyDescent="0.35">
      <c r="A589">
        <v>0.22</v>
      </c>
      <c r="B589">
        <v>0.2273</v>
      </c>
      <c r="C589">
        <v>0.55000000000000004</v>
      </c>
      <c r="D589">
        <v>0.19400000000000001</v>
      </c>
      <c r="E589">
        <v>1</v>
      </c>
      <c r="F589">
        <v>23</v>
      </c>
      <c r="G589">
        <v>24</v>
      </c>
    </row>
    <row r="590" spans="1:7" x14ac:dyDescent="0.35">
      <c r="A590">
        <v>0.22</v>
      </c>
      <c r="B590">
        <v>0.2424</v>
      </c>
      <c r="C590">
        <v>0.55000000000000004</v>
      </c>
      <c r="D590">
        <v>0.1045</v>
      </c>
      <c r="E590">
        <v>2</v>
      </c>
      <c r="F590">
        <v>82</v>
      </c>
      <c r="G590">
        <v>84</v>
      </c>
    </row>
    <row r="591" spans="1:7" x14ac:dyDescent="0.35">
      <c r="A591">
        <v>0.2</v>
      </c>
      <c r="B591">
        <v>0.2273</v>
      </c>
      <c r="C591">
        <v>0.69</v>
      </c>
      <c r="D591">
        <v>8.9599999999999999E-2</v>
      </c>
      <c r="E591">
        <v>3</v>
      </c>
      <c r="F591">
        <v>101</v>
      </c>
      <c r="G591">
        <v>104</v>
      </c>
    </row>
    <row r="592" spans="1:7" x14ac:dyDescent="0.35">
      <c r="A592">
        <v>0.2</v>
      </c>
      <c r="B592">
        <v>0.2273</v>
      </c>
      <c r="C592">
        <v>0.69</v>
      </c>
      <c r="D592">
        <v>8.9599999999999999E-2</v>
      </c>
      <c r="E592">
        <v>3</v>
      </c>
      <c r="F592">
        <v>76</v>
      </c>
      <c r="G592">
        <v>79</v>
      </c>
    </row>
    <row r="593" spans="1:7" x14ac:dyDescent="0.35">
      <c r="A593">
        <v>0.18</v>
      </c>
      <c r="B593">
        <v>0.21210000000000001</v>
      </c>
      <c r="C593">
        <v>0.74</v>
      </c>
      <c r="D593">
        <v>8.9599999999999999E-2</v>
      </c>
      <c r="E593">
        <v>4</v>
      </c>
      <c r="F593">
        <v>55</v>
      </c>
      <c r="G593">
        <v>59</v>
      </c>
    </row>
    <row r="594" spans="1:7" x14ac:dyDescent="0.35">
      <c r="A594">
        <v>0.18</v>
      </c>
      <c r="B594">
        <v>0.21210000000000001</v>
      </c>
      <c r="C594">
        <v>0.74</v>
      </c>
      <c r="D594">
        <v>8.9599999999999999E-2</v>
      </c>
      <c r="E594">
        <v>2</v>
      </c>
      <c r="F594">
        <v>36</v>
      </c>
      <c r="G594">
        <v>38</v>
      </c>
    </row>
    <row r="595" spans="1:7" x14ac:dyDescent="0.35">
      <c r="A595">
        <v>0.18</v>
      </c>
      <c r="B595">
        <v>0.21210000000000001</v>
      </c>
      <c r="C595">
        <v>0.74</v>
      </c>
      <c r="D595">
        <v>8.9599999999999999E-2</v>
      </c>
      <c r="E595">
        <v>0</v>
      </c>
      <c r="F595">
        <v>27</v>
      </c>
      <c r="G595">
        <v>27</v>
      </c>
    </row>
    <row r="596" spans="1:7" x14ac:dyDescent="0.35">
      <c r="A596">
        <v>0.18</v>
      </c>
      <c r="B596">
        <v>0.19700000000000001</v>
      </c>
      <c r="C596">
        <v>0.8</v>
      </c>
      <c r="D596">
        <v>0.16420000000000001</v>
      </c>
      <c r="E596">
        <v>0</v>
      </c>
      <c r="F596">
        <v>16</v>
      </c>
      <c r="G596">
        <v>16</v>
      </c>
    </row>
    <row r="597" spans="1:7" x14ac:dyDescent="0.35">
      <c r="A597">
        <v>0.2</v>
      </c>
      <c r="B597">
        <v>0.21210000000000001</v>
      </c>
      <c r="C597">
        <v>0.75</v>
      </c>
      <c r="D597">
        <v>0.1343</v>
      </c>
      <c r="E597">
        <v>0</v>
      </c>
      <c r="F597">
        <v>9</v>
      </c>
      <c r="G597">
        <v>9</v>
      </c>
    </row>
    <row r="598" spans="1:7" x14ac:dyDescent="0.35">
      <c r="A598">
        <v>0.2</v>
      </c>
      <c r="B598">
        <v>0.21210000000000001</v>
      </c>
      <c r="C598">
        <v>0.75</v>
      </c>
      <c r="D598">
        <v>0.1343</v>
      </c>
      <c r="E598">
        <v>1</v>
      </c>
      <c r="F598">
        <v>2</v>
      </c>
      <c r="G598">
        <v>3</v>
      </c>
    </row>
    <row r="599" spans="1:7" x14ac:dyDescent="0.35">
      <c r="A599">
        <v>0.2</v>
      </c>
      <c r="B599">
        <v>0.21210000000000001</v>
      </c>
      <c r="C599">
        <v>0.75</v>
      </c>
      <c r="D599">
        <v>0.16420000000000001</v>
      </c>
      <c r="E599">
        <v>0</v>
      </c>
      <c r="F599">
        <v>2</v>
      </c>
      <c r="G599">
        <v>2</v>
      </c>
    </row>
    <row r="600" spans="1:7" x14ac:dyDescent="0.35">
      <c r="A600">
        <v>0.2</v>
      </c>
      <c r="B600">
        <v>0.2273</v>
      </c>
      <c r="C600">
        <v>0.75</v>
      </c>
      <c r="D600">
        <v>0.1045</v>
      </c>
      <c r="E600">
        <v>1</v>
      </c>
      <c r="F600">
        <v>0</v>
      </c>
      <c r="G600">
        <v>1</v>
      </c>
    </row>
    <row r="601" spans="1:7" x14ac:dyDescent="0.35">
      <c r="A601">
        <v>0.18</v>
      </c>
      <c r="B601">
        <v>0.21210000000000001</v>
      </c>
      <c r="C601">
        <v>0.8</v>
      </c>
      <c r="D601">
        <v>0.1045</v>
      </c>
      <c r="E601">
        <v>0</v>
      </c>
      <c r="F601">
        <v>4</v>
      </c>
      <c r="G601">
        <v>4</v>
      </c>
    </row>
    <row r="602" spans="1:7" x14ac:dyDescent="0.35">
      <c r="A602">
        <v>0.18</v>
      </c>
      <c r="B602">
        <v>0.19700000000000001</v>
      </c>
      <c r="C602">
        <v>0.8</v>
      </c>
      <c r="D602">
        <v>0.1343</v>
      </c>
      <c r="E602">
        <v>0</v>
      </c>
      <c r="F602">
        <v>16</v>
      </c>
      <c r="G602">
        <v>16</v>
      </c>
    </row>
    <row r="603" spans="1:7" x14ac:dyDescent="0.35">
      <c r="A603">
        <v>0.16</v>
      </c>
      <c r="B603">
        <v>0.19700000000000001</v>
      </c>
      <c r="C603">
        <v>0.86</v>
      </c>
      <c r="D603">
        <v>8.9599999999999999E-2</v>
      </c>
      <c r="E603">
        <v>2</v>
      </c>
      <c r="F603">
        <v>58</v>
      </c>
      <c r="G603">
        <v>60</v>
      </c>
    </row>
    <row r="604" spans="1:7" x14ac:dyDescent="0.35">
      <c r="A604">
        <v>0.16</v>
      </c>
      <c r="B604">
        <v>0.19700000000000001</v>
      </c>
      <c r="C604">
        <v>0.86</v>
      </c>
      <c r="D604">
        <v>8.9599999999999999E-2</v>
      </c>
      <c r="E604">
        <v>2</v>
      </c>
      <c r="F604">
        <v>155</v>
      </c>
      <c r="G604">
        <v>157</v>
      </c>
    </row>
    <row r="605" spans="1:7" x14ac:dyDescent="0.35">
      <c r="A605">
        <v>0.18</v>
      </c>
      <c r="B605">
        <v>0.21210000000000001</v>
      </c>
      <c r="C605">
        <v>0.86</v>
      </c>
      <c r="D605">
        <v>8.9599999999999999E-2</v>
      </c>
      <c r="E605">
        <v>6</v>
      </c>
      <c r="F605">
        <v>95</v>
      </c>
      <c r="G605">
        <v>101</v>
      </c>
    </row>
    <row r="606" spans="1:7" x14ac:dyDescent="0.35">
      <c r="A606">
        <v>0.18</v>
      </c>
      <c r="B606">
        <v>0.21210000000000001</v>
      </c>
      <c r="C606">
        <v>0.86</v>
      </c>
      <c r="D606">
        <v>0.1045</v>
      </c>
      <c r="E606">
        <v>0</v>
      </c>
      <c r="F606">
        <v>49</v>
      </c>
      <c r="G606">
        <v>49</v>
      </c>
    </row>
    <row r="607" spans="1:7" x14ac:dyDescent="0.35">
      <c r="A607">
        <v>0.18</v>
      </c>
      <c r="B607">
        <v>0.21210000000000001</v>
      </c>
      <c r="C607">
        <v>0.93</v>
      </c>
      <c r="D607">
        <v>0.1045</v>
      </c>
      <c r="E607">
        <v>0</v>
      </c>
      <c r="F607">
        <v>30</v>
      </c>
      <c r="G607">
        <v>30</v>
      </c>
    </row>
    <row r="608" spans="1:7" x14ac:dyDescent="0.35">
      <c r="A608">
        <v>0.18</v>
      </c>
      <c r="B608">
        <v>0.21210000000000001</v>
      </c>
      <c r="C608">
        <v>0.93</v>
      </c>
      <c r="D608">
        <v>0.1045</v>
      </c>
      <c r="E608">
        <v>1</v>
      </c>
      <c r="F608">
        <v>28</v>
      </c>
      <c r="G608">
        <v>29</v>
      </c>
    </row>
    <row r="609" spans="1:7" x14ac:dyDescent="0.35">
      <c r="A609">
        <v>0.18</v>
      </c>
      <c r="B609">
        <v>0.21210000000000001</v>
      </c>
      <c r="C609">
        <v>0.93</v>
      </c>
      <c r="D609">
        <v>0.1045</v>
      </c>
      <c r="E609">
        <v>0</v>
      </c>
      <c r="F609">
        <v>31</v>
      </c>
      <c r="G609">
        <v>31</v>
      </c>
    </row>
    <row r="610" spans="1:7" x14ac:dyDescent="0.35">
      <c r="A610">
        <v>0.22</v>
      </c>
      <c r="B610">
        <v>0.2727</v>
      </c>
      <c r="C610">
        <v>0.8</v>
      </c>
      <c r="D610">
        <v>0</v>
      </c>
      <c r="E610">
        <v>2</v>
      </c>
      <c r="F610">
        <v>36</v>
      </c>
      <c r="G610">
        <v>38</v>
      </c>
    </row>
    <row r="611" spans="1:7" x14ac:dyDescent="0.35">
      <c r="A611">
        <v>0.2</v>
      </c>
      <c r="B611">
        <v>0.2576</v>
      </c>
      <c r="C611">
        <v>0.86</v>
      </c>
      <c r="D611">
        <v>0</v>
      </c>
      <c r="E611">
        <v>1</v>
      </c>
      <c r="F611">
        <v>40</v>
      </c>
      <c r="G611">
        <v>41</v>
      </c>
    </row>
    <row r="612" spans="1:7" x14ac:dyDescent="0.35">
      <c r="A612">
        <v>0.22</v>
      </c>
      <c r="B612">
        <v>0.2727</v>
      </c>
      <c r="C612">
        <v>0.8</v>
      </c>
      <c r="D612">
        <v>0</v>
      </c>
      <c r="E612">
        <v>10</v>
      </c>
      <c r="F612">
        <v>70</v>
      </c>
      <c r="G612">
        <v>80</v>
      </c>
    </row>
    <row r="613" spans="1:7" x14ac:dyDescent="0.35">
      <c r="A613">
        <v>0.24</v>
      </c>
      <c r="B613">
        <v>0.2424</v>
      </c>
      <c r="C613">
        <v>0.75</v>
      </c>
      <c r="D613">
        <v>0.1343</v>
      </c>
      <c r="E613">
        <v>2</v>
      </c>
      <c r="F613">
        <v>147</v>
      </c>
      <c r="G613">
        <v>149</v>
      </c>
    </row>
    <row r="614" spans="1:7" x14ac:dyDescent="0.35">
      <c r="A614">
        <v>0.24</v>
      </c>
      <c r="B614">
        <v>0.2273</v>
      </c>
      <c r="C614">
        <v>0.75</v>
      </c>
      <c r="D614">
        <v>0.19400000000000001</v>
      </c>
      <c r="E614">
        <v>2</v>
      </c>
      <c r="F614">
        <v>107</v>
      </c>
      <c r="G614">
        <v>109</v>
      </c>
    </row>
    <row r="615" spans="1:7" x14ac:dyDescent="0.35">
      <c r="A615">
        <v>0.24</v>
      </c>
      <c r="B615">
        <v>0.2424</v>
      </c>
      <c r="C615">
        <v>0.75</v>
      </c>
      <c r="D615">
        <v>0.1343</v>
      </c>
      <c r="E615">
        <v>5</v>
      </c>
      <c r="F615">
        <v>84</v>
      </c>
      <c r="G615">
        <v>89</v>
      </c>
    </row>
    <row r="616" spans="1:7" x14ac:dyDescent="0.35">
      <c r="A616">
        <v>0.24</v>
      </c>
      <c r="B616">
        <v>0.2273</v>
      </c>
      <c r="C616">
        <v>0.7</v>
      </c>
      <c r="D616">
        <v>0.19400000000000001</v>
      </c>
      <c r="E616">
        <v>1</v>
      </c>
      <c r="F616">
        <v>61</v>
      </c>
      <c r="G616">
        <v>62</v>
      </c>
    </row>
    <row r="617" spans="1:7" x14ac:dyDescent="0.35">
      <c r="A617">
        <v>0.22</v>
      </c>
      <c r="B617">
        <v>0.2273</v>
      </c>
      <c r="C617">
        <v>0.75</v>
      </c>
      <c r="D617">
        <v>0.1343</v>
      </c>
      <c r="E617">
        <v>1</v>
      </c>
      <c r="F617">
        <v>57</v>
      </c>
      <c r="G617">
        <v>58</v>
      </c>
    </row>
    <row r="618" spans="1:7" x14ac:dyDescent="0.35">
      <c r="A618">
        <v>0.24</v>
      </c>
      <c r="B618">
        <v>0.21210000000000001</v>
      </c>
      <c r="C618">
        <v>0.65</v>
      </c>
      <c r="D618">
        <v>0.35820000000000002</v>
      </c>
      <c r="E618">
        <v>0</v>
      </c>
      <c r="F618">
        <v>26</v>
      </c>
      <c r="G618">
        <v>26</v>
      </c>
    </row>
    <row r="619" spans="1:7" x14ac:dyDescent="0.35">
      <c r="A619">
        <v>0.24</v>
      </c>
      <c r="B619">
        <v>0.2273</v>
      </c>
      <c r="C619">
        <v>0.6</v>
      </c>
      <c r="D619">
        <v>0.22389999999999999</v>
      </c>
      <c r="E619">
        <v>1</v>
      </c>
      <c r="F619">
        <v>22</v>
      </c>
      <c r="G619">
        <v>23</v>
      </c>
    </row>
    <row r="620" spans="1:7" x14ac:dyDescent="0.35">
      <c r="A620">
        <v>0.22</v>
      </c>
      <c r="B620">
        <v>0.19700000000000001</v>
      </c>
      <c r="C620">
        <v>0.64</v>
      </c>
      <c r="D620">
        <v>0.35820000000000002</v>
      </c>
      <c r="E620">
        <v>2</v>
      </c>
      <c r="F620">
        <v>26</v>
      </c>
      <c r="G620">
        <v>28</v>
      </c>
    </row>
    <row r="621" spans="1:7" x14ac:dyDescent="0.35">
      <c r="A621">
        <v>0.22</v>
      </c>
      <c r="B621">
        <v>0.2273</v>
      </c>
      <c r="C621">
        <v>0.64</v>
      </c>
      <c r="D621">
        <v>0.19400000000000001</v>
      </c>
      <c r="E621">
        <v>0</v>
      </c>
      <c r="F621">
        <v>20</v>
      </c>
      <c r="G621">
        <v>20</v>
      </c>
    </row>
    <row r="622" spans="1:7" x14ac:dyDescent="0.35">
      <c r="A622">
        <v>0.22</v>
      </c>
      <c r="B622">
        <v>0.2273</v>
      </c>
      <c r="C622">
        <v>0.64</v>
      </c>
      <c r="D622">
        <v>0.16420000000000001</v>
      </c>
      <c r="E622">
        <v>0</v>
      </c>
      <c r="F622">
        <v>15</v>
      </c>
      <c r="G622">
        <v>15</v>
      </c>
    </row>
    <row r="623" spans="1:7" x14ac:dyDescent="0.35">
      <c r="A623">
        <v>0.2</v>
      </c>
      <c r="B623">
        <v>0.21210000000000001</v>
      </c>
      <c r="C623">
        <v>0.64</v>
      </c>
      <c r="D623">
        <v>0.1343</v>
      </c>
      <c r="E623">
        <v>3</v>
      </c>
      <c r="F623">
        <v>5</v>
      </c>
      <c r="G623">
        <v>8</v>
      </c>
    </row>
    <row r="624" spans="1:7" x14ac:dyDescent="0.35">
      <c r="A624">
        <v>0.16</v>
      </c>
      <c r="B624">
        <v>0.18179999999999999</v>
      </c>
      <c r="C624">
        <v>0.69</v>
      </c>
      <c r="D624">
        <v>0.1045</v>
      </c>
      <c r="E624">
        <v>1</v>
      </c>
      <c r="F624">
        <v>2</v>
      </c>
      <c r="G624">
        <v>3</v>
      </c>
    </row>
    <row r="625" spans="1:7" x14ac:dyDescent="0.35">
      <c r="A625">
        <v>0.16</v>
      </c>
      <c r="B625">
        <v>0.18179999999999999</v>
      </c>
      <c r="C625">
        <v>0.64</v>
      </c>
      <c r="D625">
        <v>0.1343</v>
      </c>
      <c r="E625">
        <v>0</v>
      </c>
      <c r="F625">
        <v>2</v>
      </c>
      <c r="G625">
        <v>2</v>
      </c>
    </row>
    <row r="626" spans="1:7" x14ac:dyDescent="0.35">
      <c r="A626">
        <v>0.16</v>
      </c>
      <c r="B626">
        <v>0.18179999999999999</v>
      </c>
      <c r="C626">
        <v>0.59</v>
      </c>
      <c r="D626">
        <v>0.1045</v>
      </c>
      <c r="E626">
        <v>1</v>
      </c>
      <c r="F626">
        <v>4</v>
      </c>
      <c r="G626">
        <v>5</v>
      </c>
    </row>
    <row r="627" spans="1:7" x14ac:dyDescent="0.35">
      <c r="A627">
        <v>0.18</v>
      </c>
      <c r="B627">
        <v>0.19700000000000001</v>
      </c>
      <c r="C627">
        <v>0.55000000000000004</v>
      </c>
      <c r="D627">
        <v>0.16420000000000001</v>
      </c>
      <c r="E627">
        <v>3</v>
      </c>
      <c r="F627">
        <v>31</v>
      </c>
      <c r="G627">
        <v>34</v>
      </c>
    </row>
    <row r="628" spans="1:7" x14ac:dyDescent="0.35">
      <c r="A628">
        <v>0.18</v>
      </c>
      <c r="B628">
        <v>0.21210000000000001</v>
      </c>
      <c r="C628">
        <v>0.59</v>
      </c>
      <c r="D628">
        <v>8.9599999999999999E-2</v>
      </c>
      <c r="E628">
        <v>0</v>
      </c>
      <c r="F628">
        <v>34</v>
      </c>
      <c r="G628">
        <v>34</v>
      </c>
    </row>
    <row r="629" spans="1:7" x14ac:dyDescent="0.35">
      <c r="A629">
        <v>0.18</v>
      </c>
      <c r="B629">
        <v>0.21210000000000001</v>
      </c>
      <c r="C629">
        <v>0.64</v>
      </c>
      <c r="D629">
        <v>0.1045</v>
      </c>
      <c r="E629">
        <v>4</v>
      </c>
      <c r="F629">
        <v>51</v>
      </c>
      <c r="G629">
        <v>55</v>
      </c>
    </row>
    <row r="630" spans="1:7" x14ac:dyDescent="0.35">
      <c r="A630">
        <v>0.18</v>
      </c>
      <c r="B630">
        <v>0.19700000000000001</v>
      </c>
      <c r="C630">
        <v>0.64</v>
      </c>
      <c r="D630">
        <v>0.1343</v>
      </c>
      <c r="E630">
        <v>4</v>
      </c>
      <c r="F630">
        <v>60</v>
      </c>
      <c r="G630">
        <v>64</v>
      </c>
    </row>
    <row r="631" spans="1:7" x14ac:dyDescent="0.35">
      <c r="A631">
        <v>0.2</v>
      </c>
      <c r="B631">
        <v>0.19700000000000001</v>
      </c>
      <c r="C631">
        <v>0.59</v>
      </c>
      <c r="D631">
        <v>0.19400000000000001</v>
      </c>
      <c r="E631">
        <v>12</v>
      </c>
      <c r="F631">
        <v>66</v>
      </c>
      <c r="G631">
        <v>78</v>
      </c>
    </row>
    <row r="632" spans="1:7" x14ac:dyDescent="0.35">
      <c r="A632">
        <v>0.22</v>
      </c>
      <c r="B632">
        <v>0.2273</v>
      </c>
      <c r="C632">
        <v>0.55000000000000004</v>
      </c>
      <c r="D632">
        <v>0.16420000000000001</v>
      </c>
      <c r="E632">
        <v>9</v>
      </c>
      <c r="F632">
        <v>56</v>
      </c>
      <c r="G632">
        <v>65</v>
      </c>
    </row>
    <row r="633" spans="1:7" x14ac:dyDescent="0.35">
      <c r="A633">
        <v>0.22</v>
      </c>
      <c r="B633">
        <v>0.2273</v>
      </c>
      <c r="C633">
        <v>0.6</v>
      </c>
      <c r="D633">
        <v>0.1343</v>
      </c>
      <c r="E633">
        <v>10</v>
      </c>
      <c r="F633">
        <v>89</v>
      </c>
      <c r="G633">
        <v>99</v>
      </c>
    </row>
    <row r="634" spans="1:7" x14ac:dyDescent="0.35">
      <c r="A634">
        <v>0.22</v>
      </c>
      <c r="B634">
        <v>0.21210000000000001</v>
      </c>
      <c r="C634">
        <v>0.69</v>
      </c>
      <c r="D634">
        <v>0.25369999999999998</v>
      </c>
      <c r="E634">
        <v>22</v>
      </c>
      <c r="F634">
        <v>98</v>
      </c>
      <c r="G634">
        <v>120</v>
      </c>
    </row>
    <row r="635" spans="1:7" x14ac:dyDescent="0.35">
      <c r="A635">
        <v>0.24</v>
      </c>
      <c r="B635">
        <v>0.2424</v>
      </c>
      <c r="C635">
        <v>0.6</v>
      </c>
      <c r="D635">
        <v>0.16420000000000001</v>
      </c>
      <c r="E635">
        <v>19</v>
      </c>
      <c r="F635">
        <v>88</v>
      </c>
      <c r="G635">
        <v>107</v>
      </c>
    </row>
    <row r="636" spans="1:7" x14ac:dyDescent="0.35">
      <c r="A636">
        <v>0.24</v>
      </c>
      <c r="B636">
        <v>0.28789999999999999</v>
      </c>
      <c r="C636">
        <v>0.6</v>
      </c>
      <c r="D636">
        <v>0</v>
      </c>
      <c r="E636">
        <v>9</v>
      </c>
      <c r="F636">
        <v>82</v>
      </c>
      <c r="G636">
        <v>91</v>
      </c>
    </row>
    <row r="637" spans="1:7" x14ac:dyDescent="0.35">
      <c r="A637">
        <v>0.22</v>
      </c>
      <c r="B637">
        <v>0.2273</v>
      </c>
      <c r="C637">
        <v>0.69</v>
      </c>
      <c r="D637">
        <v>0.1343</v>
      </c>
      <c r="E637">
        <v>9</v>
      </c>
      <c r="F637">
        <v>59</v>
      </c>
      <c r="G637">
        <v>68</v>
      </c>
    </row>
    <row r="638" spans="1:7" x14ac:dyDescent="0.35">
      <c r="A638">
        <v>0.22</v>
      </c>
      <c r="B638">
        <v>0.21210000000000001</v>
      </c>
      <c r="C638">
        <v>0.69</v>
      </c>
      <c r="D638">
        <v>0.25369999999999998</v>
      </c>
      <c r="E638">
        <v>6</v>
      </c>
      <c r="F638">
        <v>52</v>
      </c>
      <c r="G638">
        <v>58</v>
      </c>
    </row>
    <row r="639" spans="1:7" x14ac:dyDescent="0.35">
      <c r="A639">
        <v>0.18</v>
      </c>
      <c r="B639">
        <v>0.21210000000000001</v>
      </c>
      <c r="C639">
        <v>0.74</v>
      </c>
      <c r="D639">
        <v>8.9599999999999999E-2</v>
      </c>
      <c r="E639">
        <v>1</v>
      </c>
      <c r="F639">
        <v>42</v>
      </c>
      <c r="G639">
        <v>43</v>
      </c>
    </row>
    <row r="640" spans="1:7" x14ac:dyDescent="0.35">
      <c r="A640">
        <v>0.18</v>
      </c>
      <c r="B640">
        <v>0.21210000000000001</v>
      </c>
      <c r="C640">
        <v>0.74</v>
      </c>
      <c r="D640">
        <v>8.9599999999999999E-2</v>
      </c>
      <c r="E640">
        <v>1</v>
      </c>
      <c r="F640">
        <v>35</v>
      </c>
      <c r="G640">
        <v>36</v>
      </c>
    </row>
    <row r="641" spans="1:7" x14ac:dyDescent="0.35">
      <c r="A641">
        <v>0.16</v>
      </c>
      <c r="B641">
        <v>0.19700000000000001</v>
      </c>
      <c r="C641">
        <v>0.8</v>
      </c>
      <c r="D641">
        <v>8.9599999999999999E-2</v>
      </c>
      <c r="E641">
        <v>4</v>
      </c>
      <c r="F641">
        <v>28</v>
      </c>
      <c r="G641">
        <v>32</v>
      </c>
    </row>
    <row r="642" spans="1:7" x14ac:dyDescent="0.35">
      <c r="A642">
        <v>0.16</v>
      </c>
      <c r="B642">
        <v>0.19700000000000001</v>
      </c>
      <c r="C642">
        <v>0.8</v>
      </c>
      <c r="D642">
        <v>8.9599999999999999E-2</v>
      </c>
      <c r="E642">
        <v>3</v>
      </c>
      <c r="F642">
        <v>30</v>
      </c>
      <c r="G642">
        <v>33</v>
      </c>
    </row>
    <row r="643" spans="1:7" x14ac:dyDescent="0.35">
      <c r="A643">
        <v>0.16</v>
      </c>
      <c r="B643">
        <v>0.18179999999999999</v>
      </c>
      <c r="C643">
        <v>0.8</v>
      </c>
      <c r="D643">
        <v>0.1045</v>
      </c>
      <c r="E643">
        <v>0</v>
      </c>
      <c r="F643">
        <v>33</v>
      </c>
      <c r="G643">
        <v>33</v>
      </c>
    </row>
    <row r="644" spans="1:7" x14ac:dyDescent="0.35">
      <c r="A644">
        <v>0.14000000000000001</v>
      </c>
      <c r="B644">
        <v>0.21210000000000001</v>
      </c>
      <c r="C644">
        <v>0.8</v>
      </c>
      <c r="D644">
        <v>0</v>
      </c>
      <c r="E644">
        <v>7</v>
      </c>
      <c r="F644">
        <v>22</v>
      </c>
      <c r="G644">
        <v>29</v>
      </c>
    </row>
    <row r="645" spans="1:7" x14ac:dyDescent="0.35">
      <c r="A645">
        <v>0.16</v>
      </c>
      <c r="B645">
        <v>0.2273</v>
      </c>
      <c r="C645">
        <v>0.8</v>
      </c>
      <c r="D645">
        <v>0</v>
      </c>
      <c r="E645">
        <v>1</v>
      </c>
      <c r="F645">
        <v>10</v>
      </c>
      <c r="G645">
        <v>11</v>
      </c>
    </row>
    <row r="646" spans="1:7" x14ac:dyDescent="0.35">
      <c r="A646">
        <v>0.14000000000000001</v>
      </c>
      <c r="B646">
        <v>0.21210000000000001</v>
      </c>
      <c r="C646">
        <v>0.93</v>
      </c>
      <c r="D646">
        <v>0</v>
      </c>
      <c r="E646">
        <v>1</v>
      </c>
      <c r="F646">
        <v>7</v>
      </c>
      <c r="G646">
        <v>8</v>
      </c>
    </row>
    <row r="647" spans="1:7" x14ac:dyDescent="0.35">
      <c r="A647">
        <v>0.14000000000000001</v>
      </c>
      <c r="B647">
        <v>0.21210000000000001</v>
      </c>
      <c r="C647">
        <v>0.93</v>
      </c>
      <c r="D647">
        <v>0</v>
      </c>
      <c r="E647">
        <v>0</v>
      </c>
      <c r="F647">
        <v>1</v>
      </c>
      <c r="G647">
        <v>1</v>
      </c>
    </row>
    <row r="648" spans="1:7" x14ac:dyDescent="0.35">
      <c r="A648">
        <v>0.14000000000000001</v>
      </c>
      <c r="B648">
        <v>0.21210000000000001</v>
      </c>
      <c r="C648">
        <v>0.86</v>
      </c>
      <c r="D648">
        <v>0</v>
      </c>
      <c r="E648">
        <v>0</v>
      </c>
      <c r="F648">
        <v>3</v>
      </c>
      <c r="G648">
        <v>3</v>
      </c>
    </row>
    <row r="649" spans="1:7" x14ac:dyDescent="0.35">
      <c r="A649">
        <v>0.14000000000000001</v>
      </c>
      <c r="B649">
        <v>0.21210000000000001</v>
      </c>
      <c r="C649">
        <v>0.86</v>
      </c>
      <c r="D649">
        <v>0</v>
      </c>
      <c r="E649">
        <v>0</v>
      </c>
      <c r="F649">
        <v>3</v>
      </c>
      <c r="G649">
        <v>3</v>
      </c>
    </row>
    <row r="650" spans="1:7" x14ac:dyDescent="0.35">
      <c r="A650">
        <v>0.14000000000000001</v>
      </c>
      <c r="B650">
        <v>0.21210000000000001</v>
      </c>
      <c r="C650">
        <v>0.86</v>
      </c>
      <c r="D650">
        <v>0</v>
      </c>
      <c r="E650">
        <v>1</v>
      </c>
      <c r="F650">
        <v>11</v>
      </c>
      <c r="G650">
        <v>12</v>
      </c>
    </row>
    <row r="651" spans="1:7" x14ac:dyDescent="0.35">
      <c r="A651">
        <v>0.16</v>
      </c>
      <c r="B651">
        <v>0.2273</v>
      </c>
      <c r="C651">
        <v>0.8</v>
      </c>
      <c r="D651">
        <v>0</v>
      </c>
      <c r="E651">
        <v>4</v>
      </c>
      <c r="F651">
        <v>34</v>
      </c>
      <c r="G651">
        <v>38</v>
      </c>
    </row>
    <row r="652" spans="1:7" x14ac:dyDescent="0.35">
      <c r="A652">
        <v>0.18</v>
      </c>
      <c r="B652">
        <v>0.2424</v>
      </c>
      <c r="C652">
        <v>0.8</v>
      </c>
      <c r="D652">
        <v>0</v>
      </c>
      <c r="E652">
        <v>7</v>
      </c>
      <c r="F652">
        <v>57</v>
      </c>
      <c r="G652">
        <v>64</v>
      </c>
    </row>
    <row r="653" spans="1:7" x14ac:dyDescent="0.35">
      <c r="A653">
        <v>0.22</v>
      </c>
      <c r="B653">
        <v>0.2727</v>
      </c>
      <c r="C653">
        <v>0.75</v>
      </c>
      <c r="D653">
        <v>0</v>
      </c>
      <c r="E653">
        <v>9</v>
      </c>
      <c r="F653">
        <v>50</v>
      </c>
      <c r="G653">
        <v>59</v>
      </c>
    </row>
    <row r="654" spans="1:7" x14ac:dyDescent="0.35">
      <c r="A654">
        <v>0.3</v>
      </c>
      <c r="B654">
        <v>0.31819999999999998</v>
      </c>
      <c r="C654">
        <v>0.52</v>
      </c>
      <c r="D654">
        <v>0.1045</v>
      </c>
      <c r="E654">
        <v>10</v>
      </c>
      <c r="F654">
        <v>87</v>
      </c>
      <c r="G654">
        <v>97</v>
      </c>
    </row>
    <row r="655" spans="1:7" x14ac:dyDescent="0.35">
      <c r="A655">
        <v>0.28000000000000003</v>
      </c>
      <c r="B655">
        <v>0.28789999999999999</v>
      </c>
      <c r="C655">
        <v>0.61</v>
      </c>
      <c r="D655">
        <v>0.1045</v>
      </c>
      <c r="E655">
        <v>13</v>
      </c>
      <c r="F655">
        <v>71</v>
      </c>
      <c r="G655">
        <v>84</v>
      </c>
    </row>
    <row r="656" spans="1:7" x14ac:dyDescent="0.35">
      <c r="A656">
        <v>0.28000000000000003</v>
      </c>
      <c r="B656">
        <v>0.30299999999999999</v>
      </c>
      <c r="C656">
        <v>0.61</v>
      </c>
      <c r="D656">
        <v>8.9599999999999999E-2</v>
      </c>
      <c r="E656">
        <v>18</v>
      </c>
      <c r="F656">
        <v>104</v>
      </c>
      <c r="G656">
        <v>122</v>
      </c>
    </row>
    <row r="657" spans="1:7" x14ac:dyDescent="0.35">
      <c r="A657">
        <v>0.3</v>
      </c>
      <c r="B657">
        <v>0.33329999999999999</v>
      </c>
      <c r="C657">
        <v>0.56000000000000005</v>
      </c>
      <c r="D657">
        <v>0</v>
      </c>
      <c r="E657">
        <v>14</v>
      </c>
      <c r="F657">
        <v>95</v>
      </c>
      <c r="G657">
        <v>109</v>
      </c>
    </row>
    <row r="658" spans="1:7" x14ac:dyDescent="0.35">
      <c r="A658">
        <v>0.3</v>
      </c>
      <c r="B658">
        <v>0.33329999999999999</v>
      </c>
      <c r="C658">
        <v>0.56000000000000005</v>
      </c>
      <c r="D658">
        <v>0</v>
      </c>
      <c r="E658">
        <v>19</v>
      </c>
      <c r="F658">
        <v>104</v>
      </c>
      <c r="G658">
        <v>123</v>
      </c>
    </row>
    <row r="659" spans="1:7" x14ac:dyDescent="0.35">
      <c r="A659">
        <v>0.3</v>
      </c>
      <c r="B659">
        <v>0.28789999999999999</v>
      </c>
      <c r="C659">
        <v>0.56000000000000005</v>
      </c>
      <c r="D659">
        <v>0.19400000000000001</v>
      </c>
      <c r="E659">
        <v>6</v>
      </c>
      <c r="F659">
        <v>71</v>
      </c>
      <c r="G659">
        <v>77</v>
      </c>
    </row>
    <row r="660" spans="1:7" x14ac:dyDescent="0.35">
      <c r="A660">
        <v>0.26</v>
      </c>
      <c r="B660">
        <v>0.2576</v>
      </c>
      <c r="C660">
        <v>0.65</v>
      </c>
      <c r="D660">
        <v>0.16420000000000001</v>
      </c>
      <c r="E660">
        <v>8</v>
      </c>
      <c r="F660">
        <v>57</v>
      </c>
      <c r="G660">
        <v>65</v>
      </c>
    </row>
    <row r="661" spans="1:7" x14ac:dyDescent="0.35">
      <c r="A661">
        <v>0.26</v>
      </c>
      <c r="B661">
        <v>0.2576</v>
      </c>
      <c r="C661">
        <v>0.65</v>
      </c>
      <c r="D661">
        <v>0.19400000000000001</v>
      </c>
      <c r="E661">
        <v>9</v>
      </c>
      <c r="F661">
        <v>46</v>
      </c>
      <c r="G661">
        <v>55</v>
      </c>
    </row>
    <row r="662" spans="1:7" x14ac:dyDescent="0.35">
      <c r="A662">
        <v>0.26</v>
      </c>
      <c r="B662">
        <v>0.2727</v>
      </c>
      <c r="C662">
        <v>0.65</v>
      </c>
      <c r="D662">
        <v>0.1045</v>
      </c>
      <c r="E662">
        <v>3</v>
      </c>
      <c r="F662">
        <v>30</v>
      </c>
      <c r="G662">
        <v>33</v>
      </c>
    </row>
    <row r="663" spans="1:7" x14ac:dyDescent="0.35">
      <c r="A663">
        <v>0.24</v>
      </c>
      <c r="B663">
        <v>0.2424</v>
      </c>
      <c r="C663">
        <v>0.7</v>
      </c>
      <c r="D663">
        <v>0.16420000000000001</v>
      </c>
      <c r="E663">
        <v>3</v>
      </c>
      <c r="F663">
        <v>25</v>
      </c>
      <c r="G663">
        <v>28</v>
      </c>
    </row>
    <row r="664" spans="1:7" x14ac:dyDescent="0.35">
      <c r="A664">
        <v>0.24</v>
      </c>
      <c r="B664">
        <v>0.2273</v>
      </c>
      <c r="C664">
        <v>0.7</v>
      </c>
      <c r="D664">
        <v>0.19400000000000001</v>
      </c>
      <c r="E664">
        <v>2</v>
      </c>
      <c r="F664">
        <v>19</v>
      </c>
      <c r="G664">
        <v>21</v>
      </c>
    </row>
    <row r="665" spans="1:7" x14ac:dyDescent="0.35">
      <c r="A665">
        <v>0.24</v>
      </c>
      <c r="B665">
        <v>0.21210000000000001</v>
      </c>
      <c r="C665">
        <v>0.65</v>
      </c>
      <c r="D665">
        <v>0.28360000000000002</v>
      </c>
      <c r="E665">
        <v>5</v>
      </c>
      <c r="F665">
        <v>16</v>
      </c>
      <c r="G665">
        <v>21</v>
      </c>
    </row>
    <row r="666" spans="1:7" x14ac:dyDescent="0.35">
      <c r="A666">
        <v>0.24</v>
      </c>
      <c r="B666">
        <v>0.2273</v>
      </c>
      <c r="C666">
        <v>0.65</v>
      </c>
      <c r="D666">
        <v>0.22389999999999999</v>
      </c>
      <c r="E666">
        <v>1</v>
      </c>
      <c r="F666">
        <v>6</v>
      </c>
      <c r="G666">
        <v>7</v>
      </c>
    </row>
    <row r="667" spans="1:7" x14ac:dyDescent="0.35">
      <c r="A667">
        <v>0.22</v>
      </c>
      <c r="B667">
        <v>0.21210000000000001</v>
      </c>
      <c r="C667">
        <v>0.64</v>
      </c>
      <c r="D667">
        <v>0.25369999999999998</v>
      </c>
      <c r="E667">
        <v>2</v>
      </c>
      <c r="F667">
        <v>5</v>
      </c>
      <c r="G667">
        <v>7</v>
      </c>
    </row>
    <row r="668" spans="1:7" x14ac:dyDescent="0.35">
      <c r="A668">
        <v>0.22</v>
      </c>
      <c r="B668">
        <v>0.2273</v>
      </c>
      <c r="C668">
        <v>0.64</v>
      </c>
      <c r="D668">
        <v>0.19400000000000001</v>
      </c>
      <c r="E668">
        <v>0</v>
      </c>
      <c r="F668">
        <v>1</v>
      </c>
      <c r="G668">
        <v>1</v>
      </c>
    </row>
    <row r="669" spans="1:7" x14ac:dyDescent="0.35">
      <c r="A669">
        <v>0.22</v>
      </c>
      <c r="B669">
        <v>0.2273</v>
      </c>
      <c r="C669">
        <v>0.64</v>
      </c>
      <c r="D669">
        <v>0.19400000000000001</v>
      </c>
      <c r="E669">
        <v>0</v>
      </c>
      <c r="F669">
        <v>2</v>
      </c>
      <c r="G669">
        <v>2</v>
      </c>
    </row>
    <row r="670" spans="1:7" x14ac:dyDescent="0.35">
      <c r="A670">
        <v>0.2</v>
      </c>
      <c r="B670">
        <v>0.19700000000000001</v>
      </c>
      <c r="C670">
        <v>0.59</v>
      </c>
      <c r="D670">
        <v>0.22389999999999999</v>
      </c>
      <c r="E670">
        <v>0</v>
      </c>
      <c r="F670">
        <v>2</v>
      </c>
      <c r="G670">
        <v>2</v>
      </c>
    </row>
    <row r="671" spans="1:7" x14ac:dyDescent="0.35">
      <c r="A671">
        <v>0.18</v>
      </c>
      <c r="B671">
        <v>0.16669999999999999</v>
      </c>
      <c r="C671">
        <v>0.64</v>
      </c>
      <c r="D671">
        <v>0.28360000000000002</v>
      </c>
      <c r="E671">
        <v>0</v>
      </c>
      <c r="F671">
        <v>8</v>
      </c>
      <c r="G671">
        <v>8</v>
      </c>
    </row>
    <row r="672" spans="1:7" x14ac:dyDescent="0.35">
      <c r="A672">
        <v>0.16</v>
      </c>
      <c r="B672">
        <v>0.13639999999999999</v>
      </c>
      <c r="C672">
        <v>0.69</v>
      </c>
      <c r="D672">
        <v>0.32840000000000003</v>
      </c>
      <c r="E672">
        <v>0</v>
      </c>
      <c r="F672">
        <v>37</v>
      </c>
      <c r="G672">
        <v>37</v>
      </c>
    </row>
    <row r="673" spans="1:7" x14ac:dyDescent="0.35">
      <c r="A673">
        <v>0.16</v>
      </c>
      <c r="B673">
        <v>0.13639999999999999</v>
      </c>
      <c r="C673">
        <v>0.64</v>
      </c>
      <c r="D673">
        <v>0.28360000000000002</v>
      </c>
      <c r="E673">
        <v>1</v>
      </c>
      <c r="F673">
        <v>71</v>
      </c>
      <c r="G673">
        <v>72</v>
      </c>
    </row>
    <row r="674" spans="1:7" x14ac:dyDescent="0.35">
      <c r="A674">
        <v>0.16</v>
      </c>
      <c r="B674">
        <v>0.13639999999999999</v>
      </c>
      <c r="C674">
        <v>0.59</v>
      </c>
      <c r="D674">
        <v>0.28360000000000002</v>
      </c>
      <c r="E674">
        <v>3</v>
      </c>
      <c r="F674">
        <v>182</v>
      </c>
      <c r="G674">
        <v>185</v>
      </c>
    </row>
    <row r="675" spans="1:7" x14ac:dyDescent="0.35">
      <c r="A675">
        <v>0.16</v>
      </c>
      <c r="B675">
        <v>0.13639999999999999</v>
      </c>
      <c r="C675">
        <v>0.59</v>
      </c>
      <c r="D675">
        <v>0.29849999999999999</v>
      </c>
      <c r="E675">
        <v>0</v>
      </c>
      <c r="F675">
        <v>112</v>
      </c>
      <c r="G675">
        <v>112</v>
      </c>
    </row>
    <row r="676" spans="1:7" x14ac:dyDescent="0.35">
      <c r="A676">
        <v>0.16</v>
      </c>
      <c r="B676">
        <v>0.1515</v>
      </c>
      <c r="C676">
        <v>0.59</v>
      </c>
      <c r="D676">
        <v>0.19400000000000001</v>
      </c>
      <c r="E676">
        <v>1</v>
      </c>
      <c r="F676">
        <v>68</v>
      </c>
      <c r="G676">
        <v>69</v>
      </c>
    </row>
    <row r="677" spans="1:7" x14ac:dyDescent="0.35">
      <c r="A677">
        <v>0.16</v>
      </c>
      <c r="B677">
        <v>0.1515</v>
      </c>
      <c r="C677">
        <v>0.59</v>
      </c>
      <c r="D677">
        <v>0.19400000000000001</v>
      </c>
      <c r="E677">
        <v>2</v>
      </c>
      <c r="F677">
        <v>46</v>
      </c>
      <c r="G677">
        <v>48</v>
      </c>
    </row>
    <row r="678" spans="1:7" x14ac:dyDescent="0.35">
      <c r="A678">
        <v>0.18</v>
      </c>
      <c r="B678">
        <v>0.21210000000000001</v>
      </c>
      <c r="C678">
        <v>0.55000000000000004</v>
      </c>
      <c r="D678">
        <v>0.1045</v>
      </c>
      <c r="E678">
        <v>6</v>
      </c>
      <c r="F678">
        <v>62</v>
      </c>
      <c r="G678">
        <v>68</v>
      </c>
    </row>
    <row r="679" spans="1:7" x14ac:dyDescent="0.35">
      <c r="A679">
        <v>0.16</v>
      </c>
      <c r="B679">
        <v>0.2273</v>
      </c>
      <c r="C679">
        <v>0.59</v>
      </c>
      <c r="D679">
        <v>0</v>
      </c>
      <c r="E679">
        <v>2</v>
      </c>
      <c r="F679">
        <v>52</v>
      </c>
      <c r="G679">
        <v>54</v>
      </c>
    </row>
    <row r="680" spans="1:7" x14ac:dyDescent="0.35">
      <c r="A680">
        <v>0.18</v>
      </c>
      <c r="B680">
        <v>0.19700000000000001</v>
      </c>
      <c r="C680">
        <v>0.55000000000000004</v>
      </c>
      <c r="D680">
        <v>0.1343</v>
      </c>
      <c r="E680">
        <v>1</v>
      </c>
      <c r="F680">
        <v>85</v>
      </c>
      <c r="G680">
        <v>86</v>
      </c>
    </row>
    <row r="681" spans="1:7" x14ac:dyDescent="0.35">
      <c r="A681">
        <v>0.16</v>
      </c>
      <c r="B681">
        <v>0.18179999999999999</v>
      </c>
      <c r="C681">
        <v>0.59</v>
      </c>
      <c r="D681">
        <v>0.1343</v>
      </c>
      <c r="E681">
        <v>3</v>
      </c>
      <c r="F681">
        <v>41</v>
      </c>
      <c r="G681">
        <v>44</v>
      </c>
    </row>
    <row r="682" spans="1:7" x14ac:dyDescent="0.35">
      <c r="A682">
        <v>0.16</v>
      </c>
      <c r="B682">
        <v>0.18179999999999999</v>
      </c>
      <c r="C682">
        <v>0.56000000000000005</v>
      </c>
      <c r="D682">
        <v>0.19400000000000001</v>
      </c>
      <c r="E682">
        <v>3</v>
      </c>
      <c r="F682">
        <v>83</v>
      </c>
      <c r="G682">
        <v>86</v>
      </c>
    </row>
    <row r="683" spans="1:7" x14ac:dyDescent="0.35">
      <c r="A683">
        <v>0.16</v>
      </c>
      <c r="B683">
        <v>0.1515</v>
      </c>
      <c r="C683">
        <v>0.59</v>
      </c>
      <c r="D683">
        <v>0.19400000000000001</v>
      </c>
      <c r="E683">
        <v>6</v>
      </c>
      <c r="F683">
        <v>155</v>
      </c>
      <c r="G683">
        <v>161</v>
      </c>
    </row>
    <row r="684" spans="1:7" x14ac:dyDescent="0.35">
      <c r="A684">
        <v>0.16</v>
      </c>
      <c r="B684">
        <v>0.1515</v>
      </c>
      <c r="C684">
        <v>0.55000000000000004</v>
      </c>
      <c r="D684">
        <v>0.22389999999999999</v>
      </c>
      <c r="E684">
        <v>3</v>
      </c>
      <c r="F684">
        <v>153</v>
      </c>
      <c r="G684">
        <v>156</v>
      </c>
    </row>
    <row r="685" spans="1:7" x14ac:dyDescent="0.35">
      <c r="A685">
        <v>0.3</v>
      </c>
      <c r="B685">
        <v>0.31819999999999998</v>
      </c>
      <c r="C685">
        <v>0.61</v>
      </c>
      <c r="D685">
        <v>0.1045</v>
      </c>
      <c r="E685">
        <v>3</v>
      </c>
      <c r="F685">
        <v>108</v>
      </c>
      <c r="G685">
        <v>111</v>
      </c>
    </row>
    <row r="686" spans="1:7" x14ac:dyDescent="0.35">
      <c r="A686">
        <v>0.16</v>
      </c>
      <c r="B686">
        <v>0.16669999999999999</v>
      </c>
      <c r="C686">
        <v>0.59</v>
      </c>
      <c r="D686">
        <v>0.16420000000000001</v>
      </c>
      <c r="E686">
        <v>0</v>
      </c>
      <c r="F686">
        <v>78</v>
      </c>
      <c r="G686">
        <v>78</v>
      </c>
    </row>
    <row r="687" spans="1:7" x14ac:dyDescent="0.35">
      <c r="A687">
        <v>0.16</v>
      </c>
      <c r="B687">
        <v>0.19700000000000001</v>
      </c>
      <c r="C687">
        <v>0.59</v>
      </c>
      <c r="D687">
        <v>8.9599999999999999E-2</v>
      </c>
      <c r="E687">
        <v>3</v>
      </c>
      <c r="F687">
        <v>53</v>
      </c>
      <c r="G687">
        <v>56</v>
      </c>
    </row>
    <row r="688" spans="1:7" x14ac:dyDescent="0.35">
      <c r="A688">
        <v>0.16</v>
      </c>
      <c r="B688">
        <v>0.18179999999999999</v>
      </c>
      <c r="C688">
        <v>0.59</v>
      </c>
      <c r="D688">
        <v>0.1045</v>
      </c>
      <c r="E688">
        <v>0</v>
      </c>
      <c r="F688">
        <v>34</v>
      </c>
      <c r="G688">
        <v>34</v>
      </c>
    </row>
    <row r="689" spans="1:7" x14ac:dyDescent="0.35">
      <c r="A689">
        <v>0.16</v>
      </c>
      <c r="B689">
        <v>0.19700000000000001</v>
      </c>
      <c r="C689">
        <v>0.64</v>
      </c>
      <c r="D689">
        <v>8.9599999999999999E-2</v>
      </c>
      <c r="E689">
        <v>2</v>
      </c>
      <c r="F689">
        <v>15</v>
      </c>
      <c r="G689">
        <v>17</v>
      </c>
    </row>
    <row r="690" spans="1:7" x14ac:dyDescent="0.35">
      <c r="A690">
        <v>0.16</v>
      </c>
      <c r="B690">
        <v>0.18179999999999999</v>
      </c>
      <c r="C690">
        <v>0.64</v>
      </c>
      <c r="D690">
        <v>0.1045</v>
      </c>
      <c r="E690">
        <v>2</v>
      </c>
      <c r="F690">
        <v>6</v>
      </c>
      <c r="G690">
        <v>8</v>
      </c>
    </row>
    <row r="691" spans="1:7" x14ac:dyDescent="0.35">
      <c r="A691">
        <v>0.16</v>
      </c>
      <c r="B691">
        <v>0.18179999999999999</v>
      </c>
      <c r="C691">
        <v>0.69</v>
      </c>
      <c r="D691">
        <v>0.1045</v>
      </c>
      <c r="E691">
        <v>0</v>
      </c>
      <c r="F691">
        <v>3</v>
      </c>
      <c r="G691">
        <v>3</v>
      </c>
    </row>
    <row r="692" spans="1:7" x14ac:dyDescent="0.35">
      <c r="A692">
        <v>0.16</v>
      </c>
      <c r="B692">
        <v>0.2273</v>
      </c>
      <c r="C692">
        <v>0.69</v>
      </c>
      <c r="D692">
        <v>0</v>
      </c>
      <c r="E692">
        <v>0</v>
      </c>
      <c r="F692">
        <v>2</v>
      </c>
      <c r="G692">
        <v>2</v>
      </c>
    </row>
    <row r="693" spans="1:7" x14ac:dyDescent="0.35">
      <c r="A693">
        <v>0.16</v>
      </c>
      <c r="B693">
        <v>0.2273</v>
      </c>
      <c r="C693">
        <v>0.69</v>
      </c>
      <c r="D693">
        <v>0</v>
      </c>
      <c r="E693">
        <v>0</v>
      </c>
      <c r="F693">
        <v>2</v>
      </c>
      <c r="G693">
        <v>2</v>
      </c>
    </row>
    <row r="694" spans="1:7" x14ac:dyDescent="0.35">
      <c r="A694">
        <v>0.14000000000000001</v>
      </c>
      <c r="B694">
        <v>0.21210000000000001</v>
      </c>
      <c r="C694">
        <v>0.93</v>
      </c>
      <c r="D694">
        <v>0</v>
      </c>
      <c r="E694">
        <v>0</v>
      </c>
      <c r="F694">
        <v>3</v>
      </c>
      <c r="G694">
        <v>3</v>
      </c>
    </row>
    <row r="695" spans="1:7" x14ac:dyDescent="0.35">
      <c r="A695">
        <v>0.14000000000000001</v>
      </c>
      <c r="B695">
        <v>0.21210000000000001</v>
      </c>
      <c r="C695">
        <v>0.93</v>
      </c>
      <c r="D695">
        <v>0</v>
      </c>
      <c r="E695">
        <v>0</v>
      </c>
      <c r="F695">
        <v>22</v>
      </c>
      <c r="G695">
        <v>22</v>
      </c>
    </row>
    <row r="696" spans="1:7" x14ac:dyDescent="0.35">
      <c r="A696">
        <v>0.16</v>
      </c>
      <c r="B696">
        <v>0.2273</v>
      </c>
      <c r="C696">
        <v>0.93</v>
      </c>
      <c r="D696">
        <v>0</v>
      </c>
      <c r="E696">
        <v>0</v>
      </c>
      <c r="F696">
        <v>52</v>
      </c>
      <c r="G696">
        <v>52</v>
      </c>
    </row>
    <row r="697" spans="1:7" x14ac:dyDescent="0.35">
      <c r="A697">
        <v>0.16</v>
      </c>
      <c r="B697">
        <v>0.2273</v>
      </c>
      <c r="C697">
        <v>0.93</v>
      </c>
      <c r="D697">
        <v>0</v>
      </c>
      <c r="E697">
        <v>3</v>
      </c>
      <c r="F697">
        <v>132</v>
      </c>
      <c r="G697">
        <v>135</v>
      </c>
    </row>
    <row r="698" spans="1:7" x14ac:dyDescent="0.35">
      <c r="A698">
        <v>0.16</v>
      </c>
      <c r="B698">
        <v>0.2273</v>
      </c>
      <c r="C698">
        <v>0.93</v>
      </c>
      <c r="D698">
        <v>0</v>
      </c>
      <c r="E698">
        <v>2</v>
      </c>
      <c r="F698">
        <v>114</v>
      </c>
      <c r="G698">
        <v>116</v>
      </c>
    </row>
    <row r="699" spans="1:7" x14ac:dyDescent="0.35">
      <c r="A699">
        <v>0.16</v>
      </c>
      <c r="B699">
        <v>0.2273</v>
      </c>
      <c r="C699">
        <v>0.93</v>
      </c>
      <c r="D699">
        <v>0</v>
      </c>
      <c r="E699">
        <v>0</v>
      </c>
      <c r="F699">
        <v>47</v>
      </c>
      <c r="G699">
        <v>47</v>
      </c>
    </row>
    <row r="700" spans="1:7" x14ac:dyDescent="0.35">
      <c r="A700">
        <v>0.18</v>
      </c>
      <c r="B700">
        <v>0.2424</v>
      </c>
      <c r="C700">
        <v>0.86</v>
      </c>
      <c r="D700">
        <v>0</v>
      </c>
      <c r="E700">
        <v>2</v>
      </c>
      <c r="F700">
        <v>49</v>
      </c>
      <c r="G700">
        <v>51</v>
      </c>
    </row>
    <row r="701" spans="1:7" x14ac:dyDescent="0.35">
      <c r="A701">
        <v>0.2</v>
      </c>
      <c r="B701">
        <v>0.2576</v>
      </c>
      <c r="C701">
        <v>0.86</v>
      </c>
      <c r="D701">
        <v>0</v>
      </c>
      <c r="E701">
        <v>2</v>
      </c>
      <c r="F701">
        <v>53</v>
      </c>
      <c r="G701">
        <v>55</v>
      </c>
    </row>
    <row r="702" spans="1:7" x14ac:dyDescent="0.35">
      <c r="A702">
        <v>0.2</v>
      </c>
      <c r="B702">
        <v>0.2576</v>
      </c>
      <c r="C702">
        <v>0.86</v>
      </c>
      <c r="D702">
        <v>0</v>
      </c>
      <c r="E702">
        <v>3</v>
      </c>
      <c r="F702">
        <v>49</v>
      </c>
      <c r="G702">
        <v>52</v>
      </c>
    </row>
    <row r="703" spans="1:7" x14ac:dyDescent="0.35">
      <c r="A703">
        <v>0.22</v>
      </c>
      <c r="B703">
        <v>0.2576</v>
      </c>
      <c r="C703">
        <v>0.8</v>
      </c>
      <c r="D703">
        <v>8.9599999999999999E-2</v>
      </c>
      <c r="E703">
        <v>5</v>
      </c>
      <c r="F703">
        <v>49</v>
      </c>
      <c r="G703">
        <v>54</v>
      </c>
    </row>
    <row r="704" spans="1:7" x14ac:dyDescent="0.35">
      <c r="A704">
        <v>0.24</v>
      </c>
      <c r="B704">
        <v>0.28789999999999999</v>
      </c>
      <c r="C704">
        <v>0.75</v>
      </c>
      <c r="D704">
        <v>0</v>
      </c>
      <c r="E704">
        <v>7</v>
      </c>
      <c r="F704">
        <v>45</v>
      </c>
      <c r="G704">
        <v>52</v>
      </c>
    </row>
    <row r="705" spans="1:7" x14ac:dyDescent="0.35">
      <c r="A705">
        <v>0.24</v>
      </c>
      <c r="B705">
        <v>0.2424</v>
      </c>
      <c r="C705">
        <v>0.75</v>
      </c>
      <c r="D705">
        <v>0.1343</v>
      </c>
      <c r="E705">
        <v>3</v>
      </c>
      <c r="F705">
        <v>61</v>
      </c>
      <c r="G705">
        <v>64</v>
      </c>
    </row>
    <row r="706" spans="1:7" x14ac:dyDescent="0.35">
      <c r="A706">
        <v>0.24</v>
      </c>
      <c r="B706">
        <v>0.28789999999999999</v>
      </c>
      <c r="C706">
        <v>0.75</v>
      </c>
      <c r="D706">
        <v>0</v>
      </c>
      <c r="E706">
        <v>4</v>
      </c>
      <c r="F706">
        <v>172</v>
      </c>
      <c r="G706">
        <v>176</v>
      </c>
    </row>
    <row r="707" spans="1:7" x14ac:dyDescent="0.35">
      <c r="A707">
        <v>0.24</v>
      </c>
      <c r="B707">
        <v>0.2576</v>
      </c>
      <c r="C707">
        <v>0.81</v>
      </c>
      <c r="D707">
        <v>0.1045</v>
      </c>
      <c r="E707">
        <v>3</v>
      </c>
      <c r="F707">
        <v>165</v>
      </c>
      <c r="G707">
        <v>168</v>
      </c>
    </row>
    <row r="708" spans="1:7" x14ac:dyDescent="0.35">
      <c r="A708">
        <v>0.24</v>
      </c>
      <c r="B708">
        <v>0.2424</v>
      </c>
      <c r="C708">
        <v>0.81</v>
      </c>
      <c r="D708">
        <v>0.1343</v>
      </c>
      <c r="E708">
        <v>3</v>
      </c>
      <c r="F708">
        <v>105</v>
      </c>
      <c r="G708">
        <v>108</v>
      </c>
    </row>
    <row r="709" spans="1:7" x14ac:dyDescent="0.35">
      <c r="A709">
        <v>0.22</v>
      </c>
      <c r="B709">
        <v>0.2273</v>
      </c>
      <c r="C709">
        <v>0.87</v>
      </c>
      <c r="D709">
        <v>0.1343</v>
      </c>
      <c r="E709">
        <v>5</v>
      </c>
      <c r="F709">
        <v>69</v>
      </c>
      <c r="G709">
        <v>74</v>
      </c>
    </row>
    <row r="710" spans="1:7" x14ac:dyDescent="0.35">
      <c r="A710">
        <v>0.22</v>
      </c>
      <c r="B710">
        <v>0.2273</v>
      </c>
      <c r="C710">
        <v>0.87</v>
      </c>
      <c r="D710">
        <v>0.1343</v>
      </c>
      <c r="E710">
        <v>0</v>
      </c>
      <c r="F710">
        <v>64</v>
      </c>
      <c r="G710">
        <v>64</v>
      </c>
    </row>
    <row r="711" spans="1:7" x14ac:dyDescent="0.35">
      <c r="A711">
        <v>0.22</v>
      </c>
      <c r="B711">
        <v>0.2576</v>
      </c>
      <c r="C711">
        <v>0.87</v>
      </c>
      <c r="D711">
        <v>8.9599999999999999E-2</v>
      </c>
      <c r="E711">
        <v>2</v>
      </c>
      <c r="F711">
        <v>34</v>
      </c>
      <c r="G711">
        <v>36</v>
      </c>
    </row>
    <row r="712" spans="1:7" x14ac:dyDescent="0.35">
      <c r="A712">
        <v>0.2</v>
      </c>
      <c r="B712">
        <v>0.19700000000000001</v>
      </c>
      <c r="C712">
        <v>0.93</v>
      </c>
      <c r="D712">
        <v>0.19400000000000001</v>
      </c>
      <c r="E712">
        <v>1</v>
      </c>
      <c r="F712">
        <v>15</v>
      </c>
      <c r="G712">
        <v>16</v>
      </c>
    </row>
    <row r="713" spans="1:7" x14ac:dyDescent="0.35">
      <c r="A713">
        <v>0.22</v>
      </c>
      <c r="B713">
        <v>0.2424</v>
      </c>
      <c r="C713">
        <v>0.93</v>
      </c>
      <c r="D713">
        <v>0.1045</v>
      </c>
      <c r="E713">
        <v>0</v>
      </c>
      <c r="F713">
        <v>2</v>
      </c>
      <c r="G713">
        <v>2</v>
      </c>
    </row>
    <row r="714" spans="1:7" x14ac:dyDescent="0.35">
      <c r="A714">
        <v>0.22</v>
      </c>
      <c r="B714">
        <v>0.2273</v>
      </c>
      <c r="C714">
        <v>0.93</v>
      </c>
      <c r="D714">
        <v>0.19400000000000001</v>
      </c>
      <c r="E714">
        <v>0</v>
      </c>
      <c r="F714">
        <v>3</v>
      </c>
      <c r="G714">
        <v>3</v>
      </c>
    </row>
    <row r="715" spans="1:7" x14ac:dyDescent="0.35">
      <c r="A715">
        <v>0.22</v>
      </c>
      <c r="B715">
        <v>0.2273</v>
      </c>
      <c r="C715">
        <v>0.93</v>
      </c>
      <c r="D715">
        <v>0.1343</v>
      </c>
      <c r="E715">
        <v>4</v>
      </c>
      <c r="F715">
        <v>0</v>
      </c>
      <c r="G715">
        <v>4</v>
      </c>
    </row>
    <row r="716" spans="1:7" x14ac:dyDescent="0.35">
      <c r="A716">
        <v>0.22</v>
      </c>
      <c r="B716">
        <v>0.2273</v>
      </c>
      <c r="C716">
        <v>0.93</v>
      </c>
      <c r="D716">
        <v>0.1343</v>
      </c>
      <c r="E716">
        <v>0</v>
      </c>
      <c r="F716">
        <v>1</v>
      </c>
      <c r="G716">
        <v>1</v>
      </c>
    </row>
    <row r="717" spans="1:7" x14ac:dyDescent="0.35">
      <c r="A717">
        <v>0.22</v>
      </c>
      <c r="B717">
        <v>0.21210000000000001</v>
      </c>
      <c r="C717">
        <v>0.93</v>
      </c>
      <c r="D717">
        <v>0.28360000000000002</v>
      </c>
      <c r="E717">
        <v>0</v>
      </c>
      <c r="F717">
        <v>1</v>
      </c>
      <c r="G717">
        <v>1</v>
      </c>
    </row>
    <row r="718" spans="1:7" x14ac:dyDescent="0.35">
      <c r="A718">
        <v>0.22</v>
      </c>
      <c r="B718">
        <v>0.2424</v>
      </c>
      <c r="C718">
        <v>0.93</v>
      </c>
      <c r="D718">
        <v>0.1045</v>
      </c>
      <c r="E718">
        <v>0</v>
      </c>
      <c r="F718">
        <v>3</v>
      </c>
      <c r="G718">
        <v>3</v>
      </c>
    </row>
    <row r="719" spans="1:7" x14ac:dyDescent="0.35">
      <c r="A719">
        <v>0.22</v>
      </c>
      <c r="B719">
        <v>0.2424</v>
      </c>
      <c r="C719">
        <v>0.93</v>
      </c>
      <c r="D719">
        <v>0.1045</v>
      </c>
      <c r="E719">
        <v>1</v>
      </c>
      <c r="F719">
        <v>17</v>
      </c>
      <c r="G719">
        <v>18</v>
      </c>
    </row>
    <row r="720" spans="1:7" x14ac:dyDescent="0.35">
      <c r="A720">
        <v>0.22</v>
      </c>
      <c r="B720">
        <v>0.21210000000000001</v>
      </c>
      <c r="C720">
        <v>0.93</v>
      </c>
      <c r="D720">
        <v>0.22389999999999999</v>
      </c>
      <c r="E720">
        <v>1</v>
      </c>
      <c r="F720">
        <v>48</v>
      </c>
      <c r="G720">
        <v>49</v>
      </c>
    </row>
    <row r="721" spans="1:7" x14ac:dyDescent="0.35">
      <c r="A721">
        <v>0.22</v>
      </c>
      <c r="B721">
        <v>0.21210000000000001</v>
      </c>
      <c r="C721">
        <v>0.93</v>
      </c>
      <c r="D721">
        <v>0.22389999999999999</v>
      </c>
      <c r="E721">
        <v>1</v>
      </c>
      <c r="F721">
        <v>154</v>
      </c>
      <c r="G721">
        <v>155</v>
      </c>
    </row>
    <row r="722" spans="1:7" x14ac:dyDescent="0.35">
      <c r="A722">
        <v>0.24</v>
      </c>
      <c r="B722">
        <v>0.2576</v>
      </c>
      <c r="C722">
        <v>0.93</v>
      </c>
      <c r="D722">
        <v>8.9599999999999999E-2</v>
      </c>
      <c r="E722">
        <v>4</v>
      </c>
      <c r="F722">
        <v>119</v>
      </c>
      <c r="G722">
        <v>123</v>
      </c>
    </row>
    <row r="723" spans="1:7" x14ac:dyDescent="0.35">
      <c r="A723">
        <v>0.22</v>
      </c>
      <c r="B723">
        <v>0.2727</v>
      </c>
      <c r="C723">
        <v>1</v>
      </c>
      <c r="D723">
        <v>0</v>
      </c>
      <c r="E723">
        <v>2</v>
      </c>
      <c r="F723">
        <v>59</v>
      </c>
      <c r="G723">
        <v>61</v>
      </c>
    </row>
    <row r="724" spans="1:7" x14ac:dyDescent="0.35">
      <c r="A724">
        <v>0.24</v>
      </c>
      <c r="B724">
        <v>0.2273</v>
      </c>
      <c r="C724">
        <v>0.93</v>
      </c>
      <c r="D724">
        <v>0.19400000000000001</v>
      </c>
      <c r="E724">
        <v>5</v>
      </c>
      <c r="F724">
        <v>47</v>
      </c>
      <c r="G724">
        <v>52</v>
      </c>
    </row>
    <row r="725" spans="1:7" x14ac:dyDescent="0.35">
      <c r="A725">
        <v>0.24</v>
      </c>
      <c r="B725">
        <v>0.2273</v>
      </c>
      <c r="C725">
        <v>0.93</v>
      </c>
      <c r="D725">
        <v>0.22389999999999999</v>
      </c>
      <c r="E725">
        <v>3</v>
      </c>
      <c r="F725">
        <v>61</v>
      </c>
      <c r="G725">
        <v>64</v>
      </c>
    </row>
    <row r="726" spans="1:7" x14ac:dyDescent="0.35">
      <c r="A726">
        <v>0.34</v>
      </c>
      <c r="B726">
        <v>0.33329999999999999</v>
      </c>
      <c r="C726">
        <v>0.93</v>
      </c>
      <c r="D726">
        <v>0.16420000000000001</v>
      </c>
      <c r="E726">
        <v>1</v>
      </c>
      <c r="F726">
        <v>74</v>
      </c>
      <c r="G726">
        <v>75</v>
      </c>
    </row>
    <row r="727" spans="1:7" x14ac:dyDescent="0.35">
      <c r="A727">
        <v>0.38</v>
      </c>
      <c r="B727">
        <v>0.39389999999999997</v>
      </c>
      <c r="C727">
        <v>0.82</v>
      </c>
      <c r="D727">
        <v>0.3881</v>
      </c>
      <c r="E727">
        <v>2</v>
      </c>
      <c r="F727">
        <v>61</v>
      </c>
      <c r="G727">
        <v>63</v>
      </c>
    </row>
    <row r="728" spans="1:7" x14ac:dyDescent="0.35">
      <c r="A728">
        <v>0.38</v>
      </c>
      <c r="B728">
        <v>0.39389999999999997</v>
      </c>
      <c r="C728">
        <v>0.76</v>
      </c>
      <c r="D728">
        <v>0.32840000000000003</v>
      </c>
      <c r="E728">
        <v>10</v>
      </c>
      <c r="F728">
        <v>66</v>
      </c>
      <c r="G728">
        <v>76</v>
      </c>
    </row>
    <row r="729" spans="1:7" x14ac:dyDescent="0.35">
      <c r="A729">
        <v>0.36</v>
      </c>
      <c r="B729">
        <v>0.33329999999999999</v>
      </c>
      <c r="C729">
        <v>0.71</v>
      </c>
      <c r="D729">
        <v>0.29849999999999999</v>
      </c>
      <c r="E729">
        <v>8</v>
      </c>
      <c r="F729">
        <v>95</v>
      </c>
      <c r="G729">
        <v>103</v>
      </c>
    </row>
    <row r="730" spans="1:7" x14ac:dyDescent="0.35">
      <c r="A730">
        <v>0.36</v>
      </c>
      <c r="B730">
        <v>0.31819999999999998</v>
      </c>
      <c r="C730">
        <v>0.53</v>
      </c>
      <c r="D730">
        <v>0.52239999999999998</v>
      </c>
      <c r="E730">
        <v>7</v>
      </c>
      <c r="F730">
        <v>183</v>
      </c>
      <c r="G730">
        <v>190</v>
      </c>
    </row>
    <row r="731" spans="1:7" x14ac:dyDescent="0.35">
      <c r="A731">
        <v>0.34</v>
      </c>
      <c r="B731">
        <v>0.28789999999999999</v>
      </c>
      <c r="C731">
        <v>0.42</v>
      </c>
      <c r="D731">
        <v>0.55220000000000002</v>
      </c>
      <c r="E731">
        <v>7</v>
      </c>
      <c r="F731">
        <v>175</v>
      </c>
      <c r="G731">
        <v>182</v>
      </c>
    </row>
    <row r="732" spans="1:7" x14ac:dyDescent="0.35">
      <c r="A732">
        <v>0.28000000000000003</v>
      </c>
      <c r="B732">
        <v>0.2424</v>
      </c>
      <c r="C732">
        <v>0.45</v>
      </c>
      <c r="D732">
        <v>0.49249999999999999</v>
      </c>
      <c r="E732">
        <v>3</v>
      </c>
      <c r="F732">
        <v>88</v>
      </c>
      <c r="G732">
        <v>91</v>
      </c>
    </row>
    <row r="733" spans="1:7" x14ac:dyDescent="0.35">
      <c r="A733">
        <v>0.24</v>
      </c>
      <c r="B733">
        <v>0.19700000000000001</v>
      </c>
      <c r="C733">
        <v>0.48</v>
      </c>
      <c r="D733">
        <v>0.55220000000000002</v>
      </c>
      <c r="E733">
        <v>4</v>
      </c>
      <c r="F733">
        <v>71</v>
      </c>
      <c r="G733">
        <v>75</v>
      </c>
    </row>
    <row r="734" spans="1:7" x14ac:dyDescent="0.35">
      <c r="A734">
        <v>0.22</v>
      </c>
      <c r="B734">
        <v>0.19700000000000001</v>
      </c>
      <c r="C734">
        <v>0.47</v>
      </c>
      <c r="D734">
        <v>0.32840000000000003</v>
      </c>
      <c r="E734">
        <v>1</v>
      </c>
      <c r="F734">
        <v>62</v>
      </c>
      <c r="G734">
        <v>63</v>
      </c>
    </row>
    <row r="735" spans="1:7" x14ac:dyDescent="0.35">
      <c r="A735">
        <v>0.22</v>
      </c>
      <c r="B735">
        <v>0.21210000000000001</v>
      </c>
      <c r="C735">
        <v>0.44</v>
      </c>
      <c r="D735">
        <v>0.25369999999999998</v>
      </c>
      <c r="E735">
        <v>5</v>
      </c>
      <c r="F735">
        <v>35</v>
      </c>
      <c r="G735">
        <v>40</v>
      </c>
    </row>
    <row r="736" spans="1:7" x14ac:dyDescent="0.35">
      <c r="A736">
        <v>0.2</v>
      </c>
      <c r="B736">
        <v>0.16669999999999999</v>
      </c>
      <c r="C736">
        <v>0.44</v>
      </c>
      <c r="D736">
        <v>0.44779999999999998</v>
      </c>
      <c r="E736">
        <v>3</v>
      </c>
      <c r="F736">
        <v>29</v>
      </c>
      <c r="G736">
        <v>32</v>
      </c>
    </row>
    <row r="737" spans="1:7" x14ac:dyDescent="0.35">
      <c r="A737">
        <v>0.2</v>
      </c>
      <c r="B737">
        <v>0.16669999999999999</v>
      </c>
      <c r="C737">
        <v>0.4</v>
      </c>
      <c r="D737">
        <v>0.44779999999999998</v>
      </c>
      <c r="E737">
        <v>1</v>
      </c>
      <c r="F737">
        <v>11</v>
      </c>
      <c r="G737">
        <v>12</v>
      </c>
    </row>
    <row r="738" spans="1:7" x14ac:dyDescent="0.35">
      <c r="A738">
        <v>0.2</v>
      </c>
      <c r="B738">
        <v>0.1515</v>
      </c>
      <c r="C738">
        <v>0.44</v>
      </c>
      <c r="D738">
        <v>0.52239999999999998</v>
      </c>
      <c r="E738">
        <v>0</v>
      </c>
      <c r="F738">
        <v>5</v>
      </c>
      <c r="G738">
        <v>5</v>
      </c>
    </row>
    <row r="739" spans="1:7" x14ac:dyDescent="0.35">
      <c r="A739">
        <v>0.18</v>
      </c>
      <c r="B739">
        <v>0.16669999999999999</v>
      </c>
      <c r="C739">
        <v>0.43</v>
      </c>
      <c r="D739">
        <v>0.25369999999999998</v>
      </c>
      <c r="E739">
        <v>0</v>
      </c>
      <c r="F739">
        <v>2</v>
      </c>
      <c r="G739">
        <v>2</v>
      </c>
    </row>
    <row r="740" spans="1:7" x14ac:dyDescent="0.35">
      <c r="A740">
        <v>0.18</v>
      </c>
      <c r="B740">
        <v>0.16669999999999999</v>
      </c>
      <c r="C740">
        <v>0.43</v>
      </c>
      <c r="D740">
        <v>0.25369999999999998</v>
      </c>
      <c r="E740">
        <v>0</v>
      </c>
      <c r="F740">
        <v>1</v>
      </c>
      <c r="G740">
        <v>1</v>
      </c>
    </row>
    <row r="741" spans="1:7" x14ac:dyDescent="0.35">
      <c r="A741">
        <v>0.16</v>
      </c>
      <c r="B741">
        <v>0.13639999999999999</v>
      </c>
      <c r="C741">
        <v>0.5</v>
      </c>
      <c r="D741">
        <v>0.29849999999999999</v>
      </c>
      <c r="E741">
        <v>0</v>
      </c>
      <c r="F741">
        <v>2</v>
      </c>
      <c r="G741">
        <v>2</v>
      </c>
    </row>
    <row r="742" spans="1:7" x14ac:dyDescent="0.35">
      <c r="A742">
        <v>0.16</v>
      </c>
      <c r="B742">
        <v>0.13639999999999999</v>
      </c>
      <c r="C742">
        <v>0.43</v>
      </c>
      <c r="D742">
        <v>0.35820000000000002</v>
      </c>
      <c r="E742">
        <v>0</v>
      </c>
      <c r="F742">
        <v>39</v>
      </c>
      <c r="G742">
        <v>39</v>
      </c>
    </row>
    <row r="743" spans="1:7" x14ac:dyDescent="0.35">
      <c r="A743">
        <v>0.14000000000000001</v>
      </c>
      <c r="B743">
        <v>0.1212</v>
      </c>
      <c r="C743">
        <v>0.5</v>
      </c>
      <c r="D743">
        <v>0.32840000000000003</v>
      </c>
      <c r="E743">
        <v>1</v>
      </c>
      <c r="F743">
        <v>86</v>
      </c>
      <c r="G743">
        <v>87</v>
      </c>
    </row>
    <row r="744" spans="1:7" x14ac:dyDescent="0.35">
      <c r="A744">
        <v>0.14000000000000001</v>
      </c>
      <c r="B744">
        <v>0.1212</v>
      </c>
      <c r="C744">
        <v>0.5</v>
      </c>
      <c r="D744">
        <v>0.35820000000000002</v>
      </c>
      <c r="E744">
        <v>4</v>
      </c>
      <c r="F744">
        <v>184</v>
      </c>
      <c r="G744">
        <v>188</v>
      </c>
    </row>
    <row r="745" spans="1:7" x14ac:dyDescent="0.35">
      <c r="A745">
        <v>0.16</v>
      </c>
      <c r="B745">
        <v>0.13639999999999999</v>
      </c>
      <c r="C745">
        <v>0.47</v>
      </c>
      <c r="D745">
        <v>0.29849999999999999</v>
      </c>
      <c r="E745">
        <v>6</v>
      </c>
      <c r="F745">
        <v>127</v>
      </c>
      <c r="G745">
        <v>133</v>
      </c>
    </row>
    <row r="746" spans="1:7" x14ac:dyDescent="0.35">
      <c r="A746">
        <v>0.18</v>
      </c>
      <c r="B746">
        <v>0.1515</v>
      </c>
      <c r="C746">
        <v>0.43</v>
      </c>
      <c r="D746">
        <v>0.32840000000000003</v>
      </c>
      <c r="E746">
        <v>2</v>
      </c>
      <c r="F746">
        <v>50</v>
      </c>
      <c r="G746">
        <v>52</v>
      </c>
    </row>
    <row r="747" spans="1:7" x14ac:dyDescent="0.35">
      <c r="A747">
        <v>0.18</v>
      </c>
      <c r="B747">
        <v>0.13639999999999999</v>
      </c>
      <c r="C747">
        <v>0.43</v>
      </c>
      <c r="D747">
        <v>0.44779999999999998</v>
      </c>
      <c r="E747">
        <v>9</v>
      </c>
      <c r="F747">
        <v>55</v>
      </c>
      <c r="G747">
        <v>64</v>
      </c>
    </row>
    <row r="748" spans="1:7" x14ac:dyDescent="0.35">
      <c r="A748">
        <v>0.2</v>
      </c>
      <c r="B748">
        <v>0.18179999999999999</v>
      </c>
      <c r="C748">
        <v>0.4</v>
      </c>
      <c r="D748">
        <v>0.35820000000000002</v>
      </c>
      <c r="E748">
        <v>2</v>
      </c>
      <c r="F748">
        <v>67</v>
      </c>
      <c r="G748">
        <v>69</v>
      </c>
    </row>
    <row r="749" spans="1:7" x14ac:dyDescent="0.35">
      <c r="A749">
        <v>0.2</v>
      </c>
      <c r="B749">
        <v>0.16669999999999999</v>
      </c>
      <c r="C749">
        <v>0.4</v>
      </c>
      <c r="D749">
        <v>0.41789999999999999</v>
      </c>
      <c r="E749">
        <v>4</v>
      </c>
      <c r="F749">
        <v>47</v>
      </c>
      <c r="G749">
        <v>51</v>
      </c>
    </row>
    <row r="750" spans="1:7" x14ac:dyDescent="0.35">
      <c r="A750">
        <v>0.22</v>
      </c>
      <c r="B750">
        <v>0.19700000000000001</v>
      </c>
      <c r="C750">
        <v>0.37</v>
      </c>
      <c r="D750">
        <v>0.3881</v>
      </c>
      <c r="E750">
        <v>4</v>
      </c>
      <c r="F750">
        <v>43</v>
      </c>
      <c r="G750">
        <v>47</v>
      </c>
    </row>
    <row r="751" spans="1:7" x14ac:dyDescent="0.35">
      <c r="A751">
        <v>0.22</v>
      </c>
      <c r="B751">
        <v>0.19700000000000001</v>
      </c>
      <c r="C751">
        <v>0.37</v>
      </c>
      <c r="D751">
        <v>0.32840000000000003</v>
      </c>
      <c r="E751">
        <v>4</v>
      </c>
      <c r="F751">
        <v>56</v>
      </c>
      <c r="G751">
        <v>60</v>
      </c>
    </row>
    <row r="752" spans="1:7" x14ac:dyDescent="0.35">
      <c r="A752">
        <v>0.22</v>
      </c>
      <c r="B752">
        <v>0.21210000000000001</v>
      </c>
      <c r="C752">
        <v>0.37</v>
      </c>
      <c r="D752">
        <v>0.25369999999999998</v>
      </c>
      <c r="E752">
        <v>5</v>
      </c>
      <c r="F752">
        <v>73</v>
      </c>
      <c r="G752">
        <v>78</v>
      </c>
    </row>
    <row r="753" spans="1:7" x14ac:dyDescent="0.35">
      <c r="A753">
        <v>0.2</v>
      </c>
      <c r="B753">
        <v>0.19700000000000001</v>
      </c>
      <c r="C753">
        <v>0.4</v>
      </c>
      <c r="D753">
        <v>0.19400000000000001</v>
      </c>
      <c r="E753">
        <v>5</v>
      </c>
      <c r="F753">
        <v>170</v>
      </c>
      <c r="G753">
        <v>175</v>
      </c>
    </row>
    <row r="754" spans="1:7" x14ac:dyDescent="0.35">
      <c r="A754">
        <v>0.2</v>
      </c>
      <c r="B754">
        <v>0.21210000000000001</v>
      </c>
      <c r="C754">
        <v>0.4</v>
      </c>
      <c r="D754">
        <v>0.16420000000000001</v>
      </c>
      <c r="E754">
        <v>2</v>
      </c>
      <c r="F754">
        <v>145</v>
      </c>
      <c r="G754">
        <v>147</v>
      </c>
    </row>
    <row r="755" spans="1:7" x14ac:dyDescent="0.35">
      <c r="A755">
        <v>0.2</v>
      </c>
      <c r="B755">
        <v>0.2576</v>
      </c>
      <c r="C755">
        <v>0.4</v>
      </c>
      <c r="D755">
        <v>0</v>
      </c>
      <c r="E755">
        <v>4</v>
      </c>
      <c r="F755">
        <v>92</v>
      </c>
      <c r="G755">
        <v>96</v>
      </c>
    </row>
    <row r="756" spans="1:7" x14ac:dyDescent="0.35">
      <c r="A756">
        <v>0.2</v>
      </c>
      <c r="B756">
        <v>0.2273</v>
      </c>
      <c r="C756">
        <v>0.47</v>
      </c>
      <c r="D756">
        <v>8.9599999999999999E-2</v>
      </c>
      <c r="E756">
        <v>1</v>
      </c>
      <c r="F756">
        <v>108</v>
      </c>
      <c r="G756">
        <v>109</v>
      </c>
    </row>
    <row r="757" spans="1:7" x14ac:dyDescent="0.35">
      <c r="A757">
        <v>0.18</v>
      </c>
      <c r="B757">
        <v>0.21210000000000001</v>
      </c>
      <c r="C757">
        <v>0.55000000000000004</v>
      </c>
      <c r="D757">
        <v>0.1045</v>
      </c>
      <c r="E757">
        <v>1</v>
      </c>
      <c r="F757">
        <v>53</v>
      </c>
      <c r="G757">
        <v>54</v>
      </c>
    </row>
    <row r="758" spans="1:7" x14ac:dyDescent="0.35">
      <c r="A758">
        <v>0.18</v>
      </c>
      <c r="B758">
        <v>0.21210000000000001</v>
      </c>
      <c r="C758">
        <v>0.51</v>
      </c>
      <c r="D758">
        <v>8.9599999999999999E-2</v>
      </c>
      <c r="E758">
        <v>2</v>
      </c>
      <c r="F758">
        <v>39</v>
      </c>
      <c r="G758">
        <v>41</v>
      </c>
    </row>
    <row r="759" spans="1:7" x14ac:dyDescent="0.35">
      <c r="A759">
        <v>0.2</v>
      </c>
      <c r="B759">
        <v>0.2273</v>
      </c>
      <c r="C759">
        <v>0.47</v>
      </c>
      <c r="D759">
        <v>0.1045</v>
      </c>
      <c r="E759">
        <v>4</v>
      </c>
      <c r="F759">
        <v>34</v>
      </c>
      <c r="G759">
        <v>38</v>
      </c>
    </row>
    <row r="760" spans="1:7" x14ac:dyDescent="0.35">
      <c r="A760">
        <v>0.2</v>
      </c>
      <c r="B760">
        <v>0.2576</v>
      </c>
      <c r="C760">
        <v>0.44</v>
      </c>
      <c r="D760">
        <v>0</v>
      </c>
      <c r="E760">
        <v>3</v>
      </c>
      <c r="F760">
        <v>10</v>
      </c>
      <c r="G760">
        <v>13</v>
      </c>
    </row>
    <row r="761" spans="1:7" x14ac:dyDescent="0.35">
      <c r="A761">
        <v>0.16</v>
      </c>
      <c r="B761">
        <v>0.2273</v>
      </c>
      <c r="C761">
        <v>0.59</v>
      </c>
      <c r="D761">
        <v>0</v>
      </c>
      <c r="E761">
        <v>0</v>
      </c>
      <c r="F761">
        <v>7</v>
      </c>
      <c r="G761">
        <v>7</v>
      </c>
    </row>
    <row r="762" spans="1:7" x14ac:dyDescent="0.35">
      <c r="A762">
        <v>0.14000000000000001</v>
      </c>
      <c r="B762">
        <v>0.16669999999999999</v>
      </c>
      <c r="C762">
        <v>0.63</v>
      </c>
      <c r="D762">
        <v>0.1045</v>
      </c>
      <c r="E762">
        <v>0</v>
      </c>
      <c r="F762">
        <v>1</v>
      </c>
      <c r="G762">
        <v>1</v>
      </c>
    </row>
    <row r="763" spans="1:7" x14ac:dyDescent="0.35">
      <c r="A763">
        <v>0.14000000000000001</v>
      </c>
      <c r="B763">
        <v>0.16669999999999999</v>
      </c>
      <c r="C763">
        <v>0.63</v>
      </c>
      <c r="D763">
        <v>0.1045</v>
      </c>
      <c r="E763">
        <v>0</v>
      </c>
      <c r="F763">
        <v>1</v>
      </c>
      <c r="G763">
        <v>1</v>
      </c>
    </row>
    <row r="764" spans="1:7" x14ac:dyDescent="0.35">
      <c r="A764">
        <v>0.14000000000000001</v>
      </c>
      <c r="B764">
        <v>0.1515</v>
      </c>
      <c r="C764">
        <v>0.63</v>
      </c>
      <c r="D764">
        <v>0.1343</v>
      </c>
      <c r="E764">
        <v>0</v>
      </c>
      <c r="F764">
        <v>7</v>
      </c>
      <c r="G764">
        <v>7</v>
      </c>
    </row>
    <row r="765" spans="1:7" x14ac:dyDescent="0.35">
      <c r="A765">
        <v>0.16</v>
      </c>
      <c r="B765">
        <v>0.2273</v>
      </c>
      <c r="C765">
        <v>0.55000000000000004</v>
      </c>
      <c r="D765">
        <v>0</v>
      </c>
      <c r="E765">
        <v>2</v>
      </c>
      <c r="F765">
        <v>26</v>
      </c>
      <c r="G765">
        <v>28</v>
      </c>
    </row>
    <row r="766" spans="1:7" x14ac:dyDescent="0.35">
      <c r="A766">
        <v>0.14000000000000001</v>
      </c>
      <c r="B766">
        <v>0.21210000000000001</v>
      </c>
      <c r="C766">
        <v>0.59</v>
      </c>
      <c r="D766">
        <v>0</v>
      </c>
      <c r="E766">
        <v>0</v>
      </c>
      <c r="F766">
        <v>87</v>
      </c>
      <c r="G766">
        <v>87</v>
      </c>
    </row>
    <row r="767" spans="1:7" x14ac:dyDescent="0.35">
      <c r="A767">
        <v>0.14000000000000001</v>
      </c>
      <c r="B767">
        <v>0.1515</v>
      </c>
      <c r="C767">
        <v>0.74</v>
      </c>
      <c r="D767">
        <v>0.1343</v>
      </c>
      <c r="E767">
        <v>3</v>
      </c>
      <c r="F767">
        <v>217</v>
      </c>
      <c r="G767">
        <v>220</v>
      </c>
    </row>
    <row r="768" spans="1:7" x14ac:dyDescent="0.35">
      <c r="A768">
        <v>0.16</v>
      </c>
      <c r="B768">
        <v>0.18179999999999999</v>
      </c>
      <c r="C768">
        <v>0.8</v>
      </c>
      <c r="D768">
        <v>0.1343</v>
      </c>
      <c r="E768">
        <v>3</v>
      </c>
      <c r="F768">
        <v>124</v>
      </c>
      <c r="G768">
        <v>127</v>
      </c>
    </row>
    <row r="769" spans="1:7" x14ac:dyDescent="0.35">
      <c r="A769">
        <v>0.2</v>
      </c>
      <c r="B769">
        <v>0.21210000000000001</v>
      </c>
      <c r="C769">
        <v>0.51</v>
      </c>
      <c r="D769">
        <v>0.1343</v>
      </c>
      <c r="E769">
        <v>5</v>
      </c>
      <c r="F769">
        <v>46</v>
      </c>
      <c r="G769">
        <v>51</v>
      </c>
    </row>
    <row r="770" spans="1:7" x14ac:dyDescent="0.35">
      <c r="A770">
        <v>0.22</v>
      </c>
      <c r="B770">
        <v>0.2273</v>
      </c>
      <c r="C770">
        <v>0.51</v>
      </c>
      <c r="D770">
        <v>0.16420000000000001</v>
      </c>
      <c r="E770">
        <v>3</v>
      </c>
      <c r="F770">
        <v>61</v>
      </c>
      <c r="G770">
        <v>64</v>
      </c>
    </row>
    <row r="771" spans="1:7" x14ac:dyDescent="0.35">
      <c r="A771">
        <v>0.24</v>
      </c>
      <c r="B771">
        <v>0.2424</v>
      </c>
      <c r="C771">
        <v>0.48</v>
      </c>
      <c r="D771">
        <v>0.16420000000000001</v>
      </c>
      <c r="E771">
        <v>8</v>
      </c>
      <c r="F771">
        <v>78</v>
      </c>
      <c r="G771">
        <v>86</v>
      </c>
    </row>
    <row r="772" spans="1:7" x14ac:dyDescent="0.35">
      <c r="A772">
        <v>0.26</v>
      </c>
      <c r="B772">
        <v>0.2576</v>
      </c>
      <c r="C772">
        <v>0.5</v>
      </c>
      <c r="D772">
        <v>0.22389999999999999</v>
      </c>
      <c r="E772">
        <v>9</v>
      </c>
      <c r="F772">
        <v>73</v>
      </c>
      <c r="G772">
        <v>82</v>
      </c>
    </row>
    <row r="773" spans="1:7" x14ac:dyDescent="0.35">
      <c r="A773">
        <v>0.28000000000000003</v>
      </c>
      <c r="B773">
        <v>0.2727</v>
      </c>
      <c r="C773">
        <v>0.45</v>
      </c>
      <c r="D773">
        <v>0.16420000000000001</v>
      </c>
      <c r="E773">
        <v>15</v>
      </c>
      <c r="F773">
        <v>76</v>
      </c>
      <c r="G773">
        <v>91</v>
      </c>
    </row>
    <row r="774" spans="1:7" x14ac:dyDescent="0.35">
      <c r="A774">
        <v>0.28000000000000003</v>
      </c>
      <c r="B774">
        <v>0.2727</v>
      </c>
      <c r="C774">
        <v>0.48</v>
      </c>
      <c r="D774">
        <v>0.25369999999999998</v>
      </c>
      <c r="E774">
        <v>9</v>
      </c>
      <c r="F774">
        <v>81</v>
      </c>
      <c r="G774">
        <v>90</v>
      </c>
    </row>
    <row r="775" spans="1:7" x14ac:dyDescent="0.35">
      <c r="A775">
        <v>0.3</v>
      </c>
      <c r="B775">
        <v>0.28789999999999999</v>
      </c>
      <c r="C775">
        <v>0.42</v>
      </c>
      <c r="D775">
        <v>0.22389999999999999</v>
      </c>
      <c r="E775">
        <v>8</v>
      </c>
      <c r="F775">
        <v>91</v>
      </c>
      <c r="G775">
        <v>99</v>
      </c>
    </row>
    <row r="776" spans="1:7" x14ac:dyDescent="0.35">
      <c r="A776">
        <v>0.26</v>
      </c>
      <c r="B776">
        <v>0.2727</v>
      </c>
      <c r="C776">
        <v>0.56000000000000005</v>
      </c>
      <c r="D776">
        <v>0.1343</v>
      </c>
      <c r="E776">
        <v>10</v>
      </c>
      <c r="F776">
        <v>195</v>
      </c>
      <c r="G776">
        <v>205</v>
      </c>
    </row>
    <row r="777" spans="1:7" x14ac:dyDescent="0.35">
      <c r="A777">
        <v>0.24</v>
      </c>
      <c r="B777">
        <v>0.2576</v>
      </c>
      <c r="C777">
        <v>0.6</v>
      </c>
      <c r="D777">
        <v>0.1045</v>
      </c>
      <c r="E777">
        <v>3</v>
      </c>
      <c r="F777">
        <v>152</v>
      </c>
      <c r="G777">
        <v>155</v>
      </c>
    </row>
    <row r="778" spans="1:7" x14ac:dyDescent="0.35">
      <c r="A778">
        <v>0.24</v>
      </c>
      <c r="B778">
        <v>0.2424</v>
      </c>
      <c r="C778">
        <v>0.65</v>
      </c>
      <c r="D778">
        <v>0.1343</v>
      </c>
      <c r="E778">
        <v>1</v>
      </c>
      <c r="F778">
        <v>102</v>
      </c>
      <c r="G778">
        <v>103</v>
      </c>
    </row>
    <row r="779" spans="1:7" x14ac:dyDescent="0.35">
      <c r="A779">
        <v>0.24</v>
      </c>
      <c r="B779">
        <v>0.2424</v>
      </c>
      <c r="C779">
        <v>0.65</v>
      </c>
      <c r="D779">
        <v>0.16420000000000001</v>
      </c>
      <c r="E779">
        <v>2</v>
      </c>
      <c r="F779">
        <v>69</v>
      </c>
      <c r="G779">
        <v>71</v>
      </c>
    </row>
    <row r="780" spans="1:7" x14ac:dyDescent="0.35">
      <c r="A780">
        <v>0.24</v>
      </c>
      <c r="B780">
        <v>0.2424</v>
      </c>
      <c r="C780">
        <v>0.7</v>
      </c>
      <c r="D780">
        <v>0.16420000000000001</v>
      </c>
      <c r="E780">
        <v>2</v>
      </c>
      <c r="F780">
        <v>41</v>
      </c>
      <c r="G780">
        <v>43</v>
      </c>
    </row>
    <row r="781" spans="1:7" x14ac:dyDescent="0.35">
      <c r="A781">
        <v>0.24</v>
      </c>
      <c r="B781">
        <v>0.2424</v>
      </c>
      <c r="C781">
        <v>0.65</v>
      </c>
      <c r="D781">
        <v>0.16420000000000001</v>
      </c>
      <c r="E781">
        <v>1</v>
      </c>
      <c r="F781">
        <v>45</v>
      </c>
      <c r="G781">
        <v>46</v>
      </c>
    </row>
    <row r="782" spans="1:7" x14ac:dyDescent="0.35">
      <c r="A782">
        <v>0.24</v>
      </c>
      <c r="B782">
        <v>0.2424</v>
      </c>
      <c r="C782">
        <v>0.7</v>
      </c>
      <c r="D782">
        <v>0.1343</v>
      </c>
      <c r="E782">
        <v>1</v>
      </c>
      <c r="F782">
        <v>30</v>
      </c>
      <c r="G782">
        <v>31</v>
      </c>
    </row>
    <row r="783" spans="1:7" x14ac:dyDescent="0.35">
      <c r="A783">
        <v>0.24</v>
      </c>
      <c r="B783">
        <v>0.2424</v>
      </c>
      <c r="C783">
        <v>0.7</v>
      </c>
      <c r="D783">
        <v>0.16420000000000001</v>
      </c>
      <c r="E783">
        <v>3</v>
      </c>
      <c r="F783">
        <v>36</v>
      </c>
      <c r="G783">
        <v>39</v>
      </c>
    </row>
    <row r="784" spans="1:7" x14ac:dyDescent="0.35">
      <c r="A784">
        <v>0.24</v>
      </c>
      <c r="B784">
        <v>0.2424</v>
      </c>
      <c r="C784">
        <v>0.65</v>
      </c>
      <c r="D784">
        <v>0.16420000000000001</v>
      </c>
      <c r="E784">
        <v>1</v>
      </c>
      <c r="F784">
        <v>17</v>
      </c>
      <c r="G784">
        <v>18</v>
      </c>
    </row>
    <row r="785" spans="1:7" x14ac:dyDescent="0.35">
      <c r="A785">
        <v>0.24</v>
      </c>
      <c r="B785">
        <v>0.2424</v>
      </c>
      <c r="C785">
        <v>0.75</v>
      </c>
      <c r="D785">
        <v>0.16420000000000001</v>
      </c>
      <c r="E785">
        <v>5</v>
      </c>
      <c r="F785">
        <v>12</v>
      </c>
      <c r="G785">
        <v>17</v>
      </c>
    </row>
    <row r="786" spans="1:7" x14ac:dyDescent="0.35">
      <c r="A786">
        <v>0.24</v>
      </c>
      <c r="B786">
        <v>0.2424</v>
      </c>
      <c r="C786">
        <v>0.75</v>
      </c>
      <c r="D786">
        <v>0.16420000000000001</v>
      </c>
      <c r="E786">
        <v>1</v>
      </c>
      <c r="F786">
        <v>10</v>
      </c>
      <c r="G786">
        <v>11</v>
      </c>
    </row>
    <row r="787" spans="1:7" x14ac:dyDescent="0.35">
      <c r="A787">
        <v>0.22</v>
      </c>
      <c r="B787">
        <v>0.2273</v>
      </c>
      <c r="C787">
        <v>0.93</v>
      </c>
      <c r="D787">
        <v>0.1343</v>
      </c>
      <c r="E787">
        <v>0</v>
      </c>
      <c r="F787">
        <v>8</v>
      </c>
      <c r="G787">
        <v>8</v>
      </c>
    </row>
    <row r="788" spans="1:7" x14ac:dyDescent="0.35">
      <c r="A788">
        <v>0.2</v>
      </c>
      <c r="B788">
        <v>0.2273</v>
      </c>
      <c r="C788">
        <v>1</v>
      </c>
      <c r="D788">
        <v>8.9599999999999999E-2</v>
      </c>
      <c r="E788">
        <v>0</v>
      </c>
      <c r="F788">
        <v>9</v>
      </c>
      <c r="G788">
        <v>9</v>
      </c>
    </row>
    <row r="789" spans="1:7" x14ac:dyDescent="0.35">
      <c r="A789">
        <v>0.2</v>
      </c>
      <c r="B789">
        <v>0.2576</v>
      </c>
      <c r="C789">
        <v>1</v>
      </c>
      <c r="D789">
        <v>0</v>
      </c>
      <c r="E789">
        <v>0</v>
      </c>
      <c r="F789">
        <v>4</v>
      </c>
      <c r="G789">
        <v>4</v>
      </c>
    </row>
    <row r="790" spans="1:7" x14ac:dyDescent="0.35">
      <c r="A790">
        <v>0.22</v>
      </c>
      <c r="B790">
        <v>0.2576</v>
      </c>
      <c r="C790">
        <v>0.93</v>
      </c>
      <c r="D790">
        <v>8.9599999999999999E-2</v>
      </c>
      <c r="E790">
        <v>0</v>
      </c>
      <c r="F790">
        <v>4</v>
      </c>
      <c r="G790">
        <v>4</v>
      </c>
    </row>
    <row r="791" spans="1:7" x14ac:dyDescent="0.35">
      <c r="A791">
        <v>0.2</v>
      </c>
      <c r="B791">
        <v>0.2273</v>
      </c>
      <c r="C791">
        <v>1</v>
      </c>
      <c r="D791">
        <v>8.9599999999999999E-2</v>
      </c>
      <c r="E791">
        <v>0</v>
      </c>
      <c r="F791">
        <v>10</v>
      </c>
      <c r="G791">
        <v>10</v>
      </c>
    </row>
    <row r="792" spans="1:7" x14ac:dyDescent="0.35">
      <c r="A792">
        <v>0.2</v>
      </c>
      <c r="B792">
        <v>0.2273</v>
      </c>
      <c r="C792">
        <v>1</v>
      </c>
      <c r="D792">
        <v>8.9599999999999999E-2</v>
      </c>
      <c r="E792">
        <v>3</v>
      </c>
      <c r="F792">
        <v>17</v>
      </c>
      <c r="G792">
        <v>20</v>
      </c>
    </row>
    <row r="793" spans="1:7" x14ac:dyDescent="0.35">
      <c r="A793">
        <v>0.2</v>
      </c>
      <c r="B793">
        <v>0.21210000000000001</v>
      </c>
      <c r="C793">
        <v>1</v>
      </c>
      <c r="D793">
        <v>0.1343</v>
      </c>
      <c r="E793">
        <v>3</v>
      </c>
      <c r="F793">
        <v>31</v>
      </c>
      <c r="G793">
        <v>34</v>
      </c>
    </row>
    <row r="794" spans="1:7" x14ac:dyDescent="0.35">
      <c r="A794">
        <v>0.22</v>
      </c>
      <c r="B794">
        <v>0.2273</v>
      </c>
      <c r="C794">
        <v>1</v>
      </c>
      <c r="D794">
        <v>0.1343</v>
      </c>
      <c r="E794">
        <v>1</v>
      </c>
      <c r="F794">
        <v>46</v>
      </c>
      <c r="G794">
        <v>47</v>
      </c>
    </row>
    <row r="795" spans="1:7" x14ac:dyDescent="0.35">
      <c r="A795">
        <v>0.22</v>
      </c>
      <c r="B795">
        <v>0.2273</v>
      </c>
      <c r="C795">
        <v>1</v>
      </c>
      <c r="D795">
        <v>0.16420000000000001</v>
      </c>
      <c r="E795">
        <v>10</v>
      </c>
      <c r="F795">
        <v>42</v>
      </c>
      <c r="G795">
        <v>52</v>
      </c>
    </row>
    <row r="796" spans="1:7" x14ac:dyDescent="0.35">
      <c r="A796">
        <v>0.22</v>
      </c>
      <c r="B796">
        <v>0.2273</v>
      </c>
      <c r="C796">
        <v>1</v>
      </c>
      <c r="D796">
        <v>0.16420000000000001</v>
      </c>
      <c r="E796">
        <v>10</v>
      </c>
      <c r="F796">
        <v>62</v>
      </c>
      <c r="G796">
        <v>72</v>
      </c>
    </row>
    <row r="797" spans="1:7" x14ac:dyDescent="0.35">
      <c r="A797">
        <v>0.22</v>
      </c>
      <c r="B797">
        <v>0.2727</v>
      </c>
      <c r="C797">
        <v>1</v>
      </c>
      <c r="D797">
        <v>0</v>
      </c>
      <c r="E797">
        <v>5</v>
      </c>
      <c r="F797">
        <v>50</v>
      </c>
      <c r="G797">
        <v>55</v>
      </c>
    </row>
    <row r="798" spans="1:7" x14ac:dyDescent="0.35">
      <c r="A798">
        <v>0.22</v>
      </c>
      <c r="B798">
        <v>0.2727</v>
      </c>
      <c r="C798">
        <v>1</v>
      </c>
      <c r="D798">
        <v>0</v>
      </c>
      <c r="E798">
        <v>11</v>
      </c>
      <c r="F798">
        <v>49</v>
      </c>
      <c r="G798">
        <v>60</v>
      </c>
    </row>
    <row r="799" spans="1:7" x14ac:dyDescent="0.35">
      <c r="A799">
        <v>0.22</v>
      </c>
      <c r="B799">
        <v>0.2273</v>
      </c>
      <c r="C799">
        <v>1</v>
      </c>
      <c r="D799">
        <v>0.1343</v>
      </c>
      <c r="E799">
        <v>8</v>
      </c>
      <c r="F799">
        <v>63</v>
      </c>
      <c r="G799">
        <v>71</v>
      </c>
    </row>
    <row r="800" spans="1:7" x14ac:dyDescent="0.35">
      <c r="A800">
        <v>0.24</v>
      </c>
      <c r="B800">
        <v>0.21210000000000001</v>
      </c>
      <c r="C800">
        <v>1</v>
      </c>
      <c r="D800">
        <v>0.28360000000000002</v>
      </c>
      <c r="E800">
        <v>14</v>
      </c>
      <c r="F800">
        <v>64</v>
      </c>
      <c r="G800">
        <v>78</v>
      </c>
    </row>
    <row r="801" spans="1:7" x14ac:dyDescent="0.35">
      <c r="A801">
        <v>0.28000000000000003</v>
      </c>
      <c r="B801">
        <v>0.2424</v>
      </c>
      <c r="C801">
        <v>0.93</v>
      </c>
      <c r="D801">
        <v>0.44779999999999998</v>
      </c>
      <c r="E801">
        <v>2</v>
      </c>
      <c r="F801">
        <v>81</v>
      </c>
      <c r="G801">
        <v>83</v>
      </c>
    </row>
    <row r="802" spans="1:7" x14ac:dyDescent="0.35">
      <c r="A802">
        <v>0.28000000000000003</v>
      </c>
      <c r="B802">
        <v>0.2424</v>
      </c>
      <c r="C802">
        <v>0.93</v>
      </c>
      <c r="D802">
        <v>0.44779999999999998</v>
      </c>
      <c r="E802">
        <v>6</v>
      </c>
      <c r="F802">
        <v>78</v>
      </c>
      <c r="G802">
        <v>84</v>
      </c>
    </row>
    <row r="803" spans="1:7" x14ac:dyDescent="0.35">
      <c r="A803">
        <v>0.3</v>
      </c>
      <c r="B803">
        <v>0.28789999999999999</v>
      </c>
      <c r="C803">
        <v>0.87</v>
      </c>
      <c r="D803">
        <v>0.25369999999999998</v>
      </c>
      <c r="E803">
        <v>5</v>
      </c>
      <c r="F803">
        <v>64</v>
      </c>
      <c r="G803">
        <v>69</v>
      </c>
    </row>
    <row r="804" spans="1:7" x14ac:dyDescent="0.35">
      <c r="A804">
        <v>0.26</v>
      </c>
      <c r="B804">
        <v>0.2576</v>
      </c>
      <c r="C804">
        <v>1</v>
      </c>
      <c r="D804">
        <v>0.19400000000000001</v>
      </c>
      <c r="E804">
        <v>3</v>
      </c>
      <c r="F804">
        <v>53</v>
      </c>
      <c r="G804">
        <v>56</v>
      </c>
    </row>
    <row r="805" spans="1:7" x14ac:dyDescent="0.35">
      <c r="A805">
        <v>0.26</v>
      </c>
      <c r="B805">
        <v>0.2727</v>
      </c>
      <c r="C805">
        <v>0.93</v>
      </c>
      <c r="D805">
        <v>0.1343</v>
      </c>
      <c r="E805">
        <v>2</v>
      </c>
      <c r="F805">
        <v>43</v>
      </c>
      <c r="G805">
        <v>45</v>
      </c>
    </row>
    <row r="806" spans="1:7" x14ac:dyDescent="0.35">
      <c r="A806">
        <v>0.26</v>
      </c>
      <c r="B806">
        <v>0.2576</v>
      </c>
      <c r="C806">
        <v>0.93</v>
      </c>
      <c r="D806">
        <v>0.22389999999999999</v>
      </c>
      <c r="E806">
        <v>7</v>
      </c>
      <c r="F806">
        <v>52</v>
      </c>
      <c r="G806">
        <v>59</v>
      </c>
    </row>
    <row r="807" spans="1:7" x14ac:dyDescent="0.35">
      <c r="A807">
        <v>0.26</v>
      </c>
      <c r="B807">
        <v>0.2576</v>
      </c>
      <c r="C807">
        <v>0.7</v>
      </c>
      <c r="D807">
        <v>0.19400000000000001</v>
      </c>
      <c r="E807">
        <v>2</v>
      </c>
      <c r="F807">
        <v>37</v>
      </c>
      <c r="G807">
        <v>39</v>
      </c>
    </row>
    <row r="808" spans="1:7" x14ac:dyDescent="0.35">
      <c r="A808">
        <v>0.26</v>
      </c>
      <c r="B808">
        <v>0.2273</v>
      </c>
      <c r="C808">
        <v>0.65</v>
      </c>
      <c r="D808">
        <v>0.41789999999999999</v>
      </c>
      <c r="E808">
        <v>4</v>
      </c>
      <c r="F808">
        <v>40</v>
      </c>
      <c r="G808">
        <v>44</v>
      </c>
    </row>
    <row r="809" spans="1:7" x14ac:dyDescent="0.35">
      <c r="A809">
        <v>0.26</v>
      </c>
      <c r="B809">
        <v>0.2273</v>
      </c>
      <c r="C809">
        <v>0.6</v>
      </c>
      <c r="D809">
        <v>0.32840000000000003</v>
      </c>
      <c r="E809">
        <v>0</v>
      </c>
      <c r="F809">
        <v>20</v>
      </c>
      <c r="G809">
        <v>20</v>
      </c>
    </row>
    <row r="810" spans="1:7" x14ac:dyDescent="0.35">
      <c r="A810">
        <v>0.26</v>
      </c>
      <c r="B810">
        <v>0.28789999999999999</v>
      </c>
      <c r="C810">
        <v>0.6</v>
      </c>
      <c r="D810">
        <v>8.9599999999999999E-2</v>
      </c>
      <c r="E810">
        <v>3</v>
      </c>
      <c r="F810">
        <v>10</v>
      </c>
      <c r="G810">
        <v>13</v>
      </c>
    </row>
    <row r="811" spans="1:7" x14ac:dyDescent="0.35">
      <c r="A811">
        <v>0.26</v>
      </c>
      <c r="B811">
        <v>0.2273</v>
      </c>
      <c r="C811">
        <v>0.6</v>
      </c>
      <c r="D811">
        <v>0.35820000000000002</v>
      </c>
      <c r="E811">
        <v>0</v>
      </c>
      <c r="F811">
        <v>2</v>
      </c>
      <c r="G811">
        <v>2</v>
      </c>
    </row>
    <row r="812" spans="1:7" x14ac:dyDescent="0.35">
      <c r="A812">
        <v>0.26</v>
      </c>
      <c r="B812">
        <v>0.2576</v>
      </c>
      <c r="C812">
        <v>0.6</v>
      </c>
      <c r="D812">
        <v>0.22389999999999999</v>
      </c>
      <c r="E812">
        <v>0</v>
      </c>
      <c r="F812">
        <v>1</v>
      </c>
      <c r="G812">
        <v>1</v>
      </c>
    </row>
    <row r="813" spans="1:7" x14ac:dyDescent="0.35">
      <c r="A813">
        <v>0.26</v>
      </c>
      <c r="B813">
        <v>0.2576</v>
      </c>
      <c r="C813">
        <v>0.6</v>
      </c>
      <c r="D813">
        <v>0.22389999999999999</v>
      </c>
      <c r="E813">
        <v>0</v>
      </c>
      <c r="F813">
        <v>1</v>
      </c>
      <c r="G813">
        <v>1</v>
      </c>
    </row>
    <row r="814" spans="1:7" x14ac:dyDescent="0.35">
      <c r="A814">
        <v>0.24</v>
      </c>
      <c r="B814">
        <v>0.2424</v>
      </c>
      <c r="C814">
        <v>0.65</v>
      </c>
      <c r="D814">
        <v>0.16420000000000001</v>
      </c>
      <c r="E814">
        <v>0</v>
      </c>
      <c r="F814">
        <v>8</v>
      </c>
      <c r="G814">
        <v>8</v>
      </c>
    </row>
    <row r="815" spans="1:7" x14ac:dyDescent="0.35">
      <c r="A815">
        <v>0.24</v>
      </c>
      <c r="B815">
        <v>0.2576</v>
      </c>
      <c r="C815">
        <v>0.65</v>
      </c>
      <c r="D815">
        <v>0.1045</v>
      </c>
      <c r="E815">
        <v>2</v>
      </c>
      <c r="F815">
        <v>21</v>
      </c>
      <c r="G815">
        <v>23</v>
      </c>
    </row>
    <row r="816" spans="1:7" x14ac:dyDescent="0.35">
      <c r="A816">
        <v>0.28000000000000003</v>
      </c>
      <c r="B816">
        <v>0.28789999999999999</v>
      </c>
      <c r="C816">
        <v>0.56000000000000005</v>
      </c>
      <c r="D816">
        <v>0.1045</v>
      </c>
      <c r="E816">
        <v>7</v>
      </c>
      <c r="F816">
        <v>38</v>
      </c>
      <c r="G816">
        <v>45</v>
      </c>
    </row>
    <row r="817" spans="1:7" x14ac:dyDescent="0.35">
      <c r="A817">
        <v>0.3</v>
      </c>
      <c r="B817">
        <v>0.28789999999999999</v>
      </c>
      <c r="C817">
        <v>0.52</v>
      </c>
      <c r="D817">
        <v>0.25369999999999998</v>
      </c>
      <c r="E817">
        <v>15</v>
      </c>
      <c r="F817">
        <v>74</v>
      </c>
      <c r="G817">
        <v>89</v>
      </c>
    </row>
    <row r="818" spans="1:7" x14ac:dyDescent="0.35">
      <c r="A818">
        <v>0.32</v>
      </c>
      <c r="B818">
        <v>0.30299999999999999</v>
      </c>
      <c r="C818">
        <v>0.49</v>
      </c>
      <c r="D818">
        <v>0.25369999999999998</v>
      </c>
      <c r="E818">
        <v>28</v>
      </c>
      <c r="F818">
        <v>89</v>
      </c>
      <c r="G818">
        <v>117</v>
      </c>
    </row>
    <row r="819" spans="1:7" x14ac:dyDescent="0.35">
      <c r="A819">
        <v>0.34</v>
      </c>
      <c r="B819">
        <v>0.33329999999999999</v>
      </c>
      <c r="C819">
        <v>0.46</v>
      </c>
      <c r="D819">
        <v>0</v>
      </c>
      <c r="E819">
        <v>48</v>
      </c>
      <c r="F819">
        <v>126</v>
      </c>
      <c r="G819">
        <v>174</v>
      </c>
    </row>
    <row r="820" spans="1:7" x14ac:dyDescent="0.35">
      <c r="A820">
        <v>0.34</v>
      </c>
      <c r="B820">
        <v>0.36359999999999998</v>
      </c>
      <c r="C820">
        <v>0.46</v>
      </c>
      <c r="D820">
        <v>0</v>
      </c>
      <c r="E820">
        <v>47</v>
      </c>
      <c r="F820">
        <v>135</v>
      </c>
      <c r="G820">
        <v>182</v>
      </c>
    </row>
    <row r="821" spans="1:7" x14ac:dyDescent="0.35">
      <c r="A821">
        <v>0.34</v>
      </c>
      <c r="B821">
        <v>0.34849999999999998</v>
      </c>
      <c r="C821">
        <v>0.46</v>
      </c>
      <c r="D821">
        <v>8.9599999999999999E-2</v>
      </c>
      <c r="E821">
        <v>47</v>
      </c>
      <c r="F821">
        <v>114</v>
      </c>
      <c r="G821">
        <v>161</v>
      </c>
    </row>
    <row r="822" spans="1:7" x14ac:dyDescent="0.35">
      <c r="A822">
        <v>0.34</v>
      </c>
      <c r="B822">
        <v>0.34849999999999998</v>
      </c>
      <c r="C822">
        <v>0.46</v>
      </c>
      <c r="D822">
        <v>8.9599999999999999E-2</v>
      </c>
      <c r="E822">
        <v>52</v>
      </c>
      <c r="F822">
        <v>130</v>
      </c>
      <c r="G822">
        <v>182</v>
      </c>
    </row>
    <row r="823" spans="1:7" x14ac:dyDescent="0.35">
      <c r="A823">
        <v>0.34</v>
      </c>
      <c r="B823">
        <v>0.34849999999999998</v>
      </c>
      <c r="C823">
        <v>0.49</v>
      </c>
      <c r="D823">
        <v>0.1045</v>
      </c>
      <c r="E823">
        <v>42</v>
      </c>
      <c r="F823">
        <v>115</v>
      </c>
      <c r="G823">
        <v>157</v>
      </c>
    </row>
    <row r="824" spans="1:7" x14ac:dyDescent="0.35">
      <c r="A824">
        <v>0.34</v>
      </c>
      <c r="B824">
        <v>0.36359999999999998</v>
      </c>
      <c r="C824">
        <v>0.46</v>
      </c>
      <c r="D824">
        <v>0</v>
      </c>
      <c r="E824">
        <v>24</v>
      </c>
      <c r="F824">
        <v>97</v>
      </c>
      <c r="G824">
        <v>121</v>
      </c>
    </row>
    <row r="825" spans="1:7" x14ac:dyDescent="0.35">
      <c r="A825">
        <v>0.3</v>
      </c>
      <c r="B825">
        <v>0.30299999999999999</v>
      </c>
      <c r="C825">
        <v>0.56000000000000005</v>
      </c>
      <c r="D825">
        <v>0.16420000000000001</v>
      </c>
      <c r="E825">
        <v>13</v>
      </c>
      <c r="F825">
        <v>65</v>
      </c>
      <c r="G825">
        <v>78</v>
      </c>
    </row>
    <row r="826" spans="1:7" x14ac:dyDescent="0.35">
      <c r="A826">
        <v>0.28000000000000003</v>
      </c>
      <c r="B826">
        <v>0.28789999999999999</v>
      </c>
      <c r="C826">
        <v>0.61</v>
      </c>
      <c r="D826">
        <v>0.1343</v>
      </c>
      <c r="E826">
        <v>1</v>
      </c>
      <c r="F826">
        <v>20</v>
      </c>
      <c r="G826">
        <v>21</v>
      </c>
    </row>
    <row r="827" spans="1:7" x14ac:dyDescent="0.35">
      <c r="A827">
        <v>0.28000000000000003</v>
      </c>
      <c r="B827">
        <v>0.28789999999999999</v>
      </c>
      <c r="C827">
        <v>0.61</v>
      </c>
      <c r="D827">
        <v>0.1045</v>
      </c>
      <c r="E827">
        <v>5</v>
      </c>
      <c r="F827">
        <v>21</v>
      </c>
      <c r="G827">
        <v>26</v>
      </c>
    </row>
    <row r="828" spans="1:7" x14ac:dyDescent="0.35">
      <c r="A828">
        <v>0.26</v>
      </c>
      <c r="B828">
        <v>0.30299999999999999</v>
      </c>
      <c r="C828">
        <v>0.6</v>
      </c>
      <c r="D828">
        <v>0</v>
      </c>
      <c r="E828">
        <v>5</v>
      </c>
      <c r="F828">
        <v>22</v>
      </c>
      <c r="G828">
        <v>27</v>
      </c>
    </row>
    <row r="829" spans="1:7" x14ac:dyDescent="0.35">
      <c r="A829">
        <v>0.26</v>
      </c>
      <c r="B829">
        <v>0.30299999999999999</v>
      </c>
      <c r="C829">
        <v>0.6</v>
      </c>
      <c r="D829">
        <v>0</v>
      </c>
      <c r="E829">
        <v>5</v>
      </c>
      <c r="F829">
        <v>57</v>
      </c>
      <c r="G829">
        <v>62</v>
      </c>
    </row>
    <row r="830" spans="1:7" x14ac:dyDescent="0.35">
      <c r="A830">
        <v>0.24</v>
      </c>
      <c r="B830">
        <v>0.28789999999999999</v>
      </c>
      <c r="C830">
        <v>0.65</v>
      </c>
      <c r="D830">
        <v>0</v>
      </c>
      <c r="E830">
        <v>4</v>
      </c>
      <c r="F830">
        <v>26</v>
      </c>
      <c r="G830">
        <v>30</v>
      </c>
    </row>
    <row r="831" spans="1:7" x14ac:dyDescent="0.35">
      <c r="A831">
        <v>0.24</v>
      </c>
      <c r="B831">
        <v>0.28789999999999999</v>
      </c>
      <c r="C831">
        <v>0.65</v>
      </c>
      <c r="D831">
        <v>0</v>
      </c>
      <c r="E831">
        <v>1</v>
      </c>
      <c r="F831">
        <v>14</v>
      </c>
      <c r="G831">
        <v>15</v>
      </c>
    </row>
    <row r="832" spans="1:7" x14ac:dyDescent="0.35">
      <c r="A832">
        <v>0.22</v>
      </c>
      <c r="B832">
        <v>0.2727</v>
      </c>
      <c r="C832">
        <v>0.75</v>
      </c>
      <c r="D832">
        <v>0</v>
      </c>
      <c r="E832">
        <v>1</v>
      </c>
      <c r="F832">
        <v>4</v>
      </c>
      <c r="G832">
        <v>5</v>
      </c>
    </row>
    <row r="833" spans="1:7" x14ac:dyDescent="0.35">
      <c r="A833">
        <v>0.2</v>
      </c>
      <c r="B833">
        <v>0.2576</v>
      </c>
      <c r="C833">
        <v>0.8</v>
      </c>
      <c r="D833">
        <v>0</v>
      </c>
      <c r="E833">
        <v>0</v>
      </c>
      <c r="F833">
        <v>3</v>
      </c>
      <c r="G833">
        <v>3</v>
      </c>
    </row>
    <row r="834" spans="1:7" x14ac:dyDescent="0.35">
      <c r="A834">
        <v>0.2</v>
      </c>
      <c r="B834">
        <v>0.2576</v>
      </c>
      <c r="C834">
        <v>0.86</v>
      </c>
      <c r="D834">
        <v>0</v>
      </c>
      <c r="E834">
        <v>0</v>
      </c>
      <c r="F834">
        <v>1</v>
      </c>
      <c r="G834">
        <v>1</v>
      </c>
    </row>
    <row r="835" spans="1:7" x14ac:dyDescent="0.35">
      <c r="A835">
        <v>0.2</v>
      </c>
      <c r="B835">
        <v>0.2576</v>
      </c>
      <c r="C835">
        <v>0.86</v>
      </c>
      <c r="D835">
        <v>0</v>
      </c>
      <c r="E835">
        <v>1</v>
      </c>
      <c r="F835">
        <v>1</v>
      </c>
      <c r="G835">
        <v>2</v>
      </c>
    </row>
    <row r="836" spans="1:7" x14ac:dyDescent="0.35">
      <c r="A836">
        <v>0.2</v>
      </c>
      <c r="B836">
        <v>0.2576</v>
      </c>
      <c r="C836">
        <v>0.86</v>
      </c>
      <c r="D836">
        <v>0</v>
      </c>
      <c r="E836">
        <v>1</v>
      </c>
      <c r="F836">
        <v>9</v>
      </c>
      <c r="G836">
        <v>10</v>
      </c>
    </row>
    <row r="837" spans="1:7" x14ac:dyDescent="0.35">
      <c r="A837">
        <v>0.18</v>
      </c>
      <c r="B837">
        <v>0.2424</v>
      </c>
      <c r="C837">
        <v>0.93</v>
      </c>
      <c r="D837">
        <v>0</v>
      </c>
      <c r="E837">
        <v>1</v>
      </c>
      <c r="F837">
        <v>29</v>
      </c>
      <c r="G837">
        <v>30</v>
      </c>
    </row>
    <row r="838" spans="1:7" x14ac:dyDescent="0.35">
      <c r="A838">
        <v>0.18</v>
      </c>
      <c r="B838">
        <v>0.2424</v>
      </c>
      <c r="C838">
        <v>0.86</v>
      </c>
      <c r="D838">
        <v>0</v>
      </c>
      <c r="E838">
        <v>6</v>
      </c>
      <c r="F838">
        <v>89</v>
      </c>
      <c r="G838">
        <v>95</v>
      </c>
    </row>
    <row r="839" spans="1:7" x14ac:dyDescent="0.35">
      <c r="A839">
        <v>0.16</v>
      </c>
      <c r="B839">
        <v>0.2273</v>
      </c>
      <c r="C839">
        <v>1</v>
      </c>
      <c r="D839">
        <v>0</v>
      </c>
      <c r="E839">
        <v>7</v>
      </c>
      <c r="F839">
        <v>223</v>
      </c>
      <c r="G839">
        <v>230</v>
      </c>
    </row>
    <row r="840" spans="1:7" x14ac:dyDescent="0.35">
      <c r="A840">
        <v>0.22</v>
      </c>
      <c r="B840">
        <v>0.2727</v>
      </c>
      <c r="C840">
        <v>0.8</v>
      </c>
      <c r="D840">
        <v>0</v>
      </c>
      <c r="E840">
        <v>3</v>
      </c>
      <c r="F840">
        <v>115</v>
      </c>
      <c r="G840">
        <v>118</v>
      </c>
    </row>
    <row r="841" spans="1:7" x14ac:dyDescent="0.35">
      <c r="A841">
        <v>0.24</v>
      </c>
      <c r="B841">
        <v>0.2576</v>
      </c>
      <c r="C841">
        <v>0.75</v>
      </c>
      <c r="D841">
        <v>0.1045</v>
      </c>
      <c r="E841">
        <v>6</v>
      </c>
      <c r="F841">
        <v>49</v>
      </c>
      <c r="G841">
        <v>55</v>
      </c>
    </row>
    <row r="842" spans="1:7" x14ac:dyDescent="0.35">
      <c r="A842">
        <v>0.3</v>
      </c>
      <c r="B842">
        <v>0.31819999999999998</v>
      </c>
      <c r="C842">
        <v>0.65</v>
      </c>
      <c r="D842">
        <v>8.9599999999999999E-2</v>
      </c>
      <c r="E842">
        <v>11</v>
      </c>
      <c r="F842">
        <v>36</v>
      </c>
      <c r="G842">
        <v>47</v>
      </c>
    </row>
    <row r="843" spans="1:7" x14ac:dyDescent="0.35">
      <c r="A843">
        <v>0.32</v>
      </c>
      <c r="B843">
        <v>0.34849999999999998</v>
      </c>
      <c r="C843">
        <v>0.62</v>
      </c>
      <c r="D843">
        <v>0</v>
      </c>
      <c r="E843">
        <v>7</v>
      </c>
      <c r="F843">
        <v>59</v>
      </c>
      <c r="G843">
        <v>66</v>
      </c>
    </row>
    <row r="844" spans="1:7" x14ac:dyDescent="0.35">
      <c r="A844">
        <v>0.36</v>
      </c>
      <c r="B844">
        <v>0.36359999999999998</v>
      </c>
      <c r="C844">
        <v>0.56999999999999995</v>
      </c>
      <c r="D844">
        <v>8.9599999999999999E-2</v>
      </c>
      <c r="E844">
        <v>10</v>
      </c>
      <c r="F844">
        <v>54</v>
      </c>
      <c r="G844">
        <v>64</v>
      </c>
    </row>
    <row r="845" spans="1:7" x14ac:dyDescent="0.35">
      <c r="A845">
        <v>0.36</v>
      </c>
      <c r="B845">
        <v>0.36359999999999998</v>
      </c>
      <c r="C845">
        <v>0.56999999999999995</v>
      </c>
      <c r="D845">
        <v>8.9599999999999999E-2</v>
      </c>
      <c r="E845">
        <v>8</v>
      </c>
      <c r="F845">
        <v>52</v>
      </c>
      <c r="G845">
        <v>60</v>
      </c>
    </row>
    <row r="846" spans="1:7" x14ac:dyDescent="0.35">
      <c r="A846">
        <v>0.38</v>
      </c>
      <c r="B846">
        <v>0.39389999999999997</v>
      </c>
      <c r="C846">
        <v>0.54</v>
      </c>
      <c r="D846">
        <v>8.9599999999999999E-2</v>
      </c>
      <c r="E846">
        <v>4</v>
      </c>
      <c r="F846">
        <v>46</v>
      </c>
      <c r="G846">
        <v>50</v>
      </c>
    </row>
    <row r="847" spans="1:7" x14ac:dyDescent="0.35">
      <c r="A847">
        <v>0.36</v>
      </c>
      <c r="B847">
        <v>0.34849999999999998</v>
      </c>
      <c r="C847">
        <v>0.56999999999999995</v>
      </c>
      <c r="D847">
        <v>0.1343</v>
      </c>
      <c r="E847">
        <v>16</v>
      </c>
      <c r="F847">
        <v>98</v>
      </c>
      <c r="G847">
        <v>114</v>
      </c>
    </row>
    <row r="848" spans="1:7" x14ac:dyDescent="0.35">
      <c r="A848">
        <v>0.32</v>
      </c>
      <c r="B848">
        <v>0.31819999999999998</v>
      </c>
      <c r="C848">
        <v>0.7</v>
      </c>
      <c r="D848">
        <v>0.16420000000000001</v>
      </c>
      <c r="E848">
        <v>9</v>
      </c>
      <c r="F848">
        <v>207</v>
      </c>
      <c r="G848">
        <v>216</v>
      </c>
    </row>
    <row r="849" spans="1:7" x14ac:dyDescent="0.35">
      <c r="A849">
        <v>0.34</v>
      </c>
      <c r="B849">
        <v>0.33329999999999999</v>
      </c>
      <c r="C849">
        <v>0.66</v>
      </c>
      <c r="D849">
        <v>0.1343</v>
      </c>
      <c r="E849">
        <v>5</v>
      </c>
      <c r="F849">
        <v>170</v>
      </c>
      <c r="G849">
        <v>175</v>
      </c>
    </row>
    <row r="850" spans="1:7" x14ac:dyDescent="0.35">
      <c r="A850">
        <v>0.32</v>
      </c>
      <c r="B850">
        <v>0.34849999999999998</v>
      </c>
      <c r="C850">
        <v>0.7</v>
      </c>
      <c r="D850">
        <v>0</v>
      </c>
      <c r="E850">
        <v>5</v>
      </c>
      <c r="F850">
        <v>123</v>
      </c>
      <c r="G850">
        <v>128</v>
      </c>
    </row>
    <row r="851" spans="1:7" x14ac:dyDescent="0.35">
      <c r="A851">
        <v>0.32</v>
      </c>
      <c r="B851">
        <v>0.33329999999999999</v>
      </c>
      <c r="C851">
        <v>0.7</v>
      </c>
      <c r="D851">
        <v>0.1045</v>
      </c>
      <c r="E851">
        <v>6</v>
      </c>
      <c r="F851">
        <v>82</v>
      </c>
      <c r="G851">
        <v>88</v>
      </c>
    </row>
    <row r="852" spans="1:7" x14ac:dyDescent="0.35">
      <c r="A852">
        <v>0.32</v>
      </c>
      <c r="B852">
        <v>0.34849999999999998</v>
      </c>
      <c r="C852">
        <v>0.7</v>
      </c>
      <c r="D852">
        <v>0</v>
      </c>
      <c r="E852">
        <v>3</v>
      </c>
      <c r="F852">
        <v>75</v>
      </c>
      <c r="G852">
        <v>78</v>
      </c>
    </row>
    <row r="853" spans="1:7" x14ac:dyDescent="0.35">
      <c r="A853">
        <v>0.28000000000000003</v>
      </c>
      <c r="B853">
        <v>0.30299999999999999</v>
      </c>
      <c r="C853">
        <v>0.81</v>
      </c>
      <c r="D853">
        <v>8.9599999999999999E-2</v>
      </c>
      <c r="E853">
        <v>3</v>
      </c>
      <c r="F853">
        <v>34</v>
      </c>
      <c r="G853">
        <v>37</v>
      </c>
    </row>
    <row r="854" spans="1:7" x14ac:dyDescent="0.35">
      <c r="A854">
        <v>0.3</v>
      </c>
      <c r="B854">
        <v>0.33329999999999999</v>
      </c>
      <c r="C854">
        <v>0.81</v>
      </c>
      <c r="D854">
        <v>0</v>
      </c>
      <c r="E854">
        <v>6</v>
      </c>
      <c r="F854">
        <v>19</v>
      </c>
      <c r="G854">
        <v>25</v>
      </c>
    </row>
    <row r="855" spans="1:7" x14ac:dyDescent="0.35">
      <c r="A855">
        <v>0.28000000000000003</v>
      </c>
      <c r="B855">
        <v>0.31819999999999998</v>
      </c>
      <c r="C855">
        <v>0.87</v>
      </c>
      <c r="D855">
        <v>0</v>
      </c>
      <c r="E855">
        <v>4</v>
      </c>
      <c r="F855">
        <v>6</v>
      </c>
      <c r="G855">
        <v>10</v>
      </c>
    </row>
    <row r="856" spans="1:7" x14ac:dyDescent="0.35">
      <c r="A856">
        <v>0.28000000000000003</v>
      </c>
      <c r="B856">
        <v>0.31819999999999998</v>
      </c>
      <c r="C856">
        <v>0.87</v>
      </c>
      <c r="D856">
        <v>0</v>
      </c>
      <c r="E856">
        <v>0</v>
      </c>
      <c r="F856">
        <v>4</v>
      </c>
      <c r="G856">
        <v>4</v>
      </c>
    </row>
    <row r="857" spans="1:7" x14ac:dyDescent="0.35">
      <c r="A857">
        <v>0.26</v>
      </c>
      <c r="B857">
        <v>0.2727</v>
      </c>
      <c r="C857">
        <v>0.93</v>
      </c>
      <c r="D857">
        <v>0.1045</v>
      </c>
      <c r="E857">
        <v>1</v>
      </c>
      <c r="F857">
        <v>1</v>
      </c>
      <c r="G857">
        <v>2</v>
      </c>
    </row>
    <row r="858" spans="1:7" x14ac:dyDescent="0.35">
      <c r="A858">
        <v>0.28000000000000003</v>
      </c>
      <c r="B858">
        <v>0.2727</v>
      </c>
      <c r="C858">
        <v>0.93</v>
      </c>
      <c r="D858">
        <v>0.16420000000000001</v>
      </c>
      <c r="E858">
        <v>0</v>
      </c>
      <c r="F858">
        <v>1</v>
      </c>
      <c r="G858">
        <v>1</v>
      </c>
    </row>
    <row r="859" spans="1:7" x14ac:dyDescent="0.35">
      <c r="A859">
        <v>0.26</v>
      </c>
      <c r="B859">
        <v>0.2576</v>
      </c>
      <c r="C859">
        <v>0.93</v>
      </c>
      <c r="D859">
        <v>0.16420000000000001</v>
      </c>
      <c r="E859">
        <v>0</v>
      </c>
      <c r="F859">
        <v>3</v>
      </c>
      <c r="G859">
        <v>3</v>
      </c>
    </row>
    <row r="860" spans="1:7" x14ac:dyDescent="0.35">
      <c r="A860">
        <v>0.26</v>
      </c>
      <c r="B860">
        <v>0.2273</v>
      </c>
      <c r="C860">
        <v>0.81</v>
      </c>
      <c r="D860">
        <v>0.32840000000000003</v>
      </c>
      <c r="E860">
        <v>0</v>
      </c>
      <c r="F860">
        <v>2</v>
      </c>
      <c r="G860">
        <v>2</v>
      </c>
    </row>
    <row r="861" spans="1:7" x14ac:dyDescent="0.35">
      <c r="A861">
        <v>0.26</v>
      </c>
      <c r="B861">
        <v>0.2273</v>
      </c>
      <c r="C861">
        <v>0.7</v>
      </c>
      <c r="D861">
        <v>0.32840000000000003</v>
      </c>
      <c r="E861">
        <v>0</v>
      </c>
      <c r="F861">
        <v>39</v>
      </c>
      <c r="G861">
        <v>39</v>
      </c>
    </row>
    <row r="862" spans="1:7" x14ac:dyDescent="0.35">
      <c r="A862">
        <v>0.24</v>
      </c>
      <c r="B862">
        <v>0.19700000000000001</v>
      </c>
      <c r="C862">
        <v>0.65</v>
      </c>
      <c r="D862">
        <v>0.41789999999999999</v>
      </c>
      <c r="E862">
        <v>3</v>
      </c>
      <c r="F862">
        <v>97</v>
      </c>
      <c r="G862">
        <v>100</v>
      </c>
    </row>
    <row r="863" spans="1:7" x14ac:dyDescent="0.35">
      <c r="A863">
        <v>0.24</v>
      </c>
      <c r="B863">
        <v>0.19700000000000001</v>
      </c>
      <c r="C863">
        <v>0.56000000000000005</v>
      </c>
      <c r="D863">
        <v>0.49249999999999999</v>
      </c>
      <c r="E863">
        <v>7</v>
      </c>
      <c r="F863">
        <v>236</v>
      </c>
      <c r="G863">
        <v>243</v>
      </c>
    </row>
    <row r="864" spans="1:7" x14ac:dyDescent="0.35">
      <c r="A864">
        <v>0.24</v>
      </c>
      <c r="B864">
        <v>0.19700000000000001</v>
      </c>
      <c r="C864">
        <v>0.52</v>
      </c>
      <c r="D864">
        <v>0.49249999999999999</v>
      </c>
      <c r="E864">
        <v>7</v>
      </c>
      <c r="F864">
        <v>128</v>
      </c>
      <c r="G864">
        <v>135</v>
      </c>
    </row>
    <row r="865" spans="1:7" x14ac:dyDescent="0.35">
      <c r="A865">
        <v>0.22</v>
      </c>
      <c r="B865">
        <v>0.18179999999999999</v>
      </c>
      <c r="C865">
        <v>0.47</v>
      </c>
      <c r="D865">
        <v>0.55220000000000002</v>
      </c>
      <c r="E865">
        <v>4</v>
      </c>
      <c r="F865">
        <v>44</v>
      </c>
      <c r="G865">
        <v>48</v>
      </c>
    </row>
    <row r="866" spans="1:7" x14ac:dyDescent="0.35">
      <c r="A866">
        <v>0.22</v>
      </c>
      <c r="B866">
        <v>0.18179999999999999</v>
      </c>
      <c r="C866">
        <v>0.47</v>
      </c>
      <c r="D866">
        <v>0.4627</v>
      </c>
      <c r="E866">
        <v>1</v>
      </c>
      <c r="F866">
        <v>49</v>
      </c>
      <c r="G866">
        <v>50</v>
      </c>
    </row>
    <row r="867" spans="1:7" x14ac:dyDescent="0.35">
      <c r="A867">
        <v>0.24</v>
      </c>
      <c r="B867">
        <v>0.19700000000000001</v>
      </c>
      <c r="C867">
        <v>0.38</v>
      </c>
      <c r="D867">
        <v>0.49249999999999999</v>
      </c>
      <c r="E867">
        <v>2</v>
      </c>
      <c r="F867">
        <v>63</v>
      </c>
      <c r="G867">
        <v>65</v>
      </c>
    </row>
    <row r="868" spans="1:7" x14ac:dyDescent="0.35">
      <c r="A868">
        <v>0.24</v>
      </c>
      <c r="B868">
        <v>0.19700000000000001</v>
      </c>
      <c r="C868">
        <v>0.32</v>
      </c>
      <c r="D868">
        <v>0.44779999999999998</v>
      </c>
      <c r="E868">
        <v>2</v>
      </c>
      <c r="F868">
        <v>48</v>
      </c>
      <c r="G868">
        <v>50</v>
      </c>
    </row>
    <row r="869" spans="1:7" x14ac:dyDescent="0.35">
      <c r="A869">
        <v>0.22</v>
      </c>
      <c r="B869">
        <v>0.19700000000000001</v>
      </c>
      <c r="C869">
        <v>0.37</v>
      </c>
      <c r="D869">
        <v>0.41789999999999999</v>
      </c>
      <c r="E869">
        <v>3</v>
      </c>
      <c r="F869">
        <v>61</v>
      </c>
      <c r="G869">
        <v>64</v>
      </c>
    </row>
    <row r="870" spans="1:7" x14ac:dyDescent="0.35">
      <c r="A870">
        <v>0.22</v>
      </c>
      <c r="B870">
        <v>0.19700000000000001</v>
      </c>
      <c r="C870">
        <v>0.35</v>
      </c>
      <c r="D870">
        <v>0.3881</v>
      </c>
      <c r="E870">
        <v>6</v>
      </c>
      <c r="F870">
        <v>45</v>
      </c>
      <c r="G870">
        <v>51</v>
      </c>
    </row>
    <row r="871" spans="1:7" x14ac:dyDescent="0.35">
      <c r="A871">
        <v>0.22</v>
      </c>
      <c r="B871">
        <v>0.18179999999999999</v>
      </c>
      <c r="C871">
        <v>0.35</v>
      </c>
      <c r="D871">
        <v>0.52239999999999998</v>
      </c>
      <c r="E871">
        <v>4</v>
      </c>
      <c r="F871">
        <v>79</v>
      </c>
      <c r="G871">
        <v>83</v>
      </c>
    </row>
    <row r="872" spans="1:7" x14ac:dyDescent="0.35">
      <c r="A872">
        <v>0.22</v>
      </c>
      <c r="B872">
        <v>0.18179999999999999</v>
      </c>
      <c r="C872">
        <v>0.32</v>
      </c>
      <c r="D872">
        <v>0.58209999999999995</v>
      </c>
      <c r="E872">
        <v>4</v>
      </c>
      <c r="F872">
        <v>172</v>
      </c>
      <c r="G872">
        <v>176</v>
      </c>
    </row>
    <row r="873" spans="1:7" x14ac:dyDescent="0.35">
      <c r="A873">
        <v>0.2</v>
      </c>
      <c r="B873">
        <v>0.18179999999999999</v>
      </c>
      <c r="C873">
        <v>0.32</v>
      </c>
      <c r="D873">
        <v>0.3881</v>
      </c>
      <c r="E873">
        <v>1</v>
      </c>
      <c r="F873">
        <v>151</v>
      </c>
      <c r="G873">
        <v>152</v>
      </c>
    </row>
    <row r="874" spans="1:7" x14ac:dyDescent="0.35">
      <c r="A874">
        <v>0.16</v>
      </c>
      <c r="B874">
        <v>0.1212</v>
      </c>
      <c r="C874">
        <v>0.4</v>
      </c>
      <c r="D874">
        <v>0.4627</v>
      </c>
      <c r="E874">
        <v>1</v>
      </c>
      <c r="F874">
        <v>100</v>
      </c>
      <c r="G874">
        <v>101</v>
      </c>
    </row>
    <row r="875" spans="1:7" x14ac:dyDescent="0.35">
      <c r="A875">
        <v>0.16</v>
      </c>
      <c r="B875">
        <v>0.13639999999999999</v>
      </c>
      <c r="C875">
        <v>0.4</v>
      </c>
      <c r="D875">
        <v>0.32840000000000003</v>
      </c>
      <c r="E875">
        <v>3</v>
      </c>
      <c r="F875">
        <v>53</v>
      </c>
      <c r="G875">
        <v>56</v>
      </c>
    </row>
    <row r="876" spans="1:7" x14ac:dyDescent="0.35">
      <c r="A876">
        <v>0.14000000000000001</v>
      </c>
      <c r="B876">
        <v>0.1061</v>
      </c>
      <c r="C876">
        <v>0.33</v>
      </c>
      <c r="D876">
        <v>0.4627</v>
      </c>
      <c r="E876">
        <v>8</v>
      </c>
      <c r="F876">
        <v>46</v>
      </c>
      <c r="G876">
        <v>54</v>
      </c>
    </row>
    <row r="877" spans="1:7" x14ac:dyDescent="0.35">
      <c r="A877">
        <v>0.12</v>
      </c>
      <c r="B877">
        <v>0.1061</v>
      </c>
      <c r="C877">
        <v>0.33</v>
      </c>
      <c r="D877">
        <v>0.35820000000000002</v>
      </c>
      <c r="E877">
        <v>0</v>
      </c>
      <c r="F877">
        <v>29</v>
      </c>
      <c r="G877">
        <v>29</v>
      </c>
    </row>
    <row r="878" spans="1:7" x14ac:dyDescent="0.35">
      <c r="A878">
        <v>0.12</v>
      </c>
      <c r="B878">
        <v>0.1061</v>
      </c>
      <c r="C878">
        <v>0.33</v>
      </c>
      <c r="D878">
        <v>0.32840000000000003</v>
      </c>
      <c r="E878">
        <v>3</v>
      </c>
      <c r="F878">
        <v>9</v>
      </c>
      <c r="G878">
        <v>12</v>
      </c>
    </row>
    <row r="879" spans="1:7" x14ac:dyDescent="0.35">
      <c r="A879">
        <v>0.1</v>
      </c>
      <c r="B879">
        <v>7.5800000000000006E-2</v>
      </c>
      <c r="C879">
        <v>0.36</v>
      </c>
      <c r="D879">
        <v>0.35820000000000002</v>
      </c>
      <c r="E879">
        <v>0</v>
      </c>
      <c r="F879">
        <v>17</v>
      </c>
      <c r="G879">
        <v>17</v>
      </c>
    </row>
    <row r="880" spans="1:7" x14ac:dyDescent="0.35">
      <c r="A880">
        <v>0.1</v>
      </c>
      <c r="B880">
        <v>0.1061</v>
      </c>
      <c r="C880">
        <v>0.36</v>
      </c>
      <c r="D880">
        <v>0.22389999999999999</v>
      </c>
      <c r="E880">
        <v>0</v>
      </c>
      <c r="F880">
        <v>7</v>
      </c>
      <c r="G880">
        <v>7</v>
      </c>
    </row>
    <row r="881" spans="1:7" x14ac:dyDescent="0.35">
      <c r="A881">
        <v>0.08</v>
      </c>
      <c r="B881">
        <v>7.5800000000000006E-2</v>
      </c>
      <c r="C881">
        <v>0.38</v>
      </c>
      <c r="D881">
        <v>0.28360000000000002</v>
      </c>
      <c r="E881">
        <v>1</v>
      </c>
      <c r="F881">
        <v>2</v>
      </c>
      <c r="G881">
        <v>3</v>
      </c>
    </row>
    <row r="882" spans="1:7" x14ac:dyDescent="0.35">
      <c r="A882">
        <v>0.06</v>
      </c>
      <c r="B882">
        <v>7.5800000000000006E-2</v>
      </c>
      <c r="C882">
        <v>0.45</v>
      </c>
      <c r="D882">
        <v>0.1343</v>
      </c>
      <c r="E882">
        <v>0</v>
      </c>
      <c r="F882">
        <v>2</v>
      </c>
      <c r="G882">
        <v>2</v>
      </c>
    </row>
    <row r="883" spans="1:7" x14ac:dyDescent="0.35">
      <c r="A883">
        <v>0.06</v>
      </c>
      <c r="B883">
        <v>0.1061</v>
      </c>
      <c r="C883">
        <v>0.45</v>
      </c>
      <c r="D883">
        <v>0.1045</v>
      </c>
      <c r="E883">
        <v>0</v>
      </c>
      <c r="F883">
        <v>7</v>
      </c>
      <c r="G883">
        <v>7</v>
      </c>
    </row>
    <row r="884" spans="1:7" x14ac:dyDescent="0.35">
      <c r="A884">
        <v>0.06</v>
      </c>
      <c r="B884">
        <v>0.1515</v>
      </c>
      <c r="C884">
        <v>0.45</v>
      </c>
      <c r="D884">
        <v>0</v>
      </c>
      <c r="E884">
        <v>0</v>
      </c>
      <c r="F884">
        <v>43</v>
      </c>
      <c r="G884">
        <v>43</v>
      </c>
    </row>
    <row r="885" spans="1:7" x14ac:dyDescent="0.35">
      <c r="A885">
        <v>0.06</v>
      </c>
      <c r="B885">
        <v>0.1061</v>
      </c>
      <c r="C885">
        <v>0.49</v>
      </c>
      <c r="D885">
        <v>0.1045</v>
      </c>
      <c r="E885">
        <v>4</v>
      </c>
      <c r="F885">
        <v>95</v>
      </c>
      <c r="G885">
        <v>99</v>
      </c>
    </row>
    <row r="886" spans="1:7" x14ac:dyDescent="0.35">
      <c r="A886">
        <v>0.1</v>
      </c>
      <c r="B886">
        <v>0.13639999999999999</v>
      </c>
      <c r="C886">
        <v>0.42</v>
      </c>
      <c r="D886">
        <v>0</v>
      </c>
      <c r="E886">
        <v>1</v>
      </c>
      <c r="F886">
        <v>198</v>
      </c>
      <c r="G886">
        <v>199</v>
      </c>
    </row>
    <row r="887" spans="1:7" x14ac:dyDescent="0.35">
      <c r="A887">
        <v>0.12</v>
      </c>
      <c r="B887">
        <v>0.13639999999999999</v>
      </c>
      <c r="C887">
        <v>0.39</v>
      </c>
      <c r="D887">
        <v>0.16420000000000001</v>
      </c>
      <c r="E887">
        <v>4</v>
      </c>
      <c r="F887">
        <v>119</v>
      </c>
      <c r="G887">
        <v>123</v>
      </c>
    </row>
    <row r="888" spans="1:7" x14ac:dyDescent="0.35">
      <c r="A888">
        <v>0.14000000000000001</v>
      </c>
      <c r="B888">
        <v>0.18179999999999999</v>
      </c>
      <c r="C888">
        <v>0.36</v>
      </c>
      <c r="D888">
        <v>0</v>
      </c>
      <c r="E888">
        <v>8</v>
      </c>
      <c r="F888">
        <v>51</v>
      </c>
      <c r="G888">
        <v>59</v>
      </c>
    </row>
    <row r="889" spans="1:7" x14ac:dyDescent="0.35">
      <c r="A889">
        <v>0.14000000000000001</v>
      </c>
      <c r="B889">
        <v>0.1515</v>
      </c>
      <c r="C889">
        <v>0.43</v>
      </c>
      <c r="D889">
        <v>0.16420000000000001</v>
      </c>
      <c r="E889">
        <v>1</v>
      </c>
      <c r="F889">
        <v>40</v>
      </c>
      <c r="G889">
        <v>41</v>
      </c>
    </row>
    <row r="890" spans="1:7" x14ac:dyDescent="0.35">
      <c r="A890">
        <v>0.18</v>
      </c>
      <c r="B890">
        <v>0.18179999999999999</v>
      </c>
      <c r="C890">
        <v>0.4</v>
      </c>
      <c r="D890">
        <v>0.22389999999999999</v>
      </c>
      <c r="E890">
        <v>4</v>
      </c>
      <c r="F890">
        <v>57</v>
      </c>
      <c r="G890">
        <v>61</v>
      </c>
    </row>
    <row r="891" spans="1:7" x14ac:dyDescent="0.35">
      <c r="A891">
        <v>0.18</v>
      </c>
      <c r="B891">
        <v>0.16669999999999999</v>
      </c>
      <c r="C891">
        <v>0.4</v>
      </c>
      <c r="D891">
        <v>0.25369999999999998</v>
      </c>
      <c r="E891">
        <v>2</v>
      </c>
      <c r="F891">
        <v>67</v>
      </c>
      <c r="G891">
        <v>69</v>
      </c>
    </row>
    <row r="892" spans="1:7" x14ac:dyDescent="0.35">
      <c r="A892">
        <v>0.2</v>
      </c>
      <c r="B892">
        <v>0.18179999999999999</v>
      </c>
      <c r="C892">
        <v>0.34</v>
      </c>
      <c r="D892">
        <v>0.29849999999999999</v>
      </c>
      <c r="E892">
        <v>2</v>
      </c>
      <c r="F892">
        <v>56</v>
      </c>
      <c r="G892">
        <v>58</v>
      </c>
    </row>
    <row r="893" spans="1:7" x14ac:dyDescent="0.35">
      <c r="A893">
        <v>0.2</v>
      </c>
      <c r="B893">
        <v>0.18179999999999999</v>
      </c>
      <c r="C893">
        <v>0.34</v>
      </c>
      <c r="D893">
        <v>0.28360000000000002</v>
      </c>
      <c r="E893">
        <v>3</v>
      </c>
      <c r="F893">
        <v>61</v>
      </c>
      <c r="G893">
        <v>64</v>
      </c>
    </row>
    <row r="894" spans="1:7" x14ac:dyDescent="0.35">
      <c r="A894">
        <v>0.2</v>
      </c>
      <c r="B894">
        <v>0.19700000000000001</v>
      </c>
      <c r="C894">
        <v>0.37</v>
      </c>
      <c r="D894">
        <v>0.25369999999999998</v>
      </c>
      <c r="E894">
        <v>7</v>
      </c>
      <c r="F894">
        <v>72</v>
      </c>
      <c r="G894">
        <v>79</v>
      </c>
    </row>
    <row r="895" spans="1:7" x14ac:dyDescent="0.35">
      <c r="A895">
        <v>0.2</v>
      </c>
      <c r="B895">
        <v>0.19700000000000001</v>
      </c>
      <c r="C895">
        <v>0.34</v>
      </c>
      <c r="D895">
        <v>0.25369999999999998</v>
      </c>
      <c r="E895">
        <v>9</v>
      </c>
      <c r="F895">
        <v>157</v>
      </c>
      <c r="G895">
        <v>166</v>
      </c>
    </row>
    <row r="896" spans="1:7" x14ac:dyDescent="0.35">
      <c r="A896">
        <v>0.18</v>
      </c>
      <c r="B896">
        <v>0.16669999999999999</v>
      </c>
      <c r="C896">
        <v>0.47</v>
      </c>
      <c r="D896">
        <v>0.29849999999999999</v>
      </c>
      <c r="E896">
        <v>2</v>
      </c>
      <c r="F896">
        <v>168</v>
      </c>
      <c r="G896">
        <v>170</v>
      </c>
    </row>
    <row r="897" spans="1:7" x14ac:dyDescent="0.35">
      <c r="A897">
        <v>0.14000000000000001</v>
      </c>
      <c r="B897">
        <v>0.1212</v>
      </c>
      <c r="C897">
        <v>0.86</v>
      </c>
      <c r="D897">
        <v>0.25369999999999998</v>
      </c>
      <c r="E897">
        <v>1</v>
      </c>
      <c r="F897">
        <v>87</v>
      </c>
      <c r="G897">
        <v>88</v>
      </c>
    </row>
    <row r="898" spans="1:7" x14ac:dyDescent="0.35">
      <c r="A898">
        <v>0.14000000000000001</v>
      </c>
      <c r="B898">
        <v>0.1515</v>
      </c>
      <c r="C898">
        <v>0.86</v>
      </c>
      <c r="D898">
        <v>0.16420000000000001</v>
      </c>
      <c r="E898">
        <v>0</v>
      </c>
      <c r="F898">
        <v>84</v>
      </c>
      <c r="G898">
        <v>84</v>
      </c>
    </row>
    <row r="899" spans="1:7" x14ac:dyDescent="0.35">
      <c r="A899">
        <v>0.14000000000000001</v>
      </c>
      <c r="B899">
        <v>0.1515</v>
      </c>
      <c r="C899">
        <v>0.86</v>
      </c>
      <c r="D899">
        <v>0.16420000000000001</v>
      </c>
      <c r="E899">
        <v>0</v>
      </c>
      <c r="F899">
        <v>83</v>
      </c>
      <c r="G899">
        <v>83</v>
      </c>
    </row>
    <row r="900" spans="1:7" x14ac:dyDescent="0.35">
      <c r="A900">
        <v>0.16</v>
      </c>
      <c r="B900">
        <v>0.16669999999999999</v>
      </c>
      <c r="C900">
        <v>0.8</v>
      </c>
      <c r="D900">
        <v>0.16420000000000001</v>
      </c>
      <c r="E900">
        <v>4</v>
      </c>
      <c r="F900">
        <v>42</v>
      </c>
      <c r="G900">
        <v>46</v>
      </c>
    </row>
    <row r="901" spans="1:7" x14ac:dyDescent="0.35">
      <c r="A901">
        <v>0.16</v>
      </c>
      <c r="B901">
        <v>0.1515</v>
      </c>
      <c r="C901">
        <v>0.8</v>
      </c>
      <c r="D901">
        <v>0.19400000000000001</v>
      </c>
      <c r="E901">
        <v>0</v>
      </c>
      <c r="F901">
        <v>37</v>
      </c>
      <c r="G901">
        <v>37</v>
      </c>
    </row>
    <row r="902" spans="1:7" x14ac:dyDescent="0.35">
      <c r="A902">
        <v>0.14000000000000001</v>
      </c>
      <c r="B902">
        <v>0.13639999999999999</v>
      </c>
      <c r="C902">
        <v>0.86</v>
      </c>
      <c r="D902">
        <v>0.19400000000000001</v>
      </c>
      <c r="E902">
        <v>0</v>
      </c>
      <c r="F902">
        <v>16</v>
      </c>
      <c r="G902">
        <v>16</v>
      </c>
    </row>
    <row r="903" spans="1:7" x14ac:dyDescent="0.35">
      <c r="A903">
        <v>0.14000000000000001</v>
      </c>
      <c r="B903">
        <v>0.1515</v>
      </c>
      <c r="C903">
        <v>0.8</v>
      </c>
      <c r="D903">
        <v>0.1343</v>
      </c>
      <c r="E903">
        <v>0</v>
      </c>
      <c r="F903">
        <v>7</v>
      </c>
      <c r="G903">
        <v>7</v>
      </c>
    </row>
    <row r="904" spans="1:7" x14ac:dyDescent="0.35">
      <c r="A904">
        <v>0.14000000000000001</v>
      </c>
      <c r="B904">
        <v>0.1515</v>
      </c>
      <c r="C904">
        <v>0.8</v>
      </c>
      <c r="D904">
        <v>0.1343</v>
      </c>
      <c r="E904">
        <v>0</v>
      </c>
      <c r="F904">
        <v>3</v>
      </c>
      <c r="G904">
        <v>3</v>
      </c>
    </row>
    <row r="905" spans="1:7" x14ac:dyDescent="0.35">
      <c r="A905">
        <v>0.14000000000000001</v>
      </c>
      <c r="B905">
        <v>0.13639999999999999</v>
      </c>
      <c r="C905">
        <v>0.59</v>
      </c>
      <c r="D905">
        <v>0.22389999999999999</v>
      </c>
      <c r="E905">
        <v>0</v>
      </c>
      <c r="F905">
        <v>1</v>
      </c>
      <c r="G905">
        <v>1</v>
      </c>
    </row>
    <row r="906" spans="1:7" x14ac:dyDescent="0.35">
      <c r="A906">
        <v>0.12</v>
      </c>
      <c r="B906">
        <v>0.1212</v>
      </c>
      <c r="C906">
        <v>0.5</v>
      </c>
      <c r="D906">
        <v>0.22389999999999999</v>
      </c>
      <c r="E906">
        <v>0</v>
      </c>
      <c r="F906">
        <v>6</v>
      </c>
      <c r="G906">
        <v>6</v>
      </c>
    </row>
    <row r="907" spans="1:7" x14ac:dyDescent="0.35">
      <c r="A907">
        <v>0.12</v>
      </c>
      <c r="B907">
        <v>0.1212</v>
      </c>
      <c r="C907">
        <v>0.54</v>
      </c>
      <c r="D907">
        <v>0.28360000000000002</v>
      </c>
      <c r="E907">
        <v>0</v>
      </c>
      <c r="F907">
        <v>26</v>
      </c>
      <c r="G907">
        <v>26</v>
      </c>
    </row>
    <row r="908" spans="1:7" x14ac:dyDescent="0.35">
      <c r="A908">
        <v>0.1</v>
      </c>
      <c r="B908">
        <v>7.5800000000000006E-2</v>
      </c>
      <c r="C908">
        <v>0.5</v>
      </c>
      <c r="D908">
        <v>0.41789999999999999</v>
      </c>
      <c r="E908">
        <v>0</v>
      </c>
      <c r="F908">
        <v>99</v>
      </c>
      <c r="G908">
        <v>99</v>
      </c>
    </row>
    <row r="909" spans="1:7" x14ac:dyDescent="0.35">
      <c r="A909">
        <v>0.1</v>
      </c>
      <c r="B909">
        <v>7.5800000000000006E-2</v>
      </c>
      <c r="C909">
        <v>0.49</v>
      </c>
      <c r="D909">
        <v>0.32840000000000003</v>
      </c>
      <c r="E909">
        <v>5</v>
      </c>
      <c r="F909">
        <v>173</v>
      </c>
      <c r="G909">
        <v>178</v>
      </c>
    </row>
    <row r="910" spans="1:7" x14ac:dyDescent="0.35">
      <c r="A910">
        <v>0.12</v>
      </c>
      <c r="B910">
        <v>0.1061</v>
      </c>
      <c r="C910">
        <v>0.42</v>
      </c>
      <c r="D910">
        <v>0.35820000000000002</v>
      </c>
      <c r="E910">
        <v>1</v>
      </c>
      <c r="F910">
        <v>121</v>
      </c>
      <c r="G910">
        <v>122</v>
      </c>
    </row>
    <row r="911" spans="1:7" x14ac:dyDescent="0.35">
      <c r="A911">
        <v>0.12</v>
      </c>
      <c r="B911">
        <v>0.1061</v>
      </c>
      <c r="C911">
        <v>0.42</v>
      </c>
      <c r="D911">
        <v>0.29849999999999999</v>
      </c>
      <c r="E911">
        <v>1</v>
      </c>
      <c r="F911">
        <v>34</v>
      </c>
      <c r="G911">
        <v>35</v>
      </c>
    </row>
    <row r="912" spans="1:7" x14ac:dyDescent="0.35">
      <c r="A912">
        <v>0.14000000000000001</v>
      </c>
      <c r="B912">
        <v>0.1212</v>
      </c>
      <c r="C912">
        <v>0.39</v>
      </c>
      <c r="D912">
        <v>0.35820000000000002</v>
      </c>
      <c r="E912">
        <v>1</v>
      </c>
      <c r="F912">
        <v>44</v>
      </c>
      <c r="G912">
        <v>45</v>
      </c>
    </row>
    <row r="913" spans="1:7" x14ac:dyDescent="0.35">
      <c r="A913">
        <v>0.16</v>
      </c>
      <c r="B913">
        <v>0.13639999999999999</v>
      </c>
      <c r="C913">
        <v>0.34</v>
      </c>
      <c r="D913">
        <v>0.3881</v>
      </c>
      <c r="E913">
        <v>4</v>
      </c>
      <c r="F913">
        <v>65</v>
      </c>
      <c r="G913">
        <v>69</v>
      </c>
    </row>
    <row r="914" spans="1:7" x14ac:dyDescent="0.35">
      <c r="A914">
        <v>0.18</v>
      </c>
      <c r="B914">
        <v>0.16669999999999999</v>
      </c>
      <c r="C914">
        <v>0.28999999999999998</v>
      </c>
      <c r="D914">
        <v>0.29849999999999999</v>
      </c>
      <c r="E914">
        <v>3</v>
      </c>
      <c r="F914">
        <v>59</v>
      </c>
      <c r="G914">
        <v>62</v>
      </c>
    </row>
    <row r="915" spans="1:7" x14ac:dyDescent="0.35">
      <c r="A915">
        <v>0.2</v>
      </c>
      <c r="B915">
        <v>0.18179999999999999</v>
      </c>
      <c r="C915">
        <v>0.27</v>
      </c>
      <c r="D915">
        <v>0.28360000000000002</v>
      </c>
      <c r="E915">
        <v>6</v>
      </c>
      <c r="F915">
        <v>42</v>
      </c>
      <c r="G915">
        <v>48</v>
      </c>
    </row>
    <row r="916" spans="1:7" x14ac:dyDescent="0.35">
      <c r="A916">
        <v>0.2</v>
      </c>
      <c r="B916">
        <v>0.19700000000000001</v>
      </c>
      <c r="C916">
        <v>0.25</v>
      </c>
      <c r="D916">
        <v>0.25369999999999998</v>
      </c>
      <c r="E916">
        <v>0</v>
      </c>
      <c r="F916">
        <v>50</v>
      </c>
      <c r="G916">
        <v>50</v>
      </c>
    </row>
    <row r="917" spans="1:7" x14ac:dyDescent="0.35">
      <c r="A917">
        <v>0.2</v>
      </c>
      <c r="B917">
        <v>0.18179999999999999</v>
      </c>
      <c r="C917">
        <v>0.27</v>
      </c>
      <c r="D917">
        <v>0.29849999999999999</v>
      </c>
      <c r="E917">
        <v>4</v>
      </c>
      <c r="F917">
        <v>76</v>
      </c>
      <c r="G917">
        <v>80</v>
      </c>
    </row>
    <row r="918" spans="1:7" x14ac:dyDescent="0.35">
      <c r="A918">
        <v>0.18</v>
      </c>
      <c r="B918">
        <v>0.18179999999999999</v>
      </c>
      <c r="C918">
        <v>0.26</v>
      </c>
      <c r="D918">
        <v>0.19400000000000001</v>
      </c>
      <c r="E918">
        <v>6</v>
      </c>
      <c r="F918">
        <v>159</v>
      </c>
      <c r="G918">
        <v>165</v>
      </c>
    </row>
    <row r="919" spans="1:7" x14ac:dyDescent="0.35">
      <c r="A919">
        <v>0.16</v>
      </c>
      <c r="B919">
        <v>0.18179999999999999</v>
      </c>
      <c r="C919">
        <v>0.28000000000000003</v>
      </c>
      <c r="D919">
        <v>0.1343</v>
      </c>
      <c r="E919">
        <v>3</v>
      </c>
      <c r="F919">
        <v>157</v>
      </c>
      <c r="G919">
        <v>160</v>
      </c>
    </row>
    <row r="920" spans="1:7" x14ac:dyDescent="0.35">
      <c r="A920">
        <v>0.14000000000000001</v>
      </c>
      <c r="B920">
        <v>0.16669999999999999</v>
      </c>
      <c r="C920">
        <v>0.28000000000000003</v>
      </c>
      <c r="D920">
        <v>0.1045</v>
      </c>
      <c r="E920">
        <v>2</v>
      </c>
      <c r="F920">
        <v>110</v>
      </c>
      <c r="G920">
        <v>112</v>
      </c>
    </row>
    <row r="921" spans="1:7" x14ac:dyDescent="0.35">
      <c r="A921">
        <v>0.14000000000000001</v>
      </c>
      <c r="B921">
        <v>0.18179999999999999</v>
      </c>
      <c r="C921">
        <v>0.31</v>
      </c>
      <c r="D921">
        <v>8.9599999999999999E-2</v>
      </c>
      <c r="E921">
        <v>4</v>
      </c>
      <c r="F921">
        <v>93</v>
      </c>
      <c r="G921">
        <v>97</v>
      </c>
    </row>
    <row r="922" spans="1:7" x14ac:dyDescent="0.35">
      <c r="A922">
        <v>0.14000000000000001</v>
      </c>
      <c r="B922">
        <v>0.21210000000000001</v>
      </c>
      <c r="C922">
        <v>0.39</v>
      </c>
      <c r="D922">
        <v>0</v>
      </c>
      <c r="E922">
        <v>2</v>
      </c>
      <c r="F922">
        <v>70</v>
      </c>
      <c r="G922">
        <v>72</v>
      </c>
    </row>
    <row r="923" spans="1:7" x14ac:dyDescent="0.35">
      <c r="A923">
        <v>0.12</v>
      </c>
      <c r="B923">
        <v>0.19700000000000001</v>
      </c>
      <c r="C923">
        <v>0.39</v>
      </c>
      <c r="D923">
        <v>0</v>
      </c>
      <c r="E923">
        <v>4</v>
      </c>
      <c r="F923">
        <v>47</v>
      </c>
      <c r="G923">
        <v>51</v>
      </c>
    </row>
    <row r="924" spans="1:7" x14ac:dyDescent="0.35">
      <c r="A924">
        <v>0.12</v>
      </c>
      <c r="B924">
        <v>0.1515</v>
      </c>
      <c r="C924">
        <v>0.42</v>
      </c>
      <c r="D924">
        <v>0.1045</v>
      </c>
      <c r="E924">
        <v>1</v>
      </c>
      <c r="F924">
        <v>33</v>
      </c>
      <c r="G924">
        <v>34</v>
      </c>
    </row>
    <row r="925" spans="1:7" x14ac:dyDescent="0.35">
      <c r="A925">
        <v>0.1</v>
      </c>
      <c r="B925">
        <v>0.13639999999999999</v>
      </c>
      <c r="C925">
        <v>0.49</v>
      </c>
      <c r="D925">
        <v>0.1045</v>
      </c>
      <c r="E925">
        <v>2</v>
      </c>
      <c r="F925">
        <v>12</v>
      </c>
      <c r="G925">
        <v>14</v>
      </c>
    </row>
    <row r="926" spans="1:7" x14ac:dyDescent="0.35">
      <c r="A926">
        <v>0.1</v>
      </c>
      <c r="B926">
        <v>0.13639999999999999</v>
      </c>
      <c r="C926">
        <v>0.54</v>
      </c>
      <c r="D926">
        <v>8.9599999999999999E-2</v>
      </c>
      <c r="E926">
        <v>1</v>
      </c>
      <c r="F926">
        <v>6</v>
      </c>
      <c r="G926">
        <v>7</v>
      </c>
    </row>
    <row r="927" spans="1:7" x14ac:dyDescent="0.35">
      <c r="A927">
        <v>0.1</v>
      </c>
      <c r="B927">
        <v>0.13639999999999999</v>
      </c>
      <c r="C927">
        <v>0.54</v>
      </c>
      <c r="D927">
        <v>8.9599999999999999E-2</v>
      </c>
      <c r="E927">
        <v>0</v>
      </c>
      <c r="F927">
        <v>3</v>
      </c>
      <c r="G927">
        <v>3</v>
      </c>
    </row>
    <row r="928" spans="1:7" x14ac:dyDescent="0.35">
      <c r="A928">
        <v>0.08</v>
      </c>
      <c r="B928">
        <v>0.1212</v>
      </c>
      <c r="C928">
        <v>0.63</v>
      </c>
      <c r="D928">
        <v>8.9599999999999999E-2</v>
      </c>
      <c r="E928">
        <v>0</v>
      </c>
      <c r="F928">
        <v>4</v>
      </c>
      <c r="G928">
        <v>4</v>
      </c>
    </row>
    <row r="929" spans="1:7" x14ac:dyDescent="0.35">
      <c r="A929">
        <v>0.1</v>
      </c>
      <c r="B929">
        <v>0.18179999999999999</v>
      </c>
      <c r="C929">
        <v>0.68</v>
      </c>
      <c r="D929">
        <v>0</v>
      </c>
      <c r="E929">
        <v>1</v>
      </c>
      <c r="F929">
        <v>23</v>
      </c>
      <c r="G929">
        <v>24</v>
      </c>
    </row>
    <row r="930" spans="1:7" x14ac:dyDescent="0.35">
      <c r="A930">
        <v>0.08</v>
      </c>
      <c r="B930">
        <v>0.16669999999999999</v>
      </c>
      <c r="C930">
        <v>0.73</v>
      </c>
      <c r="D930">
        <v>0</v>
      </c>
      <c r="E930">
        <v>1</v>
      </c>
      <c r="F930">
        <v>73</v>
      </c>
      <c r="G930">
        <v>74</v>
      </c>
    </row>
    <row r="931" spans="1:7" x14ac:dyDescent="0.35">
      <c r="A931">
        <v>0.1</v>
      </c>
      <c r="B931">
        <v>0.1212</v>
      </c>
      <c r="C931">
        <v>0.74</v>
      </c>
      <c r="D931">
        <v>0.16420000000000001</v>
      </c>
      <c r="E931">
        <v>4</v>
      </c>
      <c r="F931">
        <v>212</v>
      </c>
      <c r="G931">
        <v>216</v>
      </c>
    </row>
    <row r="932" spans="1:7" x14ac:dyDescent="0.35">
      <c r="A932">
        <v>0.12</v>
      </c>
      <c r="B932">
        <v>0.1212</v>
      </c>
      <c r="C932">
        <v>0.74</v>
      </c>
      <c r="D932">
        <v>0.22389999999999999</v>
      </c>
      <c r="E932">
        <v>8</v>
      </c>
      <c r="F932">
        <v>132</v>
      </c>
      <c r="G932">
        <v>140</v>
      </c>
    </row>
    <row r="933" spans="1:7" x14ac:dyDescent="0.35">
      <c r="A933">
        <v>0.14000000000000001</v>
      </c>
      <c r="B933">
        <v>0.13639999999999999</v>
      </c>
      <c r="C933">
        <v>0.69</v>
      </c>
      <c r="D933">
        <v>0.19400000000000001</v>
      </c>
      <c r="E933">
        <v>5</v>
      </c>
      <c r="F933">
        <v>39</v>
      </c>
      <c r="G933">
        <v>44</v>
      </c>
    </row>
    <row r="934" spans="1:7" x14ac:dyDescent="0.35">
      <c r="A934">
        <v>0.22</v>
      </c>
      <c r="B934">
        <v>0.2273</v>
      </c>
      <c r="C934">
        <v>0.47</v>
      </c>
      <c r="D934">
        <v>0.1343</v>
      </c>
      <c r="E934">
        <v>12</v>
      </c>
      <c r="F934">
        <v>52</v>
      </c>
      <c r="G934">
        <v>64</v>
      </c>
    </row>
    <row r="935" spans="1:7" x14ac:dyDescent="0.35">
      <c r="A935">
        <v>0.22</v>
      </c>
      <c r="B935">
        <v>0.2273</v>
      </c>
      <c r="C935">
        <v>0.47</v>
      </c>
      <c r="D935">
        <v>0.1343</v>
      </c>
      <c r="E935">
        <v>7</v>
      </c>
      <c r="F935">
        <v>64</v>
      </c>
      <c r="G935">
        <v>71</v>
      </c>
    </row>
    <row r="936" spans="1:7" x14ac:dyDescent="0.35">
      <c r="A936">
        <v>0.24</v>
      </c>
      <c r="B936">
        <v>0.2273</v>
      </c>
      <c r="C936">
        <v>0.35</v>
      </c>
      <c r="D936">
        <v>0.19400000000000001</v>
      </c>
      <c r="E936">
        <v>21</v>
      </c>
      <c r="F936">
        <v>89</v>
      </c>
      <c r="G936">
        <v>110</v>
      </c>
    </row>
    <row r="937" spans="1:7" x14ac:dyDescent="0.35">
      <c r="A937">
        <v>0.3</v>
      </c>
      <c r="B937">
        <v>0.28789999999999999</v>
      </c>
      <c r="C937">
        <v>0.26</v>
      </c>
      <c r="D937">
        <v>0.25369999999999998</v>
      </c>
      <c r="E937">
        <v>17</v>
      </c>
      <c r="F937">
        <v>67</v>
      </c>
      <c r="G937">
        <v>84</v>
      </c>
    </row>
    <row r="938" spans="1:7" x14ac:dyDescent="0.35">
      <c r="A938">
        <v>0.32</v>
      </c>
      <c r="B938">
        <v>0.31819999999999998</v>
      </c>
      <c r="C938">
        <v>0.21</v>
      </c>
      <c r="D938">
        <v>0.16420000000000001</v>
      </c>
      <c r="E938">
        <v>12</v>
      </c>
      <c r="F938">
        <v>62</v>
      </c>
      <c r="G938">
        <v>74</v>
      </c>
    </row>
    <row r="939" spans="1:7" x14ac:dyDescent="0.35">
      <c r="A939">
        <v>0.3</v>
      </c>
      <c r="B939">
        <v>0.28789999999999999</v>
      </c>
      <c r="C939">
        <v>0.28000000000000003</v>
      </c>
      <c r="D939">
        <v>0.19400000000000001</v>
      </c>
      <c r="E939">
        <v>14</v>
      </c>
      <c r="F939">
        <v>111</v>
      </c>
      <c r="G939">
        <v>125</v>
      </c>
    </row>
    <row r="940" spans="1:7" x14ac:dyDescent="0.35">
      <c r="A940">
        <v>0.3</v>
      </c>
      <c r="B940">
        <v>0.33329999999999999</v>
      </c>
      <c r="C940">
        <v>0.24</v>
      </c>
      <c r="D940">
        <v>0</v>
      </c>
      <c r="E940">
        <v>18</v>
      </c>
      <c r="F940">
        <v>193</v>
      </c>
      <c r="G940">
        <v>211</v>
      </c>
    </row>
    <row r="941" spans="1:7" x14ac:dyDescent="0.35">
      <c r="A941">
        <v>0.28000000000000003</v>
      </c>
      <c r="B941">
        <v>0.31819999999999998</v>
      </c>
      <c r="C941">
        <v>0.28000000000000003</v>
      </c>
      <c r="D941">
        <v>0</v>
      </c>
      <c r="E941">
        <v>9</v>
      </c>
      <c r="F941">
        <v>165</v>
      </c>
      <c r="G941">
        <v>174</v>
      </c>
    </row>
    <row r="942" spans="1:7" x14ac:dyDescent="0.35">
      <c r="A942">
        <v>0.26</v>
      </c>
      <c r="B942">
        <v>0.30299999999999999</v>
      </c>
      <c r="C942">
        <v>0.33</v>
      </c>
      <c r="D942">
        <v>0</v>
      </c>
      <c r="E942">
        <v>7</v>
      </c>
      <c r="F942">
        <v>94</v>
      </c>
      <c r="G942">
        <v>101</v>
      </c>
    </row>
    <row r="943" spans="1:7" x14ac:dyDescent="0.35">
      <c r="A943">
        <v>0.22</v>
      </c>
      <c r="B943">
        <v>0.2273</v>
      </c>
      <c r="C943">
        <v>0.55000000000000004</v>
      </c>
      <c r="D943">
        <v>0.1343</v>
      </c>
      <c r="E943">
        <v>2</v>
      </c>
      <c r="F943">
        <v>61</v>
      </c>
      <c r="G943">
        <v>63</v>
      </c>
    </row>
    <row r="944" spans="1:7" x14ac:dyDescent="0.35">
      <c r="A944">
        <v>0.2</v>
      </c>
      <c r="B944">
        <v>0.21210000000000001</v>
      </c>
      <c r="C944">
        <v>0.59</v>
      </c>
      <c r="D944">
        <v>0.1343</v>
      </c>
      <c r="E944">
        <v>1</v>
      </c>
      <c r="F944">
        <v>46</v>
      </c>
      <c r="G944">
        <v>47</v>
      </c>
    </row>
    <row r="945" spans="1:7" x14ac:dyDescent="0.35">
      <c r="A945">
        <v>0.2</v>
      </c>
      <c r="B945">
        <v>0.2273</v>
      </c>
      <c r="C945">
        <v>0.64</v>
      </c>
      <c r="D945">
        <v>8.9599999999999999E-2</v>
      </c>
      <c r="E945">
        <v>2</v>
      </c>
      <c r="F945">
        <v>41</v>
      </c>
      <c r="G945">
        <v>43</v>
      </c>
    </row>
    <row r="946" spans="1:7" x14ac:dyDescent="0.35">
      <c r="A946">
        <v>0.18</v>
      </c>
      <c r="B946">
        <v>0.2424</v>
      </c>
      <c r="C946">
        <v>0.69</v>
      </c>
      <c r="D946">
        <v>0</v>
      </c>
      <c r="E946">
        <v>5</v>
      </c>
      <c r="F946">
        <v>48</v>
      </c>
      <c r="G946">
        <v>53</v>
      </c>
    </row>
    <row r="947" spans="1:7" x14ac:dyDescent="0.35">
      <c r="A947">
        <v>0.16</v>
      </c>
      <c r="B947">
        <v>0.19700000000000001</v>
      </c>
      <c r="C947">
        <v>0.69</v>
      </c>
      <c r="D947">
        <v>8.9599999999999999E-2</v>
      </c>
      <c r="E947">
        <v>3</v>
      </c>
      <c r="F947">
        <v>27</v>
      </c>
      <c r="G947">
        <v>30</v>
      </c>
    </row>
    <row r="948" spans="1:7" x14ac:dyDescent="0.35">
      <c r="A948">
        <v>0.14000000000000001</v>
      </c>
      <c r="B948">
        <v>0.21210000000000001</v>
      </c>
      <c r="C948">
        <v>0.86</v>
      </c>
      <c r="D948">
        <v>0</v>
      </c>
      <c r="E948">
        <v>2</v>
      </c>
      <c r="F948">
        <v>22</v>
      </c>
      <c r="G948">
        <v>24</v>
      </c>
    </row>
    <row r="949" spans="1:7" x14ac:dyDescent="0.35">
      <c r="A949">
        <v>0.14000000000000001</v>
      </c>
      <c r="B949">
        <v>0.21210000000000001</v>
      </c>
      <c r="C949">
        <v>0.8</v>
      </c>
      <c r="D949">
        <v>0</v>
      </c>
      <c r="E949">
        <v>2</v>
      </c>
      <c r="F949">
        <v>13</v>
      </c>
      <c r="G949">
        <v>15</v>
      </c>
    </row>
    <row r="950" spans="1:7" x14ac:dyDescent="0.35">
      <c r="A950">
        <v>0.12</v>
      </c>
      <c r="B950">
        <v>0.19700000000000001</v>
      </c>
      <c r="C950">
        <v>0.8</v>
      </c>
      <c r="D950">
        <v>0</v>
      </c>
      <c r="E950">
        <v>3</v>
      </c>
      <c r="F950">
        <v>7</v>
      </c>
      <c r="G950">
        <v>10</v>
      </c>
    </row>
    <row r="951" spans="1:7" x14ac:dyDescent="0.35">
      <c r="A951">
        <v>0.12</v>
      </c>
      <c r="B951">
        <v>0.16669999999999999</v>
      </c>
      <c r="C951">
        <v>0.74</v>
      </c>
      <c r="D951">
        <v>8.9599999999999999E-2</v>
      </c>
      <c r="E951">
        <v>0</v>
      </c>
      <c r="F951">
        <v>4</v>
      </c>
      <c r="G951">
        <v>4</v>
      </c>
    </row>
    <row r="952" spans="1:7" x14ac:dyDescent="0.35">
      <c r="A952">
        <v>0.12</v>
      </c>
      <c r="B952">
        <v>0.16669999999999999</v>
      </c>
      <c r="C952">
        <v>0.74</v>
      </c>
      <c r="D952">
        <v>8.9599999999999999E-2</v>
      </c>
      <c r="E952">
        <v>0</v>
      </c>
      <c r="F952">
        <v>1</v>
      </c>
      <c r="G952">
        <v>1</v>
      </c>
    </row>
    <row r="953" spans="1:7" x14ac:dyDescent="0.35">
      <c r="A953">
        <v>0.12</v>
      </c>
      <c r="B953">
        <v>0.13639999999999999</v>
      </c>
      <c r="C953">
        <v>0.93</v>
      </c>
      <c r="D953">
        <v>0.19400000000000001</v>
      </c>
      <c r="E953">
        <v>1</v>
      </c>
      <c r="F953">
        <v>1</v>
      </c>
      <c r="G953">
        <v>2</v>
      </c>
    </row>
    <row r="954" spans="1:7" x14ac:dyDescent="0.35">
      <c r="A954">
        <v>0.12</v>
      </c>
      <c r="B954">
        <v>0.1515</v>
      </c>
      <c r="C954">
        <v>0.8</v>
      </c>
      <c r="D954">
        <v>0.1045</v>
      </c>
      <c r="E954">
        <v>2</v>
      </c>
      <c r="F954">
        <v>9</v>
      </c>
      <c r="G954">
        <v>11</v>
      </c>
    </row>
    <row r="955" spans="1:7" x14ac:dyDescent="0.35">
      <c r="A955">
        <v>0.14000000000000001</v>
      </c>
      <c r="B955">
        <v>0.1515</v>
      </c>
      <c r="C955">
        <v>0.86</v>
      </c>
      <c r="D955">
        <v>0.1343</v>
      </c>
      <c r="E955">
        <v>2</v>
      </c>
      <c r="F955">
        <v>28</v>
      </c>
      <c r="G955">
        <v>30</v>
      </c>
    </row>
    <row r="956" spans="1:7" x14ac:dyDescent="0.35">
      <c r="A956">
        <v>0.16</v>
      </c>
      <c r="B956">
        <v>0.18179999999999999</v>
      </c>
      <c r="C956">
        <v>0.64</v>
      </c>
      <c r="D956">
        <v>0.1343</v>
      </c>
      <c r="E956">
        <v>5</v>
      </c>
      <c r="F956">
        <v>38</v>
      </c>
      <c r="G956">
        <v>43</v>
      </c>
    </row>
    <row r="957" spans="1:7" x14ac:dyDescent="0.35">
      <c r="A957">
        <v>0.22</v>
      </c>
      <c r="B957">
        <v>0.21210000000000001</v>
      </c>
      <c r="C957">
        <v>0.41</v>
      </c>
      <c r="D957">
        <v>0.25369999999999998</v>
      </c>
      <c r="E957">
        <v>13</v>
      </c>
      <c r="F957">
        <v>71</v>
      </c>
      <c r="G957">
        <v>84</v>
      </c>
    </row>
    <row r="958" spans="1:7" x14ac:dyDescent="0.35">
      <c r="A958">
        <v>0.3</v>
      </c>
      <c r="B958">
        <v>0.2727</v>
      </c>
      <c r="C958">
        <v>0.28000000000000003</v>
      </c>
      <c r="D958">
        <v>0.32840000000000003</v>
      </c>
      <c r="E958">
        <v>30</v>
      </c>
      <c r="F958">
        <v>84</v>
      </c>
      <c r="G958">
        <v>114</v>
      </c>
    </row>
    <row r="959" spans="1:7" x14ac:dyDescent="0.35">
      <c r="A959">
        <v>0.3</v>
      </c>
      <c r="B959">
        <v>0.2727</v>
      </c>
      <c r="C959">
        <v>0.39</v>
      </c>
      <c r="D959">
        <v>0.4627</v>
      </c>
      <c r="E959">
        <v>27</v>
      </c>
      <c r="F959">
        <v>93</v>
      </c>
      <c r="G959">
        <v>120</v>
      </c>
    </row>
    <row r="960" spans="1:7" x14ac:dyDescent="0.35">
      <c r="A960">
        <v>0.3</v>
      </c>
      <c r="B960">
        <v>0.2727</v>
      </c>
      <c r="C960">
        <v>0.39</v>
      </c>
      <c r="D960">
        <v>0.41789999999999999</v>
      </c>
      <c r="E960">
        <v>32</v>
      </c>
      <c r="F960">
        <v>103</v>
      </c>
      <c r="G960">
        <v>135</v>
      </c>
    </row>
    <row r="961" spans="1:7" x14ac:dyDescent="0.35">
      <c r="A961">
        <v>0.34</v>
      </c>
      <c r="B961">
        <v>0.31819999999999998</v>
      </c>
      <c r="C961">
        <v>0.31</v>
      </c>
      <c r="D961">
        <v>0.28360000000000002</v>
      </c>
      <c r="E961">
        <v>30</v>
      </c>
      <c r="F961">
        <v>90</v>
      </c>
      <c r="G961">
        <v>120</v>
      </c>
    </row>
    <row r="962" spans="1:7" x14ac:dyDescent="0.35">
      <c r="A962">
        <v>0.34</v>
      </c>
      <c r="B962">
        <v>0.30299999999999999</v>
      </c>
      <c r="C962">
        <v>0.28999999999999998</v>
      </c>
      <c r="D962">
        <v>0.41789999999999999</v>
      </c>
      <c r="E962">
        <v>47</v>
      </c>
      <c r="F962">
        <v>127</v>
      </c>
      <c r="G962">
        <v>174</v>
      </c>
    </row>
    <row r="963" spans="1:7" x14ac:dyDescent="0.35">
      <c r="A963">
        <v>0.34</v>
      </c>
      <c r="B963">
        <v>0.30299999999999999</v>
      </c>
      <c r="C963">
        <v>0.28999999999999998</v>
      </c>
      <c r="D963">
        <v>0.41789999999999999</v>
      </c>
      <c r="E963">
        <v>42</v>
      </c>
      <c r="F963">
        <v>103</v>
      </c>
      <c r="G963">
        <v>145</v>
      </c>
    </row>
    <row r="964" spans="1:7" x14ac:dyDescent="0.35">
      <c r="A964">
        <v>0.32</v>
      </c>
      <c r="B964">
        <v>0.28789999999999999</v>
      </c>
      <c r="C964">
        <v>0.31</v>
      </c>
      <c r="D964">
        <v>0.52239999999999998</v>
      </c>
      <c r="E964">
        <v>24</v>
      </c>
      <c r="F964">
        <v>113</v>
      </c>
      <c r="G964">
        <v>137</v>
      </c>
    </row>
    <row r="965" spans="1:7" x14ac:dyDescent="0.35">
      <c r="A965">
        <v>0.28000000000000003</v>
      </c>
      <c r="B965">
        <v>0.2576</v>
      </c>
      <c r="C965">
        <v>0.38</v>
      </c>
      <c r="D965">
        <v>0.32840000000000003</v>
      </c>
      <c r="E965">
        <v>4</v>
      </c>
      <c r="F965">
        <v>60</v>
      </c>
      <c r="G965">
        <v>64</v>
      </c>
    </row>
    <row r="966" spans="1:7" x14ac:dyDescent="0.35">
      <c r="A966">
        <v>0.28000000000000003</v>
      </c>
      <c r="B966">
        <v>0.2727</v>
      </c>
      <c r="C966">
        <v>0.38</v>
      </c>
      <c r="D966">
        <v>0.16420000000000001</v>
      </c>
      <c r="E966">
        <v>2</v>
      </c>
      <c r="F966">
        <v>39</v>
      </c>
      <c r="G966">
        <v>41</v>
      </c>
    </row>
    <row r="967" spans="1:7" x14ac:dyDescent="0.35">
      <c r="A967">
        <v>0.26</v>
      </c>
      <c r="B967">
        <v>0.2576</v>
      </c>
      <c r="C967">
        <v>0.41</v>
      </c>
      <c r="D967">
        <v>0.22389999999999999</v>
      </c>
      <c r="E967">
        <v>1</v>
      </c>
      <c r="F967">
        <v>39</v>
      </c>
      <c r="G967">
        <v>40</v>
      </c>
    </row>
    <row r="968" spans="1:7" x14ac:dyDescent="0.35">
      <c r="A968">
        <v>0.26</v>
      </c>
      <c r="B968">
        <v>0.30299999999999999</v>
      </c>
      <c r="C968">
        <v>0.41</v>
      </c>
      <c r="D968">
        <v>0</v>
      </c>
      <c r="E968">
        <v>9</v>
      </c>
      <c r="F968">
        <v>42</v>
      </c>
      <c r="G968">
        <v>51</v>
      </c>
    </row>
    <row r="969" spans="1:7" x14ac:dyDescent="0.35">
      <c r="A969">
        <v>0.24</v>
      </c>
      <c r="B969">
        <v>0.2576</v>
      </c>
      <c r="C969">
        <v>0.44</v>
      </c>
      <c r="D969">
        <v>8.9599999999999999E-2</v>
      </c>
      <c r="E969">
        <v>6</v>
      </c>
      <c r="F969">
        <v>39</v>
      </c>
      <c r="G969">
        <v>45</v>
      </c>
    </row>
    <row r="970" spans="1:7" x14ac:dyDescent="0.35">
      <c r="A970">
        <v>0.22</v>
      </c>
      <c r="B970">
        <v>0.2273</v>
      </c>
      <c r="C970">
        <v>0.51</v>
      </c>
      <c r="D970">
        <v>0.1343</v>
      </c>
      <c r="E970">
        <v>1</v>
      </c>
      <c r="F970">
        <v>31</v>
      </c>
      <c r="G970">
        <v>32</v>
      </c>
    </row>
    <row r="971" spans="1:7" x14ac:dyDescent="0.35">
      <c r="A971">
        <v>0.2</v>
      </c>
      <c r="B971">
        <v>0.2273</v>
      </c>
      <c r="C971">
        <v>0.64</v>
      </c>
      <c r="D971">
        <v>0.1045</v>
      </c>
      <c r="E971">
        <v>5</v>
      </c>
      <c r="F971">
        <v>34</v>
      </c>
      <c r="G971">
        <v>39</v>
      </c>
    </row>
    <row r="972" spans="1:7" x14ac:dyDescent="0.35">
      <c r="A972">
        <v>0.2</v>
      </c>
      <c r="B972">
        <v>0.2273</v>
      </c>
      <c r="C972">
        <v>0.59</v>
      </c>
      <c r="D972">
        <v>8.9599999999999999E-2</v>
      </c>
      <c r="E972">
        <v>1</v>
      </c>
      <c r="F972">
        <v>23</v>
      </c>
      <c r="G972">
        <v>24</v>
      </c>
    </row>
    <row r="973" spans="1:7" x14ac:dyDescent="0.35">
      <c r="A973">
        <v>0.2</v>
      </c>
      <c r="B973">
        <v>0.2273</v>
      </c>
      <c r="C973">
        <v>0.75</v>
      </c>
      <c r="D973">
        <v>8.9599999999999999E-2</v>
      </c>
      <c r="E973">
        <v>1</v>
      </c>
      <c r="F973">
        <v>19</v>
      </c>
      <c r="G973">
        <v>20</v>
      </c>
    </row>
    <row r="974" spans="1:7" x14ac:dyDescent="0.35">
      <c r="A974">
        <v>0.2</v>
      </c>
      <c r="B974">
        <v>0.2273</v>
      </c>
      <c r="C974">
        <v>0.69</v>
      </c>
      <c r="D974">
        <v>0.1045</v>
      </c>
      <c r="E974">
        <v>4</v>
      </c>
      <c r="F974">
        <v>8</v>
      </c>
      <c r="G974">
        <v>12</v>
      </c>
    </row>
    <row r="975" spans="1:7" x14ac:dyDescent="0.35">
      <c r="A975">
        <v>0.2</v>
      </c>
      <c r="B975">
        <v>0.21210000000000001</v>
      </c>
      <c r="C975">
        <v>0.69</v>
      </c>
      <c r="D975">
        <v>0.16420000000000001</v>
      </c>
      <c r="E975">
        <v>0</v>
      </c>
      <c r="F975">
        <v>2</v>
      </c>
      <c r="G975">
        <v>2</v>
      </c>
    </row>
    <row r="976" spans="1:7" x14ac:dyDescent="0.35">
      <c r="A976">
        <v>0.2</v>
      </c>
      <c r="B976">
        <v>0.21210000000000001</v>
      </c>
      <c r="C976">
        <v>0.69</v>
      </c>
      <c r="D976">
        <v>0.1343</v>
      </c>
      <c r="E976">
        <v>2</v>
      </c>
      <c r="F976">
        <v>3</v>
      </c>
      <c r="G976">
        <v>5</v>
      </c>
    </row>
    <row r="977" spans="1:7" x14ac:dyDescent="0.35">
      <c r="A977">
        <v>0.22</v>
      </c>
      <c r="B977">
        <v>0.2727</v>
      </c>
      <c r="C977">
        <v>0.55000000000000004</v>
      </c>
      <c r="D977">
        <v>0</v>
      </c>
      <c r="E977">
        <v>0</v>
      </c>
      <c r="F977">
        <v>3</v>
      </c>
      <c r="G977">
        <v>3</v>
      </c>
    </row>
    <row r="978" spans="1:7" x14ac:dyDescent="0.35">
      <c r="A978">
        <v>0.22</v>
      </c>
      <c r="B978">
        <v>0.2273</v>
      </c>
      <c r="C978">
        <v>0.64</v>
      </c>
      <c r="D978">
        <v>0.19400000000000001</v>
      </c>
      <c r="E978">
        <v>1</v>
      </c>
      <c r="F978">
        <v>11</v>
      </c>
      <c r="G978">
        <v>12</v>
      </c>
    </row>
    <row r="979" spans="1:7" x14ac:dyDescent="0.35">
      <c r="A979">
        <v>0.24</v>
      </c>
      <c r="B979">
        <v>0.2273</v>
      </c>
      <c r="C979">
        <v>0.6</v>
      </c>
      <c r="D979">
        <v>0.22389999999999999</v>
      </c>
      <c r="E979">
        <v>12</v>
      </c>
      <c r="F979">
        <v>35</v>
      </c>
      <c r="G979">
        <v>47</v>
      </c>
    </row>
    <row r="980" spans="1:7" x14ac:dyDescent="0.35">
      <c r="A980">
        <v>0.3</v>
      </c>
      <c r="B980">
        <v>0.2727</v>
      </c>
      <c r="C980">
        <v>0.45</v>
      </c>
      <c r="D980">
        <v>0.32840000000000003</v>
      </c>
      <c r="E980">
        <v>19</v>
      </c>
      <c r="F980">
        <v>86</v>
      </c>
      <c r="G980">
        <v>105</v>
      </c>
    </row>
    <row r="981" spans="1:7" x14ac:dyDescent="0.35">
      <c r="A981">
        <v>0.32</v>
      </c>
      <c r="B981">
        <v>0.28789999999999999</v>
      </c>
      <c r="C981">
        <v>0.39</v>
      </c>
      <c r="D981">
        <v>0.44779999999999998</v>
      </c>
      <c r="E981">
        <v>26</v>
      </c>
      <c r="F981">
        <v>86</v>
      </c>
      <c r="G981">
        <v>112</v>
      </c>
    </row>
    <row r="982" spans="1:7" x14ac:dyDescent="0.35">
      <c r="A982">
        <v>0.36</v>
      </c>
      <c r="B982">
        <v>0.31819999999999998</v>
      </c>
      <c r="C982">
        <v>0.32</v>
      </c>
      <c r="D982">
        <v>0.4627</v>
      </c>
      <c r="E982">
        <v>58</v>
      </c>
      <c r="F982">
        <v>94</v>
      </c>
      <c r="G982">
        <v>152</v>
      </c>
    </row>
    <row r="983" spans="1:7" x14ac:dyDescent="0.35">
      <c r="A983">
        <v>0.38</v>
      </c>
      <c r="B983">
        <v>0.39389999999999997</v>
      </c>
      <c r="C983">
        <v>0.28999999999999998</v>
      </c>
      <c r="D983">
        <v>0.35820000000000002</v>
      </c>
      <c r="E983">
        <v>62</v>
      </c>
      <c r="F983">
        <v>92</v>
      </c>
      <c r="G983">
        <v>154</v>
      </c>
    </row>
    <row r="984" spans="1:7" x14ac:dyDescent="0.35">
      <c r="A984">
        <v>0.4</v>
      </c>
      <c r="B984">
        <v>0.40910000000000002</v>
      </c>
      <c r="C984">
        <v>0.3</v>
      </c>
      <c r="D984">
        <v>0.41789999999999999</v>
      </c>
      <c r="E984">
        <v>51</v>
      </c>
      <c r="F984">
        <v>110</v>
      </c>
      <c r="G984">
        <v>161</v>
      </c>
    </row>
    <row r="985" spans="1:7" x14ac:dyDescent="0.35">
      <c r="A985">
        <v>0.4</v>
      </c>
      <c r="B985">
        <v>0.40910000000000002</v>
      </c>
      <c r="C985">
        <v>0.3</v>
      </c>
      <c r="D985">
        <v>0.29849999999999999</v>
      </c>
      <c r="E985">
        <v>40</v>
      </c>
      <c r="F985">
        <v>122</v>
      </c>
      <c r="G985">
        <v>162</v>
      </c>
    </row>
    <row r="986" spans="1:7" x14ac:dyDescent="0.35">
      <c r="A986">
        <v>0.42</v>
      </c>
      <c r="B986">
        <v>0.42420000000000002</v>
      </c>
      <c r="C986">
        <v>0.28000000000000003</v>
      </c>
      <c r="D986">
        <v>0.32840000000000003</v>
      </c>
      <c r="E986">
        <v>28</v>
      </c>
      <c r="F986">
        <v>106</v>
      </c>
      <c r="G986">
        <v>134</v>
      </c>
    </row>
    <row r="987" spans="1:7" x14ac:dyDescent="0.35">
      <c r="A987">
        <v>0.42</v>
      </c>
      <c r="B987">
        <v>0.42420000000000002</v>
      </c>
      <c r="C987">
        <v>0.28000000000000003</v>
      </c>
      <c r="D987">
        <v>0.32840000000000003</v>
      </c>
      <c r="E987">
        <v>30</v>
      </c>
      <c r="F987">
        <v>95</v>
      </c>
      <c r="G987">
        <v>125</v>
      </c>
    </row>
    <row r="988" spans="1:7" x14ac:dyDescent="0.35">
      <c r="A988">
        <v>0.4</v>
      </c>
      <c r="B988">
        <v>0.40910000000000002</v>
      </c>
      <c r="C988">
        <v>0.32</v>
      </c>
      <c r="D988">
        <v>0.29849999999999999</v>
      </c>
      <c r="E988">
        <v>17</v>
      </c>
      <c r="F988">
        <v>78</v>
      </c>
      <c r="G988">
        <v>95</v>
      </c>
    </row>
    <row r="989" spans="1:7" x14ac:dyDescent="0.35">
      <c r="A989">
        <v>0.4</v>
      </c>
      <c r="B989">
        <v>0.40910000000000002</v>
      </c>
      <c r="C989">
        <v>0.35</v>
      </c>
      <c r="D989">
        <v>0.28360000000000002</v>
      </c>
      <c r="E989">
        <v>11</v>
      </c>
      <c r="F989">
        <v>50</v>
      </c>
      <c r="G989">
        <v>61</v>
      </c>
    </row>
    <row r="990" spans="1:7" x14ac:dyDescent="0.35">
      <c r="A990">
        <v>0.4</v>
      </c>
      <c r="B990">
        <v>0.40910000000000002</v>
      </c>
      <c r="C990">
        <v>0.35</v>
      </c>
      <c r="D990">
        <v>0.32840000000000003</v>
      </c>
      <c r="E990">
        <v>15</v>
      </c>
      <c r="F990">
        <v>32</v>
      </c>
      <c r="G990">
        <v>47</v>
      </c>
    </row>
    <row r="991" spans="1:7" x14ac:dyDescent="0.35">
      <c r="A991">
        <v>0.4</v>
      </c>
      <c r="B991">
        <v>0.40910000000000002</v>
      </c>
      <c r="C991">
        <v>0.35</v>
      </c>
      <c r="D991">
        <v>0.35820000000000002</v>
      </c>
      <c r="E991">
        <v>6</v>
      </c>
      <c r="F991">
        <v>45</v>
      </c>
      <c r="G991">
        <v>51</v>
      </c>
    </row>
    <row r="992" spans="1:7" x14ac:dyDescent="0.35">
      <c r="A992">
        <v>0.4</v>
      </c>
      <c r="B992">
        <v>0.40910000000000002</v>
      </c>
      <c r="C992">
        <v>0.35</v>
      </c>
      <c r="D992">
        <v>0.29849999999999999</v>
      </c>
      <c r="E992">
        <v>5</v>
      </c>
      <c r="F992">
        <v>31</v>
      </c>
      <c r="G992">
        <v>36</v>
      </c>
    </row>
    <row r="993" spans="1:7" x14ac:dyDescent="0.35">
      <c r="A993">
        <v>0.4</v>
      </c>
      <c r="B993">
        <v>0.40910000000000002</v>
      </c>
      <c r="C993">
        <v>0.35</v>
      </c>
      <c r="D993">
        <v>0.35820000000000002</v>
      </c>
      <c r="E993">
        <v>3</v>
      </c>
      <c r="F993">
        <v>27</v>
      </c>
      <c r="G993">
        <v>30</v>
      </c>
    </row>
    <row r="994" spans="1:7" x14ac:dyDescent="0.35">
      <c r="A994">
        <v>0.38</v>
      </c>
      <c r="B994">
        <v>0.39389999999999997</v>
      </c>
      <c r="C994">
        <v>0.37</v>
      </c>
      <c r="D994">
        <v>0.35820000000000002</v>
      </c>
      <c r="E994">
        <v>3</v>
      </c>
      <c r="F994">
        <v>8</v>
      </c>
      <c r="G994">
        <v>11</v>
      </c>
    </row>
    <row r="995" spans="1:7" x14ac:dyDescent="0.35">
      <c r="A995">
        <v>0.38</v>
      </c>
      <c r="B995">
        <v>0.39389999999999997</v>
      </c>
      <c r="C995">
        <v>0.37</v>
      </c>
      <c r="D995">
        <v>0.35820000000000002</v>
      </c>
      <c r="E995">
        <v>1</v>
      </c>
      <c r="F995">
        <v>6</v>
      </c>
      <c r="G995">
        <v>7</v>
      </c>
    </row>
    <row r="996" spans="1:7" x14ac:dyDescent="0.35">
      <c r="A996">
        <v>0.36</v>
      </c>
      <c r="B996">
        <v>0.33329999999999999</v>
      </c>
      <c r="C996">
        <v>0.4</v>
      </c>
      <c r="D996">
        <v>0.29849999999999999</v>
      </c>
      <c r="E996">
        <v>0</v>
      </c>
      <c r="F996">
        <v>2</v>
      </c>
      <c r="G996">
        <v>2</v>
      </c>
    </row>
    <row r="997" spans="1:7" x14ac:dyDescent="0.35">
      <c r="A997">
        <v>0.34</v>
      </c>
      <c r="B997">
        <v>0.31819999999999998</v>
      </c>
      <c r="C997">
        <v>0.46</v>
      </c>
      <c r="D997">
        <v>0.22389999999999999</v>
      </c>
      <c r="E997">
        <v>1</v>
      </c>
      <c r="F997">
        <v>1</v>
      </c>
      <c r="G997">
        <v>2</v>
      </c>
    </row>
    <row r="998" spans="1:7" x14ac:dyDescent="0.35">
      <c r="A998">
        <v>0.32</v>
      </c>
      <c r="B998">
        <v>0.30299999999999999</v>
      </c>
      <c r="C998">
        <v>0.53</v>
      </c>
      <c r="D998">
        <v>0.28360000000000002</v>
      </c>
      <c r="E998">
        <v>0</v>
      </c>
      <c r="F998">
        <v>2</v>
      </c>
      <c r="G998">
        <v>2</v>
      </c>
    </row>
    <row r="999" spans="1:7" x14ac:dyDescent="0.35">
      <c r="A999">
        <v>0.32</v>
      </c>
      <c r="B999">
        <v>0.30299999999999999</v>
      </c>
      <c r="C999">
        <v>0.53</v>
      </c>
      <c r="D999">
        <v>0.28360000000000002</v>
      </c>
      <c r="E999">
        <v>0</v>
      </c>
      <c r="F999">
        <v>3</v>
      </c>
      <c r="G999">
        <v>3</v>
      </c>
    </row>
    <row r="1000" spans="1:7" x14ac:dyDescent="0.35">
      <c r="A1000">
        <v>0.34</v>
      </c>
      <c r="B1000">
        <v>0.30299999999999999</v>
      </c>
      <c r="C1000">
        <v>0.46</v>
      </c>
      <c r="D1000">
        <v>0.29849999999999999</v>
      </c>
      <c r="E1000">
        <v>1</v>
      </c>
      <c r="F1000">
        <v>25</v>
      </c>
      <c r="G1000">
        <v>26</v>
      </c>
    </row>
    <row r="1001" spans="1:7" x14ac:dyDescent="0.35">
      <c r="A1001">
        <v>0.34</v>
      </c>
      <c r="B1001">
        <v>0.30299999999999999</v>
      </c>
      <c r="C1001">
        <v>0.46</v>
      </c>
      <c r="D1001">
        <v>0.29849999999999999</v>
      </c>
      <c r="E1001">
        <v>2</v>
      </c>
      <c r="F1001">
        <v>96</v>
      </c>
      <c r="G1001">
        <v>98</v>
      </c>
    </row>
  </sheetData>
  <conditionalFormatting sqref="C2:C1001">
    <cfRule type="dataBar" priority="3">
      <dataBar>
        <cfvo type="min"/>
        <cfvo type="max"/>
        <color rgb="FFFF555A"/>
      </dataBar>
      <extLst>
        <ext xmlns:x14="http://schemas.microsoft.com/office/spreadsheetml/2009/9/main" uri="{B025F937-C7B1-47D3-B67F-A62EFF666E3E}">
          <x14:id>{5CB4D2E0-DE18-4D1A-BF12-497F3EB8F738}</x14:id>
        </ext>
      </extLst>
    </cfRule>
  </conditionalFormatting>
  <conditionalFormatting sqref="D2:D1001">
    <cfRule type="dataBar" priority="4">
      <dataBar>
        <cfvo type="min"/>
        <cfvo type="max"/>
        <color rgb="FF638EC6"/>
      </dataBar>
      <extLst>
        <ext xmlns:x14="http://schemas.microsoft.com/office/spreadsheetml/2009/9/main" uri="{B025F937-C7B1-47D3-B67F-A62EFF666E3E}">
          <x14:id>{C4D679C2-6580-4E1A-8C0A-8633711DADF6}</x14:id>
        </ext>
      </extLst>
    </cfRule>
  </conditionalFormatting>
  <conditionalFormatting sqref="G1:G1001">
    <cfRule type="colorScale" priority="5">
      <colorScale>
        <cfvo type="min"/>
        <cfvo type="percentile" val="50"/>
        <cfvo type="max"/>
        <color rgb="FFF8696B"/>
        <color rgb="FFFFEB84"/>
        <color rgb="FF63BE7B"/>
      </colorScale>
    </cfRule>
  </conditionalFormatting>
  <conditionalFormatting sqref="I7:P14">
    <cfRule type="colorScale" priority="2">
      <colorScale>
        <cfvo type="min"/>
        <cfvo type="percentile" val="50"/>
        <cfvo type="max"/>
        <color rgb="FFF8696B"/>
        <color rgb="FFFFEB84"/>
        <color rgb="FF63BE7B"/>
      </colorScale>
    </cfRule>
  </conditionalFormatting>
  <conditionalFormatting sqref="J8:P14">
    <cfRule type="colorScale" priority="1">
      <colorScale>
        <cfvo type="num" val="-1"/>
        <cfvo type="num" val="0"/>
        <cfvo type="num" val="1"/>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CB4D2E0-DE18-4D1A-BF12-497F3EB8F738}">
            <x14:dataBar minLength="0" maxLength="100" border="1" negativeBarBorderColorSameAsPositive="0">
              <x14:cfvo type="autoMin"/>
              <x14:cfvo type="autoMax"/>
              <x14:borderColor rgb="FFFF555A"/>
              <x14:negativeFillColor rgb="FFFF0000"/>
              <x14:negativeBorderColor rgb="FFFF0000"/>
              <x14:axisColor rgb="FF000000"/>
            </x14:dataBar>
          </x14:cfRule>
          <xm:sqref>C2:C1001</xm:sqref>
        </x14:conditionalFormatting>
        <x14:conditionalFormatting xmlns:xm="http://schemas.microsoft.com/office/excel/2006/main">
          <x14:cfRule type="dataBar" id="{C4D679C2-6580-4E1A-8C0A-8633711DADF6}">
            <x14:dataBar minLength="0" maxLength="100" border="1" negativeBarBorderColorSameAsPositive="0">
              <x14:cfvo type="autoMin"/>
              <x14:cfvo type="autoMax"/>
              <x14:borderColor rgb="FF638EC6"/>
              <x14:negativeFillColor rgb="FFFF0000"/>
              <x14:negativeBorderColor rgb="FFFF0000"/>
              <x14:axisColor rgb="FF000000"/>
            </x14:dataBar>
          </x14:cfRule>
          <xm:sqref>D2:D1001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3579-44A1-42D5-BF2D-0DC54BBE72E9}">
  <dimension ref="A1:AN1001"/>
  <sheetViews>
    <sheetView topLeftCell="U26" zoomScale="95" zoomScaleNormal="95" workbookViewId="0">
      <selection activeCell="Y38" sqref="Y38"/>
    </sheetView>
  </sheetViews>
  <sheetFormatPr defaultRowHeight="14.5" x14ac:dyDescent="0.35"/>
  <cols>
    <col min="2" max="2" width="13.6328125" customWidth="1"/>
    <col min="13" max="13" width="9.08984375" customWidth="1"/>
    <col min="24" max="24" width="16.54296875" customWidth="1"/>
    <col min="25" max="25" width="10.54296875" bestFit="1" customWidth="1"/>
    <col min="26" max="26" width="11.26953125" customWidth="1"/>
    <col min="29" max="29" width="13.90625" customWidth="1"/>
    <col min="31" max="31" width="13" customWidth="1"/>
    <col min="32" max="32" width="15.36328125" customWidth="1"/>
    <col min="33" max="33" width="12.1796875" customWidth="1"/>
    <col min="34" max="34" width="11.81640625" customWidth="1"/>
    <col min="36" max="36" width="11.453125" customWidth="1"/>
    <col min="39" max="39" width="17.6328125" customWidth="1"/>
    <col min="40" max="40" width="10.54296875" bestFit="1" customWidth="1"/>
  </cols>
  <sheetData>
    <row r="1" spans="1:40" x14ac:dyDescent="0.35">
      <c r="A1" t="s">
        <v>28</v>
      </c>
      <c r="B1" t="s">
        <v>27</v>
      </c>
      <c r="C1" s="2" t="s">
        <v>29</v>
      </c>
      <c r="D1" t="s">
        <v>30</v>
      </c>
      <c r="E1" t="s">
        <v>31</v>
      </c>
      <c r="F1" t="s">
        <v>26</v>
      </c>
      <c r="G1" t="s">
        <v>32</v>
      </c>
      <c r="H1" t="s">
        <v>33</v>
      </c>
      <c r="I1" t="s">
        <v>34</v>
      </c>
      <c r="J1" t="s">
        <v>35</v>
      </c>
      <c r="K1" t="s">
        <v>45</v>
      </c>
      <c r="L1" t="s">
        <v>36</v>
      </c>
      <c r="M1" t="s">
        <v>37</v>
      </c>
      <c r="N1" t="s">
        <v>38</v>
      </c>
      <c r="O1" t="s">
        <v>39</v>
      </c>
      <c r="P1" t="s">
        <v>40</v>
      </c>
      <c r="Q1" t="s">
        <v>41</v>
      </c>
      <c r="R1" t="s">
        <v>42</v>
      </c>
      <c r="S1" t="s">
        <v>43</v>
      </c>
      <c r="T1" t="s">
        <v>44</v>
      </c>
    </row>
    <row r="2" spans="1:40" ht="15" thickBot="1" x14ac:dyDescent="0.4">
      <c r="A2">
        <v>1</v>
      </c>
      <c r="B2" s="1">
        <v>40544</v>
      </c>
      <c r="C2">
        <v>1</v>
      </c>
      <c r="D2">
        <v>0</v>
      </c>
      <c r="E2">
        <v>1</v>
      </c>
      <c r="F2" t="str">
        <f>IF(final_data787[[#This Row],[MONTH_CODE]]=1,"JANUARY",IF(final_data787[[#This Row],[MONTH_CODE]]=2,"FEBRUARY"))</f>
        <v>JANUARY</v>
      </c>
      <c r="G2">
        <v>0</v>
      </c>
      <c r="H2">
        <v>0</v>
      </c>
      <c r="I2">
        <v>6</v>
      </c>
      <c r="J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 t="str">
        <f>IF(final_data787[[#This Row],[DAY_CODE]]=0,"weekend",IF(final_data787[[#This Row],[DAY_CODE]]=1,"weekend","weekday"))</f>
        <v>weekday</v>
      </c>
      <c r="L2">
        <v>1</v>
      </c>
      <c r="M2" t="str">
        <f>IF(final_data787[[#This Row],[WEATHER_CODE]]=1,"clear",IF(final_data787[[#This Row],[WEATHER_CODE]]=2,"cloudy",IF(final_data787[[#This Row],[WEATHER_CODE]]=3,"light rain",IF(final_data787[[#This Row],[WEATHER_CODE]]=4,"heavy rain",0))))</f>
        <v>clear</v>
      </c>
      <c r="N2">
        <v>0.24</v>
      </c>
      <c r="O2">
        <v>0.28789999999999999</v>
      </c>
      <c r="P2">
        <v>0.81</v>
      </c>
      <c r="Q2">
        <v>0</v>
      </c>
      <c r="R2">
        <v>3</v>
      </c>
      <c r="S2">
        <v>13</v>
      </c>
      <c r="T2">
        <v>16</v>
      </c>
    </row>
    <row r="3" spans="1:40" ht="18.5" x14ac:dyDescent="0.45">
      <c r="A3">
        <v>2</v>
      </c>
      <c r="B3" s="1">
        <v>40544</v>
      </c>
      <c r="C3">
        <v>1</v>
      </c>
      <c r="D3">
        <v>0</v>
      </c>
      <c r="E3">
        <v>1</v>
      </c>
      <c r="F3" t="str">
        <f>IF(final_data787[[#This Row],[MONTH_CODE]]=1,"JANUARY",IF(final_data787[[#This Row],[MONTH_CODE]]=2,"FEBRUARY"))</f>
        <v>JANUARY</v>
      </c>
      <c r="G3">
        <v>1</v>
      </c>
      <c r="H3">
        <v>0</v>
      </c>
      <c r="I3">
        <v>6</v>
      </c>
      <c r="J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 t="str">
        <f>IF(final_data787[[#This Row],[DAY_CODE]]=0,"weekend",IF(final_data787[[#This Row],[DAY_CODE]]=1,"weekend","weekday"))</f>
        <v>weekday</v>
      </c>
      <c r="L3">
        <v>1</v>
      </c>
      <c r="M3" t="str">
        <f>IF(final_data787[[#This Row],[WEATHER_CODE]]=1,"clear",IF(final_data787[[#This Row],[WEATHER_CODE]]=2,"cloudy",IF(final_data787[[#This Row],[WEATHER_CODE]]=3,"light rain",IF(final_data787[[#This Row],[WEATHER_CODE]]=4,"heavy rain",0))))</f>
        <v>clear</v>
      </c>
      <c r="N3">
        <v>0.22</v>
      </c>
      <c r="O3">
        <v>0.2727</v>
      </c>
      <c r="P3">
        <v>0.8</v>
      </c>
      <c r="Q3">
        <v>0</v>
      </c>
      <c r="R3">
        <v>8</v>
      </c>
      <c r="S3">
        <v>32</v>
      </c>
      <c r="T3">
        <v>40</v>
      </c>
      <c r="X3" s="6" t="s">
        <v>46</v>
      </c>
      <c r="Y3" s="7" t="s">
        <v>57</v>
      </c>
      <c r="Z3" s="7"/>
      <c r="AA3" s="7"/>
      <c r="AB3" s="8" t="s">
        <v>46</v>
      </c>
      <c r="AC3" s="9" t="s">
        <v>46</v>
      </c>
    </row>
    <row r="4" spans="1:40" x14ac:dyDescent="0.35">
      <c r="A4">
        <v>3</v>
      </c>
      <c r="B4" s="1">
        <v>40544</v>
      </c>
      <c r="C4">
        <v>1</v>
      </c>
      <c r="D4">
        <v>0</v>
      </c>
      <c r="E4">
        <v>1</v>
      </c>
      <c r="F4" t="str">
        <f>IF(final_data787[[#This Row],[MONTH_CODE]]=1,"JANUARY",IF(final_data787[[#This Row],[MONTH_CODE]]=2,"FEBRUARY"))</f>
        <v>JANUARY</v>
      </c>
      <c r="G4">
        <v>2</v>
      </c>
      <c r="H4">
        <v>0</v>
      </c>
      <c r="I4">
        <v>6</v>
      </c>
      <c r="J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 t="str">
        <f>IF(final_data787[[#This Row],[DAY_CODE]]=0,"weekend",IF(final_data787[[#This Row],[DAY_CODE]]=1,"weekend","weekday"))</f>
        <v>weekday</v>
      </c>
      <c r="L4">
        <v>1</v>
      </c>
      <c r="M4" t="str">
        <f>IF(final_data787[[#This Row],[WEATHER_CODE]]=1,"clear",IF(final_data787[[#This Row],[WEATHER_CODE]]=2,"cloudy",IF(final_data787[[#This Row],[WEATHER_CODE]]=3,"light rain",IF(final_data787[[#This Row],[WEATHER_CODE]]=4,"heavy rain",0))))</f>
        <v>clear</v>
      </c>
      <c r="N4">
        <v>0.22</v>
      </c>
      <c r="O4">
        <v>0.2727</v>
      </c>
      <c r="P4">
        <v>0.8</v>
      </c>
      <c r="Q4">
        <v>0</v>
      </c>
      <c r="R4">
        <v>5</v>
      </c>
      <c r="S4">
        <v>27</v>
      </c>
      <c r="T4">
        <v>32</v>
      </c>
      <c r="X4" s="10"/>
      <c r="Y4" s="3"/>
      <c r="Z4" s="3"/>
      <c r="AA4" s="3"/>
      <c r="AB4" s="3"/>
      <c r="AC4" s="11"/>
    </row>
    <row r="5" spans="1:40" x14ac:dyDescent="0.35">
      <c r="A5">
        <v>4</v>
      </c>
      <c r="B5" s="1">
        <v>40544</v>
      </c>
      <c r="C5">
        <v>1</v>
      </c>
      <c r="D5">
        <v>0</v>
      </c>
      <c r="E5">
        <v>1</v>
      </c>
      <c r="F5" t="str">
        <f>IF(final_data787[[#This Row],[MONTH_CODE]]=1,"JANUARY",IF(final_data787[[#This Row],[MONTH_CODE]]=2,"FEBRUARY"))</f>
        <v>JANUARY</v>
      </c>
      <c r="G5">
        <v>3</v>
      </c>
      <c r="H5">
        <v>0</v>
      </c>
      <c r="I5">
        <v>6</v>
      </c>
      <c r="J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5" t="str">
        <f>IF(final_data787[[#This Row],[DAY_CODE]]=0,"weekend",IF(final_data787[[#This Row],[DAY_CODE]]=1,"weekend","weekday"))</f>
        <v>weekday</v>
      </c>
      <c r="L5">
        <v>1</v>
      </c>
      <c r="M5" t="str">
        <f>IF(final_data787[[#This Row],[WEATHER_CODE]]=1,"clear",IF(final_data787[[#This Row],[WEATHER_CODE]]=2,"cloudy",IF(final_data787[[#This Row],[WEATHER_CODE]]=3,"light rain",IF(final_data787[[#This Row],[WEATHER_CODE]]=4,"heavy rain",0))))</f>
        <v>clear</v>
      </c>
      <c r="N5">
        <v>0.24</v>
      </c>
      <c r="O5">
        <v>0.28789999999999999</v>
      </c>
      <c r="P5">
        <v>0.75</v>
      </c>
      <c r="Q5">
        <v>0</v>
      </c>
      <c r="R5">
        <v>3</v>
      </c>
      <c r="S5">
        <v>10</v>
      </c>
      <c r="T5">
        <v>13</v>
      </c>
      <c r="X5" s="12"/>
      <c r="Y5" s="5"/>
      <c r="Z5" s="5"/>
      <c r="AA5" s="5"/>
      <c r="AB5" s="5"/>
      <c r="AC5" s="13"/>
    </row>
    <row r="6" spans="1:40" x14ac:dyDescent="0.35">
      <c r="A6">
        <v>5</v>
      </c>
      <c r="B6" s="1">
        <v>40544</v>
      </c>
      <c r="C6">
        <v>1</v>
      </c>
      <c r="D6">
        <v>0</v>
      </c>
      <c r="E6">
        <v>1</v>
      </c>
      <c r="F6" t="str">
        <f>IF(final_data787[[#This Row],[MONTH_CODE]]=1,"JANUARY",IF(final_data787[[#This Row],[MONTH_CODE]]=2,"FEBRUARY"))</f>
        <v>JANUARY</v>
      </c>
      <c r="G6">
        <v>4</v>
      </c>
      <c r="H6">
        <v>0</v>
      </c>
      <c r="I6">
        <v>6</v>
      </c>
      <c r="J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 t="str">
        <f>IF(final_data787[[#This Row],[DAY_CODE]]=0,"weekend",IF(final_data787[[#This Row],[DAY_CODE]]=1,"weekend","weekday"))</f>
        <v>weekday</v>
      </c>
      <c r="L6">
        <v>1</v>
      </c>
      <c r="M6" t="str">
        <f>IF(final_data787[[#This Row],[WEATHER_CODE]]=1,"clear",IF(final_data787[[#This Row],[WEATHER_CODE]]=2,"cloudy",IF(final_data787[[#This Row],[WEATHER_CODE]]=3,"light rain",IF(final_data787[[#This Row],[WEATHER_CODE]]=4,"heavy rain",0))))</f>
        <v>clear</v>
      </c>
      <c r="N6">
        <v>0.24</v>
      </c>
      <c r="O6">
        <v>0.28789999999999999</v>
      </c>
      <c r="P6">
        <v>0.75</v>
      </c>
      <c r="Q6">
        <v>0</v>
      </c>
      <c r="R6">
        <v>0</v>
      </c>
      <c r="S6">
        <v>1</v>
      </c>
      <c r="T6">
        <v>1</v>
      </c>
      <c r="X6" s="10" t="s">
        <v>53</v>
      </c>
      <c r="Y6" s="3" t="s">
        <v>48</v>
      </c>
      <c r="Z6" s="3" t="s">
        <v>49</v>
      </c>
      <c r="AA6" s="3" t="s">
        <v>50</v>
      </c>
      <c r="AB6" s="3" t="s">
        <v>51</v>
      </c>
      <c r="AC6" s="11" t="s">
        <v>52</v>
      </c>
      <c r="AF6" s="14"/>
      <c r="AG6" s="14"/>
      <c r="AH6" s="14"/>
      <c r="AJ6" s="41" t="s">
        <v>47</v>
      </c>
      <c r="AK6" s="132" t="s">
        <v>38</v>
      </c>
      <c r="AL6" s="132" t="s">
        <v>39</v>
      </c>
      <c r="AM6" s="132" t="s">
        <v>40</v>
      </c>
      <c r="AN6" s="132" t="s">
        <v>41</v>
      </c>
    </row>
    <row r="7" spans="1:40" x14ac:dyDescent="0.35">
      <c r="A7">
        <v>6</v>
      </c>
      <c r="B7" s="1">
        <v>40544</v>
      </c>
      <c r="C7">
        <v>1</v>
      </c>
      <c r="D7">
        <v>0</v>
      </c>
      <c r="E7">
        <v>1</v>
      </c>
      <c r="F7" t="str">
        <f>IF(final_data787[[#This Row],[MONTH_CODE]]=1,"JANUARY",IF(final_data787[[#This Row],[MONTH_CODE]]=2,"FEBRUARY"))</f>
        <v>JANUARY</v>
      </c>
      <c r="G7">
        <v>5</v>
      </c>
      <c r="H7">
        <v>0</v>
      </c>
      <c r="I7">
        <v>6</v>
      </c>
      <c r="J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 t="str">
        <f>IF(final_data787[[#This Row],[DAY_CODE]]=0,"weekend",IF(final_data787[[#This Row],[DAY_CODE]]=1,"weekend","weekday"))</f>
        <v>weekday</v>
      </c>
      <c r="L7">
        <v>2</v>
      </c>
      <c r="M7" t="str">
        <f>IF(final_data787[[#This Row],[WEATHER_CODE]]=1,"clear",IF(final_data787[[#This Row],[WEATHER_CODE]]=2,"cloudy",IF(final_data787[[#This Row],[WEATHER_CODE]]=3,"light rain",IF(final_data787[[#This Row],[WEATHER_CODE]]=4,"heavy rain",0))))</f>
        <v>cloudy</v>
      </c>
      <c r="N7">
        <v>0.24</v>
      </c>
      <c r="O7">
        <v>0.2576</v>
      </c>
      <c r="P7">
        <v>0.75</v>
      </c>
      <c r="Q7">
        <v>8.9599999999999999E-2</v>
      </c>
      <c r="R7">
        <v>0</v>
      </c>
      <c r="S7">
        <v>1</v>
      </c>
      <c r="T7">
        <v>1</v>
      </c>
      <c r="X7" s="12"/>
      <c r="Y7" s="5"/>
      <c r="Z7" s="5"/>
      <c r="AA7" s="5"/>
      <c r="AB7" s="5"/>
      <c r="AC7" s="13"/>
      <c r="AJ7" t="s">
        <v>11</v>
      </c>
    </row>
    <row r="8" spans="1:40" x14ac:dyDescent="0.35">
      <c r="A8">
        <v>7</v>
      </c>
      <c r="B8" s="1">
        <v>40544</v>
      </c>
      <c r="C8">
        <v>1</v>
      </c>
      <c r="D8">
        <v>0</v>
      </c>
      <c r="E8">
        <v>1</v>
      </c>
      <c r="F8" t="str">
        <f>IF(final_data787[[#This Row],[MONTH_CODE]]=1,"JANUARY",IF(final_data787[[#This Row],[MONTH_CODE]]=2,"FEBRUARY"))</f>
        <v>JANUARY</v>
      </c>
      <c r="G8">
        <v>6</v>
      </c>
      <c r="H8">
        <v>0</v>
      </c>
      <c r="I8">
        <v>6</v>
      </c>
      <c r="J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 t="str">
        <f>IF(final_data787[[#This Row],[DAY_CODE]]=0,"weekend",IF(final_data787[[#This Row],[DAY_CODE]]=1,"weekend","weekday"))</f>
        <v>weekday</v>
      </c>
      <c r="L8">
        <v>1</v>
      </c>
      <c r="M8" t="str">
        <f>IF(final_data787[[#This Row],[WEATHER_CODE]]=1,"clear",IF(final_data787[[#This Row],[WEATHER_CODE]]=2,"cloudy",IF(final_data787[[#This Row],[WEATHER_CODE]]=3,"light rain",IF(final_data787[[#This Row],[WEATHER_CODE]]=4,"heavy rain",0))))</f>
        <v>clear</v>
      </c>
      <c r="N8">
        <v>0.22</v>
      </c>
      <c r="O8">
        <v>0.2727</v>
      </c>
      <c r="P8">
        <v>0.8</v>
      </c>
      <c r="Q8">
        <v>0</v>
      </c>
      <c r="R8">
        <v>2</v>
      </c>
      <c r="S8">
        <v>0</v>
      </c>
      <c r="T8">
        <v>2</v>
      </c>
      <c r="X8" s="16" t="s">
        <v>54</v>
      </c>
      <c r="Y8" s="15">
        <f>SUM(final_data787[[#All],[CASUAL_RENTALS]])</f>
        <v>4921</v>
      </c>
      <c r="Z8" s="15">
        <f>AVERAGE(final_data787[[#All],[CASUAL_RENTALS]])</f>
        <v>4.9210000000000003</v>
      </c>
      <c r="AA8" s="15">
        <f>MAX(final_data787[[#All],[CASUAL_RENTALS]])</f>
        <v>62</v>
      </c>
      <c r="AB8" s="15">
        <f>MIN(final_data787[[#All],[CASUAL_RENTALS]])</f>
        <v>0</v>
      </c>
      <c r="AC8" s="17">
        <f>STDEV(final_data787[[#All],[CASUAL_RENTALS]])</f>
        <v>7.6438987557520797</v>
      </c>
      <c r="AJ8" t="s">
        <v>163</v>
      </c>
      <c r="AK8">
        <f>CORREL(N1:N1001,O1:O1001)</f>
        <v>0.90993997286057815</v>
      </c>
    </row>
    <row r="9" spans="1:40" x14ac:dyDescent="0.35">
      <c r="A9">
        <v>8</v>
      </c>
      <c r="B9" s="1">
        <v>40544</v>
      </c>
      <c r="C9">
        <v>1</v>
      </c>
      <c r="D9">
        <v>0</v>
      </c>
      <c r="E9">
        <v>1</v>
      </c>
      <c r="F9" t="str">
        <f>IF(final_data787[[#This Row],[MONTH_CODE]]=1,"JANUARY",IF(final_data787[[#This Row],[MONTH_CODE]]=2,"FEBRUARY"))</f>
        <v>JANUARY</v>
      </c>
      <c r="G9">
        <v>7</v>
      </c>
      <c r="H9">
        <v>0</v>
      </c>
      <c r="I9">
        <v>6</v>
      </c>
      <c r="J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 t="str">
        <f>IF(final_data787[[#This Row],[DAY_CODE]]=0,"weekend",IF(final_data787[[#This Row],[DAY_CODE]]=1,"weekend","weekday"))</f>
        <v>weekday</v>
      </c>
      <c r="L9">
        <v>1</v>
      </c>
      <c r="M9" t="str">
        <f>IF(final_data787[[#This Row],[WEATHER_CODE]]=1,"clear",IF(final_data787[[#This Row],[WEATHER_CODE]]=2,"cloudy",IF(final_data787[[#This Row],[WEATHER_CODE]]=3,"light rain",IF(final_data787[[#This Row],[WEATHER_CODE]]=4,"heavy rain",0))))</f>
        <v>clear</v>
      </c>
      <c r="N9">
        <v>0.2</v>
      </c>
      <c r="O9">
        <v>0.2576</v>
      </c>
      <c r="P9">
        <v>0.86</v>
      </c>
      <c r="Q9">
        <v>0</v>
      </c>
      <c r="R9">
        <v>1</v>
      </c>
      <c r="S9">
        <v>2</v>
      </c>
      <c r="T9">
        <v>3</v>
      </c>
      <c r="X9" s="16" t="s">
        <v>55</v>
      </c>
      <c r="Y9" s="15">
        <f>SUM(final_data787[[#All],[REGISTERED_RENTALS]])</f>
        <v>53383</v>
      </c>
      <c r="Z9" s="15">
        <f>AVERAGE(final_data787[[#All],[REGISTERED_RENTALS]])</f>
        <v>53.383000000000003</v>
      </c>
      <c r="AA9" s="15">
        <f>MAX(final_data787[[#All],[REGISTERED_RENTALS]])</f>
        <v>247</v>
      </c>
      <c r="AB9" s="15">
        <f>MIN(final_data787[[#All],[REGISTERED_RENTALS]])</f>
        <v>0</v>
      </c>
      <c r="AC9" s="17">
        <f>STDEV(final_data787[[#All],[REGISTERED_RENTALS]])</f>
        <v>47.893967711426278</v>
      </c>
      <c r="AJ9" t="s">
        <v>164</v>
      </c>
      <c r="AK9">
        <f>CORREL(N1:N1001,P1:P1001)</f>
        <v>8.0720147162812214E-2</v>
      </c>
    </row>
    <row r="10" spans="1:40" ht="15" thickBot="1" x14ac:dyDescent="0.4">
      <c r="A10">
        <v>9</v>
      </c>
      <c r="B10" s="1">
        <v>40544</v>
      </c>
      <c r="C10">
        <v>1</v>
      </c>
      <c r="D10">
        <v>0</v>
      </c>
      <c r="E10">
        <v>1</v>
      </c>
      <c r="F10" t="str">
        <f>IF(final_data787[[#This Row],[MONTH_CODE]]=1,"JANUARY",IF(final_data787[[#This Row],[MONTH_CODE]]=2,"FEBRUARY"))</f>
        <v>JANUARY</v>
      </c>
      <c r="G10">
        <v>8</v>
      </c>
      <c r="H10">
        <v>0</v>
      </c>
      <c r="I10">
        <v>6</v>
      </c>
      <c r="J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0" t="str">
        <f>IF(final_data787[[#This Row],[DAY_CODE]]=0,"weekend",IF(final_data787[[#This Row],[DAY_CODE]]=1,"weekend","weekday"))</f>
        <v>weekday</v>
      </c>
      <c r="L10">
        <v>1</v>
      </c>
      <c r="M10" t="str">
        <f>IF(final_data787[[#This Row],[WEATHER_CODE]]=1,"clear",IF(final_data787[[#This Row],[WEATHER_CODE]]=2,"cloudy",IF(final_data787[[#This Row],[WEATHER_CODE]]=3,"light rain",IF(final_data787[[#This Row],[WEATHER_CODE]]=4,"heavy rain",0))))</f>
        <v>clear</v>
      </c>
      <c r="N10">
        <v>0.24</v>
      </c>
      <c r="O10">
        <v>0.19993489148580967</v>
      </c>
      <c r="P10">
        <v>0.75</v>
      </c>
      <c r="Q10">
        <v>0</v>
      </c>
      <c r="R10">
        <v>1</v>
      </c>
      <c r="S10">
        <v>7</v>
      </c>
      <c r="T10">
        <v>8</v>
      </c>
      <c r="X10" s="18" t="s">
        <v>56</v>
      </c>
      <c r="Y10" s="19">
        <f>SUM(final_data787[[#All],[TOTAL_RENTALS]])</f>
        <v>58304</v>
      </c>
      <c r="Z10" s="19">
        <v>58.304000000000002</v>
      </c>
      <c r="AA10" s="19">
        <f>MAX(final_data787[[#All],[TOTAL_RENTALS]])</f>
        <v>249</v>
      </c>
      <c r="AB10" s="19">
        <f>MIN(final_data787[[#All],[TOTAL_RENTALS]])</f>
        <v>1</v>
      </c>
      <c r="AC10" s="20">
        <f>STDEV(final_data787[[#All],[TOTAL_RENTALS]])</f>
        <v>50.985557867999354</v>
      </c>
      <c r="AG10" s="58"/>
      <c r="AJ10" t="s">
        <v>14</v>
      </c>
      <c r="AK10">
        <f>CORREL(N1:N1001,Q1:Q1001)</f>
        <v>0.12262532562998485</v>
      </c>
    </row>
    <row r="11" spans="1:40" x14ac:dyDescent="0.35">
      <c r="A11">
        <v>10</v>
      </c>
      <c r="B11" s="1">
        <v>40544</v>
      </c>
      <c r="C11">
        <v>1</v>
      </c>
      <c r="D11">
        <v>0</v>
      </c>
      <c r="E11">
        <v>1</v>
      </c>
      <c r="F11" t="str">
        <f>IF(final_data787[[#This Row],[MONTH_CODE]]=1,"JANUARY",IF(final_data787[[#This Row],[MONTH_CODE]]=2,"FEBRUARY"))</f>
        <v>JANUARY</v>
      </c>
      <c r="G11">
        <v>9</v>
      </c>
      <c r="H11">
        <v>0</v>
      </c>
      <c r="I11">
        <v>6</v>
      </c>
      <c r="J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1" t="str">
        <f>IF(final_data787[[#This Row],[DAY_CODE]]=0,"weekend",IF(final_data787[[#This Row],[DAY_CODE]]=1,"weekend","weekday"))</f>
        <v>weekday</v>
      </c>
      <c r="L11">
        <v>1</v>
      </c>
      <c r="M11" t="str">
        <f>IF(final_data787[[#This Row],[WEATHER_CODE]]=1,"clear",IF(final_data787[[#This Row],[WEATHER_CODE]]=2,"cloudy",IF(final_data787[[#This Row],[WEATHER_CODE]]=3,"light rain",IF(final_data787[[#This Row],[WEATHER_CODE]]=4,"heavy rain",0))))</f>
        <v>clear</v>
      </c>
      <c r="N11">
        <v>0.32</v>
      </c>
      <c r="O11">
        <v>0.34849999999999998</v>
      </c>
      <c r="P11">
        <v>0.76</v>
      </c>
      <c r="Q11">
        <v>0</v>
      </c>
      <c r="R11">
        <v>8</v>
      </c>
      <c r="S11">
        <v>6</v>
      </c>
      <c r="T11">
        <v>14</v>
      </c>
    </row>
    <row r="12" spans="1:40" x14ac:dyDescent="0.35">
      <c r="A12">
        <v>11</v>
      </c>
      <c r="B12" s="1">
        <v>40544</v>
      </c>
      <c r="C12">
        <v>1</v>
      </c>
      <c r="D12">
        <v>0</v>
      </c>
      <c r="E12">
        <v>1</v>
      </c>
      <c r="F12" t="str">
        <f>IF(final_data787[[#This Row],[MONTH_CODE]]=1,"JANUARY",IF(final_data787[[#This Row],[MONTH_CODE]]=2,"FEBRUARY"))</f>
        <v>JANUARY</v>
      </c>
      <c r="G12">
        <v>10</v>
      </c>
      <c r="H12">
        <v>0</v>
      </c>
      <c r="I12">
        <v>6</v>
      </c>
      <c r="J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2" t="str">
        <f>IF(final_data787[[#This Row],[DAY_CODE]]=0,"weekend",IF(final_data787[[#This Row],[DAY_CODE]]=1,"weekend","weekday"))</f>
        <v>weekday</v>
      </c>
      <c r="L12">
        <v>1</v>
      </c>
      <c r="M12" t="str">
        <f>IF(final_data787[[#This Row],[WEATHER_CODE]]=1,"clear",IF(final_data787[[#This Row],[WEATHER_CODE]]=2,"cloudy",IF(final_data787[[#This Row],[WEATHER_CODE]]=3,"light rain",IF(final_data787[[#This Row],[WEATHER_CODE]]=4,"heavy rain",0))))</f>
        <v>clear</v>
      </c>
      <c r="N12">
        <v>0.38</v>
      </c>
      <c r="O12">
        <v>0.39389999999999997</v>
      </c>
      <c r="P12">
        <v>0.76</v>
      </c>
      <c r="Q12">
        <v>0.25369999999999998</v>
      </c>
      <c r="R12">
        <v>12</v>
      </c>
      <c r="S12">
        <v>24</v>
      </c>
      <c r="T12">
        <v>36</v>
      </c>
      <c r="X12" s="131" t="s">
        <v>182</v>
      </c>
      <c r="Y12" s="131"/>
      <c r="Z12" s="131"/>
      <c r="AA12" s="131"/>
      <c r="AB12" s="131"/>
      <c r="AC12" s="131"/>
    </row>
    <row r="13" spans="1:40" x14ac:dyDescent="0.35">
      <c r="A13">
        <v>12</v>
      </c>
      <c r="B13" s="1">
        <v>40544</v>
      </c>
      <c r="C13">
        <v>1</v>
      </c>
      <c r="D13">
        <v>0</v>
      </c>
      <c r="E13">
        <v>1</v>
      </c>
      <c r="F13" t="str">
        <f>IF(final_data787[[#This Row],[MONTH_CODE]]=1,"JANUARY",IF(final_data787[[#This Row],[MONTH_CODE]]=2,"FEBRUARY"))</f>
        <v>JANUARY</v>
      </c>
      <c r="G13">
        <v>11</v>
      </c>
      <c r="H13">
        <v>0</v>
      </c>
      <c r="I13">
        <v>6</v>
      </c>
      <c r="J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3" t="str">
        <f>IF(final_data787[[#This Row],[DAY_CODE]]=0,"weekend",IF(final_data787[[#This Row],[DAY_CODE]]=1,"weekend","weekday"))</f>
        <v>weekday</v>
      </c>
      <c r="L13">
        <v>1</v>
      </c>
      <c r="M13" t="str">
        <f>IF(final_data787[[#This Row],[WEATHER_CODE]]=1,"clear",IF(final_data787[[#This Row],[WEATHER_CODE]]=2,"cloudy",IF(final_data787[[#This Row],[WEATHER_CODE]]=3,"light rain",IF(final_data787[[#This Row],[WEATHER_CODE]]=4,"heavy rain",0))))</f>
        <v>clear</v>
      </c>
      <c r="N13">
        <v>0.36</v>
      </c>
      <c r="O13">
        <v>0.33329999999999999</v>
      </c>
      <c r="P13">
        <v>0.81</v>
      </c>
      <c r="Q13">
        <v>0.28360000000000002</v>
      </c>
      <c r="R13">
        <v>26</v>
      </c>
      <c r="S13">
        <v>30</v>
      </c>
      <c r="T13">
        <v>56</v>
      </c>
      <c r="X13" s="131" t="s">
        <v>183</v>
      </c>
      <c r="Y13" s="131"/>
      <c r="Z13" s="131"/>
      <c r="AA13" s="131"/>
      <c r="AB13" s="131"/>
      <c r="AC13" s="131"/>
    </row>
    <row r="14" spans="1:40" x14ac:dyDescent="0.35">
      <c r="A14">
        <v>13</v>
      </c>
      <c r="B14" s="1">
        <v>40544</v>
      </c>
      <c r="C14">
        <v>1</v>
      </c>
      <c r="D14">
        <v>0</v>
      </c>
      <c r="E14">
        <v>1</v>
      </c>
      <c r="F14" t="str">
        <f>IF(final_data787[[#This Row],[MONTH_CODE]]=1,"JANUARY",IF(final_data787[[#This Row],[MONTH_CODE]]=2,"FEBRUARY"))</f>
        <v>JANUARY</v>
      </c>
      <c r="G14">
        <v>12</v>
      </c>
      <c r="H14">
        <v>0</v>
      </c>
      <c r="I14">
        <v>6</v>
      </c>
      <c r="J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4" t="str">
        <f>IF(final_data787[[#This Row],[DAY_CODE]]=0,"weekend",IF(final_data787[[#This Row],[DAY_CODE]]=1,"weekend","weekday"))</f>
        <v>weekday</v>
      </c>
      <c r="L14">
        <v>1</v>
      </c>
      <c r="M14" t="str">
        <f>IF(final_data787[[#This Row],[WEATHER_CODE]]=1,"clear",IF(final_data787[[#This Row],[WEATHER_CODE]]=2,"cloudy",IF(final_data787[[#This Row],[WEATHER_CODE]]=3,"light rain",IF(final_data787[[#This Row],[WEATHER_CODE]]=4,"heavy rain",0))))</f>
        <v>clear</v>
      </c>
      <c r="N14">
        <v>0.42</v>
      </c>
      <c r="O14">
        <v>0.42420000000000002</v>
      </c>
      <c r="P14">
        <v>0.77</v>
      </c>
      <c r="Q14">
        <v>0.28360000000000002</v>
      </c>
      <c r="R14">
        <v>29</v>
      </c>
      <c r="S14">
        <v>55</v>
      </c>
      <c r="T14">
        <v>84</v>
      </c>
    </row>
    <row r="15" spans="1:40" ht="15" thickBot="1" x14ac:dyDescent="0.4">
      <c r="A15">
        <v>14</v>
      </c>
      <c r="B15" s="1">
        <v>40544</v>
      </c>
      <c r="C15">
        <v>1</v>
      </c>
      <c r="D15">
        <v>0</v>
      </c>
      <c r="E15">
        <v>1</v>
      </c>
      <c r="F15" t="str">
        <f>IF(final_data787[[#This Row],[MONTH_CODE]]=1,"JANUARY",IF(final_data787[[#This Row],[MONTH_CODE]]=2,"FEBRUARY"))</f>
        <v>JANUARY</v>
      </c>
      <c r="G15">
        <v>13</v>
      </c>
      <c r="H15">
        <v>0</v>
      </c>
      <c r="I15">
        <v>6</v>
      </c>
      <c r="J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5" t="str">
        <f>IF(final_data787[[#This Row],[DAY_CODE]]=0,"weekend",IF(final_data787[[#This Row],[DAY_CODE]]=1,"weekend","weekday"))</f>
        <v>weekday</v>
      </c>
      <c r="L15">
        <v>2</v>
      </c>
      <c r="M15" t="str">
        <f>IF(final_data787[[#This Row],[WEATHER_CODE]]=1,"clear",IF(final_data787[[#This Row],[WEATHER_CODE]]=2,"cloudy",IF(final_data787[[#This Row],[WEATHER_CODE]]=3,"light rain",IF(final_data787[[#This Row],[WEATHER_CODE]]=4,"heavy rain",0))))</f>
        <v>cloudy</v>
      </c>
      <c r="N15">
        <v>0.46</v>
      </c>
      <c r="O15">
        <v>0.45450000000000002</v>
      </c>
      <c r="P15">
        <v>0.72</v>
      </c>
      <c r="Q15">
        <v>0.29849999999999999</v>
      </c>
      <c r="R15">
        <v>47</v>
      </c>
      <c r="S15">
        <v>47</v>
      </c>
      <c r="T15">
        <v>94</v>
      </c>
    </row>
    <row r="16" spans="1:40" ht="18.5" x14ac:dyDescent="0.45">
      <c r="A16">
        <v>15</v>
      </c>
      <c r="B16" s="1">
        <v>40544</v>
      </c>
      <c r="C16">
        <v>1</v>
      </c>
      <c r="D16">
        <v>0</v>
      </c>
      <c r="E16">
        <v>1</v>
      </c>
      <c r="F16" t="str">
        <f>IF(final_data787[[#This Row],[MONTH_CODE]]=1,"JANUARY",IF(final_data787[[#This Row],[MONTH_CODE]]=2,"FEBRUARY"))</f>
        <v>JANUARY</v>
      </c>
      <c r="G16">
        <v>14</v>
      </c>
      <c r="H16">
        <v>0</v>
      </c>
      <c r="I16">
        <v>6</v>
      </c>
      <c r="J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 t="str">
        <f>IF(final_data787[[#This Row],[DAY_CODE]]=0,"weekend",IF(final_data787[[#This Row],[DAY_CODE]]=1,"weekend","weekday"))</f>
        <v>weekday</v>
      </c>
      <c r="L16">
        <v>2</v>
      </c>
      <c r="M16" t="str">
        <f>IF(final_data787[[#This Row],[WEATHER_CODE]]=1,"clear",IF(final_data787[[#This Row],[WEATHER_CODE]]=2,"cloudy",IF(final_data787[[#This Row],[WEATHER_CODE]]=3,"light rain",IF(final_data787[[#This Row],[WEATHER_CODE]]=4,"heavy rain",0))))</f>
        <v>cloudy</v>
      </c>
      <c r="N16">
        <v>0.46</v>
      </c>
      <c r="O16">
        <v>0.45450000000000002</v>
      </c>
      <c r="P16">
        <v>0.72</v>
      </c>
      <c r="Q16">
        <v>0.28360000000000002</v>
      </c>
      <c r="R16">
        <v>35</v>
      </c>
      <c r="S16">
        <v>71</v>
      </c>
      <c r="T16">
        <v>106</v>
      </c>
      <c r="X16" s="23" t="s">
        <v>61</v>
      </c>
      <c r="Y16" s="8"/>
      <c r="Z16" s="8"/>
      <c r="AA16" s="9"/>
      <c r="AC16" s="3"/>
      <c r="AD16" s="4" t="s">
        <v>63</v>
      </c>
      <c r="AE16" s="4"/>
      <c r="AF16" s="4"/>
      <c r="AG16" s="3"/>
      <c r="AH16" s="3"/>
    </row>
    <row r="17" spans="1:34" x14ac:dyDescent="0.35">
      <c r="A17">
        <v>16</v>
      </c>
      <c r="B17" s="1">
        <v>40544</v>
      </c>
      <c r="C17">
        <v>1</v>
      </c>
      <c r="D17">
        <v>0</v>
      </c>
      <c r="E17">
        <v>1</v>
      </c>
      <c r="F17" t="str">
        <f>IF(final_data787[[#This Row],[MONTH_CODE]]=1,"JANUARY",IF(final_data787[[#This Row],[MONTH_CODE]]=2,"FEBRUARY"))</f>
        <v>JANUARY</v>
      </c>
      <c r="G17">
        <v>15</v>
      </c>
      <c r="H17">
        <v>0</v>
      </c>
      <c r="I17">
        <v>6</v>
      </c>
      <c r="J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 t="str">
        <f>IF(final_data787[[#This Row],[DAY_CODE]]=0,"weekend",IF(final_data787[[#This Row],[DAY_CODE]]=1,"weekend","weekday"))</f>
        <v>weekday</v>
      </c>
      <c r="L17">
        <v>2</v>
      </c>
      <c r="M17" t="str">
        <f>IF(final_data787[[#This Row],[WEATHER_CODE]]=1,"clear",IF(final_data787[[#This Row],[WEATHER_CODE]]=2,"cloudy",IF(final_data787[[#This Row],[WEATHER_CODE]]=3,"light rain",IF(final_data787[[#This Row],[WEATHER_CODE]]=4,"heavy rain",0))))</f>
        <v>cloudy</v>
      </c>
      <c r="N17">
        <v>0.44</v>
      </c>
      <c r="O17">
        <v>0.43940000000000001</v>
      </c>
      <c r="P17">
        <v>0.77</v>
      </c>
      <c r="Q17">
        <v>0.29849999999999999</v>
      </c>
      <c r="R17">
        <v>40</v>
      </c>
      <c r="S17">
        <v>70</v>
      </c>
      <c r="T17">
        <v>110</v>
      </c>
      <c r="X17" s="10"/>
      <c r="Y17" s="3"/>
      <c r="Z17" s="3"/>
      <c r="AA17" s="11"/>
      <c r="AC17" s="3"/>
      <c r="AD17" s="3"/>
      <c r="AE17" s="3"/>
      <c r="AF17" s="3"/>
      <c r="AG17" s="3"/>
      <c r="AH17" s="3"/>
    </row>
    <row r="18" spans="1:34" x14ac:dyDescent="0.35">
      <c r="A18">
        <v>17</v>
      </c>
      <c r="B18" s="1">
        <v>40544</v>
      </c>
      <c r="C18">
        <v>1</v>
      </c>
      <c r="D18">
        <v>0</v>
      </c>
      <c r="E18">
        <v>1</v>
      </c>
      <c r="F18" t="str">
        <f>IF(final_data787[[#This Row],[MONTH_CODE]]=1,"JANUARY",IF(final_data787[[#This Row],[MONTH_CODE]]=2,"FEBRUARY"))</f>
        <v>JANUARY</v>
      </c>
      <c r="G18">
        <v>16</v>
      </c>
      <c r="H18">
        <v>0</v>
      </c>
      <c r="I18">
        <v>6</v>
      </c>
      <c r="J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 t="str">
        <f>IF(final_data787[[#This Row],[DAY_CODE]]=0,"weekend",IF(final_data787[[#This Row],[DAY_CODE]]=1,"weekend","weekday"))</f>
        <v>weekday</v>
      </c>
      <c r="L18">
        <v>2</v>
      </c>
      <c r="M18" t="str">
        <f>IF(final_data787[[#This Row],[WEATHER_CODE]]=1,"clear",IF(final_data787[[#This Row],[WEATHER_CODE]]=2,"cloudy",IF(final_data787[[#This Row],[WEATHER_CODE]]=3,"light rain",IF(final_data787[[#This Row],[WEATHER_CODE]]=4,"heavy rain",0))))</f>
        <v>cloudy</v>
      </c>
      <c r="N18">
        <v>0.42</v>
      </c>
      <c r="O18">
        <v>0.42420000000000002</v>
      </c>
      <c r="P18">
        <v>0.82</v>
      </c>
      <c r="Q18">
        <v>0.29849999999999999</v>
      </c>
      <c r="R18">
        <v>41</v>
      </c>
      <c r="S18">
        <v>52</v>
      </c>
      <c r="T18">
        <v>93</v>
      </c>
      <c r="X18" s="12"/>
      <c r="Y18" s="5"/>
      <c r="Z18" s="5"/>
      <c r="AA18" s="13"/>
      <c r="AC18" s="5"/>
      <c r="AD18" s="5"/>
      <c r="AE18" s="5"/>
      <c r="AF18" s="5"/>
      <c r="AG18" s="5"/>
      <c r="AH18" s="5"/>
    </row>
    <row r="19" spans="1:34" x14ac:dyDescent="0.35">
      <c r="A19">
        <v>18</v>
      </c>
      <c r="B19" s="1">
        <v>40544</v>
      </c>
      <c r="C19">
        <v>1</v>
      </c>
      <c r="D19">
        <v>0</v>
      </c>
      <c r="E19">
        <v>1</v>
      </c>
      <c r="F19" t="str">
        <f>IF(final_data787[[#This Row],[MONTH_CODE]]=1,"JANUARY",IF(final_data787[[#This Row],[MONTH_CODE]]=2,"FEBRUARY"))</f>
        <v>JANUARY</v>
      </c>
      <c r="G19">
        <v>17</v>
      </c>
      <c r="H19">
        <v>0</v>
      </c>
      <c r="I19">
        <v>6</v>
      </c>
      <c r="J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9" t="str">
        <f>IF(final_data787[[#This Row],[DAY_CODE]]=0,"weekend",IF(final_data787[[#This Row],[DAY_CODE]]=1,"weekend","weekday"))</f>
        <v>weekday</v>
      </c>
      <c r="L19">
        <v>2</v>
      </c>
      <c r="M19" t="str">
        <f>IF(final_data787[[#This Row],[WEATHER_CODE]]=1,"clear",IF(final_data787[[#This Row],[WEATHER_CODE]]=2,"cloudy",IF(final_data787[[#This Row],[WEATHER_CODE]]=3,"light rain",IF(final_data787[[#This Row],[WEATHER_CODE]]=4,"heavy rain",0))))</f>
        <v>cloudy</v>
      </c>
      <c r="N19">
        <v>0.44</v>
      </c>
      <c r="O19">
        <v>0.19993489148580967</v>
      </c>
      <c r="P19">
        <v>0.82</v>
      </c>
      <c r="Q19">
        <v>0.28360000000000002</v>
      </c>
      <c r="R19">
        <v>15</v>
      </c>
      <c r="S19">
        <v>52</v>
      </c>
      <c r="T19">
        <v>67</v>
      </c>
      <c r="X19" s="10" t="s">
        <v>58</v>
      </c>
      <c r="Y19" s="3" t="s">
        <v>54</v>
      </c>
      <c r="Z19" s="3" t="s">
        <v>55</v>
      </c>
      <c r="AA19" s="11" t="s">
        <v>56</v>
      </c>
      <c r="AC19" s="3" t="s">
        <v>47</v>
      </c>
      <c r="AD19" s="3" t="s">
        <v>48</v>
      </c>
      <c r="AE19" s="3" t="s">
        <v>62</v>
      </c>
      <c r="AF19" s="3" t="s">
        <v>50</v>
      </c>
      <c r="AG19" s="3" t="s">
        <v>51</v>
      </c>
      <c r="AH19" s="3" t="s">
        <v>52</v>
      </c>
    </row>
    <row r="20" spans="1:34" x14ac:dyDescent="0.35">
      <c r="A20">
        <v>19</v>
      </c>
      <c r="B20" s="1">
        <v>40544</v>
      </c>
      <c r="C20">
        <v>1</v>
      </c>
      <c r="D20">
        <v>0</v>
      </c>
      <c r="E20">
        <v>1</v>
      </c>
      <c r="F20" t="str">
        <f>IF(final_data787[[#This Row],[MONTH_CODE]]=1,"JANUARY",IF(final_data787[[#This Row],[MONTH_CODE]]=2,"FEBRUARY"))</f>
        <v>JANUARY</v>
      </c>
      <c r="G20">
        <v>18</v>
      </c>
      <c r="H20">
        <v>0</v>
      </c>
      <c r="I20">
        <v>6</v>
      </c>
      <c r="J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0" t="str">
        <f>IF(final_data787[[#This Row],[DAY_CODE]]=0,"weekend",IF(final_data787[[#This Row],[DAY_CODE]]=1,"weekend","weekday"))</f>
        <v>weekday</v>
      </c>
      <c r="L20">
        <v>3</v>
      </c>
      <c r="M20" t="str">
        <f>IF(final_data787[[#This Row],[WEATHER_CODE]]=1,"clear",IF(final_data787[[#This Row],[WEATHER_CODE]]=2,"cloudy",IF(final_data787[[#This Row],[WEATHER_CODE]]=3,"light rain",IF(final_data787[[#This Row],[WEATHER_CODE]]=4,"heavy rain",0))))</f>
        <v>light rain</v>
      </c>
      <c r="N20">
        <v>0.42</v>
      </c>
      <c r="O20">
        <v>0.42420000000000002</v>
      </c>
      <c r="P20">
        <v>0.88</v>
      </c>
      <c r="Q20">
        <v>0.25369999999999998</v>
      </c>
      <c r="R20">
        <v>9</v>
      </c>
      <c r="S20">
        <v>26</v>
      </c>
      <c r="T20">
        <v>35</v>
      </c>
      <c r="X20" s="12"/>
      <c r="Y20" s="5"/>
      <c r="Z20" s="5"/>
      <c r="AA20" s="13"/>
      <c r="AC20" s="5"/>
      <c r="AD20" s="5"/>
      <c r="AE20" s="5"/>
      <c r="AF20" s="5"/>
      <c r="AG20" s="5"/>
      <c r="AH20" s="5"/>
    </row>
    <row r="21" spans="1:34" x14ac:dyDescent="0.35">
      <c r="A21">
        <v>20</v>
      </c>
      <c r="B21" s="1">
        <v>40544</v>
      </c>
      <c r="C21">
        <v>1</v>
      </c>
      <c r="D21">
        <v>0</v>
      </c>
      <c r="E21">
        <v>1</v>
      </c>
      <c r="F21" t="str">
        <f>IF(final_data787[[#This Row],[MONTH_CODE]]=1,"JANUARY",IF(final_data787[[#This Row],[MONTH_CODE]]=2,"FEBRUARY"))</f>
        <v>JANUARY</v>
      </c>
      <c r="G21">
        <v>19</v>
      </c>
      <c r="H21">
        <v>0</v>
      </c>
      <c r="I21">
        <v>6</v>
      </c>
      <c r="J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1" t="str">
        <f>IF(final_data787[[#This Row],[DAY_CODE]]=0,"weekend",IF(final_data787[[#This Row],[DAY_CODE]]=1,"weekend","weekday"))</f>
        <v>weekday</v>
      </c>
      <c r="L21">
        <v>3</v>
      </c>
      <c r="M21" t="str">
        <f>IF(final_data787[[#This Row],[WEATHER_CODE]]=1,"clear",IF(final_data787[[#This Row],[WEATHER_CODE]]=2,"cloudy",IF(final_data787[[#This Row],[WEATHER_CODE]]=3,"light rain",IF(final_data787[[#This Row],[WEATHER_CODE]]=4,"heavy rain",0))))</f>
        <v>light rain</v>
      </c>
      <c r="N21">
        <v>0.42</v>
      </c>
      <c r="O21">
        <v>0.42420000000000002</v>
      </c>
      <c r="P21">
        <v>0.88</v>
      </c>
      <c r="Q21">
        <v>0.25369999999999998</v>
      </c>
      <c r="R21">
        <v>6</v>
      </c>
      <c r="S21">
        <v>31</v>
      </c>
      <c r="T21">
        <v>37</v>
      </c>
      <c r="X21" s="24" t="s">
        <v>59</v>
      </c>
      <c r="Y21" s="22">
        <f>CORREL(final_data787[[#All],[TEMP.]],final_data787[[#All],[CASUAL_RENTALS]])</f>
        <v>0.47022073160199324</v>
      </c>
      <c r="Z21" s="22">
        <f>CORREL(final_data787[[#All],[TEMP.]],final_data787[[#All],[REGISTERED_RENTALS]])</f>
        <v>0.16904504909761614</v>
      </c>
      <c r="AA21" s="25">
        <f>CORREL(final_data787[[#All],[TOTAL_RENTALS]],N1:N1001)</f>
        <v>0.22929155386993369</v>
      </c>
      <c r="AC21" s="22" t="s">
        <v>59</v>
      </c>
      <c r="AD21" s="22">
        <f>SUM(final_data787[[#All],[TEMP.]])</f>
        <v>205.89999999999961</v>
      </c>
      <c r="AE21" s="22">
        <f>AVERAGE(final_data787[[#All],[TEMP.]])</f>
        <v>0.20589999999999961</v>
      </c>
      <c r="AF21" s="22">
        <f>MAX(final_data787[[#All],[TEMP.]])</f>
        <v>0.46</v>
      </c>
      <c r="AG21" s="22">
        <f>MIN(final_data787[[#All],[TEMP.]])</f>
        <v>0.02</v>
      </c>
      <c r="AH21" s="22">
        <f>STDEV(final_data787[[#All],[TEMP.]])</f>
        <v>7.8977385544392681E-2</v>
      </c>
    </row>
    <row r="22" spans="1:34" x14ac:dyDescent="0.35">
      <c r="A22">
        <v>21</v>
      </c>
      <c r="B22" s="1">
        <v>40544</v>
      </c>
      <c r="C22">
        <v>1</v>
      </c>
      <c r="D22">
        <v>0</v>
      </c>
      <c r="E22">
        <v>1</v>
      </c>
      <c r="F22" t="str">
        <f>IF(final_data787[[#This Row],[MONTH_CODE]]=1,"JANUARY",IF(final_data787[[#This Row],[MONTH_CODE]]=2,"FEBRUARY"))</f>
        <v>JANUARY</v>
      </c>
      <c r="G22">
        <v>20</v>
      </c>
      <c r="H22">
        <v>0</v>
      </c>
      <c r="I22">
        <v>6</v>
      </c>
      <c r="J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2" t="str">
        <f>IF(final_data787[[#This Row],[DAY_CODE]]=0,"weekend",IF(final_data787[[#This Row],[DAY_CODE]]=1,"weekend","weekday"))</f>
        <v>weekday</v>
      </c>
      <c r="L22">
        <v>2</v>
      </c>
      <c r="M22" t="str">
        <f>IF(final_data787[[#This Row],[WEATHER_CODE]]=1,"clear",IF(final_data787[[#This Row],[WEATHER_CODE]]=2,"cloudy",IF(final_data787[[#This Row],[WEATHER_CODE]]=3,"light rain",IF(final_data787[[#This Row],[WEATHER_CODE]]=4,"heavy rain",0))))</f>
        <v>cloudy</v>
      </c>
      <c r="N22">
        <v>0.4</v>
      </c>
      <c r="O22">
        <v>0.40910000000000002</v>
      </c>
      <c r="P22">
        <v>0.87</v>
      </c>
      <c r="Q22">
        <v>0.25369999999999998</v>
      </c>
      <c r="R22">
        <v>11</v>
      </c>
      <c r="S22">
        <v>25</v>
      </c>
      <c r="T22">
        <v>36</v>
      </c>
      <c r="X22" s="24" t="s">
        <v>60</v>
      </c>
      <c r="Y22" s="21">
        <f>CORREL(final_data787[[#All],[ASSUMED_TEMP.]],final_data787[[#All],[CASUAL_RENTALS]])</f>
        <v>0.4235527525620208</v>
      </c>
      <c r="Z22" s="22">
        <f>CORREL(final_data787[[#All],[ASSUMED_TEMP.]],final_data787[[#All],[REGISTERED_RENTALS]])</f>
        <v>0.13823080131207147</v>
      </c>
      <c r="AA22" s="25">
        <f>CORREL(O1:O1001,T1:T1001)</f>
        <v>0.19334918171516929</v>
      </c>
      <c r="AC22" s="22" t="s">
        <v>60</v>
      </c>
      <c r="AD22" s="22">
        <f>SUM(final_data787[[#All],[ASSUMED_TEMP.]])</f>
        <v>211.82558380634438</v>
      </c>
      <c r="AE22" s="22">
        <f>AVERAGE(final_data787[[#All],[ASSUMED_TEMP.]])</f>
        <v>0.21182558380634439</v>
      </c>
      <c r="AF22" s="22">
        <f>MAX(final_data787[[#All],[ASSUMED_TEMP.]])</f>
        <v>0.45450000000000002</v>
      </c>
      <c r="AG22" s="22">
        <f>MIN(final_data787[[#All],[ASSUMED_TEMP.]])</f>
        <v>0</v>
      </c>
      <c r="AH22" s="22">
        <f>STDEV(final_data787[[#All],[ASSUMED_TEMP.]])</f>
        <v>7.6289755347886318E-2</v>
      </c>
    </row>
    <row r="23" spans="1:34" x14ac:dyDescent="0.35">
      <c r="A23">
        <v>22</v>
      </c>
      <c r="B23" s="1">
        <v>40544</v>
      </c>
      <c r="C23">
        <v>1</v>
      </c>
      <c r="D23">
        <v>0</v>
      </c>
      <c r="E23">
        <v>1</v>
      </c>
      <c r="F23" t="str">
        <f>IF(final_data787[[#This Row],[MONTH_CODE]]=1,"JANUARY",IF(final_data787[[#This Row],[MONTH_CODE]]=2,"FEBRUARY"))</f>
        <v>JANUARY</v>
      </c>
      <c r="G23">
        <v>21</v>
      </c>
      <c r="H23">
        <v>0</v>
      </c>
      <c r="I23">
        <v>6</v>
      </c>
      <c r="J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3" t="str">
        <f>IF(final_data787[[#This Row],[DAY_CODE]]=0,"weekend",IF(final_data787[[#This Row],[DAY_CODE]]=1,"weekend","weekday"))</f>
        <v>weekday</v>
      </c>
      <c r="L23">
        <v>2</v>
      </c>
      <c r="M23" t="str">
        <f>IF(final_data787[[#This Row],[WEATHER_CODE]]=1,"clear",IF(final_data787[[#This Row],[WEATHER_CODE]]=2,"cloudy",IF(final_data787[[#This Row],[WEATHER_CODE]]=3,"light rain",IF(final_data787[[#This Row],[WEATHER_CODE]]=4,"heavy rain",0))))</f>
        <v>cloudy</v>
      </c>
      <c r="N23">
        <v>0.4</v>
      </c>
      <c r="O23">
        <v>0.40910000000000002</v>
      </c>
      <c r="P23">
        <v>0.87</v>
      </c>
      <c r="Q23">
        <v>0.19400000000000001</v>
      </c>
      <c r="R23">
        <v>3</v>
      </c>
      <c r="S23">
        <v>31</v>
      </c>
      <c r="T23">
        <v>34</v>
      </c>
      <c r="X23" s="24" t="s">
        <v>40</v>
      </c>
      <c r="Y23" s="22">
        <f>CORREL(P1:P1001,S1:S1001)</f>
        <v>-0.22937044088624536</v>
      </c>
      <c r="Z23" s="22">
        <f>CORREL(P1:P1001,S1:S1001)</f>
        <v>-0.22937044088624536</v>
      </c>
      <c r="AA23" s="25">
        <f>CORREL(P1:P1001,T1:T1001)</f>
        <v>-0.25435329828790432</v>
      </c>
      <c r="AC23" s="22" t="s">
        <v>40</v>
      </c>
      <c r="AD23" s="22">
        <f>SUM(final_data787[[#All],[HUMIDITY]])</f>
        <v>582.48000000000036</v>
      </c>
      <c r="AE23" s="22">
        <f>AVERAGE(P:P)</f>
        <v>0.58248000000000033</v>
      </c>
      <c r="AF23" s="22">
        <f>MAX(final_data787[[#All],[HUMIDITY]])</f>
        <v>1</v>
      </c>
      <c r="AG23" s="22">
        <f>MIN(P:P)</f>
        <v>0.21</v>
      </c>
      <c r="AH23" s="22">
        <f>STDEV(P:P)</f>
        <v>0.18797708632964827</v>
      </c>
    </row>
    <row r="24" spans="1:34" ht="15" thickBot="1" x14ac:dyDescent="0.4">
      <c r="A24">
        <v>23</v>
      </c>
      <c r="B24" s="1">
        <v>40544</v>
      </c>
      <c r="C24">
        <v>1</v>
      </c>
      <c r="D24">
        <v>0</v>
      </c>
      <c r="E24">
        <v>1</v>
      </c>
      <c r="F24" t="str">
        <f>IF(final_data787[[#This Row],[MONTH_CODE]]=1,"JANUARY",IF(final_data787[[#This Row],[MONTH_CODE]]=2,"FEBRUARY"))</f>
        <v>JANUARY</v>
      </c>
      <c r="G24">
        <v>22</v>
      </c>
      <c r="H24">
        <v>0</v>
      </c>
      <c r="I24">
        <v>6</v>
      </c>
      <c r="J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4" t="str">
        <f>IF(final_data787[[#This Row],[DAY_CODE]]=0,"weekend",IF(final_data787[[#This Row],[DAY_CODE]]=1,"weekend","weekday"))</f>
        <v>weekday</v>
      </c>
      <c r="L24">
        <v>2</v>
      </c>
      <c r="M24" t="str">
        <f>IF(final_data787[[#This Row],[WEATHER_CODE]]=1,"clear",IF(final_data787[[#This Row],[WEATHER_CODE]]=2,"cloudy",IF(final_data787[[#This Row],[WEATHER_CODE]]=3,"light rain",IF(final_data787[[#This Row],[WEATHER_CODE]]=4,"heavy rain",0))))</f>
        <v>cloudy</v>
      </c>
      <c r="N24">
        <v>0.4</v>
      </c>
      <c r="O24">
        <v>0.40910000000000002</v>
      </c>
      <c r="P24">
        <v>0.94</v>
      </c>
      <c r="Q24">
        <v>0.22389999999999999</v>
      </c>
      <c r="R24">
        <v>11</v>
      </c>
      <c r="S24">
        <v>17</v>
      </c>
      <c r="T24">
        <v>28</v>
      </c>
      <c r="X24" s="26" t="s">
        <v>41</v>
      </c>
      <c r="Y24" s="27">
        <f>CORREL(Q1:Q1001,R1:R1001)</f>
        <v>0.12939194234487605</v>
      </c>
      <c r="Z24" s="27">
        <f>CORREL(Q1:Q1001,S1:S1001)</f>
        <v>9.0058728679306796E-2</v>
      </c>
      <c r="AA24" s="28">
        <f>CORREL(Q1:Q1001,T1:T1001)</f>
        <v>0.10399668008577614</v>
      </c>
      <c r="AC24" s="22" t="s">
        <v>41</v>
      </c>
      <c r="AD24" s="22">
        <f>SUM(final_data787[[#All],[WINDSPEED]])</f>
        <v>194.93129999999903</v>
      </c>
      <c r="AE24" s="22">
        <f>AVERAGE(final_data787[[#All],[WINDSPEED]])</f>
        <v>0.19493129999999903</v>
      </c>
      <c r="AF24" s="22">
        <f>MAX(final_data787[[#All],[WINDSPEED]])</f>
        <v>0.58209999999999995</v>
      </c>
      <c r="AG24" s="22">
        <f>MIN(final_data787[[#All],[WINDSPEED]])</f>
        <v>0</v>
      </c>
      <c r="AH24" s="22">
        <f>STDEV(Q:Q)</f>
        <v>0.12912606627362996</v>
      </c>
    </row>
    <row r="25" spans="1:34" x14ac:dyDescent="0.35">
      <c r="A25">
        <v>24</v>
      </c>
      <c r="B25" s="1">
        <v>40544</v>
      </c>
      <c r="C25">
        <v>1</v>
      </c>
      <c r="D25">
        <v>0</v>
      </c>
      <c r="E25">
        <v>1</v>
      </c>
      <c r="F25" t="str">
        <f>IF(final_data787[[#This Row],[MONTH_CODE]]=1,"JANUARY",IF(final_data787[[#This Row],[MONTH_CODE]]=2,"FEBRUARY"))</f>
        <v>JANUARY</v>
      </c>
      <c r="G25">
        <v>23</v>
      </c>
      <c r="H25">
        <v>0</v>
      </c>
      <c r="I25">
        <v>6</v>
      </c>
      <c r="J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25" t="str">
        <f>IF(final_data787[[#This Row],[DAY_CODE]]=0,"weekend",IF(final_data787[[#This Row],[DAY_CODE]]=1,"weekend","weekday"))</f>
        <v>weekday</v>
      </c>
      <c r="L25">
        <v>2</v>
      </c>
      <c r="M25" t="str">
        <f>IF(final_data787[[#This Row],[WEATHER_CODE]]=1,"clear",IF(final_data787[[#This Row],[WEATHER_CODE]]=2,"cloudy",IF(final_data787[[#This Row],[WEATHER_CODE]]=3,"light rain",IF(final_data787[[#This Row],[WEATHER_CODE]]=4,"heavy rain",0))))</f>
        <v>cloudy</v>
      </c>
      <c r="N25">
        <v>0.46</v>
      </c>
      <c r="O25">
        <v>0.19993489148580967</v>
      </c>
      <c r="P25">
        <v>0.88</v>
      </c>
      <c r="Q25">
        <v>0.29849999999999999</v>
      </c>
      <c r="R25">
        <v>15</v>
      </c>
      <c r="S25">
        <v>24</v>
      </c>
      <c r="T25">
        <v>39</v>
      </c>
    </row>
    <row r="26" spans="1:34" x14ac:dyDescent="0.35">
      <c r="A26">
        <v>25</v>
      </c>
      <c r="B26" s="1">
        <v>40545</v>
      </c>
      <c r="C26">
        <v>1</v>
      </c>
      <c r="D26">
        <v>0</v>
      </c>
      <c r="E26">
        <v>1</v>
      </c>
      <c r="F26" t="str">
        <f>IF(final_data787[[#This Row],[MONTH_CODE]]=1,"JANUARY",IF(final_data787[[#This Row],[MONTH_CODE]]=2,"FEBRUARY"))</f>
        <v>JANUARY</v>
      </c>
      <c r="G26">
        <v>0</v>
      </c>
      <c r="H26">
        <v>0</v>
      </c>
      <c r="I26">
        <v>0</v>
      </c>
      <c r="J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6" t="str">
        <f>IF(final_data787[[#This Row],[DAY_CODE]]=0,"weekend",IF(final_data787[[#This Row],[DAY_CODE]]=1,"weekend","weekday"))</f>
        <v>weekend</v>
      </c>
      <c r="L26">
        <v>2</v>
      </c>
      <c r="M26" t="str">
        <f>IF(final_data787[[#This Row],[WEATHER_CODE]]=1,"clear",IF(final_data787[[#This Row],[WEATHER_CODE]]=2,"cloudy",IF(final_data787[[#This Row],[WEATHER_CODE]]=3,"light rain",IF(final_data787[[#This Row],[WEATHER_CODE]]=4,"heavy rain",0))))</f>
        <v>cloudy</v>
      </c>
      <c r="N26">
        <v>0.46</v>
      </c>
      <c r="O26">
        <v>0.45450000000000002</v>
      </c>
      <c r="P26">
        <v>0.88</v>
      </c>
      <c r="Q26">
        <v>0.29849999999999999</v>
      </c>
      <c r="R26">
        <v>4</v>
      </c>
      <c r="S26">
        <v>13</v>
      </c>
      <c r="T26">
        <v>17</v>
      </c>
      <c r="W26" s="131" t="s">
        <v>185</v>
      </c>
      <c r="X26" s="131"/>
      <c r="Y26" s="131"/>
      <c r="Z26" s="131"/>
      <c r="AA26" s="131"/>
      <c r="AC26" s="131" t="s">
        <v>184</v>
      </c>
      <c r="AD26" s="131"/>
      <c r="AE26" s="131"/>
      <c r="AF26" s="131"/>
      <c r="AG26" s="131"/>
      <c r="AH26" s="131"/>
    </row>
    <row r="27" spans="1:34" x14ac:dyDescent="0.35">
      <c r="A27">
        <v>26</v>
      </c>
      <c r="B27" s="1">
        <v>40545</v>
      </c>
      <c r="C27">
        <v>1</v>
      </c>
      <c r="D27">
        <v>0</v>
      </c>
      <c r="E27">
        <v>1</v>
      </c>
      <c r="F27" t="str">
        <f>IF(final_data787[[#This Row],[MONTH_CODE]]=1,"JANUARY",IF(final_data787[[#This Row],[MONTH_CODE]]=2,"FEBRUARY"))</f>
        <v>JANUARY</v>
      </c>
      <c r="G27">
        <v>1</v>
      </c>
      <c r="H27">
        <v>0</v>
      </c>
      <c r="I27">
        <v>0</v>
      </c>
      <c r="J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7" t="str">
        <f>IF(final_data787[[#This Row],[DAY_CODE]]=0,"weekend",IF(final_data787[[#This Row],[DAY_CODE]]=1,"weekend","weekday"))</f>
        <v>weekend</v>
      </c>
      <c r="L27">
        <v>2</v>
      </c>
      <c r="M27" t="str">
        <f>IF(final_data787[[#This Row],[WEATHER_CODE]]=1,"clear",IF(final_data787[[#This Row],[WEATHER_CODE]]=2,"cloudy",IF(final_data787[[#This Row],[WEATHER_CODE]]=3,"light rain",IF(final_data787[[#This Row],[WEATHER_CODE]]=4,"heavy rain",0))))</f>
        <v>cloudy</v>
      </c>
      <c r="N27">
        <v>0.44</v>
      </c>
      <c r="O27">
        <v>0.43940000000000001</v>
      </c>
      <c r="P27">
        <v>0.94</v>
      </c>
      <c r="Q27">
        <v>0.25369999999999998</v>
      </c>
      <c r="R27">
        <v>1</v>
      </c>
      <c r="S27">
        <v>16</v>
      </c>
      <c r="T27">
        <v>17</v>
      </c>
      <c r="W27" s="131" t="s">
        <v>186</v>
      </c>
      <c r="X27" s="131"/>
      <c r="Y27" s="131"/>
      <c r="Z27" s="131"/>
      <c r="AA27" s="131"/>
      <c r="AC27" s="131"/>
      <c r="AD27" s="131"/>
      <c r="AE27" s="131"/>
      <c r="AF27" s="131"/>
      <c r="AG27" s="131"/>
      <c r="AH27" s="131"/>
    </row>
    <row r="28" spans="1:34" x14ac:dyDescent="0.35">
      <c r="A28">
        <v>27</v>
      </c>
      <c r="B28" s="1">
        <v>40545</v>
      </c>
      <c r="C28">
        <v>1</v>
      </c>
      <c r="D28">
        <v>0</v>
      </c>
      <c r="E28">
        <v>1</v>
      </c>
      <c r="F28" t="str">
        <f>IF(final_data787[[#This Row],[MONTH_CODE]]=1,"JANUARY",IF(final_data787[[#This Row],[MONTH_CODE]]=2,"FEBRUARY"))</f>
        <v>JANUARY</v>
      </c>
      <c r="G28">
        <v>2</v>
      </c>
      <c r="H28">
        <v>0</v>
      </c>
      <c r="I28">
        <v>0</v>
      </c>
      <c r="J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8" t="str">
        <f>IF(final_data787[[#This Row],[DAY_CODE]]=0,"weekend",IF(final_data787[[#This Row],[DAY_CODE]]=1,"weekend","weekday"))</f>
        <v>weekend</v>
      </c>
      <c r="L28">
        <v>2</v>
      </c>
      <c r="M28" t="str">
        <f>IF(final_data787[[#This Row],[WEATHER_CODE]]=1,"clear",IF(final_data787[[#This Row],[WEATHER_CODE]]=2,"cloudy",IF(final_data787[[#This Row],[WEATHER_CODE]]=3,"light rain",IF(final_data787[[#This Row],[WEATHER_CODE]]=4,"heavy rain",0))))</f>
        <v>cloudy</v>
      </c>
      <c r="N28">
        <v>0.42</v>
      </c>
      <c r="O28">
        <v>0.42420000000000002</v>
      </c>
      <c r="P28">
        <v>1</v>
      </c>
      <c r="Q28">
        <v>0.28360000000000002</v>
      </c>
      <c r="R28">
        <v>1</v>
      </c>
      <c r="S28">
        <v>8</v>
      </c>
      <c r="T28">
        <v>9</v>
      </c>
    </row>
    <row r="29" spans="1:34" x14ac:dyDescent="0.35">
      <c r="A29">
        <v>28</v>
      </c>
      <c r="B29" s="1">
        <v>40545</v>
      </c>
      <c r="C29">
        <v>1</v>
      </c>
      <c r="D29">
        <v>0</v>
      </c>
      <c r="E29">
        <v>1</v>
      </c>
      <c r="F29" t="str">
        <f>IF(final_data787[[#This Row],[MONTH_CODE]]=1,"JANUARY",IF(final_data787[[#This Row],[MONTH_CODE]]=2,"FEBRUARY"))</f>
        <v>JANUARY</v>
      </c>
      <c r="G29">
        <v>3</v>
      </c>
      <c r="H29">
        <v>0</v>
      </c>
      <c r="I29">
        <v>0</v>
      </c>
      <c r="J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9" t="str">
        <f>IF(final_data787[[#This Row],[DAY_CODE]]=0,"weekend",IF(final_data787[[#This Row],[DAY_CODE]]=1,"weekend","weekday"))</f>
        <v>weekend</v>
      </c>
      <c r="L29">
        <v>2</v>
      </c>
      <c r="M29" t="str">
        <f>IF(final_data787[[#This Row],[WEATHER_CODE]]=1,"clear",IF(final_data787[[#This Row],[WEATHER_CODE]]=2,"cloudy",IF(final_data787[[#This Row],[WEATHER_CODE]]=3,"light rain",IF(final_data787[[#This Row],[WEATHER_CODE]]=4,"heavy rain",0))))</f>
        <v>cloudy</v>
      </c>
      <c r="N29">
        <v>0.46</v>
      </c>
      <c r="O29">
        <v>0.45450000000000002</v>
      </c>
      <c r="P29">
        <v>0.94</v>
      </c>
      <c r="Q29">
        <v>0.19400000000000001</v>
      </c>
      <c r="R29">
        <v>2</v>
      </c>
      <c r="S29">
        <v>4</v>
      </c>
      <c r="T29">
        <v>6</v>
      </c>
    </row>
    <row r="30" spans="1:34" x14ac:dyDescent="0.35">
      <c r="A30">
        <v>29</v>
      </c>
      <c r="B30" s="1">
        <v>40545</v>
      </c>
      <c r="C30">
        <v>1</v>
      </c>
      <c r="D30">
        <v>0</v>
      </c>
      <c r="E30">
        <v>1</v>
      </c>
      <c r="F30" t="str">
        <f>IF(final_data787[[#This Row],[MONTH_CODE]]=1,"JANUARY",IF(final_data787[[#This Row],[MONTH_CODE]]=2,"FEBRUARY"))</f>
        <v>JANUARY</v>
      </c>
      <c r="G30">
        <v>4</v>
      </c>
      <c r="H30">
        <v>0</v>
      </c>
      <c r="I30">
        <v>0</v>
      </c>
      <c r="J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0" t="str">
        <f>IF(final_data787[[#This Row],[DAY_CODE]]=0,"weekend",IF(final_data787[[#This Row],[DAY_CODE]]=1,"weekend","weekday"))</f>
        <v>weekend</v>
      </c>
      <c r="L30">
        <v>2</v>
      </c>
      <c r="M30" t="str">
        <f>IF(final_data787[[#This Row],[WEATHER_CODE]]=1,"clear",IF(final_data787[[#This Row],[WEATHER_CODE]]=2,"cloudy",IF(final_data787[[#This Row],[WEATHER_CODE]]=3,"light rain",IF(final_data787[[#This Row],[WEATHER_CODE]]=4,"heavy rain",0))))</f>
        <v>cloudy</v>
      </c>
      <c r="N30">
        <v>0.46</v>
      </c>
      <c r="O30">
        <v>0.19993489148580967</v>
      </c>
      <c r="P30">
        <v>0.94</v>
      </c>
      <c r="Q30">
        <v>0.19400000000000001</v>
      </c>
      <c r="R30">
        <v>2</v>
      </c>
      <c r="S30">
        <v>1</v>
      </c>
      <c r="T30">
        <v>3</v>
      </c>
    </row>
    <row r="31" spans="1:34" x14ac:dyDescent="0.35">
      <c r="A31">
        <v>30</v>
      </c>
      <c r="B31" s="1">
        <v>40545</v>
      </c>
      <c r="C31">
        <v>1</v>
      </c>
      <c r="D31">
        <v>0</v>
      </c>
      <c r="E31">
        <v>1</v>
      </c>
      <c r="F31" t="str">
        <f>IF(final_data787[[#This Row],[MONTH_CODE]]=1,"JANUARY",IF(final_data787[[#This Row],[MONTH_CODE]]=2,"FEBRUARY"))</f>
        <v>JANUARY</v>
      </c>
      <c r="G31">
        <v>6</v>
      </c>
      <c r="H31">
        <v>0</v>
      </c>
      <c r="I31">
        <v>0</v>
      </c>
      <c r="J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1" t="str">
        <f>IF(final_data787[[#This Row],[DAY_CODE]]=0,"weekend",IF(final_data787[[#This Row],[DAY_CODE]]=1,"weekend","weekday"))</f>
        <v>weekend</v>
      </c>
      <c r="L31">
        <v>3</v>
      </c>
      <c r="M31" t="str">
        <f>IF(final_data787[[#This Row],[WEATHER_CODE]]=1,"clear",IF(final_data787[[#This Row],[WEATHER_CODE]]=2,"cloudy",IF(final_data787[[#This Row],[WEATHER_CODE]]=3,"light rain",IF(final_data787[[#This Row],[WEATHER_CODE]]=4,"heavy rain",0))))</f>
        <v>light rain</v>
      </c>
      <c r="N31">
        <v>0.42</v>
      </c>
      <c r="O31">
        <v>0.42420000000000002</v>
      </c>
      <c r="P31">
        <v>0.77</v>
      </c>
      <c r="Q31">
        <v>0.29849999999999999</v>
      </c>
      <c r="R31">
        <v>0</v>
      </c>
      <c r="S31">
        <v>2</v>
      </c>
      <c r="T31">
        <v>2</v>
      </c>
    </row>
    <row r="32" spans="1:34" x14ac:dyDescent="0.35">
      <c r="A32">
        <v>31</v>
      </c>
      <c r="B32" s="1">
        <v>40545</v>
      </c>
      <c r="C32">
        <v>1</v>
      </c>
      <c r="D32">
        <v>0</v>
      </c>
      <c r="E32">
        <v>1</v>
      </c>
      <c r="F32" t="str">
        <f>IF(final_data787[[#This Row],[MONTH_CODE]]=1,"JANUARY",IF(final_data787[[#This Row],[MONTH_CODE]]=2,"FEBRUARY"))</f>
        <v>JANUARY</v>
      </c>
      <c r="G32">
        <v>7</v>
      </c>
      <c r="H32">
        <v>0</v>
      </c>
      <c r="I32">
        <v>0</v>
      </c>
      <c r="J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2" t="str">
        <f>IF(final_data787[[#This Row],[DAY_CODE]]=0,"weekend",IF(final_data787[[#This Row],[DAY_CODE]]=1,"weekend","weekday"))</f>
        <v>weekend</v>
      </c>
      <c r="L32">
        <v>2</v>
      </c>
      <c r="M32" t="str">
        <f>IF(final_data787[[#This Row],[WEATHER_CODE]]=1,"clear",IF(final_data787[[#This Row],[WEATHER_CODE]]=2,"cloudy",IF(final_data787[[#This Row],[WEATHER_CODE]]=3,"light rain",IF(final_data787[[#This Row],[WEATHER_CODE]]=4,"heavy rain",0))))</f>
        <v>cloudy</v>
      </c>
      <c r="N32">
        <v>0.4</v>
      </c>
      <c r="O32">
        <v>0.40910000000000002</v>
      </c>
      <c r="P32">
        <v>0.76</v>
      </c>
      <c r="Q32">
        <v>0.19400000000000001</v>
      </c>
      <c r="R32">
        <v>0</v>
      </c>
      <c r="S32">
        <v>1</v>
      </c>
      <c r="T32">
        <v>1</v>
      </c>
    </row>
    <row r="33" spans="1:34" ht="18.5" x14ac:dyDescent="0.45">
      <c r="A33">
        <v>32</v>
      </c>
      <c r="B33" s="1">
        <v>40545</v>
      </c>
      <c r="C33">
        <v>1</v>
      </c>
      <c r="D33">
        <v>0</v>
      </c>
      <c r="E33">
        <v>1</v>
      </c>
      <c r="F33" t="str">
        <f>IF(final_data787[[#This Row],[MONTH_CODE]]=1,"JANUARY",IF(final_data787[[#This Row],[MONTH_CODE]]=2,"FEBRUARY"))</f>
        <v>JANUARY</v>
      </c>
      <c r="G33">
        <v>8</v>
      </c>
      <c r="H33">
        <v>0</v>
      </c>
      <c r="I33">
        <v>0</v>
      </c>
      <c r="J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3" t="str">
        <f>IF(final_data787[[#This Row],[DAY_CODE]]=0,"weekend",IF(final_data787[[#This Row],[DAY_CODE]]=1,"weekend","weekday"))</f>
        <v>weekend</v>
      </c>
      <c r="L33">
        <v>3</v>
      </c>
      <c r="M33" t="str">
        <f>IF(final_data787[[#This Row],[WEATHER_CODE]]=1,"clear",IF(final_data787[[#This Row],[WEATHER_CODE]]=2,"cloudy",IF(final_data787[[#This Row],[WEATHER_CODE]]=3,"light rain",IF(final_data787[[#This Row],[WEATHER_CODE]]=4,"heavy rain",0))))</f>
        <v>light rain</v>
      </c>
      <c r="N33">
        <v>0.4</v>
      </c>
      <c r="O33">
        <v>0.40910000000000002</v>
      </c>
      <c r="P33">
        <v>0.71</v>
      </c>
      <c r="Q33">
        <v>0.22389999999999999</v>
      </c>
      <c r="R33">
        <v>0</v>
      </c>
      <c r="S33">
        <v>8</v>
      </c>
      <c r="T33">
        <v>8</v>
      </c>
      <c r="X33" s="29" t="s">
        <v>66</v>
      </c>
      <c r="Y33" s="3"/>
      <c r="Z33" s="3"/>
    </row>
    <row r="34" spans="1:34" ht="18.5" x14ac:dyDescent="0.45">
      <c r="A34">
        <v>33</v>
      </c>
      <c r="B34" s="1">
        <v>40545</v>
      </c>
      <c r="C34">
        <v>1</v>
      </c>
      <c r="D34">
        <v>0</v>
      </c>
      <c r="E34">
        <v>1</v>
      </c>
      <c r="F34" t="str">
        <f>IF(final_data787[[#This Row],[MONTH_CODE]]=1,"JANUARY",IF(final_data787[[#This Row],[MONTH_CODE]]=2,"FEBRUARY"))</f>
        <v>JANUARY</v>
      </c>
      <c r="G34">
        <v>9</v>
      </c>
      <c r="H34">
        <v>0</v>
      </c>
      <c r="I34">
        <v>0</v>
      </c>
      <c r="J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4" t="str">
        <f>IF(final_data787[[#This Row],[DAY_CODE]]=0,"weekend",IF(final_data787[[#This Row],[DAY_CODE]]=1,"weekend","weekday"))</f>
        <v>weekend</v>
      </c>
      <c r="L34">
        <v>2</v>
      </c>
      <c r="M34" t="str">
        <f>IF(final_data787[[#This Row],[WEATHER_CODE]]=1,"clear",IF(final_data787[[#This Row],[WEATHER_CODE]]=2,"cloudy",IF(final_data787[[#This Row],[WEATHER_CODE]]=3,"light rain",IF(final_data787[[#This Row],[WEATHER_CODE]]=4,"heavy rain",0))))</f>
        <v>cloudy</v>
      </c>
      <c r="N34">
        <v>0.38</v>
      </c>
      <c r="O34">
        <v>0.19993489148580967</v>
      </c>
      <c r="P34">
        <v>0.76</v>
      </c>
      <c r="Q34">
        <v>0.22389999999999999</v>
      </c>
      <c r="R34">
        <v>1</v>
      </c>
      <c r="S34">
        <v>19</v>
      </c>
      <c r="T34">
        <v>20</v>
      </c>
      <c r="X34" s="3"/>
      <c r="Y34" s="3"/>
      <c r="Z34" s="3"/>
      <c r="AD34" s="36" t="s">
        <v>94</v>
      </c>
      <c r="AE34" s="37"/>
      <c r="AF34" s="37"/>
      <c r="AG34" s="37"/>
    </row>
    <row r="35" spans="1:34" x14ac:dyDescent="0.35">
      <c r="A35">
        <v>34</v>
      </c>
      <c r="B35" s="1">
        <v>40545</v>
      </c>
      <c r="C35">
        <v>1</v>
      </c>
      <c r="D35">
        <v>0</v>
      </c>
      <c r="E35">
        <v>1</v>
      </c>
      <c r="F35" t="str">
        <f>IF(final_data787[[#This Row],[MONTH_CODE]]=1,"JANUARY",IF(final_data787[[#This Row],[MONTH_CODE]]=2,"FEBRUARY"))</f>
        <v>JANUARY</v>
      </c>
      <c r="G35">
        <v>10</v>
      </c>
      <c r="H35">
        <v>0</v>
      </c>
      <c r="I35">
        <v>0</v>
      </c>
      <c r="J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 t="str">
        <f>IF(final_data787[[#This Row],[DAY_CODE]]=0,"weekend",IF(final_data787[[#This Row],[DAY_CODE]]=1,"weekend","weekday"))</f>
        <v>weekend</v>
      </c>
      <c r="L35">
        <v>2</v>
      </c>
      <c r="M35" t="str">
        <f>IF(final_data787[[#This Row],[WEATHER_CODE]]=1,"clear",IF(final_data787[[#This Row],[WEATHER_CODE]]=2,"cloudy",IF(final_data787[[#This Row],[WEATHER_CODE]]=3,"light rain",IF(final_data787[[#This Row],[WEATHER_CODE]]=4,"heavy rain",0))))</f>
        <v>cloudy</v>
      </c>
      <c r="N35">
        <v>0.36</v>
      </c>
      <c r="O35">
        <v>0.34849999999999998</v>
      </c>
      <c r="P35">
        <v>0.81</v>
      </c>
      <c r="Q35">
        <v>0.22389999999999999</v>
      </c>
      <c r="R35">
        <v>7</v>
      </c>
      <c r="S35">
        <v>46</v>
      </c>
      <c r="T35">
        <v>53</v>
      </c>
      <c r="X35" s="5"/>
      <c r="Y35" s="5"/>
      <c r="Z35" s="5"/>
      <c r="AD35" s="3"/>
      <c r="AE35" s="3"/>
      <c r="AF35" s="3"/>
      <c r="AG35" s="3"/>
    </row>
    <row r="36" spans="1:34" x14ac:dyDescent="0.35">
      <c r="A36">
        <v>35</v>
      </c>
      <c r="B36" s="1">
        <v>40545</v>
      </c>
      <c r="C36">
        <v>1</v>
      </c>
      <c r="D36">
        <v>0</v>
      </c>
      <c r="E36">
        <v>1</v>
      </c>
      <c r="F36" t="str">
        <f>IF(final_data787[[#This Row],[MONTH_CODE]]=1,"JANUARY",IF(final_data787[[#This Row],[MONTH_CODE]]=2,"FEBRUARY"))</f>
        <v>JANUARY</v>
      </c>
      <c r="G36">
        <v>11</v>
      </c>
      <c r="H36">
        <v>0</v>
      </c>
      <c r="I36">
        <v>0</v>
      </c>
      <c r="J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 t="str">
        <f>IF(final_data787[[#This Row],[DAY_CODE]]=0,"weekend",IF(final_data787[[#This Row],[DAY_CODE]]=1,"weekend","weekday"))</f>
        <v>weekend</v>
      </c>
      <c r="L36">
        <v>2</v>
      </c>
      <c r="M36" t="str">
        <f>IF(final_data787[[#This Row],[WEATHER_CODE]]=1,"clear",IF(final_data787[[#This Row],[WEATHER_CODE]]=2,"cloudy",IF(final_data787[[#This Row],[WEATHER_CODE]]=3,"light rain",IF(final_data787[[#This Row],[WEATHER_CODE]]=4,"heavy rain",0))))</f>
        <v>cloudy</v>
      </c>
      <c r="N36">
        <v>0.36</v>
      </c>
      <c r="O36">
        <v>0.33329999999999999</v>
      </c>
      <c r="P36">
        <v>0.71</v>
      </c>
      <c r="Q36">
        <v>0.25369999999999998</v>
      </c>
      <c r="R36">
        <v>16</v>
      </c>
      <c r="S36">
        <v>54</v>
      </c>
      <c r="T36">
        <v>70</v>
      </c>
      <c r="X36" s="5"/>
      <c r="Y36" s="5"/>
      <c r="Z36" s="5"/>
      <c r="AD36" s="5"/>
      <c r="AE36" s="5"/>
      <c r="AF36" s="5"/>
      <c r="AG36" s="5"/>
    </row>
    <row r="37" spans="1:34" x14ac:dyDescent="0.35">
      <c r="A37">
        <v>36</v>
      </c>
      <c r="B37" s="1">
        <v>40545</v>
      </c>
      <c r="C37">
        <v>1</v>
      </c>
      <c r="D37">
        <v>0</v>
      </c>
      <c r="E37">
        <v>1</v>
      </c>
      <c r="F37" t="str">
        <f>IF(final_data787[[#This Row],[MONTH_CODE]]=1,"JANUARY",IF(final_data787[[#This Row],[MONTH_CODE]]=2,"FEBRUARY"))</f>
        <v>JANUARY</v>
      </c>
      <c r="G37">
        <v>12</v>
      </c>
      <c r="H37">
        <v>0</v>
      </c>
      <c r="I37">
        <v>0</v>
      </c>
      <c r="J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7" t="str">
        <f>IF(final_data787[[#This Row],[DAY_CODE]]=0,"weekend",IF(final_data787[[#This Row],[DAY_CODE]]=1,"weekend","weekday"))</f>
        <v>weekend</v>
      </c>
      <c r="L37">
        <v>2</v>
      </c>
      <c r="M37" t="str">
        <f>IF(final_data787[[#This Row],[WEATHER_CODE]]=1,"clear",IF(final_data787[[#This Row],[WEATHER_CODE]]=2,"cloudy",IF(final_data787[[#This Row],[WEATHER_CODE]]=3,"light rain",IF(final_data787[[#This Row],[WEATHER_CODE]]=4,"heavy rain",0))))</f>
        <v>cloudy</v>
      </c>
      <c r="N37">
        <v>0.36</v>
      </c>
      <c r="O37">
        <v>0.33329999999999999</v>
      </c>
      <c r="P37">
        <v>0.66</v>
      </c>
      <c r="Q37">
        <v>0.29849999999999999</v>
      </c>
      <c r="R37">
        <v>20</v>
      </c>
      <c r="S37">
        <v>73</v>
      </c>
      <c r="T37">
        <v>93</v>
      </c>
      <c r="X37" s="22" t="s">
        <v>27</v>
      </c>
      <c r="Y37" s="32">
        <v>40545</v>
      </c>
      <c r="Z37" s="30" t="s">
        <v>67</v>
      </c>
      <c r="AA37" s="31"/>
      <c r="AD37" s="38" t="s">
        <v>37</v>
      </c>
      <c r="AE37" s="38" t="s">
        <v>95</v>
      </c>
      <c r="AF37" s="38" t="s">
        <v>44</v>
      </c>
      <c r="AG37" s="38" t="s">
        <v>96</v>
      </c>
    </row>
    <row r="38" spans="1:34" x14ac:dyDescent="0.35">
      <c r="A38">
        <v>37</v>
      </c>
      <c r="B38" s="1">
        <v>40545</v>
      </c>
      <c r="C38">
        <v>1</v>
      </c>
      <c r="D38">
        <v>0</v>
      </c>
      <c r="E38">
        <v>1</v>
      </c>
      <c r="F38" t="str">
        <f>IF(final_data787[[#This Row],[MONTH_CODE]]=1,"JANUARY",IF(final_data787[[#This Row],[MONTH_CODE]]=2,"FEBRUARY"))</f>
        <v>JANUARY</v>
      </c>
      <c r="G38">
        <v>13</v>
      </c>
      <c r="H38">
        <v>0</v>
      </c>
      <c r="I38">
        <v>0</v>
      </c>
      <c r="J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8" t="str">
        <f>IF(final_data787[[#This Row],[DAY_CODE]]=0,"weekend",IF(final_data787[[#This Row],[DAY_CODE]]=1,"weekend","weekday"))</f>
        <v>weekend</v>
      </c>
      <c r="L38">
        <v>2</v>
      </c>
      <c r="M38" t="str">
        <f>IF(final_data787[[#This Row],[WEATHER_CODE]]=1,"clear",IF(final_data787[[#This Row],[WEATHER_CODE]]=2,"cloudy",IF(final_data787[[#This Row],[WEATHER_CODE]]=3,"light rain",IF(final_data787[[#This Row],[WEATHER_CODE]]=4,"heavy rain",0))))</f>
        <v>cloudy</v>
      </c>
      <c r="N38">
        <v>0.36</v>
      </c>
      <c r="O38">
        <v>0.34849999999999998</v>
      </c>
      <c r="P38">
        <v>0.66</v>
      </c>
      <c r="Q38">
        <v>0.1343</v>
      </c>
      <c r="R38">
        <v>11</v>
      </c>
      <c r="S38">
        <v>64</v>
      </c>
      <c r="T38">
        <v>75</v>
      </c>
      <c r="X38" s="22" t="s">
        <v>64</v>
      </c>
      <c r="Y38" s="33" t="str">
        <f>INDEX($J$2:$J$1000,MATCH($Y$37,$B$2:$B$1000,0))</f>
        <v>Sunday</v>
      </c>
      <c r="Z38" s="5"/>
      <c r="AD38" s="5"/>
      <c r="AE38" s="39"/>
      <c r="AF38" s="5"/>
      <c r="AG38" s="5"/>
    </row>
    <row r="39" spans="1:34" x14ac:dyDescent="0.35">
      <c r="A39">
        <v>38</v>
      </c>
      <c r="B39" s="1">
        <v>40545</v>
      </c>
      <c r="C39">
        <v>1</v>
      </c>
      <c r="D39">
        <v>0</v>
      </c>
      <c r="E39">
        <v>1</v>
      </c>
      <c r="F39" t="str">
        <f>IF(final_data787[[#This Row],[MONTH_CODE]]=1,"JANUARY",IF(final_data787[[#This Row],[MONTH_CODE]]=2,"FEBRUARY"))</f>
        <v>JANUARY</v>
      </c>
      <c r="G39">
        <v>14</v>
      </c>
      <c r="H39">
        <v>0</v>
      </c>
      <c r="I39">
        <v>0</v>
      </c>
      <c r="J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9" t="str">
        <f>IF(final_data787[[#This Row],[DAY_CODE]]=0,"weekend",IF(final_data787[[#This Row],[DAY_CODE]]=1,"weekend","weekday"))</f>
        <v>weekend</v>
      </c>
      <c r="L39">
        <v>3</v>
      </c>
      <c r="M39" t="str">
        <f>IF(final_data787[[#This Row],[WEATHER_CODE]]=1,"clear",IF(final_data787[[#This Row],[WEATHER_CODE]]=2,"cloudy",IF(final_data787[[#This Row],[WEATHER_CODE]]=3,"light rain",IF(final_data787[[#This Row],[WEATHER_CODE]]=4,"heavy rain",0))))</f>
        <v>light rain</v>
      </c>
      <c r="N39">
        <v>0.36</v>
      </c>
      <c r="O39">
        <v>0.19993489148580967</v>
      </c>
      <c r="P39">
        <v>0.76</v>
      </c>
      <c r="Q39">
        <v>0.19400000000000001</v>
      </c>
      <c r="R39">
        <v>4</v>
      </c>
      <c r="S39">
        <v>55</v>
      </c>
      <c r="T39">
        <v>59</v>
      </c>
      <c r="X39" s="22" t="s">
        <v>37</v>
      </c>
      <c r="Y39" s="33" t="str">
        <f>INDEX($M$2:$M$1000,MATCH($Y$37,$B$2:$B$1000,0))</f>
        <v>cloudy</v>
      </c>
      <c r="Z39" s="5"/>
      <c r="AD39" s="22" t="s">
        <v>97</v>
      </c>
      <c r="AE39" s="22">
        <f>COUNTIF(M2:M1001,"CLEAR")</f>
        <v>606</v>
      </c>
      <c r="AF39" s="22">
        <f>SUMIF(M2:M1001,"CLEAR",T2:T1001)</f>
        <v>37373</v>
      </c>
      <c r="AG39" s="22">
        <f>AF39/AE39</f>
        <v>61.671617161716171</v>
      </c>
    </row>
    <row r="40" spans="1:34" x14ac:dyDescent="0.35">
      <c r="A40">
        <v>39</v>
      </c>
      <c r="B40" s="1">
        <v>40545</v>
      </c>
      <c r="C40">
        <v>1</v>
      </c>
      <c r="D40">
        <v>0</v>
      </c>
      <c r="E40">
        <v>1</v>
      </c>
      <c r="F40" t="str">
        <f>IF(final_data787[[#This Row],[MONTH_CODE]]=1,"JANUARY",IF(final_data787[[#This Row],[MONTH_CODE]]=2,"FEBRUARY"))</f>
        <v>JANUARY</v>
      </c>
      <c r="G40">
        <v>15</v>
      </c>
      <c r="H40">
        <v>0</v>
      </c>
      <c r="I40">
        <v>0</v>
      </c>
      <c r="J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0" t="str">
        <f>IF(final_data787[[#This Row],[DAY_CODE]]=0,"weekend",IF(final_data787[[#This Row],[DAY_CODE]]=1,"weekend","weekday"))</f>
        <v>weekend</v>
      </c>
      <c r="L40">
        <v>3</v>
      </c>
      <c r="M40" t="str">
        <f>IF(final_data787[[#This Row],[WEATHER_CODE]]=1,"clear",IF(final_data787[[#This Row],[WEATHER_CODE]]=2,"cloudy",IF(final_data787[[#This Row],[WEATHER_CODE]]=3,"light rain",IF(final_data787[[#This Row],[WEATHER_CODE]]=4,"heavy rain",0))))</f>
        <v>light rain</v>
      </c>
      <c r="N40">
        <v>0.34</v>
      </c>
      <c r="O40">
        <v>0.33329999999999999</v>
      </c>
      <c r="P40">
        <v>0.81</v>
      </c>
      <c r="Q40">
        <v>0.16420000000000001</v>
      </c>
      <c r="R40">
        <v>19</v>
      </c>
      <c r="S40">
        <v>55</v>
      </c>
      <c r="T40">
        <v>74</v>
      </c>
      <c r="X40" s="22" t="s">
        <v>59</v>
      </c>
      <c r="Y40" s="33">
        <f>INDEX($N$2:$N$1000,MATCH($Y$37,$B$2:$B$1000,0))</f>
        <v>0.46</v>
      </c>
      <c r="Z40" s="5"/>
      <c r="AD40" s="22" t="s">
        <v>98</v>
      </c>
      <c r="AE40" s="22">
        <f>COUNTIF(M2:M1001,"CLOUDY")</f>
        <v>309</v>
      </c>
      <c r="AF40" s="22">
        <f>SUMIF(M2:M1001,"CLOUDY",T2:T1001)</f>
        <v>18106</v>
      </c>
      <c r="AG40" s="22">
        <f>AF40/AE40</f>
        <v>58.595469255663431</v>
      </c>
    </row>
    <row r="41" spans="1:34" x14ac:dyDescent="0.35">
      <c r="A41">
        <v>40</v>
      </c>
      <c r="B41" s="1">
        <v>40545</v>
      </c>
      <c r="C41">
        <v>1</v>
      </c>
      <c r="D41">
        <v>0</v>
      </c>
      <c r="E41">
        <v>1</v>
      </c>
      <c r="F41" t="str">
        <f>IF(final_data787[[#This Row],[MONTH_CODE]]=1,"JANUARY",IF(final_data787[[#This Row],[MONTH_CODE]]=2,"FEBRUARY"))</f>
        <v>JANUARY</v>
      </c>
      <c r="G41">
        <v>16</v>
      </c>
      <c r="H41">
        <v>0</v>
      </c>
      <c r="I41">
        <v>0</v>
      </c>
      <c r="J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1" t="str">
        <f>IF(final_data787[[#This Row],[DAY_CODE]]=0,"weekend",IF(final_data787[[#This Row],[DAY_CODE]]=1,"weekend","weekday"))</f>
        <v>weekend</v>
      </c>
      <c r="L41">
        <v>3</v>
      </c>
      <c r="M41" t="str">
        <f>IF(final_data787[[#This Row],[WEATHER_CODE]]=1,"clear",IF(final_data787[[#This Row],[WEATHER_CODE]]=2,"cloudy",IF(final_data787[[#This Row],[WEATHER_CODE]]=3,"light rain",IF(final_data787[[#This Row],[WEATHER_CODE]]=4,"heavy rain",0))))</f>
        <v>light rain</v>
      </c>
      <c r="N41">
        <v>0.34</v>
      </c>
      <c r="O41">
        <v>0.33329999999999999</v>
      </c>
      <c r="P41">
        <v>0.71</v>
      </c>
      <c r="Q41">
        <v>0.16420000000000001</v>
      </c>
      <c r="R41">
        <v>9</v>
      </c>
      <c r="S41">
        <v>67</v>
      </c>
      <c r="T41">
        <v>76</v>
      </c>
      <c r="X41" s="22" t="s">
        <v>40</v>
      </c>
      <c r="Y41" s="33">
        <f>INDEX($P$2:$P$1000,MATCH($Y$37,$B$2:$B$1000,0))</f>
        <v>0.88</v>
      </c>
      <c r="Z41" s="5"/>
      <c r="AD41" s="22" t="s">
        <v>99</v>
      </c>
      <c r="AE41" s="22">
        <f>COUNTIF(M2:M1001,"LIGHT RAIN")</f>
        <v>84</v>
      </c>
      <c r="AF41" s="22">
        <f>SUMIF(M2:M1001,"LIGHT RAIN",T2:T1001)</f>
        <v>2789</v>
      </c>
      <c r="AG41" s="22">
        <f>AF41/AE41</f>
        <v>33.202380952380949</v>
      </c>
    </row>
    <row r="42" spans="1:34" x14ac:dyDescent="0.35">
      <c r="A42">
        <v>41</v>
      </c>
      <c r="B42" s="1">
        <v>40545</v>
      </c>
      <c r="C42">
        <v>1</v>
      </c>
      <c r="D42">
        <v>0</v>
      </c>
      <c r="E42">
        <v>1</v>
      </c>
      <c r="F42" t="str">
        <f>IF(final_data787[[#This Row],[MONTH_CODE]]=1,"JANUARY",IF(final_data787[[#This Row],[MONTH_CODE]]=2,"FEBRUARY"))</f>
        <v>JANUARY</v>
      </c>
      <c r="G42">
        <v>17</v>
      </c>
      <c r="H42">
        <v>0</v>
      </c>
      <c r="I42">
        <v>0</v>
      </c>
      <c r="J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2" t="str">
        <f>IF(final_data787[[#This Row],[DAY_CODE]]=0,"weekend",IF(final_data787[[#This Row],[DAY_CODE]]=1,"weekend","weekday"))</f>
        <v>weekend</v>
      </c>
      <c r="L42">
        <v>1</v>
      </c>
      <c r="M42" t="str">
        <f>IF(final_data787[[#This Row],[WEATHER_CODE]]=1,"clear",IF(final_data787[[#This Row],[WEATHER_CODE]]=2,"cloudy",IF(final_data787[[#This Row],[WEATHER_CODE]]=3,"light rain",IF(final_data787[[#This Row],[WEATHER_CODE]]=4,"heavy rain",0))))</f>
        <v>clear</v>
      </c>
      <c r="N42">
        <v>0.34</v>
      </c>
      <c r="O42">
        <v>0.33329999999999999</v>
      </c>
      <c r="P42">
        <v>0.56999999999999995</v>
      </c>
      <c r="Q42">
        <v>0.19400000000000001</v>
      </c>
      <c r="R42">
        <v>7</v>
      </c>
      <c r="S42">
        <v>58</v>
      </c>
      <c r="T42">
        <v>65</v>
      </c>
      <c r="X42" s="22" t="s">
        <v>65</v>
      </c>
      <c r="Y42" s="33">
        <f>INDEX($R$2:$R$1000,MATCH($Y$37,$B$2:$B$1000,0))</f>
        <v>4</v>
      </c>
      <c r="Z42" s="5"/>
      <c r="AD42" s="22" t="s">
        <v>100</v>
      </c>
      <c r="AE42" s="22">
        <f>COUNTIF(M2:M1001,"HEAVY RAIN")</f>
        <v>1</v>
      </c>
      <c r="AF42" s="22">
        <f>SUMIF(M2:M1001,"HEAVY RAIN",T2:T1001)</f>
        <v>36</v>
      </c>
      <c r="AG42" s="22">
        <f>AF42/AE42</f>
        <v>36</v>
      </c>
    </row>
    <row r="43" spans="1:34" x14ac:dyDescent="0.35">
      <c r="A43">
        <v>42</v>
      </c>
      <c r="B43" s="1">
        <v>40545</v>
      </c>
      <c r="C43">
        <v>1</v>
      </c>
      <c r="D43">
        <v>0</v>
      </c>
      <c r="E43">
        <v>1</v>
      </c>
      <c r="F43" t="str">
        <f>IF(final_data787[[#This Row],[MONTH_CODE]]=1,"JANUARY",IF(final_data787[[#This Row],[MONTH_CODE]]=2,"FEBRUARY"))</f>
        <v>JANUARY</v>
      </c>
      <c r="G43">
        <v>18</v>
      </c>
      <c r="H43">
        <v>0</v>
      </c>
      <c r="I43">
        <v>0</v>
      </c>
      <c r="J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3" t="str">
        <f>IF(final_data787[[#This Row],[DAY_CODE]]=0,"weekend",IF(final_data787[[#This Row],[DAY_CODE]]=1,"weekend","weekday"))</f>
        <v>weekend</v>
      </c>
      <c r="L43">
        <v>2</v>
      </c>
      <c r="M43" t="str">
        <f>IF(final_data787[[#This Row],[WEATHER_CODE]]=1,"clear",IF(final_data787[[#This Row],[WEATHER_CODE]]=2,"cloudy",IF(final_data787[[#This Row],[WEATHER_CODE]]=3,"light rain",IF(final_data787[[#This Row],[WEATHER_CODE]]=4,"heavy rain",0))))</f>
        <v>cloudy</v>
      </c>
      <c r="N43">
        <v>0.36</v>
      </c>
      <c r="O43">
        <v>0.33329999999999999</v>
      </c>
      <c r="P43">
        <v>0.46</v>
      </c>
      <c r="Q43">
        <v>0.32840000000000003</v>
      </c>
      <c r="R43">
        <v>10</v>
      </c>
      <c r="S43">
        <v>43</v>
      </c>
      <c r="T43">
        <v>53</v>
      </c>
      <c r="X43" s="22" t="s">
        <v>55</v>
      </c>
      <c r="Y43" s="33">
        <f>INDEX($S$2:$S$1000,MATCH($Y$37,$B$2:$B$1000,0))</f>
        <v>13</v>
      </c>
      <c r="Z43" s="5"/>
    </row>
    <row r="44" spans="1:34" x14ac:dyDescent="0.35">
      <c r="A44">
        <v>43</v>
      </c>
      <c r="B44" s="1">
        <v>40545</v>
      </c>
      <c r="C44">
        <v>1</v>
      </c>
      <c r="D44">
        <v>0</v>
      </c>
      <c r="E44">
        <v>1</v>
      </c>
      <c r="F44" t="str">
        <f>IF(final_data787[[#This Row],[MONTH_CODE]]=1,"JANUARY",IF(final_data787[[#This Row],[MONTH_CODE]]=2,"FEBRUARY"))</f>
        <v>JANUARY</v>
      </c>
      <c r="G44">
        <v>19</v>
      </c>
      <c r="H44">
        <v>0</v>
      </c>
      <c r="I44">
        <v>0</v>
      </c>
      <c r="J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4" t="str">
        <f>IF(final_data787[[#This Row],[DAY_CODE]]=0,"weekend",IF(final_data787[[#This Row],[DAY_CODE]]=1,"weekend","weekday"))</f>
        <v>weekend</v>
      </c>
      <c r="L44">
        <v>1</v>
      </c>
      <c r="M44" t="str">
        <f>IF(final_data787[[#This Row],[WEATHER_CODE]]=1,"clear",IF(final_data787[[#This Row],[WEATHER_CODE]]=2,"cloudy",IF(final_data787[[#This Row],[WEATHER_CODE]]=3,"light rain",IF(final_data787[[#This Row],[WEATHER_CODE]]=4,"heavy rain",0))))</f>
        <v>clear</v>
      </c>
      <c r="N44">
        <v>0.32</v>
      </c>
      <c r="O44">
        <v>0.28789999999999999</v>
      </c>
      <c r="P44">
        <v>0.42</v>
      </c>
      <c r="Q44">
        <v>0.44779999999999998</v>
      </c>
      <c r="R44">
        <v>1</v>
      </c>
      <c r="S44">
        <v>29</v>
      </c>
      <c r="T44">
        <v>30</v>
      </c>
      <c r="X44" s="22" t="s">
        <v>56</v>
      </c>
      <c r="Y44" s="33">
        <f>INDEX($T$2:$T$1000,MATCH($Y$37,$B$2:$B$1000,0))</f>
        <v>17</v>
      </c>
      <c r="Z44" s="5"/>
    </row>
    <row r="45" spans="1:34" x14ac:dyDescent="0.35">
      <c r="A45">
        <v>44</v>
      </c>
      <c r="B45" s="1">
        <v>40545</v>
      </c>
      <c r="C45">
        <v>1</v>
      </c>
      <c r="D45">
        <v>0</v>
      </c>
      <c r="E45">
        <v>1</v>
      </c>
      <c r="F45" t="str">
        <f>IF(final_data787[[#This Row],[MONTH_CODE]]=1,"JANUARY",IF(final_data787[[#This Row],[MONTH_CODE]]=2,"FEBRUARY"))</f>
        <v>JANUARY</v>
      </c>
      <c r="G45">
        <v>20</v>
      </c>
      <c r="H45">
        <v>0</v>
      </c>
      <c r="I45">
        <v>0</v>
      </c>
      <c r="J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5" t="str">
        <f>IF(final_data787[[#This Row],[DAY_CODE]]=0,"weekend",IF(final_data787[[#This Row],[DAY_CODE]]=1,"weekend","weekday"))</f>
        <v>weekend</v>
      </c>
      <c r="L45">
        <v>1</v>
      </c>
      <c r="M45" t="str">
        <f>IF(final_data787[[#This Row],[WEATHER_CODE]]=1,"clear",IF(final_data787[[#This Row],[WEATHER_CODE]]=2,"cloudy",IF(final_data787[[#This Row],[WEATHER_CODE]]=3,"light rain",IF(final_data787[[#This Row],[WEATHER_CODE]]=4,"heavy rain",0))))</f>
        <v>clear</v>
      </c>
      <c r="N45">
        <v>0.3</v>
      </c>
      <c r="O45">
        <v>0.19993489148580967</v>
      </c>
      <c r="P45">
        <v>0.39</v>
      </c>
      <c r="Q45">
        <v>0.35820000000000002</v>
      </c>
      <c r="R45">
        <v>5</v>
      </c>
      <c r="S45">
        <v>17</v>
      </c>
      <c r="T45">
        <v>22</v>
      </c>
      <c r="AD45" s="131" t="s">
        <v>187</v>
      </c>
      <c r="AE45" s="131"/>
      <c r="AF45" s="131"/>
      <c r="AG45" s="131"/>
      <c r="AH45" s="131"/>
    </row>
    <row r="46" spans="1:34" x14ac:dyDescent="0.35">
      <c r="A46">
        <v>45</v>
      </c>
      <c r="B46" s="1">
        <v>40545</v>
      </c>
      <c r="C46">
        <v>1</v>
      </c>
      <c r="D46">
        <v>0</v>
      </c>
      <c r="E46">
        <v>1</v>
      </c>
      <c r="F46" t="str">
        <f>IF(final_data787[[#This Row],[MONTH_CODE]]=1,"JANUARY",IF(final_data787[[#This Row],[MONTH_CODE]]=2,"FEBRUARY"))</f>
        <v>JANUARY</v>
      </c>
      <c r="G46">
        <v>21</v>
      </c>
      <c r="H46">
        <v>0</v>
      </c>
      <c r="I46">
        <v>0</v>
      </c>
      <c r="J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6" t="str">
        <f>IF(final_data787[[#This Row],[DAY_CODE]]=0,"weekend",IF(final_data787[[#This Row],[DAY_CODE]]=1,"weekend","weekday"))</f>
        <v>weekend</v>
      </c>
      <c r="L46">
        <v>1</v>
      </c>
      <c r="M46" t="str">
        <f>IF(final_data787[[#This Row],[WEATHER_CODE]]=1,"clear",IF(final_data787[[#This Row],[WEATHER_CODE]]=2,"cloudy",IF(final_data787[[#This Row],[WEATHER_CODE]]=3,"light rain",IF(final_data787[[#This Row],[WEATHER_CODE]]=4,"heavy rain",0))))</f>
        <v>clear</v>
      </c>
      <c r="N46">
        <v>0.26</v>
      </c>
      <c r="O46">
        <v>0.2273</v>
      </c>
      <c r="P46">
        <v>0.44</v>
      </c>
      <c r="Q46">
        <v>0.32840000000000003</v>
      </c>
      <c r="R46">
        <v>11</v>
      </c>
      <c r="S46">
        <v>20</v>
      </c>
      <c r="T46">
        <v>31</v>
      </c>
      <c r="AD46" s="131" t="s">
        <v>188</v>
      </c>
      <c r="AE46" s="131"/>
      <c r="AF46" s="131"/>
      <c r="AG46" s="131"/>
      <c r="AH46" s="131"/>
    </row>
    <row r="47" spans="1:34" x14ac:dyDescent="0.35">
      <c r="A47">
        <v>46</v>
      </c>
      <c r="B47" s="1">
        <v>40545</v>
      </c>
      <c r="C47">
        <v>1</v>
      </c>
      <c r="D47">
        <v>0</v>
      </c>
      <c r="E47">
        <v>1</v>
      </c>
      <c r="F47" t="str">
        <f>IF(final_data787[[#This Row],[MONTH_CODE]]=1,"JANUARY",IF(final_data787[[#This Row],[MONTH_CODE]]=2,"FEBRUARY"))</f>
        <v>JANUARY</v>
      </c>
      <c r="G47">
        <v>22</v>
      </c>
      <c r="H47">
        <v>0</v>
      </c>
      <c r="I47">
        <v>0</v>
      </c>
      <c r="J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7" t="str">
        <f>IF(final_data787[[#This Row],[DAY_CODE]]=0,"weekend",IF(final_data787[[#This Row],[DAY_CODE]]=1,"weekend","weekday"))</f>
        <v>weekend</v>
      </c>
      <c r="L47">
        <v>1</v>
      </c>
      <c r="M47" t="str">
        <f>IF(final_data787[[#This Row],[WEATHER_CODE]]=1,"clear",IF(final_data787[[#This Row],[WEATHER_CODE]]=2,"cloudy",IF(final_data787[[#This Row],[WEATHER_CODE]]=3,"light rain",IF(final_data787[[#This Row],[WEATHER_CODE]]=4,"heavy rain",0))))</f>
        <v>clear</v>
      </c>
      <c r="N47">
        <v>0.24</v>
      </c>
      <c r="O47">
        <v>0.21210000000000001</v>
      </c>
      <c r="P47">
        <v>0.44</v>
      </c>
      <c r="Q47">
        <v>0.29849999999999999</v>
      </c>
      <c r="R47">
        <v>0</v>
      </c>
      <c r="S47">
        <v>9</v>
      </c>
      <c r="T47">
        <v>9</v>
      </c>
    </row>
    <row r="48" spans="1:34" x14ac:dyDescent="0.35">
      <c r="A48">
        <v>47</v>
      </c>
      <c r="B48" s="1">
        <v>40545</v>
      </c>
      <c r="C48">
        <v>1</v>
      </c>
      <c r="D48">
        <v>0</v>
      </c>
      <c r="E48">
        <v>1</v>
      </c>
      <c r="F48" t="str">
        <f>IF(final_data787[[#This Row],[MONTH_CODE]]=1,"JANUARY",IF(final_data787[[#This Row],[MONTH_CODE]]=2,"FEBRUARY"))</f>
        <v>JANUARY</v>
      </c>
      <c r="G48">
        <v>23</v>
      </c>
      <c r="H48">
        <v>0</v>
      </c>
      <c r="I48">
        <v>0</v>
      </c>
      <c r="J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48" t="str">
        <f>IF(final_data787[[#This Row],[DAY_CODE]]=0,"weekend",IF(final_data787[[#This Row],[DAY_CODE]]=1,"weekend","weekday"))</f>
        <v>weekend</v>
      </c>
      <c r="L48">
        <v>1</v>
      </c>
      <c r="M48" t="str">
        <f>IF(final_data787[[#This Row],[WEATHER_CODE]]=1,"clear",IF(final_data787[[#This Row],[WEATHER_CODE]]=2,"cloudy",IF(final_data787[[#This Row],[WEATHER_CODE]]=3,"light rain",IF(final_data787[[#This Row],[WEATHER_CODE]]=4,"heavy rain",0))))</f>
        <v>clear</v>
      </c>
      <c r="N48">
        <v>0.22</v>
      </c>
      <c r="O48">
        <v>0.2273</v>
      </c>
      <c r="P48">
        <v>0.47</v>
      </c>
      <c r="Q48">
        <v>0.16420000000000001</v>
      </c>
      <c r="R48">
        <v>0</v>
      </c>
      <c r="S48">
        <v>8</v>
      </c>
      <c r="T48">
        <v>8</v>
      </c>
    </row>
    <row r="49" spans="1:20" x14ac:dyDescent="0.35">
      <c r="A49">
        <v>48</v>
      </c>
      <c r="B49" s="1">
        <v>40546</v>
      </c>
      <c r="C49">
        <v>1</v>
      </c>
      <c r="D49">
        <v>0</v>
      </c>
      <c r="E49">
        <v>1</v>
      </c>
      <c r="F49" t="str">
        <f>IF(final_data787[[#This Row],[MONTH_CODE]]=1,"JANUARY",IF(final_data787[[#This Row],[MONTH_CODE]]=2,"FEBRUARY"))</f>
        <v>JANUARY</v>
      </c>
      <c r="G49">
        <v>0</v>
      </c>
      <c r="H49">
        <v>0</v>
      </c>
      <c r="I49">
        <v>1</v>
      </c>
      <c r="J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49" t="str">
        <f>IF(final_data787[[#This Row],[DAY_CODE]]=0,"weekend",IF(final_data787[[#This Row],[DAY_CODE]]=1,"weekend","weekday"))</f>
        <v>weekend</v>
      </c>
      <c r="L49">
        <v>1</v>
      </c>
      <c r="M49" t="str">
        <f>IF(final_data787[[#This Row],[WEATHER_CODE]]=1,"clear",IF(final_data787[[#This Row],[WEATHER_CODE]]=2,"cloudy",IF(final_data787[[#This Row],[WEATHER_CODE]]=3,"light rain",IF(final_data787[[#This Row],[WEATHER_CODE]]=4,"heavy rain",0))))</f>
        <v>clear</v>
      </c>
      <c r="N49">
        <v>0.22</v>
      </c>
      <c r="O49">
        <v>0.19700000000000001</v>
      </c>
      <c r="P49">
        <v>0.44</v>
      </c>
      <c r="Q49">
        <v>0.35820000000000002</v>
      </c>
      <c r="R49">
        <v>0</v>
      </c>
      <c r="S49">
        <v>5</v>
      </c>
      <c r="T49">
        <v>5</v>
      </c>
    </row>
    <row r="50" spans="1:20" x14ac:dyDescent="0.35">
      <c r="A50">
        <v>49</v>
      </c>
      <c r="B50" s="1">
        <v>40546</v>
      </c>
      <c r="C50">
        <v>1</v>
      </c>
      <c r="D50">
        <v>0</v>
      </c>
      <c r="E50">
        <v>1</v>
      </c>
      <c r="F50" t="str">
        <f>IF(final_data787[[#This Row],[MONTH_CODE]]=1,"JANUARY",IF(final_data787[[#This Row],[MONTH_CODE]]=2,"FEBRUARY"))</f>
        <v>JANUARY</v>
      </c>
      <c r="G50">
        <v>1</v>
      </c>
      <c r="H50">
        <v>0</v>
      </c>
      <c r="I50">
        <v>1</v>
      </c>
      <c r="J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0" t="str">
        <f>IF(final_data787[[#This Row],[DAY_CODE]]=0,"weekend",IF(final_data787[[#This Row],[DAY_CODE]]=1,"weekend","weekday"))</f>
        <v>weekend</v>
      </c>
      <c r="L50">
        <v>1</v>
      </c>
      <c r="M50" t="str">
        <f>IF(final_data787[[#This Row],[WEATHER_CODE]]=1,"clear",IF(final_data787[[#This Row],[WEATHER_CODE]]=2,"cloudy",IF(final_data787[[#This Row],[WEATHER_CODE]]=3,"light rain",IF(final_data787[[#This Row],[WEATHER_CODE]]=4,"heavy rain",0))))</f>
        <v>clear</v>
      </c>
      <c r="N50">
        <v>0.2</v>
      </c>
      <c r="O50">
        <v>0.19993489148580967</v>
      </c>
      <c r="P50">
        <v>0.44</v>
      </c>
      <c r="Q50">
        <v>0.41789999999999999</v>
      </c>
      <c r="R50">
        <v>0</v>
      </c>
      <c r="S50">
        <v>2</v>
      </c>
      <c r="T50">
        <v>2</v>
      </c>
    </row>
    <row r="51" spans="1:20" x14ac:dyDescent="0.35">
      <c r="A51">
        <v>50</v>
      </c>
      <c r="B51" s="1">
        <v>40546</v>
      </c>
      <c r="C51">
        <v>1</v>
      </c>
      <c r="D51">
        <v>0</v>
      </c>
      <c r="E51">
        <v>1</v>
      </c>
      <c r="F51" t="str">
        <f>IF(final_data787[[#This Row],[MONTH_CODE]]=1,"JANUARY",IF(final_data787[[#This Row],[MONTH_CODE]]=2,"FEBRUARY"))</f>
        <v>JANUARY</v>
      </c>
      <c r="G51">
        <v>4</v>
      </c>
      <c r="H51">
        <v>0</v>
      </c>
      <c r="I51">
        <v>1</v>
      </c>
      <c r="J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1" t="str">
        <f>IF(final_data787[[#This Row],[DAY_CODE]]=0,"weekend",IF(final_data787[[#This Row],[DAY_CODE]]=1,"weekend","weekday"))</f>
        <v>weekend</v>
      </c>
      <c r="L51">
        <v>1</v>
      </c>
      <c r="M51" t="str">
        <f>IF(final_data787[[#This Row],[WEATHER_CODE]]=1,"clear",IF(final_data787[[#This Row],[WEATHER_CODE]]=2,"cloudy",IF(final_data787[[#This Row],[WEATHER_CODE]]=3,"light rain",IF(final_data787[[#This Row],[WEATHER_CODE]]=4,"heavy rain",0))))</f>
        <v>clear</v>
      </c>
      <c r="N51">
        <v>0.16</v>
      </c>
      <c r="O51">
        <v>0.13639999999999999</v>
      </c>
      <c r="P51">
        <v>0.47</v>
      </c>
      <c r="Q51">
        <v>0.3881</v>
      </c>
      <c r="R51">
        <v>0</v>
      </c>
      <c r="S51">
        <v>1</v>
      </c>
      <c r="T51">
        <v>1</v>
      </c>
    </row>
    <row r="52" spans="1:20" x14ac:dyDescent="0.35">
      <c r="A52">
        <v>51</v>
      </c>
      <c r="B52" s="1">
        <v>40546</v>
      </c>
      <c r="C52">
        <v>1</v>
      </c>
      <c r="D52">
        <v>0</v>
      </c>
      <c r="E52">
        <v>1</v>
      </c>
      <c r="F52" t="str">
        <f>IF(final_data787[[#This Row],[MONTH_CODE]]=1,"JANUARY",IF(final_data787[[#This Row],[MONTH_CODE]]=2,"FEBRUARY"))</f>
        <v>JANUARY</v>
      </c>
      <c r="G52">
        <v>5</v>
      </c>
      <c r="H52">
        <v>0</v>
      </c>
      <c r="I52">
        <v>1</v>
      </c>
      <c r="J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2" t="str">
        <f>IF(final_data787[[#This Row],[DAY_CODE]]=0,"weekend",IF(final_data787[[#This Row],[DAY_CODE]]=1,"weekend","weekday"))</f>
        <v>weekend</v>
      </c>
      <c r="L52">
        <v>1</v>
      </c>
      <c r="M52" t="str">
        <f>IF(final_data787[[#This Row],[WEATHER_CODE]]=1,"clear",IF(final_data787[[#This Row],[WEATHER_CODE]]=2,"cloudy",IF(final_data787[[#This Row],[WEATHER_CODE]]=3,"light rain",IF(final_data787[[#This Row],[WEATHER_CODE]]=4,"heavy rain",0))))</f>
        <v>clear</v>
      </c>
      <c r="N52">
        <v>0.16</v>
      </c>
      <c r="O52">
        <v>0.13639999999999999</v>
      </c>
      <c r="P52">
        <v>0.47</v>
      </c>
      <c r="Q52">
        <v>0.28360000000000002</v>
      </c>
      <c r="R52">
        <v>0</v>
      </c>
      <c r="S52">
        <v>3</v>
      </c>
      <c r="T52">
        <v>3</v>
      </c>
    </row>
    <row r="53" spans="1:20" x14ac:dyDescent="0.35">
      <c r="A53">
        <v>52</v>
      </c>
      <c r="B53" s="1">
        <v>40546</v>
      </c>
      <c r="C53">
        <v>1</v>
      </c>
      <c r="D53">
        <v>0</v>
      </c>
      <c r="E53">
        <v>1</v>
      </c>
      <c r="F53" t="str">
        <f>IF(final_data787[[#This Row],[MONTH_CODE]]=1,"JANUARY",IF(final_data787[[#This Row],[MONTH_CODE]]=2,"FEBRUARY"))</f>
        <v>JANUARY</v>
      </c>
      <c r="G53">
        <v>6</v>
      </c>
      <c r="H53">
        <v>0</v>
      </c>
      <c r="I53">
        <v>1</v>
      </c>
      <c r="J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 t="str">
        <f>IF(final_data787[[#This Row],[DAY_CODE]]=0,"weekend",IF(final_data787[[#This Row],[DAY_CODE]]=1,"weekend","weekday"))</f>
        <v>weekend</v>
      </c>
      <c r="L53">
        <v>1</v>
      </c>
      <c r="M53" t="str">
        <f>IF(final_data787[[#This Row],[WEATHER_CODE]]=1,"clear",IF(final_data787[[#This Row],[WEATHER_CODE]]=2,"cloudy",IF(final_data787[[#This Row],[WEATHER_CODE]]=3,"light rain",IF(final_data787[[#This Row],[WEATHER_CODE]]=4,"heavy rain",0))))</f>
        <v>clear</v>
      </c>
      <c r="N53">
        <v>0.14000000000000001</v>
      </c>
      <c r="O53">
        <v>0.1061</v>
      </c>
      <c r="P53">
        <v>0.5</v>
      </c>
      <c r="Q53">
        <v>0.3881</v>
      </c>
      <c r="R53">
        <v>0</v>
      </c>
      <c r="S53">
        <v>30</v>
      </c>
      <c r="T53">
        <v>30</v>
      </c>
    </row>
    <row r="54" spans="1:20" x14ac:dyDescent="0.35">
      <c r="A54">
        <v>53</v>
      </c>
      <c r="B54" s="1">
        <v>40546</v>
      </c>
      <c r="C54">
        <v>1</v>
      </c>
      <c r="D54">
        <v>0</v>
      </c>
      <c r="E54">
        <v>1</v>
      </c>
      <c r="F54" t="str">
        <f>IF(final_data787[[#This Row],[MONTH_CODE]]=1,"JANUARY",IF(final_data787[[#This Row],[MONTH_CODE]]=2,"FEBRUARY"))</f>
        <v>JANUARY</v>
      </c>
      <c r="G54">
        <v>7</v>
      </c>
      <c r="H54">
        <v>0</v>
      </c>
      <c r="I54">
        <v>1</v>
      </c>
      <c r="J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 t="str">
        <f>IF(final_data787[[#This Row],[DAY_CODE]]=0,"weekend",IF(final_data787[[#This Row],[DAY_CODE]]=1,"weekend","weekday"))</f>
        <v>weekend</v>
      </c>
      <c r="L54">
        <v>1</v>
      </c>
      <c r="M54" t="str">
        <f>IF(final_data787[[#This Row],[WEATHER_CODE]]=1,"clear",IF(final_data787[[#This Row],[WEATHER_CODE]]=2,"cloudy",IF(final_data787[[#This Row],[WEATHER_CODE]]=3,"light rain",IF(final_data787[[#This Row],[WEATHER_CODE]]=4,"heavy rain",0))))</f>
        <v>clear</v>
      </c>
      <c r="N54">
        <v>0.14000000000000001</v>
      </c>
      <c r="O54">
        <v>0.13639999999999999</v>
      </c>
      <c r="P54">
        <v>0.5</v>
      </c>
      <c r="Q54">
        <v>0.19400000000000001</v>
      </c>
      <c r="R54">
        <v>1</v>
      </c>
      <c r="S54">
        <v>63</v>
      </c>
      <c r="T54">
        <v>64</v>
      </c>
    </row>
    <row r="55" spans="1:20" x14ac:dyDescent="0.35">
      <c r="A55">
        <v>54</v>
      </c>
      <c r="B55" s="1">
        <v>40546</v>
      </c>
      <c r="C55">
        <v>1</v>
      </c>
      <c r="D55">
        <v>0</v>
      </c>
      <c r="E55">
        <v>1</v>
      </c>
      <c r="F55" t="str">
        <f>IF(final_data787[[#This Row],[MONTH_CODE]]=1,"JANUARY",IF(final_data787[[#This Row],[MONTH_CODE]]=2,"FEBRUARY"))</f>
        <v>JANUARY</v>
      </c>
      <c r="G55">
        <v>8</v>
      </c>
      <c r="H55">
        <v>0</v>
      </c>
      <c r="I55">
        <v>1</v>
      </c>
      <c r="J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5" t="str">
        <f>IF(final_data787[[#This Row],[DAY_CODE]]=0,"weekend",IF(final_data787[[#This Row],[DAY_CODE]]=1,"weekend","weekday"))</f>
        <v>weekend</v>
      </c>
      <c r="L55">
        <v>1</v>
      </c>
      <c r="M55" t="str">
        <f>IF(final_data787[[#This Row],[WEATHER_CODE]]=1,"clear",IF(final_data787[[#This Row],[WEATHER_CODE]]=2,"cloudy",IF(final_data787[[#This Row],[WEATHER_CODE]]=3,"light rain",IF(final_data787[[#This Row],[WEATHER_CODE]]=4,"heavy rain",0))))</f>
        <v>clear</v>
      </c>
      <c r="N55">
        <v>0.14000000000000001</v>
      </c>
      <c r="O55">
        <v>0.1212</v>
      </c>
      <c r="P55">
        <v>0.5</v>
      </c>
      <c r="Q55">
        <v>0.28360000000000002</v>
      </c>
      <c r="R55">
        <v>1</v>
      </c>
      <c r="S55">
        <v>153</v>
      </c>
      <c r="T55">
        <v>154</v>
      </c>
    </row>
    <row r="56" spans="1:20" x14ac:dyDescent="0.35">
      <c r="A56">
        <v>55</v>
      </c>
      <c r="B56" s="1">
        <v>40546</v>
      </c>
      <c r="C56">
        <v>1</v>
      </c>
      <c r="D56">
        <v>0</v>
      </c>
      <c r="E56">
        <v>1</v>
      </c>
      <c r="F56" t="str">
        <f>IF(final_data787[[#This Row],[MONTH_CODE]]=1,"JANUARY",IF(final_data787[[#This Row],[MONTH_CODE]]=2,"FEBRUARY"))</f>
        <v>JANUARY</v>
      </c>
      <c r="G56">
        <v>9</v>
      </c>
      <c r="H56">
        <v>0</v>
      </c>
      <c r="I56">
        <v>1</v>
      </c>
      <c r="J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6" t="str">
        <f>IF(final_data787[[#This Row],[DAY_CODE]]=0,"weekend",IF(final_data787[[#This Row],[DAY_CODE]]=1,"weekend","weekday"))</f>
        <v>weekend</v>
      </c>
      <c r="L56">
        <v>1</v>
      </c>
      <c r="M56" t="str">
        <f>IF(final_data787[[#This Row],[WEATHER_CODE]]=1,"clear",IF(final_data787[[#This Row],[WEATHER_CODE]]=2,"cloudy",IF(final_data787[[#This Row],[WEATHER_CODE]]=3,"light rain",IF(final_data787[[#This Row],[WEATHER_CODE]]=4,"heavy rain",0))))</f>
        <v>clear</v>
      </c>
      <c r="N56">
        <v>0.16</v>
      </c>
      <c r="O56">
        <v>0.13639999999999999</v>
      </c>
      <c r="P56">
        <v>0.43</v>
      </c>
      <c r="Q56">
        <v>0.3881</v>
      </c>
      <c r="R56">
        <v>7</v>
      </c>
      <c r="S56">
        <v>81</v>
      </c>
      <c r="T56">
        <v>88</v>
      </c>
    </row>
    <row r="57" spans="1:20" x14ac:dyDescent="0.35">
      <c r="A57">
        <v>56</v>
      </c>
      <c r="B57" s="1">
        <v>40546</v>
      </c>
      <c r="C57">
        <v>1</v>
      </c>
      <c r="D57">
        <v>0</v>
      </c>
      <c r="E57">
        <v>1</v>
      </c>
      <c r="F57" t="str">
        <f>IF(final_data787[[#This Row],[MONTH_CODE]]=1,"JANUARY",IF(final_data787[[#This Row],[MONTH_CODE]]=2,"FEBRUARY"))</f>
        <v>JANUARY</v>
      </c>
      <c r="G57">
        <v>10</v>
      </c>
      <c r="H57">
        <v>0</v>
      </c>
      <c r="I57">
        <v>1</v>
      </c>
      <c r="J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7" t="str">
        <f>IF(final_data787[[#This Row],[DAY_CODE]]=0,"weekend",IF(final_data787[[#This Row],[DAY_CODE]]=1,"weekend","weekday"))</f>
        <v>weekend</v>
      </c>
      <c r="L57">
        <v>1</v>
      </c>
      <c r="M57" t="str">
        <f>IF(final_data787[[#This Row],[WEATHER_CODE]]=1,"clear",IF(final_data787[[#This Row],[WEATHER_CODE]]=2,"cloudy",IF(final_data787[[#This Row],[WEATHER_CODE]]=3,"light rain",IF(final_data787[[#This Row],[WEATHER_CODE]]=4,"heavy rain",0))))</f>
        <v>clear</v>
      </c>
      <c r="N57">
        <v>0.18</v>
      </c>
      <c r="O57">
        <v>0.16669999999999999</v>
      </c>
      <c r="P57">
        <v>0.43</v>
      </c>
      <c r="Q57">
        <v>0.25369999999999998</v>
      </c>
      <c r="R57">
        <v>11</v>
      </c>
      <c r="S57">
        <v>33</v>
      </c>
      <c r="T57">
        <v>44</v>
      </c>
    </row>
    <row r="58" spans="1:20" x14ac:dyDescent="0.35">
      <c r="A58">
        <v>57</v>
      </c>
      <c r="B58" s="1">
        <v>40546</v>
      </c>
      <c r="C58">
        <v>1</v>
      </c>
      <c r="D58">
        <v>0</v>
      </c>
      <c r="E58">
        <v>1</v>
      </c>
      <c r="F58" t="str">
        <f>IF(final_data787[[#This Row],[MONTH_CODE]]=1,"JANUARY",IF(final_data787[[#This Row],[MONTH_CODE]]=2,"FEBRUARY"))</f>
        <v>JANUARY</v>
      </c>
      <c r="G58">
        <v>11</v>
      </c>
      <c r="H58">
        <v>0</v>
      </c>
      <c r="I58">
        <v>1</v>
      </c>
      <c r="J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8" t="str">
        <f>IF(final_data787[[#This Row],[DAY_CODE]]=0,"weekend",IF(final_data787[[#This Row],[DAY_CODE]]=1,"weekend","weekday"))</f>
        <v>weekend</v>
      </c>
      <c r="L58">
        <v>1</v>
      </c>
      <c r="M58" t="str">
        <f>IF(final_data787[[#This Row],[WEATHER_CODE]]=1,"clear",IF(final_data787[[#This Row],[WEATHER_CODE]]=2,"cloudy",IF(final_data787[[#This Row],[WEATHER_CODE]]=3,"light rain",IF(final_data787[[#This Row],[WEATHER_CODE]]=4,"heavy rain",0))))</f>
        <v>clear</v>
      </c>
      <c r="N58">
        <v>0.2</v>
      </c>
      <c r="O58">
        <v>0.18179999999999999</v>
      </c>
      <c r="P58">
        <v>0.4</v>
      </c>
      <c r="Q58">
        <v>0.32840000000000003</v>
      </c>
      <c r="R58">
        <v>10</v>
      </c>
      <c r="S58">
        <v>41</v>
      </c>
      <c r="T58">
        <v>51</v>
      </c>
    </row>
    <row r="59" spans="1:20" x14ac:dyDescent="0.35">
      <c r="A59">
        <v>58</v>
      </c>
      <c r="B59" s="1">
        <v>40546</v>
      </c>
      <c r="C59">
        <v>1</v>
      </c>
      <c r="D59">
        <v>0</v>
      </c>
      <c r="E59">
        <v>1</v>
      </c>
      <c r="F59" t="str">
        <f>IF(final_data787[[#This Row],[MONTH_CODE]]=1,"JANUARY",IF(final_data787[[#This Row],[MONTH_CODE]]=2,"FEBRUARY"))</f>
        <v>JANUARY</v>
      </c>
      <c r="G59">
        <v>12</v>
      </c>
      <c r="H59">
        <v>0</v>
      </c>
      <c r="I59">
        <v>1</v>
      </c>
      <c r="J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9" t="str">
        <f>IF(final_data787[[#This Row],[DAY_CODE]]=0,"weekend",IF(final_data787[[#This Row],[DAY_CODE]]=1,"weekend","weekday"))</f>
        <v>weekend</v>
      </c>
      <c r="L59">
        <v>1</v>
      </c>
      <c r="M59" t="str">
        <f>IF(final_data787[[#This Row],[WEATHER_CODE]]=1,"clear",IF(final_data787[[#This Row],[WEATHER_CODE]]=2,"cloudy",IF(final_data787[[#This Row],[WEATHER_CODE]]=3,"light rain",IF(final_data787[[#This Row],[WEATHER_CODE]]=4,"heavy rain",0))))</f>
        <v>clear</v>
      </c>
      <c r="N59">
        <v>0.22</v>
      </c>
      <c r="O59">
        <v>0.21210000000000001</v>
      </c>
      <c r="P59">
        <v>0.35</v>
      </c>
      <c r="Q59">
        <v>0.29849999999999999</v>
      </c>
      <c r="R59">
        <v>13</v>
      </c>
      <c r="S59">
        <v>48</v>
      </c>
      <c r="T59">
        <v>61</v>
      </c>
    </row>
    <row r="60" spans="1:20" x14ac:dyDescent="0.35">
      <c r="A60">
        <v>59</v>
      </c>
      <c r="B60" s="1">
        <v>40546</v>
      </c>
      <c r="C60">
        <v>1</v>
      </c>
      <c r="D60">
        <v>0</v>
      </c>
      <c r="E60">
        <v>1</v>
      </c>
      <c r="F60" t="str">
        <f>IF(final_data787[[#This Row],[MONTH_CODE]]=1,"JANUARY",IF(final_data787[[#This Row],[MONTH_CODE]]=2,"FEBRUARY"))</f>
        <v>JANUARY</v>
      </c>
      <c r="G60">
        <v>13</v>
      </c>
      <c r="H60">
        <v>0</v>
      </c>
      <c r="I60">
        <v>1</v>
      </c>
      <c r="J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0" t="str">
        <f>IF(final_data787[[#This Row],[DAY_CODE]]=0,"weekend",IF(final_data787[[#This Row],[DAY_CODE]]=1,"weekend","weekday"))</f>
        <v>weekend</v>
      </c>
      <c r="L60">
        <v>1</v>
      </c>
      <c r="M60" t="str">
        <f>IF(final_data787[[#This Row],[WEATHER_CODE]]=1,"clear",IF(final_data787[[#This Row],[WEATHER_CODE]]=2,"cloudy",IF(final_data787[[#This Row],[WEATHER_CODE]]=3,"light rain",IF(final_data787[[#This Row],[WEATHER_CODE]]=4,"heavy rain",0))))</f>
        <v>clear</v>
      </c>
      <c r="N60">
        <v>0.24</v>
      </c>
      <c r="O60">
        <v>0.19993489148580967</v>
      </c>
      <c r="P60">
        <v>0.35</v>
      </c>
      <c r="Q60">
        <v>0.28360000000000002</v>
      </c>
      <c r="R60">
        <v>8</v>
      </c>
      <c r="S60">
        <v>53</v>
      </c>
      <c r="T60">
        <v>61</v>
      </c>
    </row>
    <row r="61" spans="1:20" x14ac:dyDescent="0.35">
      <c r="A61">
        <v>60</v>
      </c>
      <c r="B61" s="1">
        <v>40546</v>
      </c>
      <c r="C61">
        <v>1</v>
      </c>
      <c r="D61">
        <v>0</v>
      </c>
      <c r="E61">
        <v>1</v>
      </c>
      <c r="F61" t="str">
        <f>IF(final_data787[[#This Row],[MONTH_CODE]]=1,"JANUARY",IF(final_data787[[#This Row],[MONTH_CODE]]=2,"FEBRUARY"))</f>
        <v>JANUARY</v>
      </c>
      <c r="G61">
        <v>14</v>
      </c>
      <c r="H61">
        <v>0</v>
      </c>
      <c r="I61">
        <v>1</v>
      </c>
      <c r="J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1" t="str">
        <f>IF(final_data787[[#This Row],[DAY_CODE]]=0,"weekend",IF(final_data787[[#This Row],[DAY_CODE]]=1,"weekend","weekday"))</f>
        <v>weekend</v>
      </c>
      <c r="L61">
        <v>1</v>
      </c>
      <c r="M61" t="str">
        <f>IF(final_data787[[#This Row],[WEATHER_CODE]]=1,"clear",IF(final_data787[[#This Row],[WEATHER_CODE]]=2,"cloudy",IF(final_data787[[#This Row],[WEATHER_CODE]]=3,"light rain",IF(final_data787[[#This Row],[WEATHER_CODE]]=4,"heavy rain",0))))</f>
        <v>clear</v>
      </c>
      <c r="N61">
        <v>0.26</v>
      </c>
      <c r="O61">
        <v>0.2424</v>
      </c>
      <c r="P61">
        <v>0.3</v>
      </c>
      <c r="Q61">
        <v>0.28360000000000002</v>
      </c>
      <c r="R61">
        <v>11</v>
      </c>
      <c r="S61">
        <v>66</v>
      </c>
      <c r="T61">
        <v>77</v>
      </c>
    </row>
    <row r="62" spans="1:20" x14ac:dyDescent="0.35">
      <c r="A62">
        <v>61</v>
      </c>
      <c r="B62" s="1">
        <v>40546</v>
      </c>
      <c r="C62">
        <v>1</v>
      </c>
      <c r="D62">
        <v>0</v>
      </c>
      <c r="E62">
        <v>1</v>
      </c>
      <c r="F62" t="str">
        <f>IF(final_data787[[#This Row],[MONTH_CODE]]=1,"JANUARY",IF(final_data787[[#This Row],[MONTH_CODE]]=2,"FEBRUARY"))</f>
        <v>JANUARY</v>
      </c>
      <c r="G62">
        <v>15</v>
      </c>
      <c r="H62">
        <v>0</v>
      </c>
      <c r="I62">
        <v>1</v>
      </c>
      <c r="J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2" t="str">
        <f>IF(final_data787[[#This Row],[DAY_CODE]]=0,"weekend",IF(final_data787[[#This Row],[DAY_CODE]]=1,"weekend","weekday"))</f>
        <v>weekend</v>
      </c>
      <c r="L62">
        <v>1</v>
      </c>
      <c r="M62" t="str">
        <f>IF(final_data787[[#This Row],[WEATHER_CODE]]=1,"clear",IF(final_data787[[#This Row],[WEATHER_CODE]]=2,"cloudy",IF(final_data787[[#This Row],[WEATHER_CODE]]=3,"light rain",IF(final_data787[[#This Row],[WEATHER_CODE]]=4,"heavy rain",0))))</f>
        <v>clear</v>
      </c>
      <c r="N62">
        <v>0.26</v>
      </c>
      <c r="O62">
        <v>0.2424</v>
      </c>
      <c r="P62">
        <v>0.3</v>
      </c>
      <c r="Q62">
        <v>0.25369999999999998</v>
      </c>
      <c r="R62">
        <v>14</v>
      </c>
      <c r="S62">
        <v>58</v>
      </c>
      <c r="T62">
        <v>72</v>
      </c>
    </row>
    <row r="63" spans="1:20" x14ac:dyDescent="0.35">
      <c r="A63">
        <v>62</v>
      </c>
      <c r="B63" s="1">
        <v>40546</v>
      </c>
      <c r="C63">
        <v>1</v>
      </c>
      <c r="D63">
        <v>0</v>
      </c>
      <c r="E63">
        <v>1</v>
      </c>
      <c r="F63" t="str">
        <f>IF(final_data787[[#This Row],[MONTH_CODE]]=1,"JANUARY",IF(final_data787[[#This Row],[MONTH_CODE]]=2,"FEBRUARY"))</f>
        <v>JANUARY</v>
      </c>
      <c r="G63">
        <v>16</v>
      </c>
      <c r="H63">
        <v>0</v>
      </c>
      <c r="I63">
        <v>1</v>
      </c>
      <c r="J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3" t="str">
        <f>IF(final_data787[[#This Row],[DAY_CODE]]=0,"weekend",IF(final_data787[[#This Row],[DAY_CODE]]=1,"weekend","weekday"))</f>
        <v>weekend</v>
      </c>
      <c r="L63">
        <v>1</v>
      </c>
      <c r="M63" t="str">
        <f>IF(final_data787[[#This Row],[WEATHER_CODE]]=1,"clear",IF(final_data787[[#This Row],[WEATHER_CODE]]=2,"cloudy",IF(final_data787[[#This Row],[WEATHER_CODE]]=3,"light rain",IF(final_data787[[#This Row],[WEATHER_CODE]]=4,"heavy rain",0))))</f>
        <v>clear</v>
      </c>
      <c r="N63">
        <v>0.26</v>
      </c>
      <c r="O63">
        <v>0.2424</v>
      </c>
      <c r="P63">
        <v>0.3</v>
      </c>
      <c r="Q63">
        <v>0.25369999999999998</v>
      </c>
      <c r="R63">
        <v>9</v>
      </c>
      <c r="S63">
        <v>67</v>
      </c>
      <c r="T63">
        <v>76</v>
      </c>
    </row>
    <row r="64" spans="1:20" x14ac:dyDescent="0.35">
      <c r="A64">
        <v>63</v>
      </c>
      <c r="B64" s="1">
        <v>40546</v>
      </c>
      <c r="C64">
        <v>1</v>
      </c>
      <c r="D64">
        <v>0</v>
      </c>
      <c r="E64">
        <v>1</v>
      </c>
      <c r="F64" t="str">
        <f>IF(final_data787[[#This Row],[MONTH_CODE]]=1,"JANUARY",IF(final_data787[[#This Row],[MONTH_CODE]]=2,"FEBRUARY"))</f>
        <v>JANUARY</v>
      </c>
      <c r="G64">
        <v>17</v>
      </c>
      <c r="H64">
        <v>0</v>
      </c>
      <c r="I64">
        <v>1</v>
      </c>
      <c r="J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4" t="str">
        <f>IF(final_data787[[#This Row],[DAY_CODE]]=0,"weekend",IF(final_data787[[#This Row],[DAY_CODE]]=1,"weekend","weekday"))</f>
        <v>weekend</v>
      </c>
      <c r="L64">
        <v>1</v>
      </c>
      <c r="M64" t="str">
        <f>IF(final_data787[[#This Row],[WEATHER_CODE]]=1,"clear",IF(final_data787[[#This Row],[WEATHER_CODE]]=2,"cloudy",IF(final_data787[[#This Row],[WEATHER_CODE]]=3,"light rain",IF(final_data787[[#This Row],[WEATHER_CODE]]=4,"heavy rain",0))))</f>
        <v>clear</v>
      </c>
      <c r="N64">
        <v>0.24</v>
      </c>
      <c r="O64">
        <v>0.2273</v>
      </c>
      <c r="P64">
        <v>0.3</v>
      </c>
      <c r="Q64">
        <v>0.22389999999999999</v>
      </c>
      <c r="R64">
        <v>11</v>
      </c>
      <c r="S64">
        <v>146</v>
      </c>
      <c r="T64">
        <v>157</v>
      </c>
    </row>
    <row r="65" spans="1:20" x14ac:dyDescent="0.35">
      <c r="A65">
        <v>64</v>
      </c>
      <c r="B65" s="1">
        <v>40546</v>
      </c>
      <c r="C65">
        <v>1</v>
      </c>
      <c r="D65">
        <v>0</v>
      </c>
      <c r="E65">
        <v>1</v>
      </c>
      <c r="F65" t="str">
        <f>IF(final_data787[[#This Row],[MONTH_CODE]]=1,"JANUARY",IF(final_data787[[#This Row],[MONTH_CODE]]=2,"FEBRUARY"))</f>
        <v>JANUARY</v>
      </c>
      <c r="G65">
        <v>18</v>
      </c>
      <c r="H65">
        <v>0</v>
      </c>
      <c r="I65">
        <v>1</v>
      </c>
      <c r="J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5" t="str">
        <f>IF(final_data787[[#This Row],[DAY_CODE]]=0,"weekend",IF(final_data787[[#This Row],[DAY_CODE]]=1,"weekend","weekday"))</f>
        <v>weekend</v>
      </c>
      <c r="L65">
        <v>1</v>
      </c>
      <c r="M65" t="str">
        <f>IF(final_data787[[#This Row],[WEATHER_CODE]]=1,"clear",IF(final_data787[[#This Row],[WEATHER_CODE]]=2,"cloudy",IF(final_data787[[#This Row],[WEATHER_CODE]]=3,"light rain",IF(final_data787[[#This Row],[WEATHER_CODE]]=4,"heavy rain",0))))</f>
        <v>clear</v>
      </c>
      <c r="N65">
        <v>0.24</v>
      </c>
      <c r="O65">
        <v>0.2576</v>
      </c>
      <c r="P65">
        <v>0.32</v>
      </c>
      <c r="Q65">
        <v>0.1045</v>
      </c>
      <c r="R65">
        <v>9</v>
      </c>
      <c r="S65">
        <v>148</v>
      </c>
      <c r="T65">
        <v>157</v>
      </c>
    </row>
    <row r="66" spans="1:20" x14ac:dyDescent="0.35">
      <c r="A66">
        <v>65</v>
      </c>
      <c r="B66" s="1">
        <v>40546</v>
      </c>
      <c r="C66">
        <v>1</v>
      </c>
      <c r="D66">
        <v>0</v>
      </c>
      <c r="E66">
        <v>1</v>
      </c>
      <c r="F66" t="str">
        <f>IF(final_data787[[#This Row],[MONTH_CODE]]=1,"JANUARY",IF(final_data787[[#This Row],[MONTH_CODE]]=2,"FEBRUARY"))</f>
        <v>JANUARY</v>
      </c>
      <c r="G66">
        <v>19</v>
      </c>
      <c r="H66">
        <v>0</v>
      </c>
      <c r="I66">
        <v>1</v>
      </c>
      <c r="J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6" t="str">
        <f>IF(final_data787[[#This Row],[DAY_CODE]]=0,"weekend",IF(final_data787[[#This Row],[DAY_CODE]]=1,"weekend","weekday"))</f>
        <v>weekend</v>
      </c>
      <c r="L66">
        <v>1</v>
      </c>
      <c r="M66" t="str">
        <f>IF(final_data787[[#This Row],[WEATHER_CODE]]=1,"clear",IF(final_data787[[#This Row],[WEATHER_CODE]]=2,"cloudy",IF(final_data787[[#This Row],[WEATHER_CODE]]=3,"light rain",IF(final_data787[[#This Row],[WEATHER_CODE]]=4,"heavy rain",0))))</f>
        <v>clear</v>
      </c>
      <c r="N66">
        <v>0.2</v>
      </c>
      <c r="O66">
        <v>0.2576</v>
      </c>
      <c r="P66">
        <v>0.47</v>
      </c>
      <c r="Q66">
        <v>0</v>
      </c>
      <c r="R66">
        <v>8</v>
      </c>
      <c r="S66">
        <v>102</v>
      </c>
      <c r="T66">
        <v>110</v>
      </c>
    </row>
    <row r="67" spans="1:20" x14ac:dyDescent="0.35">
      <c r="A67">
        <v>66</v>
      </c>
      <c r="B67" s="1">
        <v>40546</v>
      </c>
      <c r="C67">
        <v>1</v>
      </c>
      <c r="D67">
        <v>0</v>
      </c>
      <c r="E67">
        <v>1</v>
      </c>
      <c r="F67" t="str">
        <f>IF(final_data787[[#This Row],[MONTH_CODE]]=1,"JANUARY",IF(final_data787[[#This Row],[MONTH_CODE]]=2,"FEBRUARY"))</f>
        <v>JANUARY</v>
      </c>
      <c r="G67">
        <v>20</v>
      </c>
      <c r="H67">
        <v>0</v>
      </c>
      <c r="I67">
        <v>1</v>
      </c>
      <c r="J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 t="str">
        <f>IF(final_data787[[#This Row],[DAY_CODE]]=0,"weekend",IF(final_data787[[#This Row],[DAY_CODE]]=1,"weekend","weekday"))</f>
        <v>weekend</v>
      </c>
      <c r="L67">
        <v>1</v>
      </c>
      <c r="M67" t="str">
        <f>IF(final_data787[[#This Row],[WEATHER_CODE]]=1,"clear",IF(final_data787[[#This Row],[WEATHER_CODE]]=2,"cloudy",IF(final_data787[[#This Row],[WEATHER_CODE]]=3,"light rain",IF(final_data787[[#This Row],[WEATHER_CODE]]=4,"heavy rain",0))))</f>
        <v>clear</v>
      </c>
      <c r="N67">
        <v>0.2</v>
      </c>
      <c r="O67">
        <v>0.19993489148580967</v>
      </c>
      <c r="P67">
        <v>0.47</v>
      </c>
      <c r="Q67">
        <v>0.1045</v>
      </c>
      <c r="R67">
        <v>3</v>
      </c>
      <c r="S67">
        <v>49</v>
      </c>
      <c r="T67">
        <v>52</v>
      </c>
    </row>
    <row r="68" spans="1:20" x14ac:dyDescent="0.35">
      <c r="A68">
        <v>67</v>
      </c>
      <c r="B68" s="1">
        <v>40546</v>
      </c>
      <c r="C68">
        <v>1</v>
      </c>
      <c r="D68">
        <v>0</v>
      </c>
      <c r="E68">
        <v>1</v>
      </c>
      <c r="F68" t="str">
        <f>IF(final_data787[[#This Row],[MONTH_CODE]]=1,"JANUARY",IF(final_data787[[#This Row],[MONTH_CODE]]=2,"FEBRUARY"))</f>
        <v>JANUARY</v>
      </c>
      <c r="G68">
        <v>21</v>
      </c>
      <c r="H68">
        <v>0</v>
      </c>
      <c r="I68">
        <v>1</v>
      </c>
      <c r="J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 t="str">
        <f>IF(final_data787[[#This Row],[DAY_CODE]]=0,"weekend",IF(final_data787[[#This Row],[DAY_CODE]]=1,"weekend","weekday"))</f>
        <v>weekend</v>
      </c>
      <c r="L68">
        <v>1</v>
      </c>
      <c r="M68" t="str">
        <f>IF(final_data787[[#This Row],[WEATHER_CODE]]=1,"clear",IF(final_data787[[#This Row],[WEATHER_CODE]]=2,"cloudy",IF(final_data787[[#This Row],[WEATHER_CODE]]=3,"light rain",IF(final_data787[[#This Row],[WEATHER_CODE]]=4,"heavy rain",0))))</f>
        <v>clear</v>
      </c>
      <c r="N68">
        <v>0.18</v>
      </c>
      <c r="O68">
        <v>0.19700000000000001</v>
      </c>
      <c r="P68">
        <v>0.64</v>
      </c>
      <c r="Q68">
        <v>0.1343</v>
      </c>
      <c r="R68">
        <v>3</v>
      </c>
      <c r="S68">
        <v>49</v>
      </c>
      <c r="T68">
        <v>52</v>
      </c>
    </row>
    <row r="69" spans="1:20" x14ac:dyDescent="0.35">
      <c r="A69">
        <v>68</v>
      </c>
      <c r="B69" s="1">
        <v>40546</v>
      </c>
      <c r="C69">
        <v>1</v>
      </c>
      <c r="D69">
        <v>0</v>
      </c>
      <c r="E69">
        <v>1</v>
      </c>
      <c r="F69" t="str">
        <f>IF(final_data787[[#This Row],[MONTH_CODE]]=1,"JANUARY",IF(final_data787[[#This Row],[MONTH_CODE]]=2,"FEBRUARY"))</f>
        <v>JANUARY</v>
      </c>
      <c r="G69">
        <v>22</v>
      </c>
      <c r="H69">
        <v>0</v>
      </c>
      <c r="I69">
        <v>1</v>
      </c>
      <c r="J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9" t="str">
        <f>IF(final_data787[[#This Row],[DAY_CODE]]=0,"weekend",IF(final_data787[[#This Row],[DAY_CODE]]=1,"weekend","weekday"))</f>
        <v>weekend</v>
      </c>
      <c r="L69">
        <v>1</v>
      </c>
      <c r="M69" t="str">
        <f>IF(final_data787[[#This Row],[WEATHER_CODE]]=1,"clear",IF(final_data787[[#This Row],[WEATHER_CODE]]=2,"cloudy",IF(final_data787[[#This Row],[WEATHER_CODE]]=3,"light rain",IF(final_data787[[#This Row],[WEATHER_CODE]]=4,"heavy rain",0))))</f>
        <v>clear</v>
      </c>
      <c r="N69">
        <v>0.14000000000000001</v>
      </c>
      <c r="O69">
        <v>0.1515</v>
      </c>
      <c r="P69">
        <v>0.69</v>
      </c>
      <c r="Q69">
        <v>0.1343</v>
      </c>
      <c r="R69">
        <v>0</v>
      </c>
      <c r="S69">
        <v>20</v>
      </c>
      <c r="T69">
        <v>20</v>
      </c>
    </row>
    <row r="70" spans="1:20" x14ac:dyDescent="0.35">
      <c r="A70">
        <v>69</v>
      </c>
      <c r="B70" s="1">
        <v>40546</v>
      </c>
      <c r="C70">
        <v>1</v>
      </c>
      <c r="D70">
        <v>0</v>
      </c>
      <c r="E70">
        <v>1</v>
      </c>
      <c r="F70" t="str">
        <f>IF(final_data787[[#This Row],[MONTH_CODE]]=1,"JANUARY",IF(final_data787[[#This Row],[MONTH_CODE]]=2,"FEBRUARY"))</f>
        <v>JANUARY</v>
      </c>
      <c r="G70">
        <v>23</v>
      </c>
      <c r="H70">
        <v>0</v>
      </c>
      <c r="I70">
        <v>1</v>
      </c>
      <c r="J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70" t="str">
        <f>IF(final_data787[[#This Row],[DAY_CODE]]=0,"weekend",IF(final_data787[[#This Row],[DAY_CODE]]=1,"weekend","weekday"))</f>
        <v>weekend</v>
      </c>
      <c r="L70">
        <v>1</v>
      </c>
      <c r="M70" t="str">
        <f>IF(final_data787[[#This Row],[WEATHER_CODE]]=1,"clear",IF(final_data787[[#This Row],[WEATHER_CODE]]=2,"cloudy",IF(final_data787[[#This Row],[WEATHER_CODE]]=3,"light rain",IF(final_data787[[#This Row],[WEATHER_CODE]]=4,"heavy rain",0))))</f>
        <v>clear</v>
      </c>
      <c r="N70">
        <v>0.18</v>
      </c>
      <c r="O70">
        <v>0.21210000000000001</v>
      </c>
      <c r="P70">
        <v>0.55000000000000004</v>
      </c>
      <c r="Q70">
        <v>0.1045</v>
      </c>
      <c r="R70">
        <v>1</v>
      </c>
      <c r="S70">
        <v>11</v>
      </c>
      <c r="T70">
        <v>12</v>
      </c>
    </row>
    <row r="71" spans="1:20" x14ac:dyDescent="0.35">
      <c r="A71">
        <v>70</v>
      </c>
      <c r="B71" s="1">
        <v>40547</v>
      </c>
      <c r="C71">
        <v>1</v>
      </c>
      <c r="D71">
        <v>0</v>
      </c>
      <c r="E71">
        <v>1</v>
      </c>
      <c r="F71" t="str">
        <f>IF(final_data787[[#This Row],[MONTH_CODE]]=1,"JANUARY",IF(final_data787[[#This Row],[MONTH_CODE]]=2,"FEBRUARY"))</f>
        <v>JANUARY</v>
      </c>
      <c r="G71">
        <v>0</v>
      </c>
      <c r="H71">
        <v>0</v>
      </c>
      <c r="I71">
        <v>2</v>
      </c>
      <c r="J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1" t="str">
        <f>IF(final_data787[[#This Row],[DAY_CODE]]=0,"weekend",IF(final_data787[[#This Row],[DAY_CODE]]=1,"weekend","weekday"))</f>
        <v>weekday</v>
      </c>
      <c r="L71">
        <v>1</v>
      </c>
      <c r="M71" t="str">
        <f>IF(final_data787[[#This Row],[WEATHER_CODE]]=1,"clear",IF(final_data787[[#This Row],[WEATHER_CODE]]=2,"cloudy",IF(final_data787[[#This Row],[WEATHER_CODE]]=3,"light rain",IF(final_data787[[#This Row],[WEATHER_CODE]]=4,"heavy rain",0))))</f>
        <v>clear</v>
      </c>
      <c r="N71">
        <v>0.16</v>
      </c>
      <c r="O71">
        <v>0.19993489148580967</v>
      </c>
      <c r="P71">
        <v>0.55000000000000004</v>
      </c>
      <c r="Q71">
        <v>0.1045</v>
      </c>
      <c r="R71">
        <v>0</v>
      </c>
      <c r="S71">
        <v>5</v>
      </c>
      <c r="T71">
        <v>5</v>
      </c>
    </row>
    <row r="72" spans="1:20" x14ac:dyDescent="0.35">
      <c r="A72">
        <v>71</v>
      </c>
      <c r="B72" s="1">
        <v>40547</v>
      </c>
      <c r="C72">
        <v>1</v>
      </c>
      <c r="D72">
        <v>0</v>
      </c>
      <c r="E72">
        <v>1</v>
      </c>
      <c r="F72" t="str">
        <f>IF(final_data787[[#This Row],[MONTH_CODE]]=1,"JANUARY",IF(final_data787[[#This Row],[MONTH_CODE]]=2,"FEBRUARY"))</f>
        <v>JANUARY</v>
      </c>
      <c r="G72">
        <v>1</v>
      </c>
      <c r="H72">
        <v>0</v>
      </c>
      <c r="I72">
        <v>2</v>
      </c>
      <c r="J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2" t="str">
        <f>IF(final_data787[[#This Row],[DAY_CODE]]=0,"weekend",IF(final_data787[[#This Row],[DAY_CODE]]=1,"weekend","weekday"))</f>
        <v>weekday</v>
      </c>
      <c r="L72">
        <v>1</v>
      </c>
      <c r="M72" t="str">
        <f>IF(final_data787[[#This Row],[WEATHER_CODE]]=1,"clear",IF(final_data787[[#This Row],[WEATHER_CODE]]=2,"cloudy",IF(final_data787[[#This Row],[WEATHER_CODE]]=3,"light rain",IF(final_data787[[#This Row],[WEATHER_CODE]]=4,"heavy rain",0))))</f>
        <v>clear</v>
      </c>
      <c r="N72">
        <v>0.16</v>
      </c>
      <c r="O72">
        <v>0.18179999999999999</v>
      </c>
      <c r="P72">
        <v>0.59</v>
      </c>
      <c r="Q72">
        <v>0.1045</v>
      </c>
      <c r="R72">
        <v>0</v>
      </c>
      <c r="S72">
        <v>2</v>
      </c>
      <c r="T72">
        <v>2</v>
      </c>
    </row>
    <row r="73" spans="1:20" x14ac:dyDescent="0.35">
      <c r="A73">
        <v>72</v>
      </c>
      <c r="B73" s="1">
        <v>40547</v>
      </c>
      <c r="C73">
        <v>1</v>
      </c>
      <c r="D73">
        <v>0</v>
      </c>
      <c r="E73">
        <v>1</v>
      </c>
      <c r="F73" t="str">
        <f>IF(final_data787[[#This Row],[MONTH_CODE]]=1,"JANUARY",IF(final_data787[[#This Row],[MONTH_CODE]]=2,"FEBRUARY"))</f>
        <v>JANUARY</v>
      </c>
      <c r="G73">
        <v>2</v>
      </c>
      <c r="H73">
        <v>0</v>
      </c>
      <c r="I73">
        <v>2</v>
      </c>
      <c r="J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3" t="str">
        <f>IF(final_data787[[#This Row],[DAY_CODE]]=0,"weekend",IF(final_data787[[#This Row],[DAY_CODE]]=1,"weekend","weekday"))</f>
        <v>weekday</v>
      </c>
      <c r="L73">
        <v>1</v>
      </c>
      <c r="M73" t="str">
        <f>IF(final_data787[[#This Row],[WEATHER_CODE]]=1,"clear",IF(final_data787[[#This Row],[WEATHER_CODE]]=2,"cloudy",IF(final_data787[[#This Row],[WEATHER_CODE]]=3,"light rain",IF(final_data787[[#This Row],[WEATHER_CODE]]=4,"heavy rain",0))))</f>
        <v>clear</v>
      </c>
      <c r="N73">
        <v>0.14000000000000001</v>
      </c>
      <c r="O73">
        <v>0.1515</v>
      </c>
      <c r="P73">
        <v>0.63</v>
      </c>
      <c r="Q73">
        <v>0.1343</v>
      </c>
      <c r="R73">
        <v>0</v>
      </c>
      <c r="S73">
        <v>1</v>
      </c>
      <c r="T73">
        <v>1</v>
      </c>
    </row>
    <row r="74" spans="1:20" x14ac:dyDescent="0.35">
      <c r="A74">
        <v>73</v>
      </c>
      <c r="B74" s="1">
        <v>40547</v>
      </c>
      <c r="C74">
        <v>1</v>
      </c>
      <c r="D74">
        <v>0</v>
      </c>
      <c r="E74">
        <v>1</v>
      </c>
      <c r="F74" t="str">
        <f>IF(final_data787[[#This Row],[MONTH_CODE]]=1,"JANUARY",IF(final_data787[[#This Row],[MONTH_CODE]]=2,"FEBRUARY"))</f>
        <v>JANUARY</v>
      </c>
      <c r="G74">
        <v>4</v>
      </c>
      <c r="H74">
        <v>0</v>
      </c>
      <c r="I74">
        <v>2</v>
      </c>
      <c r="J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4" t="str">
        <f>IF(final_data787[[#This Row],[DAY_CODE]]=0,"weekend",IF(final_data787[[#This Row],[DAY_CODE]]=1,"weekend","weekday"))</f>
        <v>weekday</v>
      </c>
      <c r="L74">
        <v>1</v>
      </c>
      <c r="M74" t="str">
        <f>IF(final_data787[[#This Row],[WEATHER_CODE]]=1,"clear",IF(final_data787[[#This Row],[WEATHER_CODE]]=2,"cloudy",IF(final_data787[[#This Row],[WEATHER_CODE]]=3,"light rain",IF(final_data787[[#This Row],[WEATHER_CODE]]=4,"heavy rain",0))))</f>
        <v>clear</v>
      </c>
      <c r="N74">
        <v>0.14000000000000001</v>
      </c>
      <c r="O74">
        <v>0.18179999999999999</v>
      </c>
      <c r="P74">
        <v>0.63</v>
      </c>
      <c r="Q74">
        <v>8.9599999999999999E-2</v>
      </c>
      <c r="R74">
        <v>0</v>
      </c>
      <c r="S74">
        <v>2</v>
      </c>
      <c r="T74">
        <v>2</v>
      </c>
    </row>
    <row r="75" spans="1:20" x14ac:dyDescent="0.35">
      <c r="A75">
        <v>74</v>
      </c>
      <c r="B75" s="1">
        <v>40547</v>
      </c>
      <c r="C75">
        <v>1</v>
      </c>
      <c r="D75">
        <v>0</v>
      </c>
      <c r="E75">
        <v>1</v>
      </c>
      <c r="F75" t="str">
        <f>IF(final_data787[[#This Row],[MONTH_CODE]]=1,"JANUARY",IF(final_data787[[#This Row],[MONTH_CODE]]=2,"FEBRUARY"))</f>
        <v>JANUARY</v>
      </c>
      <c r="G75">
        <v>5</v>
      </c>
      <c r="H75">
        <v>0</v>
      </c>
      <c r="I75">
        <v>2</v>
      </c>
      <c r="J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5" t="str">
        <f>IF(final_data787[[#This Row],[DAY_CODE]]=0,"weekend",IF(final_data787[[#This Row],[DAY_CODE]]=1,"weekend","weekday"))</f>
        <v>weekday</v>
      </c>
      <c r="L75">
        <v>1</v>
      </c>
      <c r="M75" t="str">
        <f>IF(final_data787[[#This Row],[WEATHER_CODE]]=1,"clear",IF(final_data787[[#This Row],[WEATHER_CODE]]=2,"cloudy",IF(final_data787[[#This Row],[WEATHER_CODE]]=3,"light rain",IF(final_data787[[#This Row],[WEATHER_CODE]]=4,"heavy rain",0))))</f>
        <v>clear</v>
      </c>
      <c r="N75">
        <v>0.12</v>
      </c>
      <c r="O75">
        <v>0.1515</v>
      </c>
      <c r="P75">
        <v>0.68</v>
      </c>
      <c r="Q75">
        <v>0.1045</v>
      </c>
      <c r="R75">
        <v>0</v>
      </c>
      <c r="S75">
        <v>4</v>
      </c>
      <c r="T75">
        <v>4</v>
      </c>
    </row>
    <row r="76" spans="1:20" x14ac:dyDescent="0.35">
      <c r="A76">
        <v>75</v>
      </c>
      <c r="B76" s="1">
        <v>40547</v>
      </c>
      <c r="C76">
        <v>1</v>
      </c>
      <c r="D76">
        <v>0</v>
      </c>
      <c r="E76">
        <v>1</v>
      </c>
      <c r="F76" t="str">
        <f>IF(final_data787[[#This Row],[MONTH_CODE]]=1,"JANUARY",IF(final_data787[[#This Row],[MONTH_CODE]]=2,"FEBRUARY"))</f>
        <v>JANUARY</v>
      </c>
      <c r="G76">
        <v>6</v>
      </c>
      <c r="H76">
        <v>0</v>
      </c>
      <c r="I76">
        <v>2</v>
      </c>
      <c r="J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6" t="str">
        <f>IF(final_data787[[#This Row],[DAY_CODE]]=0,"weekend",IF(final_data787[[#This Row],[DAY_CODE]]=1,"weekend","weekday"))</f>
        <v>weekday</v>
      </c>
      <c r="L76">
        <v>1</v>
      </c>
      <c r="M76" t="str">
        <f>IF(final_data787[[#This Row],[WEATHER_CODE]]=1,"clear",IF(final_data787[[#This Row],[WEATHER_CODE]]=2,"cloudy",IF(final_data787[[#This Row],[WEATHER_CODE]]=3,"light rain",IF(final_data787[[#This Row],[WEATHER_CODE]]=4,"heavy rain",0))))</f>
        <v>clear</v>
      </c>
      <c r="N76">
        <v>0.12</v>
      </c>
      <c r="O76">
        <v>0.1515</v>
      </c>
      <c r="P76">
        <v>0.74</v>
      </c>
      <c r="Q76">
        <v>0.1045</v>
      </c>
      <c r="R76">
        <v>0</v>
      </c>
      <c r="S76">
        <v>36</v>
      </c>
      <c r="T76">
        <v>36</v>
      </c>
    </row>
    <row r="77" spans="1:20" x14ac:dyDescent="0.35">
      <c r="A77">
        <v>76</v>
      </c>
      <c r="B77" s="1">
        <v>40547</v>
      </c>
      <c r="C77">
        <v>1</v>
      </c>
      <c r="D77">
        <v>0</v>
      </c>
      <c r="E77">
        <v>1</v>
      </c>
      <c r="F77" t="str">
        <f>IF(final_data787[[#This Row],[MONTH_CODE]]=1,"JANUARY",IF(final_data787[[#This Row],[MONTH_CODE]]=2,"FEBRUARY"))</f>
        <v>JANUARY</v>
      </c>
      <c r="G77">
        <v>7</v>
      </c>
      <c r="H77">
        <v>0</v>
      </c>
      <c r="I77">
        <v>2</v>
      </c>
      <c r="J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7" t="str">
        <f>IF(final_data787[[#This Row],[DAY_CODE]]=0,"weekend",IF(final_data787[[#This Row],[DAY_CODE]]=1,"weekend","weekday"))</f>
        <v>weekday</v>
      </c>
      <c r="L77">
        <v>1</v>
      </c>
      <c r="M77" t="str">
        <f>IF(final_data787[[#This Row],[WEATHER_CODE]]=1,"clear",IF(final_data787[[#This Row],[WEATHER_CODE]]=2,"cloudy",IF(final_data787[[#This Row],[WEATHER_CODE]]=3,"light rain",IF(final_data787[[#This Row],[WEATHER_CODE]]=4,"heavy rain",0))))</f>
        <v>clear</v>
      </c>
      <c r="N77">
        <v>0.12</v>
      </c>
      <c r="O77">
        <v>0.1515</v>
      </c>
      <c r="P77">
        <v>0.74</v>
      </c>
      <c r="Q77">
        <v>0.1343</v>
      </c>
      <c r="R77">
        <v>2</v>
      </c>
      <c r="S77">
        <v>92</v>
      </c>
      <c r="T77">
        <v>94</v>
      </c>
    </row>
    <row r="78" spans="1:20" x14ac:dyDescent="0.35">
      <c r="A78">
        <v>77</v>
      </c>
      <c r="B78" s="1">
        <v>40547</v>
      </c>
      <c r="C78">
        <v>1</v>
      </c>
      <c r="D78">
        <v>0</v>
      </c>
      <c r="E78">
        <v>1</v>
      </c>
      <c r="F78" t="str">
        <f>IF(final_data787[[#This Row],[MONTH_CODE]]=1,"JANUARY",IF(final_data787[[#This Row],[MONTH_CODE]]=2,"FEBRUARY"))</f>
        <v>JANUARY</v>
      </c>
      <c r="G78">
        <v>8</v>
      </c>
      <c r="H78">
        <v>0</v>
      </c>
      <c r="I78">
        <v>2</v>
      </c>
      <c r="J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8" t="str">
        <f>IF(final_data787[[#This Row],[DAY_CODE]]=0,"weekend",IF(final_data787[[#This Row],[DAY_CODE]]=1,"weekend","weekday"))</f>
        <v>weekday</v>
      </c>
      <c r="L78">
        <v>1</v>
      </c>
      <c r="M78" t="str">
        <f>IF(final_data787[[#This Row],[WEATHER_CODE]]=1,"clear",IF(final_data787[[#This Row],[WEATHER_CODE]]=2,"cloudy",IF(final_data787[[#This Row],[WEATHER_CODE]]=3,"light rain",IF(final_data787[[#This Row],[WEATHER_CODE]]=4,"heavy rain",0))))</f>
        <v>clear</v>
      </c>
      <c r="N78">
        <v>0.14000000000000001</v>
      </c>
      <c r="O78">
        <v>0.1515</v>
      </c>
      <c r="P78">
        <v>0.69</v>
      </c>
      <c r="Q78">
        <v>0.16420000000000001</v>
      </c>
      <c r="R78">
        <v>2</v>
      </c>
      <c r="S78">
        <v>177</v>
      </c>
      <c r="T78">
        <v>179</v>
      </c>
    </row>
    <row r="79" spans="1:20" x14ac:dyDescent="0.35">
      <c r="A79">
        <v>78</v>
      </c>
      <c r="B79" s="1">
        <v>40547</v>
      </c>
      <c r="C79">
        <v>1</v>
      </c>
      <c r="D79">
        <v>0</v>
      </c>
      <c r="E79">
        <v>1</v>
      </c>
      <c r="F79" t="str">
        <f>IF(final_data787[[#This Row],[MONTH_CODE]]=1,"JANUARY",IF(final_data787[[#This Row],[MONTH_CODE]]=2,"FEBRUARY"))</f>
        <v>JANUARY</v>
      </c>
      <c r="G79">
        <v>9</v>
      </c>
      <c r="H79">
        <v>0</v>
      </c>
      <c r="I79">
        <v>2</v>
      </c>
      <c r="J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9" t="str">
        <f>IF(final_data787[[#This Row],[DAY_CODE]]=0,"weekend",IF(final_data787[[#This Row],[DAY_CODE]]=1,"weekend","weekday"))</f>
        <v>weekday</v>
      </c>
      <c r="L79">
        <v>1</v>
      </c>
      <c r="M79" t="str">
        <f>IF(final_data787[[#This Row],[WEATHER_CODE]]=1,"clear",IF(final_data787[[#This Row],[WEATHER_CODE]]=2,"cloudy",IF(final_data787[[#This Row],[WEATHER_CODE]]=3,"light rain",IF(final_data787[[#This Row],[WEATHER_CODE]]=4,"heavy rain",0))))</f>
        <v>clear</v>
      </c>
      <c r="N79">
        <v>0.16</v>
      </c>
      <c r="O79">
        <v>0.1515</v>
      </c>
      <c r="P79">
        <v>0.64</v>
      </c>
      <c r="Q79">
        <v>0.22389999999999999</v>
      </c>
      <c r="R79">
        <v>2</v>
      </c>
      <c r="S79">
        <v>98</v>
      </c>
      <c r="T79">
        <v>100</v>
      </c>
    </row>
    <row r="80" spans="1:20" x14ac:dyDescent="0.35">
      <c r="A80">
        <v>79</v>
      </c>
      <c r="B80" s="1">
        <v>40547</v>
      </c>
      <c r="C80">
        <v>1</v>
      </c>
      <c r="D80">
        <v>0</v>
      </c>
      <c r="E80">
        <v>1</v>
      </c>
      <c r="F80" t="str">
        <f>IF(final_data787[[#This Row],[MONTH_CODE]]=1,"JANUARY",IF(final_data787[[#This Row],[MONTH_CODE]]=2,"FEBRUARY"))</f>
        <v>JANUARY</v>
      </c>
      <c r="G80">
        <v>10</v>
      </c>
      <c r="H80">
        <v>0</v>
      </c>
      <c r="I80">
        <v>2</v>
      </c>
      <c r="J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0" t="str">
        <f>IF(final_data787[[#This Row],[DAY_CODE]]=0,"weekend",IF(final_data787[[#This Row],[DAY_CODE]]=1,"weekend","weekday"))</f>
        <v>weekday</v>
      </c>
      <c r="L80">
        <v>2</v>
      </c>
      <c r="M80" t="str">
        <f>IF(final_data787[[#This Row],[WEATHER_CODE]]=1,"clear",IF(final_data787[[#This Row],[WEATHER_CODE]]=2,"cloudy",IF(final_data787[[#This Row],[WEATHER_CODE]]=3,"light rain",IF(final_data787[[#This Row],[WEATHER_CODE]]=4,"heavy rain",0))))</f>
        <v>cloudy</v>
      </c>
      <c r="N80">
        <v>0.16</v>
      </c>
      <c r="O80">
        <v>0.13639999999999999</v>
      </c>
      <c r="P80">
        <v>0.69</v>
      </c>
      <c r="Q80">
        <v>0.32840000000000003</v>
      </c>
      <c r="R80">
        <v>5</v>
      </c>
      <c r="S80">
        <v>37</v>
      </c>
      <c r="T80">
        <v>42</v>
      </c>
    </row>
    <row r="81" spans="1:20" x14ac:dyDescent="0.35">
      <c r="A81">
        <v>80</v>
      </c>
      <c r="B81" s="1">
        <v>40547</v>
      </c>
      <c r="C81">
        <v>1</v>
      </c>
      <c r="D81">
        <v>0</v>
      </c>
      <c r="E81">
        <v>1</v>
      </c>
      <c r="F81" t="str">
        <f>IF(final_data787[[#This Row],[MONTH_CODE]]=1,"JANUARY",IF(final_data787[[#This Row],[MONTH_CODE]]=2,"FEBRUARY"))</f>
        <v>JANUARY</v>
      </c>
      <c r="G81">
        <v>11</v>
      </c>
      <c r="H81">
        <v>0</v>
      </c>
      <c r="I81">
        <v>2</v>
      </c>
      <c r="J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1" t="str">
        <f>IF(final_data787[[#This Row],[DAY_CODE]]=0,"weekend",IF(final_data787[[#This Row],[DAY_CODE]]=1,"weekend","weekday"))</f>
        <v>weekday</v>
      </c>
      <c r="L81">
        <v>1</v>
      </c>
      <c r="M81" t="str">
        <f>IF(final_data787[[#This Row],[WEATHER_CODE]]=1,"clear",IF(final_data787[[#This Row],[WEATHER_CODE]]=2,"cloudy",IF(final_data787[[#This Row],[WEATHER_CODE]]=3,"light rain",IF(final_data787[[#This Row],[WEATHER_CODE]]=4,"heavy rain",0))))</f>
        <v>clear</v>
      </c>
      <c r="N81">
        <v>0.22</v>
      </c>
      <c r="O81">
        <v>0.21210000000000001</v>
      </c>
      <c r="P81">
        <v>0.51</v>
      </c>
      <c r="Q81">
        <v>0.29849999999999999</v>
      </c>
      <c r="R81">
        <v>7</v>
      </c>
      <c r="S81">
        <v>50</v>
      </c>
      <c r="T81">
        <v>57</v>
      </c>
    </row>
    <row r="82" spans="1:20" x14ac:dyDescent="0.35">
      <c r="A82">
        <v>81</v>
      </c>
      <c r="B82" s="1">
        <v>40547</v>
      </c>
      <c r="C82">
        <v>1</v>
      </c>
      <c r="D82">
        <v>0</v>
      </c>
      <c r="E82">
        <v>1</v>
      </c>
      <c r="F82" t="str">
        <f>IF(final_data787[[#This Row],[MONTH_CODE]]=1,"JANUARY",IF(final_data787[[#This Row],[MONTH_CODE]]=2,"FEBRUARY"))</f>
        <v>JANUARY</v>
      </c>
      <c r="G82">
        <v>12</v>
      </c>
      <c r="H82">
        <v>0</v>
      </c>
      <c r="I82">
        <v>2</v>
      </c>
      <c r="J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2" t="str">
        <f>IF(final_data787[[#This Row],[DAY_CODE]]=0,"weekend",IF(final_data787[[#This Row],[DAY_CODE]]=1,"weekend","weekday"))</f>
        <v>weekday</v>
      </c>
      <c r="L82">
        <v>1</v>
      </c>
      <c r="M82" t="str">
        <f>IF(final_data787[[#This Row],[WEATHER_CODE]]=1,"clear",IF(final_data787[[#This Row],[WEATHER_CODE]]=2,"cloudy",IF(final_data787[[#This Row],[WEATHER_CODE]]=3,"light rain",IF(final_data787[[#This Row],[WEATHER_CODE]]=4,"heavy rain",0))))</f>
        <v>clear</v>
      </c>
      <c r="N82">
        <v>0.22</v>
      </c>
      <c r="O82">
        <v>0.2273</v>
      </c>
      <c r="P82">
        <v>0.51</v>
      </c>
      <c r="Q82">
        <v>0.16420000000000001</v>
      </c>
      <c r="R82">
        <v>12</v>
      </c>
      <c r="S82">
        <v>66</v>
      </c>
      <c r="T82">
        <v>78</v>
      </c>
    </row>
    <row r="83" spans="1:20" x14ac:dyDescent="0.35">
      <c r="A83">
        <v>82</v>
      </c>
      <c r="B83" s="1">
        <v>40547</v>
      </c>
      <c r="C83">
        <v>1</v>
      </c>
      <c r="D83">
        <v>0</v>
      </c>
      <c r="E83">
        <v>1</v>
      </c>
      <c r="F83" t="str">
        <f>IF(final_data787[[#This Row],[MONTH_CODE]]=1,"JANUARY",IF(final_data787[[#This Row],[MONTH_CODE]]=2,"FEBRUARY"))</f>
        <v>JANUARY</v>
      </c>
      <c r="G83">
        <v>13</v>
      </c>
      <c r="H83">
        <v>0</v>
      </c>
      <c r="I83">
        <v>2</v>
      </c>
      <c r="J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3" t="str">
        <f>IF(final_data787[[#This Row],[DAY_CODE]]=0,"weekend",IF(final_data787[[#This Row],[DAY_CODE]]=1,"weekend","weekday"))</f>
        <v>weekday</v>
      </c>
      <c r="L83">
        <v>1</v>
      </c>
      <c r="M83" t="str">
        <f>IF(final_data787[[#This Row],[WEATHER_CODE]]=1,"clear",IF(final_data787[[#This Row],[WEATHER_CODE]]=2,"cloudy",IF(final_data787[[#This Row],[WEATHER_CODE]]=3,"light rain",IF(final_data787[[#This Row],[WEATHER_CODE]]=4,"heavy rain",0))))</f>
        <v>clear</v>
      </c>
      <c r="N83">
        <v>0.24</v>
      </c>
      <c r="O83">
        <v>0.2273</v>
      </c>
      <c r="P83">
        <v>0.56000000000000005</v>
      </c>
      <c r="Q83">
        <v>0.19400000000000001</v>
      </c>
      <c r="R83">
        <v>18</v>
      </c>
      <c r="S83">
        <v>79</v>
      </c>
      <c r="T83">
        <v>97</v>
      </c>
    </row>
    <row r="84" spans="1:20" x14ac:dyDescent="0.35">
      <c r="A84">
        <v>83</v>
      </c>
      <c r="B84" s="1">
        <v>40547</v>
      </c>
      <c r="C84">
        <v>1</v>
      </c>
      <c r="D84">
        <v>0</v>
      </c>
      <c r="E84">
        <v>1</v>
      </c>
      <c r="F84" t="str">
        <f>IF(final_data787[[#This Row],[MONTH_CODE]]=1,"JANUARY",IF(final_data787[[#This Row],[MONTH_CODE]]=2,"FEBRUARY"))</f>
        <v>JANUARY</v>
      </c>
      <c r="G84">
        <v>14</v>
      </c>
      <c r="H84">
        <v>0</v>
      </c>
      <c r="I84">
        <v>2</v>
      </c>
      <c r="J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4" t="str">
        <f>IF(final_data787[[#This Row],[DAY_CODE]]=0,"weekend",IF(final_data787[[#This Row],[DAY_CODE]]=1,"weekend","weekday"))</f>
        <v>weekday</v>
      </c>
      <c r="L84">
        <v>1</v>
      </c>
      <c r="M84" t="str">
        <f>IF(final_data787[[#This Row],[WEATHER_CODE]]=1,"clear",IF(final_data787[[#This Row],[WEATHER_CODE]]=2,"cloudy",IF(final_data787[[#This Row],[WEATHER_CODE]]=3,"light rain",IF(final_data787[[#This Row],[WEATHER_CODE]]=4,"heavy rain",0))))</f>
        <v>clear</v>
      </c>
      <c r="N84">
        <v>0.26</v>
      </c>
      <c r="O84">
        <v>0.2576</v>
      </c>
      <c r="P84">
        <v>0.52</v>
      </c>
      <c r="Q84">
        <v>0.22389999999999999</v>
      </c>
      <c r="R84">
        <v>9</v>
      </c>
      <c r="S84">
        <v>54</v>
      </c>
      <c r="T84">
        <v>63</v>
      </c>
    </row>
    <row r="85" spans="1:20" x14ac:dyDescent="0.35">
      <c r="A85">
        <v>84</v>
      </c>
      <c r="B85" s="1">
        <v>40547</v>
      </c>
      <c r="C85">
        <v>1</v>
      </c>
      <c r="D85">
        <v>0</v>
      </c>
      <c r="E85">
        <v>1</v>
      </c>
      <c r="F85" t="str">
        <f>IF(final_data787[[#This Row],[MONTH_CODE]]=1,"JANUARY",IF(final_data787[[#This Row],[MONTH_CODE]]=2,"FEBRUARY"))</f>
        <v>JANUARY</v>
      </c>
      <c r="G85">
        <v>15</v>
      </c>
      <c r="H85">
        <v>0</v>
      </c>
      <c r="I85">
        <v>2</v>
      </c>
      <c r="J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 t="str">
        <f>IF(final_data787[[#This Row],[DAY_CODE]]=0,"weekend",IF(final_data787[[#This Row],[DAY_CODE]]=1,"weekend","weekday"))</f>
        <v>weekday</v>
      </c>
      <c r="L85">
        <v>1</v>
      </c>
      <c r="M85" t="str">
        <f>IF(final_data787[[#This Row],[WEATHER_CODE]]=1,"clear",IF(final_data787[[#This Row],[WEATHER_CODE]]=2,"cloudy",IF(final_data787[[#This Row],[WEATHER_CODE]]=3,"light rain",IF(final_data787[[#This Row],[WEATHER_CODE]]=4,"heavy rain",0))))</f>
        <v>clear</v>
      </c>
      <c r="N85">
        <v>0.28000000000000003</v>
      </c>
      <c r="O85">
        <v>0.2727</v>
      </c>
      <c r="P85">
        <v>0.52</v>
      </c>
      <c r="Q85">
        <v>0.25369999999999998</v>
      </c>
      <c r="R85">
        <v>17</v>
      </c>
      <c r="S85">
        <v>48</v>
      </c>
      <c r="T85">
        <v>65</v>
      </c>
    </row>
    <row r="86" spans="1:20" x14ac:dyDescent="0.35">
      <c r="A86">
        <v>85</v>
      </c>
      <c r="B86" s="1">
        <v>40547</v>
      </c>
      <c r="C86">
        <v>1</v>
      </c>
      <c r="D86">
        <v>0</v>
      </c>
      <c r="E86">
        <v>1</v>
      </c>
      <c r="F86" t="str">
        <f>IF(final_data787[[#This Row],[MONTH_CODE]]=1,"JANUARY",IF(final_data787[[#This Row],[MONTH_CODE]]=2,"FEBRUARY"))</f>
        <v>JANUARY</v>
      </c>
      <c r="G86">
        <v>16</v>
      </c>
      <c r="H86">
        <v>0</v>
      </c>
      <c r="I86">
        <v>2</v>
      </c>
      <c r="J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 t="str">
        <f>IF(final_data787[[#This Row],[DAY_CODE]]=0,"weekend",IF(final_data787[[#This Row],[DAY_CODE]]=1,"weekend","weekday"))</f>
        <v>weekday</v>
      </c>
      <c r="L86">
        <v>1</v>
      </c>
      <c r="M86" t="str">
        <f>IF(final_data787[[#This Row],[WEATHER_CODE]]=1,"clear",IF(final_data787[[#This Row],[WEATHER_CODE]]=2,"cloudy",IF(final_data787[[#This Row],[WEATHER_CODE]]=3,"light rain",IF(final_data787[[#This Row],[WEATHER_CODE]]=4,"heavy rain",0))))</f>
        <v>clear</v>
      </c>
      <c r="N86">
        <v>0.3</v>
      </c>
      <c r="O86">
        <v>0.28789999999999999</v>
      </c>
      <c r="P86">
        <v>0.49</v>
      </c>
      <c r="Q86">
        <v>0.25369999999999998</v>
      </c>
      <c r="R86">
        <v>15</v>
      </c>
      <c r="S86">
        <v>68</v>
      </c>
      <c r="T86">
        <v>83</v>
      </c>
    </row>
    <row r="87" spans="1:20" x14ac:dyDescent="0.35">
      <c r="A87">
        <v>86</v>
      </c>
      <c r="B87" s="1">
        <v>40547</v>
      </c>
      <c r="C87">
        <v>1</v>
      </c>
      <c r="D87">
        <v>0</v>
      </c>
      <c r="E87">
        <v>1</v>
      </c>
      <c r="F87" t="str">
        <f>IF(final_data787[[#This Row],[MONTH_CODE]]=1,"JANUARY",IF(final_data787[[#This Row],[MONTH_CODE]]=2,"FEBRUARY"))</f>
        <v>JANUARY</v>
      </c>
      <c r="G87">
        <v>17</v>
      </c>
      <c r="H87">
        <v>0</v>
      </c>
      <c r="I87">
        <v>2</v>
      </c>
      <c r="J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 t="str">
        <f>IF(final_data787[[#This Row],[DAY_CODE]]=0,"weekend",IF(final_data787[[#This Row],[DAY_CODE]]=1,"weekend","weekday"))</f>
        <v>weekday</v>
      </c>
      <c r="L87">
        <v>1</v>
      </c>
      <c r="M87" t="str">
        <f>IF(final_data787[[#This Row],[WEATHER_CODE]]=1,"clear",IF(final_data787[[#This Row],[WEATHER_CODE]]=2,"cloudy",IF(final_data787[[#This Row],[WEATHER_CODE]]=3,"light rain",IF(final_data787[[#This Row],[WEATHER_CODE]]=4,"heavy rain",0))))</f>
        <v>clear</v>
      </c>
      <c r="N87">
        <v>0.28000000000000003</v>
      </c>
      <c r="O87">
        <v>0.2727</v>
      </c>
      <c r="P87">
        <v>0.48</v>
      </c>
      <c r="Q87">
        <v>0.22389999999999999</v>
      </c>
      <c r="R87">
        <v>10</v>
      </c>
      <c r="S87">
        <v>202</v>
      </c>
      <c r="T87">
        <v>212</v>
      </c>
    </row>
    <row r="88" spans="1:20" x14ac:dyDescent="0.35">
      <c r="A88">
        <v>87</v>
      </c>
      <c r="B88" s="1">
        <v>40547</v>
      </c>
      <c r="C88">
        <v>1</v>
      </c>
      <c r="D88">
        <v>0</v>
      </c>
      <c r="E88">
        <v>1</v>
      </c>
      <c r="F88" t="str">
        <f>IF(final_data787[[#This Row],[MONTH_CODE]]=1,"JANUARY",IF(final_data787[[#This Row],[MONTH_CODE]]=2,"FEBRUARY"))</f>
        <v>JANUARY</v>
      </c>
      <c r="G88">
        <v>18</v>
      </c>
      <c r="H88">
        <v>0</v>
      </c>
      <c r="I88">
        <v>2</v>
      </c>
      <c r="J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8" t="str">
        <f>IF(final_data787[[#This Row],[DAY_CODE]]=0,"weekend",IF(final_data787[[#This Row],[DAY_CODE]]=1,"weekend","weekday"))</f>
        <v>weekday</v>
      </c>
      <c r="L88">
        <v>1</v>
      </c>
      <c r="M88" t="str">
        <f>IF(final_data787[[#This Row],[WEATHER_CODE]]=1,"clear",IF(final_data787[[#This Row],[WEATHER_CODE]]=2,"cloudy",IF(final_data787[[#This Row],[WEATHER_CODE]]=3,"light rain",IF(final_data787[[#This Row],[WEATHER_CODE]]=4,"heavy rain",0))))</f>
        <v>clear</v>
      </c>
      <c r="N88">
        <v>0.26</v>
      </c>
      <c r="O88">
        <v>0.2576</v>
      </c>
      <c r="P88">
        <v>0.48</v>
      </c>
      <c r="Q88">
        <v>0.19400000000000001</v>
      </c>
      <c r="R88">
        <v>3</v>
      </c>
      <c r="S88">
        <v>179</v>
      </c>
      <c r="T88">
        <v>182</v>
      </c>
    </row>
    <row r="89" spans="1:20" x14ac:dyDescent="0.35">
      <c r="A89">
        <v>88</v>
      </c>
      <c r="B89" s="1">
        <v>40547</v>
      </c>
      <c r="C89">
        <v>1</v>
      </c>
      <c r="D89">
        <v>0</v>
      </c>
      <c r="E89">
        <v>1</v>
      </c>
      <c r="F89" t="str">
        <f>IF(final_data787[[#This Row],[MONTH_CODE]]=1,"JANUARY",IF(final_data787[[#This Row],[MONTH_CODE]]=2,"FEBRUARY"))</f>
        <v>JANUARY</v>
      </c>
      <c r="G89">
        <v>19</v>
      </c>
      <c r="H89">
        <v>0</v>
      </c>
      <c r="I89">
        <v>2</v>
      </c>
      <c r="J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9" t="str">
        <f>IF(final_data787[[#This Row],[DAY_CODE]]=0,"weekend",IF(final_data787[[#This Row],[DAY_CODE]]=1,"weekend","weekday"))</f>
        <v>weekday</v>
      </c>
      <c r="L89">
        <v>1</v>
      </c>
      <c r="M89" t="str">
        <f>IF(final_data787[[#This Row],[WEATHER_CODE]]=1,"clear",IF(final_data787[[#This Row],[WEATHER_CODE]]=2,"cloudy",IF(final_data787[[#This Row],[WEATHER_CODE]]=3,"light rain",IF(final_data787[[#This Row],[WEATHER_CODE]]=4,"heavy rain",0))))</f>
        <v>clear</v>
      </c>
      <c r="N89">
        <v>0.24</v>
      </c>
      <c r="O89">
        <v>0.2576</v>
      </c>
      <c r="P89">
        <v>0.48</v>
      </c>
      <c r="Q89">
        <v>0.1045</v>
      </c>
      <c r="R89">
        <v>2</v>
      </c>
      <c r="S89">
        <v>110</v>
      </c>
      <c r="T89">
        <v>112</v>
      </c>
    </row>
    <row r="90" spans="1:20" x14ac:dyDescent="0.35">
      <c r="A90">
        <v>89</v>
      </c>
      <c r="B90" s="1">
        <v>40547</v>
      </c>
      <c r="C90">
        <v>1</v>
      </c>
      <c r="D90">
        <v>0</v>
      </c>
      <c r="E90">
        <v>1</v>
      </c>
      <c r="F90" t="str">
        <f>IF(final_data787[[#This Row],[MONTH_CODE]]=1,"JANUARY",IF(final_data787[[#This Row],[MONTH_CODE]]=2,"FEBRUARY"))</f>
        <v>JANUARY</v>
      </c>
      <c r="G90">
        <v>20</v>
      </c>
      <c r="H90">
        <v>0</v>
      </c>
      <c r="I90">
        <v>2</v>
      </c>
      <c r="J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90" t="str">
        <f>IF(final_data787[[#This Row],[DAY_CODE]]=0,"weekend",IF(final_data787[[#This Row],[DAY_CODE]]=1,"weekend","weekday"))</f>
        <v>weekday</v>
      </c>
      <c r="L90">
        <v>1</v>
      </c>
      <c r="M90" t="str">
        <f>IF(final_data787[[#This Row],[WEATHER_CODE]]=1,"clear",IF(final_data787[[#This Row],[WEATHER_CODE]]=2,"cloudy",IF(final_data787[[#This Row],[WEATHER_CODE]]=3,"light rain",IF(final_data787[[#This Row],[WEATHER_CODE]]=4,"heavy rain",0))))</f>
        <v>clear</v>
      </c>
      <c r="N90">
        <v>0.24</v>
      </c>
      <c r="O90">
        <v>0.2576</v>
      </c>
      <c r="P90">
        <v>0.48</v>
      </c>
      <c r="Q90">
        <v>0.1045</v>
      </c>
      <c r="R90">
        <v>1</v>
      </c>
      <c r="S90">
        <v>53</v>
      </c>
      <c r="T90">
        <v>54</v>
      </c>
    </row>
    <row r="91" spans="1:20" x14ac:dyDescent="0.35">
      <c r="A91">
        <v>90</v>
      </c>
      <c r="B91" s="1">
        <v>40547</v>
      </c>
      <c r="C91">
        <v>1</v>
      </c>
      <c r="D91">
        <v>0</v>
      </c>
      <c r="E91">
        <v>1</v>
      </c>
      <c r="F91" t="str">
        <f>IF(final_data787[[#This Row],[MONTH_CODE]]=1,"JANUARY",IF(final_data787[[#This Row],[MONTH_CODE]]=2,"FEBRUARY"))</f>
        <v>JANUARY</v>
      </c>
      <c r="G91">
        <v>21</v>
      </c>
      <c r="H91">
        <v>0</v>
      </c>
      <c r="I91">
        <v>2</v>
      </c>
      <c r="J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91" t="str">
        <f>IF(final_data787[[#This Row],[DAY_CODE]]=0,"weekend",IF(final_data787[[#This Row],[DAY_CODE]]=1,"weekend","weekday"))</f>
        <v>weekday</v>
      </c>
      <c r="L91">
        <v>1</v>
      </c>
      <c r="M91" t="str">
        <f>IF(final_data787[[#This Row],[WEATHER_CODE]]=1,"clear",IF(final_data787[[#This Row],[WEATHER_CODE]]=2,"cloudy",IF(final_data787[[#This Row],[WEATHER_CODE]]=3,"light rain",IF(final_data787[[#This Row],[WEATHER_CODE]]=4,"heavy rain",0))))</f>
        <v>clear</v>
      </c>
      <c r="N91">
        <v>0.22</v>
      </c>
      <c r="O91">
        <v>0.2727</v>
      </c>
      <c r="P91">
        <v>0.64</v>
      </c>
      <c r="Q91">
        <v>0</v>
      </c>
      <c r="R91">
        <v>0</v>
      </c>
      <c r="S91">
        <v>48</v>
      </c>
      <c r="T91">
        <v>48</v>
      </c>
    </row>
    <row r="92" spans="1:20" x14ac:dyDescent="0.35">
      <c r="A92">
        <v>91</v>
      </c>
      <c r="B92" s="1">
        <v>40547</v>
      </c>
      <c r="C92">
        <v>1</v>
      </c>
      <c r="D92">
        <v>0</v>
      </c>
      <c r="E92">
        <v>1</v>
      </c>
      <c r="F92" t="str">
        <f>IF(final_data787[[#This Row],[MONTH_CODE]]=1,"JANUARY",IF(final_data787[[#This Row],[MONTH_CODE]]=2,"FEBRUARY"))</f>
        <v>JANUARY</v>
      </c>
      <c r="G92">
        <v>22</v>
      </c>
      <c r="H92">
        <v>0</v>
      </c>
      <c r="I92">
        <v>2</v>
      </c>
      <c r="J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92" t="str">
        <f>IF(final_data787[[#This Row],[DAY_CODE]]=0,"weekend",IF(final_data787[[#This Row],[DAY_CODE]]=1,"weekend","weekday"))</f>
        <v>weekday</v>
      </c>
      <c r="L92">
        <v>1</v>
      </c>
      <c r="M92" t="str">
        <f>IF(final_data787[[#This Row],[WEATHER_CODE]]=1,"clear",IF(final_data787[[#This Row],[WEATHER_CODE]]=2,"cloudy",IF(final_data787[[#This Row],[WEATHER_CODE]]=3,"light rain",IF(final_data787[[#This Row],[WEATHER_CODE]]=4,"heavy rain",0))))</f>
        <v>clear</v>
      </c>
      <c r="N92">
        <v>0.22</v>
      </c>
      <c r="O92">
        <v>0.2576</v>
      </c>
      <c r="P92">
        <v>0.64</v>
      </c>
      <c r="Q92">
        <v>8.9599999999999999E-2</v>
      </c>
      <c r="R92">
        <v>1</v>
      </c>
      <c r="S92">
        <v>34</v>
      </c>
      <c r="T92">
        <v>35</v>
      </c>
    </row>
    <row r="93" spans="1:20" x14ac:dyDescent="0.35">
      <c r="A93">
        <v>92</v>
      </c>
      <c r="B93" s="1">
        <v>40547</v>
      </c>
      <c r="C93">
        <v>1</v>
      </c>
      <c r="D93">
        <v>0</v>
      </c>
      <c r="E93">
        <v>1</v>
      </c>
      <c r="F93" t="str">
        <f>IF(final_data787[[#This Row],[MONTH_CODE]]=1,"JANUARY",IF(final_data787[[#This Row],[MONTH_CODE]]=2,"FEBRUARY"))</f>
        <v>JANUARY</v>
      </c>
      <c r="G93">
        <v>23</v>
      </c>
      <c r="H93">
        <v>0</v>
      </c>
      <c r="I93">
        <v>2</v>
      </c>
      <c r="J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93" t="str">
        <f>IF(final_data787[[#This Row],[DAY_CODE]]=0,"weekend",IF(final_data787[[#This Row],[DAY_CODE]]=1,"weekend","weekday"))</f>
        <v>weekday</v>
      </c>
      <c r="L93">
        <v>1</v>
      </c>
      <c r="M93" t="str">
        <f>IF(final_data787[[#This Row],[WEATHER_CODE]]=1,"clear",IF(final_data787[[#This Row],[WEATHER_CODE]]=2,"cloudy",IF(final_data787[[#This Row],[WEATHER_CODE]]=3,"light rain",IF(final_data787[[#This Row],[WEATHER_CODE]]=4,"heavy rain",0))))</f>
        <v>clear</v>
      </c>
      <c r="N93">
        <v>0.2</v>
      </c>
      <c r="O93">
        <v>0.2273</v>
      </c>
      <c r="P93">
        <v>0.69</v>
      </c>
      <c r="Q93">
        <v>8.9599999999999999E-2</v>
      </c>
      <c r="R93">
        <v>2</v>
      </c>
      <c r="S93">
        <v>9</v>
      </c>
      <c r="T93">
        <v>11</v>
      </c>
    </row>
    <row r="94" spans="1:20" x14ac:dyDescent="0.35">
      <c r="A94">
        <v>93</v>
      </c>
      <c r="B94" s="1">
        <v>40548</v>
      </c>
      <c r="C94">
        <v>1</v>
      </c>
      <c r="D94">
        <v>0</v>
      </c>
      <c r="E94">
        <v>1</v>
      </c>
      <c r="F94" t="str">
        <f>IF(final_data787[[#This Row],[MONTH_CODE]]=1,"JANUARY",IF(final_data787[[#This Row],[MONTH_CODE]]=2,"FEBRUARY"))</f>
        <v>JANUARY</v>
      </c>
      <c r="G94">
        <v>0</v>
      </c>
      <c r="H94">
        <v>0</v>
      </c>
      <c r="I94">
        <v>3</v>
      </c>
      <c r="J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4" t="str">
        <f>IF(final_data787[[#This Row],[DAY_CODE]]=0,"weekend",IF(final_data787[[#This Row],[DAY_CODE]]=1,"weekend","weekday"))</f>
        <v>weekday</v>
      </c>
      <c r="L94">
        <v>1</v>
      </c>
      <c r="M94" t="str">
        <f>IF(final_data787[[#This Row],[WEATHER_CODE]]=1,"clear",IF(final_data787[[#This Row],[WEATHER_CODE]]=2,"cloudy",IF(final_data787[[#This Row],[WEATHER_CODE]]=3,"light rain",IF(final_data787[[#This Row],[WEATHER_CODE]]=4,"heavy rain",0))))</f>
        <v>clear</v>
      </c>
      <c r="N94">
        <v>0.2</v>
      </c>
      <c r="O94">
        <v>0.2576</v>
      </c>
      <c r="P94">
        <v>0.64</v>
      </c>
      <c r="Q94">
        <v>0</v>
      </c>
      <c r="R94">
        <v>0</v>
      </c>
      <c r="S94">
        <v>6</v>
      </c>
      <c r="T94">
        <v>6</v>
      </c>
    </row>
    <row r="95" spans="1:20" x14ac:dyDescent="0.35">
      <c r="A95">
        <v>94</v>
      </c>
      <c r="B95" s="1">
        <v>40548</v>
      </c>
      <c r="C95">
        <v>1</v>
      </c>
      <c r="D95">
        <v>0</v>
      </c>
      <c r="E95">
        <v>1</v>
      </c>
      <c r="F95" t="str">
        <f>IF(final_data787[[#This Row],[MONTH_CODE]]=1,"JANUARY",IF(final_data787[[#This Row],[MONTH_CODE]]=2,"FEBRUARY"))</f>
        <v>JANUARY</v>
      </c>
      <c r="G95">
        <v>1</v>
      </c>
      <c r="H95">
        <v>0</v>
      </c>
      <c r="I95">
        <v>3</v>
      </c>
      <c r="J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5" t="str">
        <f>IF(final_data787[[#This Row],[DAY_CODE]]=0,"weekend",IF(final_data787[[#This Row],[DAY_CODE]]=1,"weekend","weekday"))</f>
        <v>weekday</v>
      </c>
      <c r="L95">
        <v>1</v>
      </c>
      <c r="M95" t="str">
        <f>IF(final_data787[[#This Row],[WEATHER_CODE]]=1,"clear",IF(final_data787[[#This Row],[WEATHER_CODE]]=2,"cloudy",IF(final_data787[[#This Row],[WEATHER_CODE]]=3,"light rain",IF(final_data787[[#This Row],[WEATHER_CODE]]=4,"heavy rain",0))))</f>
        <v>clear</v>
      </c>
      <c r="N95">
        <v>0.16</v>
      </c>
      <c r="O95">
        <v>0.19700000000000001</v>
      </c>
      <c r="P95">
        <v>0.74</v>
      </c>
      <c r="Q95">
        <v>8.9599999999999999E-2</v>
      </c>
      <c r="R95">
        <v>0</v>
      </c>
      <c r="S95">
        <v>6</v>
      </c>
      <c r="T95">
        <v>6</v>
      </c>
    </row>
    <row r="96" spans="1:20" x14ac:dyDescent="0.35">
      <c r="A96">
        <v>95</v>
      </c>
      <c r="B96" s="1">
        <v>40548</v>
      </c>
      <c r="C96">
        <v>1</v>
      </c>
      <c r="D96">
        <v>0</v>
      </c>
      <c r="E96">
        <v>1</v>
      </c>
      <c r="F96" t="str">
        <f>IF(final_data787[[#This Row],[MONTH_CODE]]=1,"JANUARY",IF(final_data787[[#This Row],[MONTH_CODE]]=2,"FEBRUARY"))</f>
        <v>JANUARY</v>
      </c>
      <c r="G96">
        <v>2</v>
      </c>
      <c r="H96">
        <v>0</v>
      </c>
      <c r="I96">
        <v>3</v>
      </c>
      <c r="J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6" t="str">
        <f>IF(final_data787[[#This Row],[DAY_CODE]]=0,"weekend",IF(final_data787[[#This Row],[DAY_CODE]]=1,"weekend","weekday"))</f>
        <v>weekday</v>
      </c>
      <c r="L96">
        <v>1</v>
      </c>
      <c r="M96" t="str">
        <f>IF(final_data787[[#This Row],[WEATHER_CODE]]=1,"clear",IF(final_data787[[#This Row],[WEATHER_CODE]]=2,"cloudy",IF(final_data787[[#This Row],[WEATHER_CODE]]=3,"light rain",IF(final_data787[[#This Row],[WEATHER_CODE]]=4,"heavy rain",0))))</f>
        <v>clear</v>
      </c>
      <c r="N96">
        <v>0.16</v>
      </c>
      <c r="O96">
        <v>0.19700000000000001</v>
      </c>
      <c r="P96">
        <v>0.74</v>
      </c>
      <c r="Q96">
        <v>8.9599999999999999E-2</v>
      </c>
      <c r="R96">
        <v>0</v>
      </c>
      <c r="S96">
        <v>2</v>
      </c>
      <c r="T96">
        <v>2</v>
      </c>
    </row>
    <row r="97" spans="1:20" x14ac:dyDescent="0.35">
      <c r="A97">
        <v>96</v>
      </c>
      <c r="B97" s="1">
        <v>40548</v>
      </c>
      <c r="C97">
        <v>1</v>
      </c>
      <c r="D97">
        <v>0</v>
      </c>
      <c r="E97">
        <v>1</v>
      </c>
      <c r="F97" t="str">
        <f>IF(final_data787[[#This Row],[MONTH_CODE]]=1,"JANUARY",IF(final_data787[[#This Row],[MONTH_CODE]]=2,"FEBRUARY"))</f>
        <v>JANUARY</v>
      </c>
      <c r="G97">
        <v>4</v>
      </c>
      <c r="H97">
        <v>0</v>
      </c>
      <c r="I97">
        <v>3</v>
      </c>
      <c r="J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7" t="str">
        <f>IF(final_data787[[#This Row],[DAY_CODE]]=0,"weekend",IF(final_data787[[#This Row],[DAY_CODE]]=1,"weekend","weekday"))</f>
        <v>weekday</v>
      </c>
      <c r="L97">
        <v>1</v>
      </c>
      <c r="M97" t="str">
        <f>IF(final_data787[[#This Row],[WEATHER_CODE]]=1,"clear",IF(final_data787[[#This Row],[WEATHER_CODE]]=2,"cloudy",IF(final_data787[[#This Row],[WEATHER_CODE]]=3,"light rain",IF(final_data787[[#This Row],[WEATHER_CODE]]=4,"heavy rain",0))))</f>
        <v>clear</v>
      </c>
      <c r="N97">
        <v>0.24</v>
      </c>
      <c r="O97">
        <v>0.2273</v>
      </c>
      <c r="P97">
        <v>0.48</v>
      </c>
      <c r="Q97">
        <v>0.22389999999999999</v>
      </c>
      <c r="R97">
        <v>0</v>
      </c>
      <c r="S97">
        <v>2</v>
      </c>
      <c r="T97">
        <v>2</v>
      </c>
    </row>
    <row r="98" spans="1:20" x14ac:dyDescent="0.35">
      <c r="A98">
        <v>97</v>
      </c>
      <c r="B98" s="1">
        <v>40548</v>
      </c>
      <c r="C98">
        <v>1</v>
      </c>
      <c r="D98">
        <v>0</v>
      </c>
      <c r="E98">
        <v>1</v>
      </c>
      <c r="F98" t="str">
        <f>IF(final_data787[[#This Row],[MONTH_CODE]]=1,"JANUARY",IF(final_data787[[#This Row],[MONTH_CODE]]=2,"FEBRUARY"))</f>
        <v>JANUARY</v>
      </c>
      <c r="G98">
        <v>5</v>
      </c>
      <c r="H98">
        <v>0</v>
      </c>
      <c r="I98">
        <v>3</v>
      </c>
      <c r="J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8" t="str">
        <f>IF(final_data787[[#This Row],[DAY_CODE]]=0,"weekend",IF(final_data787[[#This Row],[DAY_CODE]]=1,"weekend","weekday"))</f>
        <v>weekday</v>
      </c>
      <c r="L98">
        <v>1</v>
      </c>
      <c r="M98" t="str">
        <f>IF(final_data787[[#This Row],[WEATHER_CODE]]=1,"clear",IF(final_data787[[#This Row],[WEATHER_CODE]]=2,"cloudy",IF(final_data787[[#This Row],[WEATHER_CODE]]=3,"light rain",IF(final_data787[[#This Row],[WEATHER_CODE]]=4,"heavy rain",0))))</f>
        <v>clear</v>
      </c>
      <c r="N98">
        <v>0.22</v>
      </c>
      <c r="O98">
        <v>0.2273</v>
      </c>
      <c r="P98">
        <v>0.47</v>
      </c>
      <c r="Q98">
        <v>0.16420000000000001</v>
      </c>
      <c r="R98">
        <v>0</v>
      </c>
      <c r="S98">
        <v>3</v>
      </c>
      <c r="T98">
        <v>3</v>
      </c>
    </row>
    <row r="99" spans="1:20" x14ac:dyDescent="0.35">
      <c r="A99">
        <v>98</v>
      </c>
      <c r="B99" s="1">
        <v>40548</v>
      </c>
      <c r="C99">
        <v>1</v>
      </c>
      <c r="D99">
        <v>0</v>
      </c>
      <c r="E99">
        <v>1</v>
      </c>
      <c r="F99" t="str">
        <f>IF(final_data787[[#This Row],[MONTH_CODE]]=1,"JANUARY",IF(final_data787[[#This Row],[MONTH_CODE]]=2,"FEBRUARY"))</f>
        <v>JANUARY</v>
      </c>
      <c r="G99">
        <v>6</v>
      </c>
      <c r="H99">
        <v>0</v>
      </c>
      <c r="I99">
        <v>3</v>
      </c>
      <c r="J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9" t="str">
        <f>IF(final_data787[[#This Row],[DAY_CODE]]=0,"weekend",IF(final_data787[[#This Row],[DAY_CODE]]=1,"weekend","weekday"))</f>
        <v>weekday</v>
      </c>
      <c r="L99">
        <v>1</v>
      </c>
      <c r="M99" t="str">
        <f>IF(final_data787[[#This Row],[WEATHER_CODE]]=1,"clear",IF(final_data787[[#This Row],[WEATHER_CODE]]=2,"cloudy",IF(final_data787[[#This Row],[WEATHER_CODE]]=3,"light rain",IF(final_data787[[#This Row],[WEATHER_CODE]]=4,"heavy rain",0))))</f>
        <v>clear</v>
      </c>
      <c r="N99">
        <v>0.2</v>
      </c>
      <c r="O99">
        <v>0.19700000000000001</v>
      </c>
      <c r="P99">
        <v>0.47</v>
      </c>
      <c r="Q99">
        <v>0.22389999999999999</v>
      </c>
      <c r="R99">
        <v>0</v>
      </c>
      <c r="S99">
        <v>33</v>
      </c>
      <c r="T99">
        <v>33</v>
      </c>
    </row>
    <row r="100" spans="1:20" x14ac:dyDescent="0.35">
      <c r="A100">
        <v>99</v>
      </c>
      <c r="B100" s="1">
        <v>40548</v>
      </c>
      <c r="C100">
        <v>1</v>
      </c>
      <c r="D100">
        <v>0</v>
      </c>
      <c r="E100">
        <v>1</v>
      </c>
      <c r="F100" t="str">
        <f>IF(final_data787[[#This Row],[MONTH_CODE]]=1,"JANUARY",IF(final_data787[[#This Row],[MONTH_CODE]]=2,"FEBRUARY"))</f>
        <v>JANUARY</v>
      </c>
      <c r="G100">
        <v>7</v>
      </c>
      <c r="H100">
        <v>0</v>
      </c>
      <c r="I100">
        <v>3</v>
      </c>
      <c r="J1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0" t="str">
        <f>IF(final_data787[[#This Row],[DAY_CODE]]=0,"weekend",IF(final_data787[[#This Row],[DAY_CODE]]=1,"weekend","weekday"))</f>
        <v>weekday</v>
      </c>
      <c r="L100">
        <v>1</v>
      </c>
      <c r="M100" t="str">
        <f>IF(final_data787[[#This Row],[WEATHER_CODE]]=1,"clear",IF(final_data787[[#This Row],[WEATHER_CODE]]=2,"cloudy",IF(final_data787[[#This Row],[WEATHER_CODE]]=3,"light rain",IF(final_data787[[#This Row],[WEATHER_CODE]]=4,"heavy rain",0))))</f>
        <v>clear</v>
      </c>
      <c r="N100">
        <v>0.18</v>
      </c>
      <c r="O100">
        <v>0.18179999999999999</v>
      </c>
      <c r="P100">
        <v>0.43</v>
      </c>
      <c r="Q100">
        <v>0.19400000000000001</v>
      </c>
      <c r="R100">
        <v>1</v>
      </c>
      <c r="S100">
        <v>87</v>
      </c>
      <c r="T100">
        <v>88</v>
      </c>
    </row>
    <row r="101" spans="1:20" x14ac:dyDescent="0.35">
      <c r="A101">
        <v>100</v>
      </c>
      <c r="B101" s="1">
        <v>40548</v>
      </c>
      <c r="C101">
        <v>1</v>
      </c>
      <c r="D101">
        <v>0</v>
      </c>
      <c r="E101">
        <v>1</v>
      </c>
      <c r="F101" t="str">
        <f>IF(final_data787[[#This Row],[MONTH_CODE]]=1,"JANUARY",IF(final_data787[[#This Row],[MONTH_CODE]]=2,"FEBRUARY"))</f>
        <v>JANUARY</v>
      </c>
      <c r="G101">
        <v>8</v>
      </c>
      <c r="H101">
        <v>0</v>
      </c>
      <c r="I101">
        <v>3</v>
      </c>
      <c r="J1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1" t="str">
        <f>IF(final_data787[[#This Row],[DAY_CODE]]=0,"weekend",IF(final_data787[[#This Row],[DAY_CODE]]=1,"weekend","weekday"))</f>
        <v>weekday</v>
      </c>
      <c r="L101">
        <v>1</v>
      </c>
      <c r="M101" t="str">
        <f>IF(final_data787[[#This Row],[WEATHER_CODE]]=1,"clear",IF(final_data787[[#This Row],[WEATHER_CODE]]=2,"cloudy",IF(final_data787[[#This Row],[WEATHER_CODE]]=3,"light rain",IF(final_data787[[#This Row],[WEATHER_CODE]]=4,"heavy rain",0))))</f>
        <v>clear</v>
      </c>
      <c r="N101">
        <v>0.2</v>
      </c>
      <c r="O101">
        <v>0.18179999999999999</v>
      </c>
      <c r="P101">
        <v>0.4</v>
      </c>
      <c r="Q101">
        <v>0.29849999999999999</v>
      </c>
      <c r="R101">
        <v>3</v>
      </c>
      <c r="S101">
        <v>192</v>
      </c>
      <c r="T101">
        <v>195</v>
      </c>
    </row>
    <row r="102" spans="1:20" x14ac:dyDescent="0.35">
      <c r="A102">
        <v>101</v>
      </c>
      <c r="B102" s="1">
        <v>40548</v>
      </c>
      <c r="C102">
        <v>1</v>
      </c>
      <c r="D102">
        <v>0</v>
      </c>
      <c r="E102">
        <v>1</v>
      </c>
      <c r="F102" t="str">
        <f>IF(final_data787[[#This Row],[MONTH_CODE]]=1,"JANUARY",IF(final_data787[[#This Row],[MONTH_CODE]]=2,"FEBRUARY"))</f>
        <v>JANUARY</v>
      </c>
      <c r="G102">
        <v>9</v>
      </c>
      <c r="H102">
        <v>0</v>
      </c>
      <c r="I102">
        <v>3</v>
      </c>
      <c r="J1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2" t="str">
        <f>IF(final_data787[[#This Row],[DAY_CODE]]=0,"weekend",IF(final_data787[[#This Row],[DAY_CODE]]=1,"weekend","weekday"))</f>
        <v>weekday</v>
      </c>
      <c r="L102">
        <v>1</v>
      </c>
      <c r="M102" t="str">
        <f>IF(final_data787[[#This Row],[WEATHER_CODE]]=1,"clear",IF(final_data787[[#This Row],[WEATHER_CODE]]=2,"cloudy",IF(final_data787[[#This Row],[WEATHER_CODE]]=3,"light rain",IF(final_data787[[#This Row],[WEATHER_CODE]]=4,"heavy rain",0))))</f>
        <v>clear</v>
      </c>
      <c r="N102">
        <v>0.22</v>
      </c>
      <c r="O102">
        <v>0.19700000000000001</v>
      </c>
      <c r="P102">
        <v>0.37</v>
      </c>
      <c r="Q102">
        <v>0.32840000000000003</v>
      </c>
      <c r="R102">
        <v>6</v>
      </c>
      <c r="S102">
        <v>109</v>
      </c>
      <c r="T102">
        <v>115</v>
      </c>
    </row>
    <row r="103" spans="1:20" x14ac:dyDescent="0.35">
      <c r="A103">
        <v>102</v>
      </c>
      <c r="B103" s="1">
        <v>40548</v>
      </c>
      <c r="C103">
        <v>1</v>
      </c>
      <c r="D103">
        <v>0</v>
      </c>
      <c r="E103">
        <v>1</v>
      </c>
      <c r="F103" t="str">
        <f>IF(final_data787[[#This Row],[MONTH_CODE]]=1,"JANUARY",IF(final_data787[[#This Row],[MONTH_CODE]]=2,"FEBRUARY"))</f>
        <v>JANUARY</v>
      </c>
      <c r="G103">
        <v>10</v>
      </c>
      <c r="H103">
        <v>0</v>
      </c>
      <c r="I103">
        <v>3</v>
      </c>
      <c r="J1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3" t="str">
        <f>IF(final_data787[[#This Row],[DAY_CODE]]=0,"weekend",IF(final_data787[[#This Row],[DAY_CODE]]=1,"weekend","weekday"))</f>
        <v>weekday</v>
      </c>
      <c r="L103">
        <v>1</v>
      </c>
      <c r="M103" t="str">
        <f>IF(final_data787[[#This Row],[WEATHER_CODE]]=1,"clear",IF(final_data787[[#This Row],[WEATHER_CODE]]=2,"cloudy",IF(final_data787[[#This Row],[WEATHER_CODE]]=3,"light rain",IF(final_data787[[#This Row],[WEATHER_CODE]]=4,"heavy rain",0))))</f>
        <v>clear</v>
      </c>
      <c r="N103">
        <v>0.22</v>
      </c>
      <c r="O103">
        <v>0.19700000000000001</v>
      </c>
      <c r="P103">
        <v>0.37</v>
      </c>
      <c r="Q103">
        <v>0.32840000000000003</v>
      </c>
      <c r="R103">
        <v>4</v>
      </c>
      <c r="S103">
        <v>53</v>
      </c>
      <c r="T103">
        <v>57</v>
      </c>
    </row>
    <row r="104" spans="1:20" x14ac:dyDescent="0.35">
      <c r="A104">
        <v>103</v>
      </c>
      <c r="B104" s="1">
        <v>40548</v>
      </c>
      <c r="C104">
        <v>1</v>
      </c>
      <c r="D104">
        <v>0</v>
      </c>
      <c r="E104">
        <v>1</v>
      </c>
      <c r="F104" t="str">
        <f>IF(final_data787[[#This Row],[MONTH_CODE]]=1,"JANUARY",IF(final_data787[[#This Row],[MONTH_CODE]]=2,"FEBRUARY"))</f>
        <v>JANUARY</v>
      </c>
      <c r="G104">
        <v>11</v>
      </c>
      <c r="H104">
        <v>0</v>
      </c>
      <c r="I104">
        <v>3</v>
      </c>
      <c r="J1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4" t="str">
        <f>IF(final_data787[[#This Row],[DAY_CODE]]=0,"weekend",IF(final_data787[[#This Row],[DAY_CODE]]=1,"weekend","weekday"))</f>
        <v>weekday</v>
      </c>
      <c r="L104">
        <v>1</v>
      </c>
      <c r="M104" t="str">
        <f>IF(final_data787[[#This Row],[WEATHER_CODE]]=1,"clear",IF(final_data787[[#This Row],[WEATHER_CODE]]=2,"cloudy",IF(final_data787[[#This Row],[WEATHER_CODE]]=3,"light rain",IF(final_data787[[#This Row],[WEATHER_CODE]]=4,"heavy rain",0))))</f>
        <v>clear</v>
      </c>
      <c r="N104">
        <v>0.26</v>
      </c>
      <c r="O104">
        <v>0.2273</v>
      </c>
      <c r="P104">
        <v>0.33</v>
      </c>
      <c r="Q104">
        <v>0.32840000000000003</v>
      </c>
      <c r="R104">
        <v>12</v>
      </c>
      <c r="S104">
        <v>34</v>
      </c>
      <c r="T104">
        <v>46</v>
      </c>
    </row>
    <row r="105" spans="1:20" x14ac:dyDescent="0.35">
      <c r="A105">
        <v>104</v>
      </c>
      <c r="B105" s="1">
        <v>40548</v>
      </c>
      <c r="C105">
        <v>1</v>
      </c>
      <c r="D105">
        <v>0</v>
      </c>
      <c r="E105">
        <v>1</v>
      </c>
      <c r="F105" t="str">
        <f>IF(final_data787[[#This Row],[MONTH_CODE]]=1,"JANUARY",IF(final_data787[[#This Row],[MONTH_CODE]]=2,"FEBRUARY"))</f>
        <v>JANUARY</v>
      </c>
      <c r="G105">
        <v>12</v>
      </c>
      <c r="H105">
        <v>0</v>
      </c>
      <c r="I105">
        <v>3</v>
      </c>
      <c r="J1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5" t="str">
        <f>IF(final_data787[[#This Row],[DAY_CODE]]=0,"weekend",IF(final_data787[[#This Row],[DAY_CODE]]=1,"weekend","weekday"))</f>
        <v>weekday</v>
      </c>
      <c r="L105">
        <v>1</v>
      </c>
      <c r="M105" t="str">
        <f>IF(final_data787[[#This Row],[WEATHER_CODE]]=1,"clear",IF(final_data787[[#This Row],[WEATHER_CODE]]=2,"cloudy",IF(final_data787[[#This Row],[WEATHER_CODE]]=3,"light rain",IF(final_data787[[#This Row],[WEATHER_CODE]]=4,"heavy rain",0))))</f>
        <v>clear</v>
      </c>
      <c r="N105">
        <v>0.26</v>
      </c>
      <c r="O105">
        <v>0.2273</v>
      </c>
      <c r="P105">
        <v>0.33</v>
      </c>
      <c r="Q105">
        <v>0.32840000000000003</v>
      </c>
      <c r="R105">
        <v>5</v>
      </c>
      <c r="S105">
        <v>74</v>
      </c>
      <c r="T105">
        <v>79</v>
      </c>
    </row>
    <row r="106" spans="1:20" x14ac:dyDescent="0.35">
      <c r="A106">
        <v>105</v>
      </c>
      <c r="B106" s="1">
        <v>40548</v>
      </c>
      <c r="C106">
        <v>1</v>
      </c>
      <c r="D106">
        <v>0</v>
      </c>
      <c r="E106">
        <v>1</v>
      </c>
      <c r="F106" t="str">
        <f>IF(final_data787[[#This Row],[MONTH_CODE]]=1,"JANUARY",IF(final_data787[[#This Row],[MONTH_CODE]]=2,"FEBRUARY"))</f>
        <v>JANUARY</v>
      </c>
      <c r="G106">
        <v>13</v>
      </c>
      <c r="H106">
        <v>0</v>
      </c>
      <c r="I106">
        <v>3</v>
      </c>
      <c r="J1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6" t="str">
        <f>IF(final_data787[[#This Row],[DAY_CODE]]=0,"weekend",IF(final_data787[[#This Row],[DAY_CODE]]=1,"weekend","weekday"))</f>
        <v>weekday</v>
      </c>
      <c r="L106">
        <v>1</v>
      </c>
      <c r="M106" t="str">
        <f>IF(final_data787[[#This Row],[WEATHER_CODE]]=1,"clear",IF(final_data787[[#This Row],[WEATHER_CODE]]=2,"cloudy",IF(final_data787[[#This Row],[WEATHER_CODE]]=3,"light rain",IF(final_data787[[#This Row],[WEATHER_CODE]]=4,"heavy rain",0))))</f>
        <v>clear</v>
      </c>
      <c r="N106">
        <v>0.28000000000000003</v>
      </c>
      <c r="O106">
        <v>0.2576</v>
      </c>
      <c r="P106">
        <v>0.3</v>
      </c>
      <c r="Q106">
        <v>0.29849999999999999</v>
      </c>
      <c r="R106">
        <v>6</v>
      </c>
      <c r="S106">
        <v>65</v>
      </c>
      <c r="T106">
        <v>71</v>
      </c>
    </row>
    <row r="107" spans="1:20" x14ac:dyDescent="0.35">
      <c r="A107">
        <v>106</v>
      </c>
      <c r="B107" s="1">
        <v>40548</v>
      </c>
      <c r="C107">
        <v>1</v>
      </c>
      <c r="D107">
        <v>0</v>
      </c>
      <c r="E107">
        <v>1</v>
      </c>
      <c r="F107" t="str">
        <f>IF(final_data787[[#This Row],[MONTH_CODE]]=1,"JANUARY",IF(final_data787[[#This Row],[MONTH_CODE]]=2,"FEBRUARY"))</f>
        <v>JANUARY</v>
      </c>
      <c r="G107">
        <v>14</v>
      </c>
      <c r="H107">
        <v>0</v>
      </c>
      <c r="I107">
        <v>3</v>
      </c>
      <c r="J1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7" t="str">
        <f>IF(final_data787[[#This Row],[DAY_CODE]]=0,"weekend",IF(final_data787[[#This Row],[DAY_CODE]]=1,"weekend","weekday"))</f>
        <v>weekday</v>
      </c>
      <c r="L107">
        <v>1</v>
      </c>
      <c r="M107" t="str">
        <f>IF(final_data787[[#This Row],[WEATHER_CODE]]=1,"clear",IF(final_data787[[#This Row],[WEATHER_CODE]]=2,"cloudy",IF(final_data787[[#This Row],[WEATHER_CODE]]=3,"light rain",IF(final_data787[[#This Row],[WEATHER_CODE]]=4,"heavy rain",0))))</f>
        <v>clear</v>
      </c>
      <c r="N107">
        <v>0.3</v>
      </c>
      <c r="O107">
        <v>0.28789999999999999</v>
      </c>
      <c r="P107">
        <v>0.28000000000000003</v>
      </c>
      <c r="Q107">
        <v>0.19400000000000001</v>
      </c>
      <c r="R107">
        <v>10</v>
      </c>
      <c r="S107">
        <v>52</v>
      </c>
      <c r="T107">
        <v>62</v>
      </c>
    </row>
    <row r="108" spans="1:20" x14ac:dyDescent="0.35">
      <c r="A108">
        <v>107</v>
      </c>
      <c r="B108" s="1">
        <v>40548</v>
      </c>
      <c r="C108">
        <v>1</v>
      </c>
      <c r="D108">
        <v>0</v>
      </c>
      <c r="E108">
        <v>1</v>
      </c>
      <c r="F108" t="str">
        <f>IF(final_data787[[#This Row],[MONTH_CODE]]=1,"JANUARY",IF(final_data787[[#This Row],[MONTH_CODE]]=2,"FEBRUARY"))</f>
        <v>JANUARY</v>
      </c>
      <c r="G108">
        <v>15</v>
      </c>
      <c r="H108">
        <v>0</v>
      </c>
      <c r="I108">
        <v>3</v>
      </c>
      <c r="J1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8" t="str">
        <f>IF(final_data787[[#This Row],[DAY_CODE]]=0,"weekend",IF(final_data787[[#This Row],[DAY_CODE]]=1,"weekend","weekday"))</f>
        <v>weekday</v>
      </c>
      <c r="L108">
        <v>1</v>
      </c>
      <c r="M108" t="str">
        <f>IF(final_data787[[#This Row],[WEATHER_CODE]]=1,"clear",IF(final_data787[[#This Row],[WEATHER_CODE]]=2,"cloudy",IF(final_data787[[#This Row],[WEATHER_CODE]]=3,"light rain",IF(final_data787[[#This Row],[WEATHER_CODE]]=4,"heavy rain",0))))</f>
        <v>clear</v>
      </c>
      <c r="N108">
        <v>0.3</v>
      </c>
      <c r="O108">
        <v>0.28789999999999999</v>
      </c>
      <c r="P108">
        <v>0.28000000000000003</v>
      </c>
      <c r="Q108">
        <v>0.19400000000000001</v>
      </c>
      <c r="R108">
        <v>7</v>
      </c>
      <c r="S108">
        <v>55</v>
      </c>
      <c r="T108">
        <v>62</v>
      </c>
    </row>
    <row r="109" spans="1:20" x14ac:dyDescent="0.35">
      <c r="A109">
        <v>108</v>
      </c>
      <c r="B109" s="1">
        <v>40548</v>
      </c>
      <c r="C109">
        <v>1</v>
      </c>
      <c r="D109">
        <v>0</v>
      </c>
      <c r="E109">
        <v>1</v>
      </c>
      <c r="F109" t="str">
        <f>IF(final_data787[[#This Row],[MONTH_CODE]]=1,"JANUARY",IF(final_data787[[#This Row],[MONTH_CODE]]=2,"FEBRUARY"))</f>
        <v>JANUARY</v>
      </c>
      <c r="G109">
        <v>16</v>
      </c>
      <c r="H109">
        <v>0</v>
      </c>
      <c r="I109">
        <v>3</v>
      </c>
      <c r="J1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09" t="str">
        <f>IF(final_data787[[#This Row],[DAY_CODE]]=0,"weekend",IF(final_data787[[#This Row],[DAY_CODE]]=1,"weekend","weekday"))</f>
        <v>weekday</v>
      </c>
      <c r="L109">
        <v>1</v>
      </c>
      <c r="M109" t="str">
        <f>IF(final_data787[[#This Row],[WEATHER_CODE]]=1,"clear",IF(final_data787[[#This Row],[WEATHER_CODE]]=2,"cloudy",IF(final_data787[[#This Row],[WEATHER_CODE]]=3,"light rain",IF(final_data787[[#This Row],[WEATHER_CODE]]=4,"heavy rain",0))))</f>
        <v>clear</v>
      </c>
      <c r="N109">
        <v>0.3</v>
      </c>
      <c r="O109">
        <v>0.31819999999999998</v>
      </c>
      <c r="P109">
        <v>0.28000000000000003</v>
      </c>
      <c r="Q109">
        <v>8.9599999999999999E-2</v>
      </c>
      <c r="R109">
        <v>4</v>
      </c>
      <c r="S109">
        <v>85</v>
      </c>
      <c r="T109">
        <v>89</v>
      </c>
    </row>
    <row r="110" spans="1:20" x14ac:dyDescent="0.35">
      <c r="A110">
        <v>109</v>
      </c>
      <c r="B110" s="1">
        <v>40548</v>
      </c>
      <c r="C110">
        <v>1</v>
      </c>
      <c r="D110">
        <v>0</v>
      </c>
      <c r="E110">
        <v>1</v>
      </c>
      <c r="F110" t="str">
        <f>IF(final_data787[[#This Row],[MONTH_CODE]]=1,"JANUARY",IF(final_data787[[#This Row],[MONTH_CODE]]=2,"FEBRUARY"))</f>
        <v>JANUARY</v>
      </c>
      <c r="G110">
        <v>17</v>
      </c>
      <c r="H110">
        <v>0</v>
      </c>
      <c r="I110">
        <v>3</v>
      </c>
      <c r="J1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0" t="str">
        <f>IF(final_data787[[#This Row],[DAY_CODE]]=0,"weekend",IF(final_data787[[#This Row],[DAY_CODE]]=1,"weekend","weekday"))</f>
        <v>weekday</v>
      </c>
      <c r="L110">
        <v>1</v>
      </c>
      <c r="M110" t="str">
        <f>IF(final_data787[[#This Row],[WEATHER_CODE]]=1,"clear",IF(final_data787[[#This Row],[WEATHER_CODE]]=2,"cloudy",IF(final_data787[[#This Row],[WEATHER_CODE]]=3,"light rain",IF(final_data787[[#This Row],[WEATHER_CODE]]=4,"heavy rain",0))))</f>
        <v>clear</v>
      </c>
      <c r="N110">
        <v>0.24</v>
      </c>
      <c r="O110">
        <v>0.2273</v>
      </c>
      <c r="P110">
        <v>0.38</v>
      </c>
      <c r="Q110">
        <v>0.19400000000000001</v>
      </c>
      <c r="R110">
        <v>4</v>
      </c>
      <c r="S110">
        <v>186</v>
      </c>
      <c r="T110">
        <v>190</v>
      </c>
    </row>
    <row r="111" spans="1:20" x14ac:dyDescent="0.35">
      <c r="A111">
        <v>110</v>
      </c>
      <c r="B111" s="1">
        <v>40548</v>
      </c>
      <c r="C111">
        <v>1</v>
      </c>
      <c r="D111">
        <v>0</v>
      </c>
      <c r="E111">
        <v>1</v>
      </c>
      <c r="F111" t="str">
        <f>IF(final_data787[[#This Row],[MONTH_CODE]]=1,"JANUARY",IF(final_data787[[#This Row],[MONTH_CODE]]=2,"FEBRUARY"))</f>
        <v>JANUARY</v>
      </c>
      <c r="G111">
        <v>18</v>
      </c>
      <c r="H111">
        <v>0</v>
      </c>
      <c r="I111">
        <v>3</v>
      </c>
      <c r="J1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1" t="str">
        <f>IF(final_data787[[#This Row],[DAY_CODE]]=0,"weekend",IF(final_data787[[#This Row],[DAY_CODE]]=1,"weekend","weekday"))</f>
        <v>weekday</v>
      </c>
      <c r="L111">
        <v>1</v>
      </c>
      <c r="M111" t="str">
        <f>IF(final_data787[[#This Row],[WEATHER_CODE]]=1,"clear",IF(final_data787[[#This Row],[WEATHER_CODE]]=2,"cloudy",IF(final_data787[[#This Row],[WEATHER_CODE]]=3,"light rain",IF(final_data787[[#This Row],[WEATHER_CODE]]=4,"heavy rain",0))))</f>
        <v>clear</v>
      </c>
      <c r="N111">
        <v>0.24</v>
      </c>
      <c r="O111">
        <v>0.2424</v>
      </c>
      <c r="P111">
        <v>0.38</v>
      </c>
      <c r="Q111">
        <v>0.1343</v>
      </c>
      <c r="R111">
        <v>3</v>
      </c>
      <c r="S111">
        <v>166</v>
      </c>
      <c r="T111">
        <v>169</v>
      </c>
    </row>
    <row r="112" spans="1:20" x14ac:dyDescent="0.35">
      <c r="A112">
        <v>111</v>
      </c>
      <c r="B112" s="1">
        <v>40548</v>
      </c>
      <c r="C112">
        <v>1</v>
      </c>
      <c r="D112">
        <v>0</v>
      </c>
      <c r="E112">
        <v>1</v>
      </c>
      <c r="F112" t="str">
        <f>IF(final_data787[[#This Row],[MONTH_CODE]]=1,"JANUARY",IF(final_data787[[#This Row],[MONTH_CODE]]=2,"FEBRUARY"))</f>
        <v>JANUARY</v>
      </c>
      <c r="G112">
        <v>19</v>
      </c>
      <c r="H112">
        <v>0</v>
      </c>
      <c r="I112">
        <v>3</v>
      </c>
      <c r="J1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2" t="str">
        <f>IF(final_data787[[#This Row],[DAY_CODE]]=0,"weekend",IF(final_data787[[#This Row],[DAY_CODE]]=1,"weekend","weekday"))</f>
        <v>weekday</v>
      </c>
      <c r="L112">
        <v>1</v>
      </c>
      <c r="M112" t="str">
        <f>IF(final_data787[[#This Row],[WEATHER_CODE]]=1,"clear",IF(final_data787[[#This Row],[WEATHER_CODE]]=2,"cloudy",IF(final_data787[[#This Row],[WEATHER_CODE]]=3,"light rain",IF(final_data787[[#This Row],[WEATHER_CODE]]=4,"heavy rain",0))))</f>
        <v>clear</v>
      </c>
      <c r="N112">
        <v>0.24</v>
      </c>
      <c r="O112">
        <v>0.2576</v>
      </c>
      <c r="P112">
        <v>0.38</v>
      </c>
      <c r="Q112">
        <v>0.1045</v>
      </c>
      <c r="R112">
        <v>5</v>
      </c>
      <c r="S112">
        <v>127</v>
      </c>
      <c r="T112">
        <v>132</v>
      </c>
    </row>
    <row r="113" spans="1:20" x14ac:dyDescent="0.35">
      <c r="A113">
        <v>112</v>
      </c>
      <c r="B113" s="1">
        <v>40548</v>
      </c>
      <c r="C113">
        <v>1</v>
      </c>
      <c r="D113">
        <v>0</v>
      </c>
      <c r="E113">
        <v>1</v>
      </c>
      <c r="F113" t="str">
        <f>IF(final_data787[[#This Row],[MONTH_CODE]]=1,"JANUARY",IF(final_data787[[#This Row],[MONTH_CODE]]=2,"FEBRUARY"))</f>
        <v>JANUARY</v>
      </c>
      <c r="G113">
        <v>20</v>
      </c>
      <c r="H113">
        <v>0</v>
      </c>
      <c r="I113">
        <v>3</v>
      </c>
      <c r="J1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3" t="str">
        <f>IF(final_data787[[#This Row],[DAY_CODE]]=0,"weekend",IF(final_data787[[#This Row],[DAY_CODE]]=1,"weekend","weekday"))</f>
        <v>weekday</v>
      </c>
      <c r="L113">
        <v>1</v>
      </c>
      <c r="M113" t="str">
        <f>IF(final_data787[[#This Row],[WEATHER_CODE]]=1,"clear",IF(final_data787[[#This Row],[WEATHER_CODE]]=2,"cloudy",IF(final_data787[[#This Row],[WEATHER_CODE]]=3,"light rain",IF(final_data787[[#This Row],[WEATHER_CODE]]=4,"heavy rain",0))))</f>
        <v>clear</v>
      </c>
      <c r="N113">
        <v>0.22</v>
      </c>
      <c r="O113">
        <v>0.2273</v>
      </c>
      <c r="P113">
        <v>0.47</v>
      </c>
      <c r="Q113">
        <v>0.16420000000000001</v>
      </c>
      <c r="R113">
        <v>7</v>
      </c>
      <c r="S113">
        <v>82</v>
      </c>
      <c r="T113">
        <v>89</v>
      </c>
    </row>
    <row r="114" spans="1:20" x14ac:dyDescent="0.35">
      <c r="A114">
        <v>113</v>
      </c>
      <c r="B114" s="1">
        <v>40548</v>
      </c>
      <c r="C114">
        <v>1</v>
      </c>
      <c r="D114">
        <v>0</v>
      </c>
      <c r="E114">
        <v>1</v>
      </c>
      <c r="F114" t="str">
        <f>IF(final_data787[[#This Row],[MONTH_CODE]]=1,"JANUARY",IF(final_data787[[#This Row],[MONTH_CODE]]=2,"FEBRUARY"))</f>
        <v>JANUARY</v>
      </c>
      <c r="G114">
        <v>21</v>
      </c>
      <c r="H114">
        <v>0</v>
      </c>
      <c r="I114">
        <v>3</v>
      </c>
      <c r="J1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4" t="str">
        <f>IF(final_data787[[#This Row],[DAY_CODE]]=0,"weekend",IF(final_data787[[#This Row],[DAY_CODE]]=1,"weekend","weekday"))</f>
        <v>weekday</v>
      </c>
      <c r="L114">
        <v>1</v>
      </c>
      <c r="M114" t="str">
        <f>IF(final_data787[[#This Row],[WEATHER_CODE]]=1,"clear",IF(final_data787[[#This Row],[WEATHER_CODE]]=2,"cloudy",IF(final_data787[[#This Row],[WEATHER_CODE]]=3,"light rain",IF(final_data787[[#This Row],[WEATHER_CODE]]=4,"heavy rain",0))))</f>
        <v>clear</v>
      </c>
      <c r="N114">
        <v>0.2</v>
      </c>
      <c r="O114">
        <v>0.19700000000000001</v>
      </c>
      <c r="P114">
        <v>0.51</v>
      </c>
      <c r="Q114">
        <v>0.19400000000000001</v>
      </c>
      <c r="R114">
        <v>3</v>
      </c>
      <c r="S114">
        <v>40</v>
      </c>
      <c r="T114">
        <v>43</v>
      </c>
    </row>
    <row r="115" spans="1:20" x14ac:dyDescent="0.35">
      <c r="A115">
        <v>114</v>
      </c>
      <c r="B115" s="1">
        <v>40548</v>
      </c>
      <c r="C115">
        <v>1</v>
      </c>
      <c r="D115">
        <v>0</v>
      </c>
      <c r="E115">
        <v>1</v>
      </c>
      <c r="F115" t="str">
        <f>IF(final_data787[[#This Row],[MONTH_CODE]]=1,"JANUARY",IF(final_data787[[#This Row],[MONTH_CODE]]=2,"FEBRUARY"))</f>
        <v>JANUARY</v>
      </c>
      <c r="G115">
        <v>22</v>
      </c>
      <c r="H115">
        <v>0</v>
      </c>
      <c r="I115">
        <v>3</v>
      </c>
      <c r="J1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5" t="str">
        <f>IF(final_data787[[#This Row],[DAY_CODE]]=0,"weekend",IF(final_data787[[#This Row],[DAY_CODE]]=1,"weekend","weekday"))</f>
        <v>weekday</v>
      </c>
      <c r="L115">
        <v>1</v>
      </c>
      <c r="M115" t="str">
        <f>IF(final_data787[[#This Row],[WEATHER_CODE]]=1,"clear",IF(final_data787[[#This Row],[WEATHER_CODE]]=2,"cloudy",IF(final_data787[[#This Row],[WEATHER_CODE]]=3,"light rain",IF(final_data787[[#This Row],[WEATHER_CODE]]=4,"heavy rain",0))))</f>
        <v>clear</v>
      </c>
      <c r="N115">
        <v>0.18</v>
      </c>
      <c r="O115">
        <v>0.19700000000000001</v>
      </c>
      <c r="P115">
        <v>0.55000000000000004</v>
      </c>
      <c r="Q115">
        <v>0.1343</v>
      </c>
      <c r="R115">
        <v>1</v>
      </c>
      <c r="S115">
        <v>41</v>
      </c>
      <c r="T115">
        <v>42</v>
      </c>
    </row>
    <row r="116" spans="1:20" x14ac:dyDescent="0.35">
      <c r="A116">
        <v>115</v>
      </c>
      <c r="B116" s="1">
        <v>40548</v>
      </c>
      <c r="C116">
        <v>1</v>
      </c>
      <c r="D116">
        <v>0</v>
      </c>
      <c r="E116">
        <v>1</v>
      </c>
      <c r="F116" t="str">
        <f>IF(final_data787[[#This Row],[MONTH_CODE]]=1,"JANUARY",IF(final_data787[[#This Row],[MONTH_CODE]]=2,"FEBRUARY"))</f>
        <v>JANUARY</v>
      </c>
      <c r="G116">
        <v>23</v>
      </c>
      <c r="H116">
        <v>0</v>
      </c>
      <c r="I116">
        <v>3</v>
      </c>
      <c r="J1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116" t="str">
        <f>IF(final_data787[[#This Row],[DAY_CODE]]=0,"weekend",IF(final_data787[[#This Row],[DAY_CODE]]=1,"weekend","weekday"))</f>
        <v>weekday</v>
      </c>
      <c r="L116">
        <v>1</v>
      </c>
      <c r="M116" t="str">
        <f>IF(final_data787[[#This Row],[WEATHER_CODE]]=1,"clear",IF(final_data787[[#This Row],[WEATHER_CODE]]=2,"cloudy",IF(final_data787[[#This Row],[WEATHER_CODE]]=3,"light rain",IF(final_data787[[#This Row],[WEATHER_CODE]]=4,"heavy rain",0))))</f>
        <v>clear</v>
      </c>
      <c r="N116">
        <v>0.2</v>
      </c>
      <c r="O116">
        <v>0.2576</v>
      </c>
      <c r="P116">
        <v>0.47</v>
      </c>
      <c r="Q116">
        <v>0</v>
      </c>
      <c r="R116">
        <v>1</v>
      </c>
      <c r="S116">
        <v>18</v>
      </c>
      <c r="T116">
        <v>19</v>
      </c>
    </row>
    <row r="117" spans="1:20" x14ac:dyDescent="0.35">
      <c r="A117">
        <v>116</v>
      </c>
      <c r="B117" s="1">
        <v>40549</v>
      </c>
      <c r="C117">
        <v>1</v>
      </c>
      <c r="D117">
        <v>0</v>
      </c>
      <c r="E117">
        <v>1</v>
      </c>
      <c r="F117" t="str">
        <f>IF(final_data787[[#This Row],[MONTH_CODE]]=1,"JANUARY",IF(final_data787[[#This Row],[MONTH_CODE]]=2,"FEBRUARY"))</f>
        <v>JANUARY</v>
      </c>
      <c r="G117">
        <v>0</v>
      </c>
      <c r="H117">
        <v>0</v>
      </c>
      <c r="I117">
        <v>4</v>
      </c>
      <c r="J1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17" t="str">
        <f>IF(final_data787[[#This Row],[DAY_CODE]]=0,"weekend",IF(final_data787[[#This Row],[DAY_CODE]]=1,"weekend","weekday"))</f>
        <v>weekday</v>
      </c>
      <c r="L117">
        <v>1</v>
      </c>
      <c r="M117" t="str">
        <f>IF(final_data787[[#This Row],[WEATHER_CODE]]=1,"clear",IF(final_data787[[#This Row],[WEATHER_CODE]]=2,"cloudy",IF(final_data787[[#This Row],[WEATHER_CODE]]=3,"light rain",IF(final_data787[[#This Row],[WEATHER_CODE]]=4,"heavy rain",0))))</f>
        <v>clear</v>
      </c>
      <c r="N117">
        <v>0.18</v>
      </c>
      <c r="O117">
        <v>0.2424</v>
      </c>
      <c r="P117">
        <v>0.55000000000000004</v>
      </c>
      <c r="Q117">
        <v>0</v>
      </c>
      <c r="R117">
        <v>0</v>
      </c>
      <c r="S117">
        <v>11</v>
      </c>
      <c r="T117">
        <v>11</v>
      </c>
    </row>
    <row r="118" spans="1:20" x14ac:dyDescent="0.35">
      <c r="A118">
        <v>117</v>
      </c>
      <c r="B118" s="1">
        <v>40549</v>
      </c>
      <c r="C118">
        <v>1</v>
      </c>
      <c r="D118">
        <v>0</v>
      </c>
      <c r="E118">
        <v>1</v>
      </c>
      <c r="F118" t="str">
        <f>IF(final_data787[[#This Row],[MONTH_CODE]]=1,"JANUARY",IF(final_data787[[#This Row],[MONTH_CODE]]=2,"FEBRUARY"))</f>
        <v>JANUARY</v>
      </c>
      <c r="G118">
        <v>1</v>
      </c>
      <c r="H118">
        <v>0</v>
      </c>
      <c r="I118">
        <v>4</v>
      </c>
      <c r="J1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18" t="str">
        <f>IF(final_data787[[#This Row],[DAY_CODE]]=0,"weekend",IF(final_data787[[#This Row],[DAY_CODE]]=1,"weekend","weekday"))</f>
        <v>weekday</v>
      </c>
      <c r="L118">
        <v>1</v>
      </c>
      <c r="M118" t="str">
        <f>IF(final_data787[[#This Row],[WEATHER_CODE]]=1,"clear",IF(final_data787[[#This Row],[WEATHER_CODE]]=2,"cloudy",IF(final_data787[[#This Row],[WEATHER_CODE]]=3,"light rain",IF(final_data787[[#This Row],[WEATHER_CODE]]=4,"heavy rain",0))))</f>
        <v>clear</v>
      </c>
      <c r="N118">
        <v>0.16</v>
      </c>
      <c r="O118">
        <v>0.2273</v>
      </c>
      <c r="P118">
        <v>0.64</v>
      </c>
      <c r="Q118">
        <v>0</v>
      </c>
      <c r="R118">
        <v>0</v>
      </c>
      <c r="S118">
        <v>4</v>
      </c>
      <c r="T118">
        <v>4</v>
      </c>
    </row>
    <row r="119" spans="1:20" x14ac:dyDescent="0.35">
      <c r="A119">
        <v>118</v>
      </c>
      <c r="B119" s="1">
        <v>40549</v>
      </c>
      <c r="C119">
        <v>1</v>
      </c>
      <c r="D119">
        <v>0</v>
      </c>
      <c r="E119">
        <v>1</v>
      </c>
      <c r="F119" t="str">
        <f>IF(final_data787[[#This Row],[MONTH_CODE]]=1,"JANUARY",IF(final_data787[[#This Row],[MONTH_CODE]]=2,"FEBRUARY"))</f>
        <v>JANUARY</v>
      </c>
      <c r="G119">
        <v>2</v>
      </c>
      <c r="H119">
        <v>0</v>
      </c>
      <c r="I119">
        <v>4</v>
      </c>
      <c r="J1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19" t="str">
        <f>IF(final_data787[[#This Row],[DAY_CODE]]=0,"weekend",IF(final_data787[[#This Row],[DAY_CODE]]=1,"weekend","weekday"))</f>
        <v>weekday</v>
      </c>
      <c r="L119">
        <v>1</v>
      </c>
      <c r="M119" t="str">
        <f>IF(final_data787[[#This Row],[WEATHER_CODE]]=1,"clear",IF(final_data787[[#This Row],[WEATHER_CODE]]=2,"cloudy",IF(final_data787[[#This Row],[WEATHER_CODE]]=3,"light rain",IF(final_data787[[#This Row],[WEATHER_CODE]]=4,"heavy rain",0))))</f>
        <v>clear</v>
      </c>
      <c r="N119">
        <v>0.16</v>
      </c>
      <c r="O119">
        <v>0.2273</v>
      </c>
      <c r="P119">
        <v>0.64</v>
      </c>
      <c r="Q119">
        <v>0</v>
      </c>
      <c r="R119">
        <v>0</v>
      </c>
      <c r="S119">
        <v>2</v>
      </c>
      <c r="T119">
        <v>2</v>
      </c>
    </row>
    <row r="120" spans="1:20" x14ac:dyDescent="0.35">
      <c r="A120">
        <v>119</v>
      </c>
      <c r="B120" s="1">
        <v>40549</v>
      </c>
      <c r="C120">
        <v>1</v>
      </c>
      <c r="D120">
        <v>0</v>
      </c>
      <c r="E120">
        <v>1</v>
      </c>
      <c r="F120" t="str">
        <f>IF(final_data787[[#This Row],[MONTH_CODE]]=1,"JANUARY",IF(final_data787[[#This Row],[MONTH_CODE]]=2,"FEBRUARY"))</f>
        <v>JANUARY</v>
      </c>
      <c r="G120">
        <v>4</v>
      </c>
      <c r="H120">
        <v>0</v>
      </c>
      <c r="I120">
        <v>4</v>
      </c>
      <c r="J1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0" t="str">
        <f>IF(final_data787[[#This Row],[DAY_CODE]]=0,"weekend",IF(final_data787[[#This Row],[DAY_CODE]]=1,"weekend","weekday"))</f>
        <v>weekday</v>
      </c>
      <c r="L120">
        <v>2</v>
      </c>
      <c r="M120" t="str">
        <f>IF(final_data787[[#This Row],[WEATHER_CODE]]=1,"clear",IF(final_data787[[#This Row],[WEATHER_CODE]]=2,"cloudy",IF(final_data787[[#This Row],[WEATHER_CODE]]=3,"light rain",IF(final_data787[[#This Row],[WEATHER_CODE]]=4,"heavy rain",0))))</f>
        <v>cloudy</v>
      </c>
      <c r="N120">
        <v>0.16</v>
      </c>
      <c r="O120">
        <v>0.19700000000000001</v>
      </c>
      <c r="P120">
        <v>0.64</v>
      </c>
      <c r="Q120">
        <v>8.9599999999999999E-2</v>
      </c>
      <c r="R120">
        <v>0</v>
      </c>
      <c r="S120">
        <v>1</v>
      </c>
      <c r="T120">
        <v>1</v>
      </c>
    </row>
    <row r="121" spans="1:20" x14ac:dyDescent="0.35">
      <c r="A121">
        <v>120</v>
      </c>
      <c r="B121" s="1">
        <v>40549</v>
      </c>
      <c r="C121">
        <v>1</v>
      </c>
      <c r="D121">
        <v>0</v>
      </c>
      <c r="E121">
        <v>1</v>
      </c>
      <c r="F121" t="str">
        <f>IF(final_data787[[#This Row],[MONTH_CODE]]=1,"JANUARY",IF(final_data787[[#This Row],[MONTH_CODE]]=2,"FEBRUARY"))</f>
        <v>JANUARY</v>
      </c>
      <c r="G121">
        <v>5</v>
      </c>
      <c r="H121">
        <v>0</v>
      </c>
      <c r="I121">
        <v>4</v>
      </c>
      <c r="J1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1" t="str">
        <f>IF(final_data787[[#This Row],[DAY_CODE]]=0,"weekend",IF(final_data787[[#This Row],[DAY_CODE]]=1,"weekend","weekday"))</f>
        <v>weekday</v>
      </c>
      <c r="L121">
        <v>2</v>
      </c>
      <c r="M121" t="str">
        <f>IF(final_data787[[#This Row],[WEATHER_CODE]]=1,"clear",IF(final_data787[[#This Row],[WEATHER_CODE]]=2,"cloudy",IF(final_data787[[#This Row],[WEATHER_CODE]]=3,"light rain",IF(final_data787[[#This Row],[WEATHER_CODE]]=4,"heavy rain",0))))</f>
        <v>cloudy</v>
      </c>
      <c r="N121">
        <v>0.14000000000000001</v>
      </c>
      <c r="O121">
        <v>0.18179999999999999</v>
      </c>
      <c r="P121">
        <v>0.69</v>
      </c>
      <c r="Q121">
        <v>8.9599999999999999E-2</v>
      </c>
      <c r="R121">
        <v>0</v>
      </c>
      <c r="S121">
        <v>4</v>
      </c>
      <c r="T121">
        <v>4</v>
      </c>
    </row>
    <row r="122" spans="1:20" x14ac:dyDescent="0.35">
      <c r="A122">
        <v>121</v>
      </c>
      <c r="B122" s="1">
        <v>40549</v>
      </c>
      <c r="C122">
        <v>1</v>
      </c>
      <c r="D122">
        <v>0</v>
      </c>
      <c r="E122">
        <v>1</v>
      </c>
      <c r="F122" t="str">
        <f>IF(final_data787[[#This Row],[MONTH_CODE]]=1,"JANUARY",IF(final_data787[[#This Row],[MONTH_CODE]]=2,"FEBRUARY"))</f>
        <v>JANUARY</v>
      </c>
      <c r="G122">
        <v>6</v>
      </c>
      <c r="H122">
        <v>0</v>
      </c>
      <c r="I122">
        <v>4</v>
      </c>
      <c r="J1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2" t="str">
        <f>IF(final_data787[[#This Row],[DAY_CODE]]=0,"weekend",IF(final_data787[[#This Row],[DAY_CODE]]=1,"weekend","weekday"))</f>
        <v>weekday</v>
      </c>
      <c r="L122">
        <v>2</v>
      </c>
      <c r="M122" t="str">
        <f>IF(final_data787[[#This Row],[WEATHER_CODE]]=1,"clear",IF(final_data787[[#This Row],[WEATHER_CODE]]=2,"cloudy",IF(final_data787[[#This Row],[WEATHER_CODE]]=3,"light rain",IF(final_data787[[#This Row],[WEATHER_CODE]]=4,"heavy rain",0))))</f>
        <v>cloudy</v>
      </c>
      <c r="N122">
        <v>0.14000000000000001</v>
      </c>
      <c r="O122">
        <v>0.16669999999999999</v>
      </c>
      <c r="P122">
        <v>0.63</v>
      </c>
      <c r="Q122">
        <v>0.1045</v>
      </c>
      <c r="R122">
        <v>0</v>
      </c>
      <c r="S122">
        <v>36</v>
      </c>
      <c r="T122">
        <v>36</v>
      </c>
    </row>
    <row r="123" spans="1:20" x14ac:dyDescent="0.35">
      <c r="A123">
        <v>122</v>
      </c>
      <c r="B123" s="1">
        <v>40549</v>
      </c>
      <c r="C123">
        <v>1</v>
      </c>
      <c r="D123">
        <v>0</v>
      </c>
      <c r="E123">
        <v>1</v>
      </c>
      <c r="F123" t="str">
        <f>IF(final_data787[[#This Row],[MONTH_CODE]]=1,"JANUARY",IF(final_data787[[#This Row],[MONTH_CODE]]=2,"FEBRUARY"))</f>
        <v>JANUARY</v>
      </c>
      <c r="G123">
        <v>7</v>
      </c>
      <c r="H123">
        <v>0</v>
      </c>
      <c r="I123">
        <v>4</v>
      </c>
      <c r="J1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3" t="str">
        <f>IF(final_data787[[#This Row],[DAY_CODE]]=0,"weekend",IF(final_data787[[#This Row],[DAY_CODE]]=1,"weekend","weekday"))</f>
        <v>weekday</v>
      </c>
      <c r="L123">
        <v>2</v>
      </c>
      <c r="M123" t="str">
        <f>IF(final_data787[[#This Row],[WEATHER_CODE]]=1,"clear",IF(final_data787[[#This Row],[WEATHER_CODE]]=2,"cloudy",IF(final_data787[[#This Row],[WEATHER_CODE]]=3,"light rain",IF(final_data787[[#This Row],[WEATHER_CODE]]=4,"heavy rain",0))))</f>
        <v>cloudy</v>
      </c>
      <c r="N123">
        <v>0.16</v>
      </c>
      <c r="O123">
        <v>0.2273</v>
      </c>
      <c r="P123">
        <v>0.59</v>
      </c>
      <c r="Q123">
        <v>0</v>
      </c>
      <c r="R123">
        <v>0</v>
      </c>
      <c r="S123">
        <v>95</v>
      </c>
      <c r="T123">
        <v>95</v>
      </c>
    </row>
    <row r="124" spans="1:20" x14ac:dyDescent="0.35">
      <c r="A124">
        <v>123</v>
      </c>
      <c r="B124" s="1">
        <v>40549</v>
      </c>
      <c r="C124">
        <v>1</v>
      </c>
      <c r="D124">
        <v>0</v>
      </c>
      <c r="E124">
        <v>1</v>
      </c>
      <c r="F124" t="str">
        <f>IF(final_data787[[#This Row],[MONTH_CODE]]=1,"JANUARY",IF(final_data787[[#This Row],[MONTH_CODE]]=2,"FEBRUARY"))</f>
        <v>JANUARY</v>
      </c>
      <c r="G124">
        <v>8</v>
      </c>
      <c r="H124">
        <v>0</v>
      </c>
      <c r="I124">
        <v>4</v>
      </c>
      <c r="J1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4" t="str">
        <f>IF(final_data787[[#This Row],[DAY_CODE]]=0,"weekend",IF(final_data787[[#This Row],[DAY_CODE]]=1,"weekend","weekday"))</f>
        <v>weekday</v>
      </c>
      <c r="L124">
        <v>1</v>
      </c>
      <c r="M124" t="str">
        <f>IF(final_data787[[#This Row],[WEATHER_CODE]]=1,"clear",IF(final_data787[[#This Row],[WEATHER_CODE]]=2,"cloudy",IF(final_data787[[#This Row],[WEATHER_CODE]]=3,"light rain",IF(final_data787[[#This Row],[WEATHER_CODE]]=4,"heavy rain",0))))</f>
        <v>clear</v>
      </c>
      <c r="N124">
        <v>0.16</v>
      </c>
      <c r="O124">
        <v>0.2273</v>
      </c>
      <c r="P124">
        <v>0.59</v>
      </c>
      <c r="Q124">
        <v>0</v>
      </c>
      <c r="R124">
        <v>3</v>
      </c>
      <c r="S124">
        <v>216</v>
      </c>
      <c r="T124">
        <v>219</v>
      </c>
    </row>
    <row r="125" spans="1:20" x14ac:dyDescent="0.35">
      <c r="A125">
        <v>124</v>
      </c>
      <c r="B125" s="1">
        <v>40549</v>
      </c>
      <c r="C125">
        <v>1</v>
      </c>
      <c r="D125">
        <v>0</v>
      </c>
      <c r="E125">
        <v>1</v>
      </c>
      <c r="F125" t="str">
        <f>IF(final_data787[[#This Row],[MONTH_CODE]]=1,"JANUARY",IF(final_data787[[#This Row],[MONTH_CODE]]=2,"FEBRUARY"))</f>
        <v>JANUARY</v>
      </c>
      <c r="G125">
        <v>9</v>
      </c>
      <c r="H125">
        <v>0</v>
      </c>
      <c r="I125">
        <v>4</v>
      </c>
      <c r="J1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5" t="str">
        <f>IF(final_data787[[#This Row],[DAY_CODE]]=0,"weekend",IF(final_data787[[#This Row],[DAY_CODE]]=1,"weekend","weekday"))</f>
        <v>weekday</v>
      </c>
      <c r="L125">
        <v>2</v>
      </c>
      <c r="M125" t="str">
        <f>IF(final_data787[[#This Row],[WEATHER_CODE]]=1,"clear",IF(final_data787[[#This Row],[WEATHER_CODE]]=2,"cloudy",IF(final_data787[[#This Row],[WEATHER_CODE]]=3,"light rain",IF(final_data787[[#This Row],[WEATHER_CODE]]=4,"heavy rain",0))))</f>
        <v>cloudy</v>
      </c>
      <c r="N125">
        <v>0.18</v>
      </c>
      <c r="O125">
        <v>0.2424</v>
      </c>
      <c r="P125">
        <v>0.51</v>
      </c>
      <c r="Q125">
        <v>0</v>
      </c>
      <c r="R125">
        <v>6</v>
      </c>
      <c r="S125">
        <v>116</v>
      </c>
      <c r="T125">
        <v>122</v>
      </c>
    </row>
    <row r="126" spans="1:20" x14ac:dyDescent="0.35">
      <c r="A126">
        <v>125</v>
      </c>
      <c r="B126" s="1">
        <v>40549</v>
      </c>
      <c r="C126">
        <v>1</v>
      </c>
      <c r="D126">
        <v>0</v>
      </c>
      <c r="E126">
        <v>1</v>
      </c>
      <c r="F126" t="str">
        <f>IF(final_data787[[#This Row],[MONTH_CODE]]=1,"JANUARY",IF(final_data787[[#This Row],[MONTH_CODE]]=2,"FEBRUARY"))</f>
        <v>JANUARY</v>
      </c>
      <c r="G126">
        <v>10</v>
      </c>
      <c r="H126">
        <v>0</v>
      </c>
      <c r="I126">
        <v>4</v>
      </c>
      <c r="J1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6" t="str">
        <f>IF(final_data787[[#This Row],[DAY_CODE]]=0,"weekend",IF(final_data787[[#This Row],[DAY_CODE]]=1,"weekend","weekday"))</f>
        <v>weekday</v>
      </c>
      <c r="L126">
        <v>1</v>
      </c>
      <c r="M126" t="str">
        <f>IF(final_data787[[#This Row],[WEATHER_CODE]]=1,"clear",IF(final_data787[[#This Row],[WEATHER_CODE]]=2,"cloudy",IF(final_data787[[#This Row],[WEATHER_CODE]]=3,"light rain",IF(final_data787[[#This Row],[WEATHER_CODE]]=4,"heavy rain",0))))</f>
        <v>clear</v>
      </c>
      <c r="N126">
        <v>0.2</v>
      </c>
      <c r="O126">
        <v>0.2576</v>
      </c>
      <c r="P126">
        <v>0.47</v>
      </c>
      <c r="Q126">
        <v>0</v>
      </c>
      <c r="R126">
        <v>3</v>
      </c>
      <c r="S126">
        <v>42</v>
      </c>
      <c r="T126">
        <v>45</v>
      </c>
    </row>
    <row r="127" spans="1:20" x14ac:dyDescent="0.35">
      <c r="A127">
        <v>126</v>
      </c>
      <c r="B127" s="1">
        <v>40549</v>
      </c>
      <c r="C127">
        <v>1</v>
      </c>
      <c r="D127">
        <v>0</v>
      </c>
      <c r="E127">
        <v>1</v>
      </c>
      <c r="F127" t="str">
        <f>IF(final_data787[[#This Row],[MONTH_CODE]]=1,"JANUARY",IF(final_data787[[#This Row],[MONTH_CODE]]=2,"FEBRUARY"))</f>
        <v>JANUARY</v>
      </c>
      <c r="G127">
        <v>11</v>
      </c>
      <c r="H127">
        <v>0</v>
      </c>
      <c r="I127">
        <v>4</v>
      </c>
      <c r="J1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7" t="str">
        <f>IF(final_data787[[#This Row],[DAY_CODE]]=0,"weekend",IF(final_data787[[#This Row],[DAY_CODE]]=1,"weekend","weekday"))</f>
        <v>weekday</v>
      </c>
      <c r="L127">
        <v>1</v>
      </c>
      <c r="M127" t="str">
        <f>IF(final_data787[[#This Row],[WEATHER_CODE]]=1,"clear",IF(final_data787[[#This Row],[WEATHER_CODE]]=2,"cloudy",IF(final_data787[[#This Row],[WEATHER_CODE]]=3,"light rain",IF(final_data787[[#This Row],[WEATHER_CODE]]=4,"heavy rain",0))))</f>
        <v>clear</v>
      </c>
      <c r="N127">
        <v>0.22</v>
      </c>
      <c r="O127">
        <v>0.2576</v>
      </c>
      <c r="P127">
        <v>0.44</v>
      </c>
      <c r="Q127">
        <v>8.9599999999999999E-2</v>
      </c>
      <c r="R127">
        <v>2</v>
      </c>
      <c r="S127">
        <v>57</v>
      </c>
      <c r="T127">
        <v>59</v>
      </c>
    </row>
    <row r="128" spans="1:20" x14ac:dyDescent="0.35">
      <c r="A128">
        <v>127</v>
      </c>
      <c r="B128" s="1">
        <v>40549</v>
      </c>
      <c r="C128">
        <v>1</v>
      </c>
      <c r="D128">
        <v>0</v>
      </c>
      <c r="E128">
        <v>1</v>
      </c>
      <c r="F128" t="str">
        <f>IF(final_data787[[#This Row],[MONTH_CODE]]=1,"JANUARY",IF(final_data787[[#This Row],[MONTH_CODE]]=2,"FEBRUARY"))</f>
        <v>JANUARY</v>
      </c>
      <c r="G128">
        <v>12</v>
      </c>
      <c r="H128">
        <v>0</v>
      </c>
      <c r="I128">
        <v>4</v>
      </c>
      <c r="J1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8" t="str">
        <f>IF(final_data787[[#This Row],[DAY_CODE]]=0,"weekend",IF(final_data787[[#This Row],[DAY_CODE]]=1,"weekend","weekday"))</f>
        <v>weekday</v>
      </c>
      <c r="L128">
        <v>1</v>
      </c>
      <c r="M128" t="str">
        <f>IF(final_data787[[#This Row],[WEATHER_CODE]]=1,"clear",IF(final_data787[[#This Row],[WEATHER_CODE]]=2,"cloudy",IF(final_data787[[#This Row],[WEATHER_CODE]]=3,"light rain",IF(final_data787[[#This Row],[WEATHER_CODE]]=4,"heavy rain",0))))</f>
        <v>clear</v>
      </c>
      <c r="N128">
        <v>0.26</v>
      </c>
      <c r="O128">
        <v>0.28789999999999999</v>
      </c>
      <c r="P128">
        <v>0.35</v>
      </c>
      <c r="Q128">
        <v>0</v>
      </c>
      <c r="R128">
        <v>6</v>
      </c>
      <c r="S128">
        <v>78</v>
      </c>
      <c r="T128">
        <v>84</v>
      </c>
    </row>
    <row r="129" spans="1:20" x14ac:dyDescent="0.35">
      <c r="A129">
        <v>128</v>
      </c>
      <c r="B129" s="1">
        <v>40549</v>
      </c>
      <c r="C129">
        <v>1</v>
      </c>
      <c r="D129">
        <v>0</v>
      </c>
      <c r="E129">
        <v>1</v>
      </c>
      <c r="F129" t="str">
        <f>IF(final_data787[[#This Row],[MONTH_CODE]]=1,"JANUARY",IF(final_data787[[#This Row],[MONTH_CODE]]=2,"FEBRUARY"))</f>
        <v>JANUARY</v>
      </c>
      <c r="G129">
        <v>13</v>
      </c>
      <c r="H129">
        <v>0</v>
      </c>
      <c r="I129">
        <v>4</v>
      </c>
      <c r="J1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29" t="str">
        <f>IF(final_data787[[#This Row],[DAY_CODE]]=0,"weekend",IF(final_data787[[#This Row],[DAY_CODE]]=1,"weekend","weekday"))</f>
        <v>weekday</v>
      </c>
      <c r="L129">
        <v>1</v>
      </c>
      <c r="M129" t="str">
        <f>IF(final_data787[[#This Row],[WEATHER_CODE]]=1,"clear",IF(final_data787[[#This Row],[WEATHER_CODE]]=2,"cloudy",IF(final_data787[[#This Row],[WEATHER_CODE]]=3,"light rain",IF(final_data787[[#This Row],[WEATHER_CODE]]=4,"heavy rain",0))))</f>
        <v>clear</v>
      </c>
      <c r="N129">
        <v>0.26</v>
      </c>
      <c r="O129">
        <v>0.2727</v>
      </c>
      <c r="P129">
        <v>0.35</v>
      </c>
      <c r="Q129">
        <v>0.1045</v>
      </c>
      <c r="R129">
        <v>12</v>
      </c>
      <c r="S129">
        <v>55</v>
      </c>
      <c r="T129">
        <v>67</v>
      </c>
    </row>
    <row r="130" spans="1:20" x14ac:dyDescent="0.35">
      <c r="A130">
        <v>129</v>
      </c>
      <c r="B130" s="1">
        <v>40549</v>
      </c>
      <c r="C130">
        <v>1</v>
      </c>
      <c r="D130">
        <v>0</v>
      </c>
      <c r="E130">
        <v>1</v>
      </c>
      <c r="F130" t="str">
        <f>IF(final_data787[[#This Row],[MONTH_CODE]]=1,"JANUARY",IF(final_data787[[#This Row],[MONTH_CODE]]=2,"FEBRUARY"))</f>
        <v>JANUARY</v>
      </c>
      <c r="G130">
        <v>14</v>
      </c>
      <c r="H130">
        <v>0</v>
      </c>
      <c r="I130">
        <v>4</v>
      </c>
      <c r="J1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0" t="str">
        <f>IF(final_data787[[#This Row],[DAY_CODE]]=0,"weekend",IF(final_data787[[#This Row],[DAY_CODE]]=1,"weekend","weekday"))</f>
        <v>weekday</v>
      </c>
      <c r="L130">
        <v>1</v>
      </c>
      <c r="M130" t="str">
        <f>IF(final_data787[[#This Row],[WEATHER_CODE]]=1,"clear",IF(final_data787[[#This Row],[WEATHER_CODE]]=2,"cloudy",IF(final_data787[[#This Row],[WEATHER_CODE]]=3,"light rain",IF(final_data787[[#This Row],[WEATHER_CODE]]=4,"heavy rain",0))))</f>
        <v>clear</v>
      </c>
      <c r="N130">
        <v>0.28000000000000003</v>
      </c>
      <c r="O130">
        <v>0.2727</v>
      </c>
      <c r="P130">
        <v>0.36</v>
      </c>
      <c r="Q130">
        <v>0.16420000000000001</v>
      </c>
      <c r="R130">
        <v>11</v>
      </c>
      <c r="S130">
        <v>59</v>
      </c>
      <c r="T130">
        <v>70</v>
      </c>
    </row>
    <row r="131" spans="1:20" x14ac:dyDescent="0.35">
      <c r="A131">
        <v>130</v>
      </c>
      <c r="B131" s="1">
        <v>40549</v>
      </c>
      <c r="C131">
        <v>1</v>
      </c>
      <c r="D131">
        <v>0</v>
      </c>
      <c r="E131">
        <v>1</v>
      </c>
      <c r="F131" t="str">
        <f>IF(final_data787[[#This Row],[MONTH_CODE]]=1,"JANUARY",IF(final_data787[[#This Row],[MONTH_CODE]]=2,"FEBRUARY"))</f>
        <v>JANUARY</v>
      </c>
      <c r="G131">
        <v>15</v>
      </c>
      <c r="H131">
        <v>0</v>
      </c>
      <c r="I131">
        <v>4</v>
      </c>
      <c r="J1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1" t="str">
        <f>IF(final_data787[[#This Row],[DAY_CODE]]=0,"weekend",IF(final_data787[[#This Row],[DAY_CODE]]=1,"weekend","weekday"))</f>
        <v>weekday</v>
      </c>
      <c r="L131">
        <v>1</v>
      </c>
      <c r="M131" t="str">
        <f>IF(final_data787[[#This Row],[WEATHER_CODE]]=1,"clear",IF(final_data787[[#This Row],[WEATHER_CODE]]=2,"cloudy",IF(final_data787[[#This Row],[WEATHER_CODE]]=3,"light rain",IF(final_data787[[#This Row],[WEATHER_CODE]]=4,"heavy rain",0))))</f>
        <v>clear</v>
      </c>
      <c r="N131">
        <v>0.28000000000000003</v>
      </c>
      <c r="O131">
        <v>0.2727</v>
      </c>
      <c r="P131">
        <v>0.36</v>
      </c>
      <c r="Q131">
        <v>0</v>
      </c>
      <c r="R131">
        <v>8</v>
      </c>
      <c r="S131">
        <v>54</v>
      </c>
      <c r="T131">
        <v>62</v>
      </c>
    </row>
    <row r="132" spans="1:20" x14ac:dyDescent="0.35">
      <c r="A132">
        <v>131</v>
      </c>
      <c r="B132" s="1">
        <v>40549</v>
      </c>
      <c r="C132">
        <v>1</v>
      </c>
      <c r="D132">
        <v>0</v>
      </c>
      <c r="E132">
        <v>1</v>
      </c>
      <c r="F132" t="str">
        <f>IF(final_data787[[#This Row],[MONTH_CODE]]=1,"JANUARY",IF(final_data787[[#This Row],[MONTH_CODE]]=2,"FEBRUARY"))</f>
        <v>JANUARY</v>
      </c>
      <c r="G132">
        <v>16</v>
      </c>
      <c r="H132">
        <v>0</v>
      </c>
      <c r="I132">
        <v>4</v>
      </c>
      <c r="J1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2" t="str">
        <f>IF(final_data787[[#This Row],[DAY_CODE]]=0,"weekend",IF(final_data787[[#This Row],[DAY_CODE]]=1,"weekend","weekday"))</f>
        <v>weekday</v>
      </c>
      <c r="L132">
        <v>1</v>
      </c>
      <c r="M132" t="str">
        <f>IF(final_data787[[#This Row],[WEATHER_CODE]]=1,"clear",IF(final_data787[[#This Row],[WEATHER_CODE]]=2,"cloudy",IF(final_data787[[#This Row],[WEATHER_CODE]]=3,"light rain",IF(final_data787[[#This Row],[WEATHER_CODE]]=4,"heavy rain",0))))</f>
        <v>clear</v>
      </c>
      <c r="N132">
        <v>0.26</v>
      </c>
      <c r="O132">
        <v>0.2576</v>
      </c>
      <c r="P132">
        <v>0.38</v>
      </c>
      <c r="Q132">
        <v>0.16420000000000001</v>
      </c>
      <c r="R132">
        <v>12</v>
      </c>
      <c r="S132">
        <v>74</v>
      </c>
      <c r="T132">
        <v>86</v>
      </c>
    </row>
    <row r="133" spans="1:20" x14ac:dyDescent="0.35">
      <c r="A133">
        <v>132</v>
      </c>
      <c r="B133" s="1">
        <v>40549</v>
      </c>
      <c r="C133">
        <v>1</v>
      </c>
      <c r="D133">
        <v>0</v>
      </c>
      <c r="E133">
        <v>1</v>
      </c>
      <c r="F133" t="str">
        <f>IF(final_data787[[#This Row],[MONTH_CODE]]=1,"JANUARY",IF(final_data787[[#This Row],[MONTH_CODE]]=2,"FEBRUARY"))</f>
        <v>JANUARY</v>
      </c>
      <c r="G133">
        <v>17</v>
      </c>
      <c r="H133">
        <v>0</v>
      </c>
      <c r="I133">
        <v>4</v>
      </c>
      <c r="J1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3" t="str">
        <f>IF(final_data787[[#This Row],[DAY_CODE]]=0,"weekend",IF(final_data787[[#This Row],[DAY_CODE]]=1,"weekend","weekday"))</f>
        <v>weekday</v>
      </c>
      <c r="L133">
        <v>1</v>
      </c>
      <c r="M133" t="str">
        <f>IF(final_data787[[#This Row],[WEATHER_CODE]]=1,"clear",IF(final_data787[[#This Row],[WEATHER_CODE]]=2,"cloudy",IF(final_data787[[#This Row],[WEATHER_CODE]]=3,"light rain",IF(final_data787[[#This Row],[WEATHER_CODE]]=4,"heavy rain",0))))</f>
        <v>clear</v>
      </c>
      <c r="N133">
        <v>0.22</v>
      </c>
      <c r="O133">
        <v>0.2273</v>
      </c>
      <c r="P133">
        <v>0.51</v>
      </c>
      <c r="Q133">
        <v>0.16420000000000001</v>
      </c>
      <c r="R133">
        <v>9</v>
      </c>
      <c r="S133">
        <v>163</v>
      </c>
      <c r="T133">
        <v>172</v>
      </c>
    </row>
    <row r="134" spans="1:20" x14ac:dyDescent="0.35">
      <c r="A134">
        <v>133</v>
      </c>
      <c r="B134" s="1">
        <v>40549</v>
      </c>
      <c r="C134">
        <v>1</v>
      </c>
      <c r="D134">
        <v>0</v>
      </c>
      <c r="E134">
        <v>1</v>
      </c>
      <c r="F134" t="str">
        <f>IF(final_data787[[#This Row],[MONTH_CODE]]=1,"JANUARY",IF(final_data787[[#This Row],[MONTH_CODE]]=2,"FEBRUARY"))</f>
        <v>JANUARY</v>
      </c>
      <c r="G134">
        <v>18</v>
      </c>
      <c r="H134">
        <v>0</v>
      </c>
      <c r="I134">
        <v>4</v>
      </c>
      <c r="J1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4" t="str">
        <f>IF(final_data787[[#This Row],[DAY_CODE]]=0,"weekend",IF(final_data787[[#This Row],[DAY_CODE]]=1,"weekend","weekday"))</f>
        <v>weekday</v>
      </c>
      <c r="L134">
        <v>1</v>
      </c>
      <c r="M134" t="str">
        <f>IF(final_data787[[#This Row],[WEATHER_CODE]]=1,"clear",IF(final_data787[[#This Row],[WEATHER_CODE]]=2,"cloudy",IF(final_data787[[#This Row],[WEATHER_CODE]]=3,"light rain",IF(final_data787[[#This Row],[WEATHER_CODE]]=4,"heavy rain",0))))</f>
        <v>clear</v>
      </c>
      <c r="N134">
        <v>0.22</v>
      </c>
      <c r="O134">
        <v>0.2273</v>
      </c>
      <c r="P134">
        <v>0.51</v>
      </c>
      <c r="Q134">
        <v>0.1343</v>
      </c>
      <c r="R134">
        <v>5</v>
      </c>
      <c r="S134">
        <v>158</v>
      </c>
      <c r="T134">
        <v>163</v>
      </c>
    </row>
    <row r="135" spans="1:20" x14ac:dyDescent="0.35">
      <c r="A135">
        <v>134</v>
      </c>
      <c r="B135" s="1">
        <v>40549</v>
      </c>
      <c r="C135">
        <v>1</v>
      </c>
      <c r="D135">
        <v>0</v>
      </c>
      <c r="E135">
        <v>1</v>
      </c>
      <c r="F135" t="str">
        <f>IF(final_data787[[#This Row],[MONTH_CODE]]=1,"JANUARY",IF(final_data787[[#This Row],[MONTH_CODE]]=2,"FEBRUARY"))</f>
        <v>JANUARY</v>
      </c>
      <c r="G135">
        <v>19</v>
      </c>
      <c r="H135">
        <v>0</v>
      </c>
      <c r="I135">
        <v>4</v>
      </c>
      <c r="J1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5" t="str">
        <f>IF(final_data787[[#This Row],[DAY_CODE]]=0,"weekend",IF(final_data787[[#This Row],[DAY_CODE]]=1,"weekend","weekday"))</f>
        <v>weekday</v>
      </c>
      <c r="L135">
        <v>1</v>
      </c>
      <c r="M135" t="str">
        <f>IF(final_data787[[#This Row],[WEATHER_CODE]]=1,"clear",IF(final_data787[[#This Row],[WEATHER_CODE]]=2,"cloudy",IF(final_data787[[#This Row],[WEATHER_CODE]]=3,"light rain",IF(final_data787[[#This Row],[WEATHER_CODE]]=4,"heavy rain",0))))</f>
        <v>clear</v>
      </c>
      <c r="N135">
        <v>0.22</v>
      </c>
      <c r="O135">
        <v>0.2576</v>
      </c>
      <c r="P135">
        <v>0.55000000000000004</v>
      </c>
      <c r="Q135">
        <v>8.9599999999999999E-2</v>
      </c>
      <c r="R135">
        <v>3</v>
      </c>
      <c r="S135">
        <v>109</v>
      </c>
      <c r="T135">
        <v>112</v>
      </c>
    </row>
    <row r="136" spans="1:20" x14ac:dyDescent="0.35">
      <c r="A136">
        <v>135</v>
      </c>
      <c r="B136" s="1">
        <v>40549</v>
      </c>
      <c r="C136">
        <v>1</v>
      </c>
      <c r="D136">
        <v>0</v>
      </c>
      <c r="E136">
        <v>1</v>
      </c>
      <c r="F136" t="str">
        <f>IF(final_data787[[#This Row],[MONTH_CODE]]=1,"JANUARY",IF(final_data787[[#This Row],[MONTH_CODE]]=2,"FEBRUARY"))</f>
        <v>JANUARY</v>
      </c>
      <c r="G136">
        <v>20</v>
      </c>
      <c r="H136">
        <v>0</v>
      </c>
      <c r="I136">
        <v>4</v>
      </c>
      <c r="J1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6" t="str">
        <f>IF(final_data787[[#This Row],[DAY_CODE]]=0,"weekend",IF(final_data787[[#This Row],[DAY_CODE]]=1,"weekend","weekday"))</f>
        <v>weekday</v>
      </c>
      <c r="L136">
        <v>1</v>
      </c>
      <c r="M136" t="str">
        <f>IF(final_data787[[#This Row],[WEATHER_CODE]]=1,"clear",IF(final_data787[[#This Row],[WEATHER_CODE]]=2,"cloudy",IF(final_data787[[#This Row],[WEATHER_CODE]]=3,"light rain",IF(final_data787[[#This Row],[WEATHER_CODE]]=4,"heavy rain",0))))</f>
        <v>clear</v>
      </c>
      <c r="N136">
        <v>0.2</v>
      </c>
      <c r="O136">
        <v>0.21210000000000001</v>
      </c>
      <c r="P136">
        <v>0.51</v>
      </c>
      <c r="Q136">
        <v>0.16420000000000001</v>
      </c>
      <c r="R136">
        <v>3</v>
      </c>
      <c r="S136">
        <v>66</v>
      </c>
      <c r="T136">
        <v>69</v>
      </c>
    </row>
    <row r="137" spans="1:20" x14ac:dyDescent="0.35">
      <c r="A137">
        <v>136</v>
      </c>
      <c r="B137" s="1">
        <v>40549</v>
      </c>
      <c r="C137">
        <v>1</v>
      </c>
      <c r="D137">
        <v>0</v>
      </c>
      <c r="E137">
        <v>1</v>
      </c>
      <c r="F137" t="str">
        <f>IF(final_data787[[#This Row],[MONTH_CODE]]=1,"JANUARY",IF(final_data787[[#This Row],[MONTH_CODE]]=2,"FEBRUARY"))</f>
        <v>JANUARY</v>
      </c>
      <c r="G137">
        <v>21</v>
      </c>
      <c r="H137">
        <v>0</v>
      </c>
      <c r="I137">
        <v>4</v>
      </c>
      <c r="J1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7" t="str">
        <f>IF(final_data787[[#This Row],[DAY_CODE]]=0,"weekend",IF(final_data787[[#This Row],[DAY_CODE]]=1,"weekend","weekday"))</f>
        <v>weekday</v>
      </c>
      <c r="L137">
        <v>2</v>
      </c>
      <c r="M137" t="str">
        <f>IF(final_data787[[#This Row],[WEATHER_CODE]]=1,"clear",IF(final_data787[[#This Row],[WEATHER_CODE]]=2,"cloudy",IF(final_data787[[#This Row],[WEATHER_CODE]]=3,"light rain",IF(final_data787[[#This Row],[WEATHER_CODE]]=4,"heavy rain",0))))</f>
        <v>cloudy</v>
      </c>
      <c r="N137">
        <v>0.22</v>
      </c>
      <c r="O137">
        <v>0.21210000000000001</v>
      </c>
      <c r="P137">
        <v>0.55000000000000004</v>
      </c>
      <c r="Q137">
        <v>0.22389999999999999</v>
      </c>
      <c r="R137">
        <v>0</v>
      </c>
      <c r="S137">
        <v>48</v>
      </c>
      <c r="T137">
        <v>48</v>
      </c>
    </row>
    <row r="138" spans="1:20" x14ac:dyDescent="0.35">
      <c r="A138">
        <v>137</v>
      </c>
      <c r="B138" s="1">
        <v>40549</v>
      </c>
      <c r="C138">
        <v>1</v>
      </c>
      <c r="D138">
        <v>0</v>
      </c>
      <c r="E138">
        <v>1</v>
      </c>
      <c r="F138" t="str">
        <f>IF(final_data787[[#This Row],[MONTH_CODE]]=1,"JANUARY",IF(final_data787[[#This Row],[MONTH_CODE]]=2,"FEBRUARY"))</f>
        <v>JANUARY</v>
      </c>
      <c r="G138">
        <v>22</v>
      </c>
      <c r="H138">
        <v>0</v>
      </c>
      <c r="I138">
        <v>4</v>
      </c>
      <c r="J1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8" t="str">
        <f>IF(final_data787[[#This Row],[DAY_CODE]]=0,"weekend",IF(final_data787[[#This Row],[DAY_CODE]]=1,"weekend","weekday"))</f>
        <v>weekday</v>
      </c>
      <c r="L138">
        <v>2</v>
      </c>
      <c r="M138" t="str">
        <f>IF(final_data787[[#This Row],[WEATHER_CODE]]=1,"clear",IF(final_data787[[#This Row],[WEATHER_CODE]]=2,"cloudy",IF(final_data787[[#This Row],[WEATHER_CODE]]=3,"light rain",IF(final_data787[[#This Row],[WEATHER_CODE]]=4,"heavy rain",0))))</f>
        <v>cloudy</v>
      </c>
      <c r="N138">
        <v>0.22</v>
      </c>
      <c r="O138">
        <v>0.21210000000000001</v>
      </c>
      <c r="P138">
        <v>0.51</v>
      </c>
      <c r="Q138">
        <v>0.28360000000000002</v>
      </c>
      <c r="R138">
        <v>1</v>
      </c>
      <c r="S138">
        <v>51</v>
      </c>
      <c r="T138">
        <v>52</v>
      </c>
    </row>
    <row r="139" spans="1:20" x14ac:dyDescent="0.35">
      <c r="A139">
        <v>138</v>
      </c>
      <c r="B139" s="1">
        <v>40549</v>
      </c>
      <c r="C139">
        <v>1</v>
      </c>
      <c r="D139">
        <v>0</v>
      </c>
      <c r="E139">
        <v>1</v>
      </c>
      <c r="F139" t="str">
        <f>IF(final_data787[[#This Row],[MONTH_CODE]]=1,"JANUARY",IF(final_data787[[#This Row],[MONTH_CODE]]=2,"FEBRUARY"))</f>
        <v>JANUARY</v>
      </c>
      <c r="G139">
        <v>23</v>
      </c>
      <c r="H139">
        <v>0</v>
      </c>
      <c r="I139">
        <v>4</v>
      </c>
      <c r="J1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139" t="str">
        <f>IF(final_data787[[#This Row],[DAY_CODE]]=0,"weekend",IF(final_data787[[#This Row],[DAY_CODE]]=1,"weekend","weekday"))</f>
        <v>weekday</v>
      </c>
      <c r="L139">
        <v>2</v>
      </c>
      <c r="M139" t="str">
        <f>IF(final_data787[[#This Row],[WEATHER_CODE]]=1,"clear",IF(final_data787[[#This Row],[WEATHER_CODE]]=2,"cloudy",IF(final_data787[[#This Row],[WEATHER_CODE]]=3,"light rain",IF(final_data787[[#This Row],[WEATHER_CODE]]=4,"heavy rain",0))))</f>
        <v>cloudy</v>
      </c>
      <c r="N139">
        <v>0.2</v>
      </c>
      <c r="O139">
        <v>0.19700000000000001</v>
      </c>
      <c r="P139">
        <v>0.59</v>
      </c>
      <c r="Q139">
        <v>0.19400000000000001</v>
      </c>
      <c r="R139">
        <v>4</v>
      </c>
      <c r="S139">
        <v>19</v>
      </c>
      <c r="T139">
        <v>23</v>
      </c>
    </row>
    <row r="140" spans="1:20" x14ac:dyDescent="0.35">
      <c r="A140">
        <v>139</v>
      </c>
      <c r="B140" s="1">
        <v>40550</v>
      </c>
      <c r="C140">
        <v>1</v>
      </c>
      <c r="D140">
        <v>0</v>
      </c>
      <c r="E140">
        <v>1</v>
      </c>
      <c r="F140" t="str">
        <f>IF(final_data787[[#This Row],[MONTH_CODE]]=1,"JANUARY",IF(final_data787[[#This Row],[MONTH_CODE]]=2,"FEBRUARY"))</f>
        <v>JANUARY</v>
      </c>
      <c r="G140">
        <v>0</v>
      </c>
      <c r="H140">
        <v>0</v>
      </c>
      <c r="I140">
        <v>5</v>
      </c>
      <c r="J1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0" t="str">
        <f>IF(final_data787[[#This Row],[DAY_CODE]]=0,"weekend",IF(final_data787[[#This Row],[DAY_CODE]]=1,"weekend","weekday"))</f>
        <v>weekday</v>
      </c>
      <c r="L140">
        <v>2</v>
      </c>
      <c r="M140" t="str">
        <f>IF(final_data787[[#This Row],[WEATHER_CODE]]=1,"clear",IF(final_data787[[#This Row],[WEATHER_CODE]]=2,"cloudy",IF(final_data787[[#This Row],[WEATHER_CODE]]=3,"light rain",IF(final_data787[[#This Row],[WEATHER_CODE]]=4,"heavy rain",0))))</f>
        <v>cloudy</v>
      </c>
      <c r="N140">
        <v>0.2</v>
      </c>
      <c r="O140">
        <v>0.19700000000000001</v>
      </c>
      <c r="P140">
        <v>0.64</v>
      </c>
      <c r="Q140">
        <v>0.19400000000000001</v>
      </c>
      <c r="R140">
        <v>4</v>
      </c>
      <c r="S140">
        <v>13</v>
      </c>
      <c r="T140">
        <v>17</v>
      </c>
    </row>
    <row r="141" spans="1:20" x14ac:dyDescent="0.35">
      <c r="A141">
        <v>140</v>
      </c>
      <c r="B141" s="1">
        <v>40550</v>
      </c>
      <c r="C141">
        <v>1</v>
      </c>
      <c r="D141">
        <v>0</v>
      </c>
      <c r="E141">
        <v>1</v>
      </c>
      <c r="F141" t="str">
        <f>IF(final_data787[[#This Row],[MONTH_CODE]]=1,"JANUARY",IF(final_data787[[#This Row],[MONTH_CODE]]=2,"FEBRUARY"))</f>
        <v>JANUARY</v>
      </c>
      <c r="G141">
        <v>1</v>
      </c>
      <c r="H141">
        <v>0</v>
      </c>
      <c r="I141">
        <v>5</v>
      </c>
      <c r="J1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1" t="str">
        <f>IF(final_data787[[#This Row],[DAY_CODE]]=0,"weekend",IF(final_data787[[#This Row],[DAY_CODE]]=1,"weekend","weekday"))</f>
        <v>weekday</v>
      </c>
      <c r="L141">
        <v>2</v>
      </c>
      <c r="M141" t="str">
        <f>IF(final_data787[[#This Row],[WEATHER_CODE]]=1,"clear",IF(final_data787[[#This Row],[WEATHER_CODE]]=2,"cloudy",IF(final_data787[[#This Row],[WEATHER_CODE]]=3,"light rain",IF(final_data787[[#This Row],[WEATHER_CODE]]=4,"heavy rain",0))))</f>
        <v>cloudy</v>
      </c>
      <c r="N141">
        <v>0.2</v>
      </c>
      <c r="O141">
        <v>0.19700000000000001</v>
      </c>
      <c r="P141">
        <v>0.69</v>
      </c>
      <c r="Q141">
        <v>0.22389999999999999</v>
      </c>
      <c r="R141">
        <v>2</v>
      </c>
      <c r="S141">
        <v>5</v>
      </c>
      <c r="T141">
        <v>7</v>
      </c>
    </row>
    <row r="142" spans="1:20" x14ac:dyDescent="0.35">
      <c r="A142">
        <v>141</v>
      </c>
      <c r="B142" s="1">
        <v>40550</v>
      </c>
      <c r="C142">
        <v>1</v>
      </c>
      <c r="D142">
        <v>0</v>
      </c>
      <c r="E142">
        <v>1</v>
      </c>
      <c r="F142" t="str">
        <f>IF(final_data787[[#This Row],[MONTH_CODE]]=1,"JANUARY",IF(final_data787[[#This Row],[MONTH_CODE]]=2,"FEBRUARY"))</f>
        <v>JANUARY</v>
      </c>
      <c r="G142">
        <v>2</v>
      </c>
      <c r="H142">
        <v>0</v>
      </c>
      <c r="I142">
        <v>5</v>
      </c>
      <c r="J1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2" t="str">
        <f>IF(final_data787[[#This Row],[DAY_CODE]]=0,"weekend",IF(final_data787[[#This Row],[DAY_CODE]]=1,"weekend","weekday"))</f>
        <v>weekday</v>
      </c>
      <c r="L142">
        <v>2</v>
      </c>
      <c r="M142" t="str">
        <f>IF(final_data787[[#This Row],[WEATHER_CODE]]=1,"clear",IF(final_data787[[#This Row],[WEATHER_CODE]]=2,"cloudy",IF(final_data787[[#This Row],[WEATHER_CODE]]=3,"light rain",IF(final_data787[[#This Row],[WEATHER_CODE]]=4,"heavy rain",0))))</f>
        <v>cloudy</v>
      </c>
      <c r="N142">
        <v>0.2</v>
      </c>
      <c r="O142">
        <v>0.19700000000000001</v>
      </c>
      <c r="P142">
        <v>0.69</v>
      </c>
      <c r="Q142">
        <v>0.22389999999999999</v>
      </c>
      <c r="R142">
        <v>0</v>
      </c>
      <c r="S142">
        <v>1</v>
      </c>
      <c r="T142">
        <v>1</v>
      </c>
    </row>
    <row r="143" spans="1:20" x14ac:dyDescent="0.35">
      <c r="A143">
        <v>142</v>
      </c>
      <c r="B143" s="1">
        <v>40550</v>
      </c>
      <c r="C143">
        <v>1</v>
      </c>
      <c r="D143">
        <v>0</v>
      </c>
      <c r="E143">
        <v>1</v>
      </c>
      <c r="F143" t="str">
        <f>IF(final_data787[[#This Row],[MONTH_CODE]]=1,"JANUARY",IF(final_data787[[#This Row],[MONTH_CODE]]=2,"FEBRUARY"))</f>
        <v>JANUARY</v>
      </c>
      <c r="G143">
        <v>4</v>
      </c>
      <c r="H143">
        <v>0</v>
      </c>
      <c r="I143">
        <v>5</v>
      </c>
      <c r="J1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3" t="str">
        <f>IF(final_data787[[#This Row],[DAY_CODE]]=0,"weekend",IF(final_data787[[#This Row],[DAY_CODE]]=1,"weekend","weekday"))</f>
        <v>weekday</v>
      </c>
      <c r="L143">
        <v>2</v>
      </c>
      <c r="M143" t="str">
        <f>IF(final_data787[[#This Row],[WEATHER_CODE]]=1,"clear",IF(final_data787[[#This Row],[WEATHER_CODE]]=2,"cloudy",IF(final_data787[[#This Row],[WEATHER_CODE]]=3,"light rain",IF(final_data787[[#This Row],[WEATHER_CODE]]=4,"heavy rain",0))))</f>
        <v>cloudy</v>
      </c>
      <c r="N143">
        <v>0.2</v>
      </c>
      <c r="O143">
        <v>0.21210000000000001</v>
      </c>
      <c r="P143">
        <v>0.69</v>
      </c>
      <c r="Q143">
        <v>0.1343</v>
      </c>
      <c r="R143">
        <v>0</v>
      </c>
      <c r="S143">
        <v>1</v>
      </c>
      <c r="T143">
        <v>1</v>
      </c>
    </row>
    <row r="144" spans="1:20" x14ac:dyDescent="0.35">
      <c r="A144">
        <v>143</v>
      </c>
      <c r="B144" s="1">
        <v>40550</v>
      </c>
      <c r="C144">
        <v>1</v>
      </c>
      <c r="D144">
        <v>0</v>
      </c>
      <c r="E144">
        <v>1</v>
      </c>
      <c r="F144" t="str">
        <f>IF(final_data787[[#This Row],[MONTH_CODE]]=1,"JANUARY",IF(final_data787[[#This Row],[MONTH_CODE]]=2,"FEBRUARY"))</f>
        <v>JANUARY</v>
      </c>
      <c r="G144">
        <v>5</v>
      </c>
      <c r="H144">
        <v>0</v>
      </c>
      <c r="I144">
        <v>5</v>
      </c>
      <c r="J1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4" t="str">
        <f>IF(final_data787[[#This Row],[DAY_CODE]]=0,"weekend",IF(final_data787[[#This Row],[DAY_CODE]]=1,"weekend","weekday"))</f>
        <v>weekday</v>
      </c>
      <c r="L144">
        <v>3</v>
      </c>
      <c r="M144" t="str">
        <f>IF(final_data787[[#This Row],[WEATHER_CODE]]=1,"clear",IF(final_data787[[#This Row],[WEATHER_CODE]]=2,"cloudy",IF(final_data787[[#This Row],[WEATHER_CODE]]=3,"light rain",IF(final_data787[[#This Row],[WEATHER_CODE]]=4,"heavy rain",0))))</f>
        <v>light rain</v>
      </c>
      <c r="N144">
        <v>0.22</v>
      </c>
      <c r="O144">
        <v>0.2727</v>
      </c>
      <c r="P144">
        <v>0.55000000000000004</v>
      </c>
      <c r="Q144">
        <v>0</v>
      </c>
      <c r="R144">
        <v>0</v>
      </c>
      <c r="S144">
        <v>5</v>
      </c>
      <c r="T144">
        <v>5</v>
      </c>
    </row>
    <row r="145" spans="1:20" x14ac:dyDescent="0.35">
      <c r="A145">
        <v>144</v>
      </c>
      <c r="B145" s="1">
        <v>40550</v>
      </c>
      <c r="C145">
        <v>1</v>
      </c>
      <c r="D145">
        <v>0</v>
      </c>
      <c r="E145">
        <v>1</v>
      </c>
      <c r="F145" t="str">
        <f>IF(final_data787[[#This Row],[MONTH_CODE]]=1,"JANUARY",IF(final_data787[[#This Row],[MONTH_CODE]]=2,"FEBRUARY"))</f>
        <v>JANUARY</v>
      </c>
      <c r="G145">
        <v>6</v>
      </c>
      <c r="H145">
        <v>0</v>
      </c>
      <c r="I145">
        <v>5</v>
      </c>
      <c r="J1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5" t="str">
        <f>IF(final_data787[[#This Row],[DAY_CODE]]=0,"weekend",IF(final_data787[[#This Row],[DAY_CODE]]=1,"weekend","weekday"))</f>
        <v>weekday</v>
      </c>
      <c r="L145">
        <v>2</v>
      </c>
      <c r="M145" t="str">
        <f>IF(final_data787[[#This Row],[WEATHER_CODE]]=1,"clear",IF(final_data787[[#This Row],[WEATHER_CODE]]=2,"cloudy",IF(final_data787[[#This Row],[WEATHER_CODE]]=3,"light rain",IF(final_data787[[#This Row],[WEATHER_CODE]]=4,"heavy rain",0))))</f>
        <v>cloudy</v>
      </c>
      <c r="N145">
        <v>0.2</v>
      </c>
      <c r="O145">
        <v>0.2576</v>
      </c>
      <c r="P145">
        <v>0.69</v>
      </c>
      <c r="Q145">
        <v>0</v>
      </c>
      <c r="R145">
        <v>8</v>
      </c>
      <c r="S145">
        <v>26</v>
      </c>
      <c r="T145">
        <v>34</v>
      </c>
    </row>
    <row r="146" spans="1:20" x14ac:dyDescent="0.35">
      <c r="A146">
        <v>145</v>
      </c>
      <c r="B146" s="1">
        <v>40550</v>
      </c>
      <c r="C146">
        <v>1</v>
      </c>
      <c r="D146">
        <v>0</v>
      </c>
      <c r="E146">
        <v>1</v>
      </c>
      <c r="F146" t="str">
        <f>IF(final_data787[[#This Row],[MONTH_CODE]]=1,"JANUARY",IF(final_data787[[#This Row],[MONTH_CODE]]=2,"FEBRUARY"))</f>
        <v>JANUARY</v>
      </c>
      <c r="G146">
        <v>7</v>
      </c>
      <c r="H146">
        <v>0</v>
      </c>
      <c r="I146">
        <v>5</v>
      </c>
      <c r="J1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6" t="str">
        <f>IF(final_data787[[#This Row],[DAY_CODE]]=0,"weekend",IF(final_data787[[#This Row],[DAY_CODE]]=1,"weekend","weekday"))</f>
        <v>weekday</v>
      </c>
      <c r="L146">
        <v>1</v>
      </c>
      <c r="M146" t="str">
        <f>IF(final_data787[[#This Row],[WEATHER_CODE]]=1,"clear",IF(final_data787[[#This Row],[WEATHER_CODE]]=2,"cloudy",IF(final_data787[[#This Row],[WEATHER_CODE]]=3,"light rain",IF(final_data787[[#This Row],[WEATHER_CODE]]=4,"heavy rain",0))))</f>
        <v>clear</v>
      </c>
      <c r="N146">
        <v>0.2</v>
      </c>
      <c r="O146">
        <v>0.21210000000000001</v>
      </c>
      <c r="P146">
        <v>0.69</v>
      </c>
      <c r="Q146">
        <v>0.1343</v>
      </c>
      <c r="R146">
        <v>8</v>
      </c>
      <c r="S146">
        <v>76</v>
      </c>
      <c r="T146">
        <v>84</v>
      </c>
    </row>
    <row r="147" spans="1:20" x14ac:dyDescent="0.35">
      <c r="A147">
        <v>146</v>
      </c>
      <c r="B147" s="1">
        <v>40550</v>
      </c>
      <c r="C147">
        <v>1</v>
      </c>
      <c r="D147">
        <v>0</v>
      </c>
      <c r="E147">
        <v>1</v>
      </c>
      <c r="F147" t="str">
        <f>IF(final_data787[[#This Row],[MONTH_CODE]]=1,"JANUARY",IF(final_data787[[#This Row],[MONTH_CODE]]=2,"FEBRUARY"))</f>
        <v>JANUARY</v>
      </c>
      <c r="G147">
        <v>8</v>
      </c>
      <c r="H147">
        <v>0</v>
      </c>
      <c r="I147">
        <v>5</v>
      </c>
      <c r="J1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7" t="str">
        <f>IF(final_data787[[#This Row],[DAY_CODE]]=0,"weekend",IF(final_data787[[#This Row],[DAY_CODE]]=1,"weekend","weekday"))</f>
        <v>weekday</v>
      </c>
      <c r="L147">
        <v>1</v>
      </c>
      <c r="M147" t="str">
        <f>IF(final_data787[[#This Row],[WEATHER_CODE]]=1,"clear",IF(final_data787[[#This Row],[WEATHER_CODE]]=2,"cloudy",IF(final_data787[[#This Row],[WEATHER_CODE]]=3,"light rain",IF(final_data787[[#This Row],[WEATHER_CODE]]=4,"heavy rain",0))))</f>
        <v>clear</v>
      </c>
      <c r="N147">
        <v>0.2</v>
      </c>
      <c r="O147">
        <v>0.19700000000000001</v>
      </c>
      <c r="P147">
        <v>0.51</v>
      </c>
      <c r="Q147">
        <v>0.25369999999999998</v>
      </c>
      <c r="R147">
        <v>20</v>
      </c>
      <c r="S147">
        <v>190</v>
      </c>
      <c r="T147">
        <v>210</v>
      </c>
    </row>
    <row r="148" spans="1:20" x14ac:dyDescent="0.35">
      <c r="A148">
        <v>147</v>
      </c>
      <c r="B148" s="1">
        <v>40550</v>
      </c>
      <c r="C148">
        <v>1</v>
      </c>
      <c r="D148">
        <v>0</v>
      </c>
      <c r="E148">
        <v>1</v>
      </c>
      <c r="F148" t="str">
        <f>IF(final_data787[[#This Row],[MONTH_CODE]]=1,"JANUARY",IF(final_data787[[#This Row],[MONTH_CODE]]=2,"FEBRUARY"))</f>
        <v>JANUARY</v>
      </c>
      <c r="G148">
        <v>9</v>
      </c>
      <c r="H148">
        <v>0</v>
      </c>
      <c r="I148">
        <v>5</v>
      </c>
      <c r="J1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8" t="str">
        <f>IF(final_data787[[#This Row],[DAY_CODE]]=0,"weekend",IF(final_data787[[#This Row],[DAY_CODE]]=1,"weekend","weekday"))</f>
        <v>weekday</v>
      </c>
      <c r="L148">
        <v>1</v>
      </c>
      <c r="M148" t="str">
        <f>IF(final_data787[[#This Row],[WEATHER_CODE]]=1,"clear",IF(final_data787[[#This Row],[WEATHER_CODE]]=2,"cloudy",IF(final_data787[[#This Row],[WEATHER_CODE]]=3,"light rain",IF(final_data787[[#This Row],[WEATHER_CODE]]=4,"heavy rain",0))))</f>
        <v>clear</v>
      </c>
      <c r="N148">
        <v>0.2</v>
      </c>
      <c r="O148">
        <v>0.18179999999999999</v>
      </c>
      <c r="P148">
        <v>0.47</v>
      </c>
      <c r="Q148">
        <v>0.29849999999999999</v>
      </c>
      <c r="R148">
        <v>9</v>
      </c>
      <c r="S148">
        <v>125</v>
      </c>
      <c r="T148">
        <v>134</v>
      </c>
    </row>
    <row r="149" spans="1:20" x14ac:dyDescent="0.35">
      <c r="A149">
        <v>148</v>
      </c>
      <c r="B149" s="1">
        <v>40550</v>
      </c>
      <c r="C149">
        <v>1</v>
      </c>
      <c r="D149">
        <v>0</v>
      </c>
      <c r="E149">
        <v>1</v>
      </c>
      <c r="F149" t="str">
        <f>IF(final_data787[[#This Row],[MONTH_CODE]]=1,"JANUARY",IF(final_data787[[#This Row],[MONTH_CODE]]=2,"FEBRUARY"))</f>
        <v>JANUARY</v>
      </c>
      <c r="G149">
        <v>10</v>
      </c>
      <c r="H149">
        <v>0</v>
      </c>
      <c r="I149">
        <v>5</v>
      </c>
      <c r="J1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49" t="str">
        <f>IF(final_data787[[#This Row],[DAY_CODE]]=0,"weekend",IF(final_data787[[#This Row],[DAY_CODE]]=1,"weekend","weekday"))</f>
        <v>weekday</v>
      </c>
      <c r="L149">
        <v>1</v>
      </c>
      <c r="M149" t="str">
        <f>IF(final_data787[[#This Row],[WEATHER_CODE]]=1,"clear",IF(final_data787[[#This Row],[WEATHER_CODE]]=2,"cloudy",IF(final_data787[[#This Row],[WEATHER_CODE]]=3,"light rain",IF(final_data787[[#This Row],[WEATHER_CODE]]=4,"heavy rain",0))))</f>
        <v>clear</v>
      </c>
      <c r="N149">
        <v>0.22</v>
      </c>
      <c r="O149">
        <v>0.19700000000000001</v>
      </c>
      <c r="P149">
        <v>0.37</v>
      </c>
      <c r="Q149">
        <v>0.32840000000000003</v>
      </c>
      <c r="R149">
        <v>16</v>
      </c>
      <c r="S149">
        <v>47</v>
      </c>
      <c r="T149">
        <v>63</v>
      </c>
    </row>
    <row r="150" spans="1:20" x14ac:dyDescent="0.35">
      <c r="A150">
        <v>149</v>
      </c>
      <c r="B150" s="1">
        <v>40550</v>
      </c>
      <c r="C150">
        <v>1</v>
      </c>
      <c r="D150">
        <v>0</v>
      </c>
      <c r="E150">
        <v>1</v>
      </c>
      <c r="F150" t="str">
        <f>IF(final_data787[[#This Row],[MONTH_CODE]]=1,"JANUARY",IF(final_data787[[#This Row],[MONTH_CODE]]=2,"FEBRUARY"))</f>
        <v>JANUARY</v>
      </c>
      <c r="G150">
        <v>11</v>
      </c>
      <c r="H150">
        <v>0</v>
      </c>
      <c r="I150">
        <v>5</v>
      </c>
      <c r="J1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0" t="str">
        <f>IF(final_data787[[#This Row],[DAY_CODE]]=0,"weekend",IF(final_data787[[#This Row],[DAY_CODE]]=1,"weekend","weekday"))</f>
        <v>weekday</v>
      </c>
      <c r="L150">
        <v>2</v>
      </c>
      <c r="M150" t="str">
        <f>IF(final_data787[[#This Row],[WEATHER_CODE]]=1,"clear",IF(final_data787[[#This Row],[WEATHER_CODE]]=2,"cloudy",IF(final_data787[[#This Row],[WEATHER_CODE]]=3,"light rain",IF(final_data787[[#This Row],[WEATHER_CODE]]=4,"heavy rain",0))))</f>
        <v>cloudy</v>
      </c>
      <c r="N150">
        <v>0.2</v>
      </c>
      <c r="O150">
        <v>0.19700000000000001</v>
      </c>
      <c r="P150">
        <v>0.4</v>
      </c>
      <c r="Q150">
        <v>0.22389999999999999</v>
      </c>
      <c r="R150">
        <v>19</v>
      </c>
      <c r="S150">
        <v>48</v>
      </c>
      <c r="T150">
        <v>67</v>
      </c>
    </row>
    <row r="151" spans="1:20" x14ac:dyDescent="0.35">
      <c r="A151">
        <v>150</v>
      </c>
      <c r="B151" s="1">
        <v>40550</v>
      </c>
      <c r="C151">
        <v>1</v>
      </c>
      <c r="D151">
        <v>0</v>
      </c>
      <c r="E151">
        <v>1</v>
      </c>
      <c r="F151" t="str">
        <f>IF(final_data787[[#This Row],[MONTH_CODE]]=1,"JANUARY",IF(final_data787[[#This Row],[MONTH_CODE]]=2,"FEBRUARY"))</f>
        <v>JANUARY</v>
      </c>
      <c r="G151">
        <v>12</v>
      </c>
      <c r="H151">
        <v>0</v>
      </c>
      <c r="I151">
        <v>5</v>
      </c>
      <c r="J1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1" t="str">
        <f>IF(final_data787[[#This Row],[DAY_CODE]]=0,"weekend",IF(final_data787[[#This Row],[DAY_CODE]]=1,"weekend","weekday"))</f>
        <v>weekday</v>
      </c>
      <c r="L151">
        <v>2</v>
      </c>
      <c r="M151" t="str">
        <f>IF(final_data787[[#This Row],[WEATHER_CODE]]=1,"clear",IF(final_data787[[#This Row],[WEATHER_CODE]]=2,"cloudy",IF(final_data787[[#This Row],[WEATHER_CODE]]=3,"light rain",IF(final_data787[[#This Row],[WEATHER_CODE]]=4,"heavy rain",0))))</f>
        <v>cloudy</v>
      </c>
      <c r="N151">
        <v>0.2</v>
      </c>
      <c r="O151">
        <v>0.19700000000000001</v>
      </c>
      <c r="P151">
        <v>0.37</v>
      </c>
      <c r="Q151">
        <v>0.25369999999999998</v>
      </c>
      <c r="R151">
        <v>9</v>
      </c>
      <c r="S151">
        <v>50</v>
      </c>
      <c r="T151">
        <v>59</v>
      </c>
    </row>
    <row r="152" spans="1:20" x14ac:dyDescent="0.35">
      <c r="A152">
        <v>151</v>
      </c>
      <c r="B152" s="1">
        <v>40550</v>
      </c>
      <c r="C152">
        <v>1</v>
      </c>
      <c r="D152">
        <v>0</v>
      </c>
      <c r="E152">
        <v>1</v>
      </c>
      <c r="F152" t="str">
        <f>IF(final_data787[[#This Row],[MONTH_CODE]]=1,"JANUARY",IF(final_data787[[#This Row],[MONTH_CODE]]=2,"FEBRUARY"))</f>
        <v>JANUARY</v>
      </c>
      <c r="G152">
        <v>13</v>
      </c>
      <c r="H152">
        <v>0</v>
      </c>
      <c r="I152">
        <v>5</v>
      </c>
      <c r="J1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2" t="str">
        <f>IF(final_data787[[#This Row],[DAY_CODE]]=0,"weekend",IF(final_data787[[#This Row],[DAY_CODE]]=1,"weekend","weekday"))</f>
        <v>weekday</v>
      </c>
      <c r="L152">
        <v>2</v>
      </c>
      <c r="M152" t="str">
        <f>IF(final_data787[[#This Row],[WEATHER_CODE]]=1,"clear",IF(final_data787[[#This Row],[WEATHER_CODE]]=2,"cloudy",IF(final_data787[[#This Row],[WEATHER_CODE]]=3,"light rain",IF(final_data787[[#This Row],[WEATHER_CODE]]=4,"heavy rain",0))))</f>
        <v>cloudy</v>
      </c>
      <c r="N152">
        <v>0.2</v>
      </c>
      <c r="O152">
        <v>0.18179999999999999</v>
      </c>
      <c r="P152">
        <v>0.37</v>
      </c>
      <c r="Q152">
        <v>0.28360000000000002</v>
      </c>
      <c r="R152">
        <v>9</v>
      </c>
      <c r="S152">
        <v>64</v>
      </c>
      <c r="T152">
        <v>73</v>
      </c>
    </row>
    <row r="153" spans="1:20" x14ac:dyDescent="0.35">
      <c r="A153">
        <v>152</v>
      </c>
      <c r="B153" s="1">
        <v>40550</v>
      </c>
      <c r="C153">
        <v>1</v>
      </c>
      <c r="D153">
        <v>0</v>
      </c>
      <c r="E153">
        <v>1</v>
      </c>
      <c r="F153" t="str">
        <f>IF(final_data787[[#This Row],[MONTH_CODE]]=1,"JANUARY",IF(final_data787[[#This Row],[MONTH_CODE]]=2,"FEBRUARY"))</f>
        <v>JANUARY</v>
      </c>
      <c r="G153">
        <v>14</v>
      </c>
      <c r="H153">
        <v>0</v>
      </c>
      <c r="I153">
        <v>5</v>
      </c>
      <c r="J1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3" t="str">
        <f>IF(final_data787[[#This Row],[DAY_CODE]]=0,"weekend",IF(final_data787[[#This Row],[DAY_CODE]]=1,"weekend","weekday"))</f>
        <v>weekday</v>
      </c>
      <c r="L153">
        <v>2</v>
      </c>
      <c r="M153" t="str">
        <f>IF(final_data787[[#This Row],[WEATHER_CODE]]=1,"clear",IF(final_data787[[#This Row],[WEATHER_CODE]]=2,"cloudy",IF(final_data787[[#This Row],[WEATHER_CODE]]=3,"light rain",IF(final_data787[[#This Row],[WEATHER_CODE]]=4,"heavy rain",0))))</f>
        <v>cloudy</v>
      </c>
      <c r="N153">
        <v>0.2</v>
      </c>
      <c r="O153">
        <v>0.19700000000000001</v>
      </c>
      <c r="P153">
        <v>0.4</v>
      </c>
      <c r="Q153">
        <v>0.25369999999999998</v>
      </c>
      <c r="R153">
        <v>7</v>
      </c>
      <c r="S153">
        <v>43</v>
      </c>
      <c r="T153">
        <v>50</v>
      </c>
    </row>
    <row r="154" spans="1:20" x14ac:dyDescent="0.35">
      <c r="A154">
        <v>153</v>
      </c>
      <c r="B154" s="1">
        <v>40550</v>
      </c>
      <c r="C154">
        <v>1</v>
      </c>
      <c r="D154">
        <v>0</v>
      </c>
      <c r="E154">
        <v>1</v>
      </c>
      <c r="F154" t="str">
        <f>IF(final_data787[[#This Row],[MONTH_CODE]]=1,"JANUARY",IF(final_data787[[#This Row],[MONTH_CODE]]=2,"FEBRUARY"))</f>
        <v>JANUARY</v>
      </c>
      <c r="G154">
        <v>15</v>
      </c>
      <c r="H154">
        <v>0</v>
      </c>
      <c r="I154">
        <v>5</v>
      </c>
      <c r="J1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4" t="str">
        <f>IF(final_data787[[#This Row],[DAY_CODE]]=0,"weekend",IF(final_data787[[#This Row],[DAY_CODE]]=1,"weekend","weekday"))</f>
        <v>weekday</v>
      </c>
      <c r="L154">
        <v>2</v>
      </c>
      <c r="M154" t="str">
        <f>IF(final_data787[[#This Row],[WEATHER_CODE]]=1,"clear",IF(final_data787[[#This Row],[WEATHER_CODE]]=2,"cloudy",IF(final_data787[[#This Row],[WEATHER_CODE]]=3,"light rain",IF(final_data787[[#This Row],[WEATHER_CODE]]=4,"heavy rain",0))))</f>
        <v>cloudy</v>
      </c>
      <c r="N154">
        <v>0.2</v>
      </c>
      <c r="O154">
        <v>0.21210000000000001</v>
      </c>
      <c r="P154">
        <v>0.37</v>
      </c>
      <c r="Q154">
        <v>0.16420000000000001</v>
      </c>
      <c r="R154">
        <v>9</v>
      </c>
      <c r="S154">
        <v>63</v>
      </c>
      <c r="T154">
        <v>72</v>
      </c>
    </row>
    <row r="155" spans="1:20" x14ac:dyDescent="0.35">
      <c r="A155">
        <v>154</v>
      </c>
      <c r="B155" s="1">
        <v>40550</v>
      </c>
      <c r="C155">
        <v>1</v>
      </c>
      <c r="D155">
        <v>0</v>
      </c>
      <c r="E155">
        <v>1</v>
      </c>
      <c r="F155" t="str">
        <f>IF(final_data787[[#This Row],[MONTH_CODE]]=1,"JANUARY",IF(final_data787[[#This Row],[MONTH_CODE]]=2,"FEBRUARY"))</f>
        <v>JANUARY</v>
      </c>
      <c r="G155">
        <v>16</v>
      </c>
      <c r="H155">
        <v>0</v>
      </c>
      <c r="I155">
        <v>5</v>
      </c>
      <c r="J1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5" t="str">
        <f>IF(final_data787[[#This Row],[DAY_CODE]]=0,"weekend",IF(final_data787[[#This Row],[DAY_CODE]]=1,"weekend","weekday"))</f>
        <v>weekday</v>
      </c>
      <c r="L155">
        <v>2</v>
      </c>
      <c r="M155" t="str">
        <f>IF(final_data787[[#This Row],[WEATHER_CODE]]=1,"clear",IF(final_data787[[#This Row],[WEATHER_CODE]]=2,"cloudy",IF(final_data787[[#This Row],[WEATHER_CODE]]=3,"light rain",IF(final_data787[[#This Row],[WEATHER_CODE]]=4,"heavy rain",0))))</f>
        <v>cloudy</v>
      </c>
      <c r="N155">
        <v>0.2</v>
      </c>
      <c r="O155">
        <v>0.21210000000000001</v>
      </c>
      <c r="P155">
        <v>0.37</v>
      </c>
      <c r="Q155">
        <v>0.16420000000000001</v>
      </c>
      <c r="R155">
        <v>5</v>
      </c>
      <c r="S155">
        <v>82</v>
      </c>
      <c r="T155">
        <v>87</v>
      </c>
    </row>
    <row r="156" spans="1:20" x14ac:dyDescent="0.35">
      <c r="A156">
        <v>155</v>
      </c>
      <c r="B156" s="1">
        <v>40550</v>
      </c>
      <c r="C156">
        <v>1</v>
      </c>
      <c r="D156">
        <v>0</v>
      </c>
      <c r="E156">
        <v>1</v>
      </c>
      <c r="F156" t="str">
        <f>IF(final_data787[[#This Row],[MONTH_CODE]]=1,"JANUARY",IF(final_data787[[#This Row],[MONTH_CODE]]=2,"FEBRUARY"))</f>
        <v>JANUARY</v>
      </c>
      <c r="G156">
        <v>17</v>
      </c>
      <c r="H156">
        <v>0</v>
      </c>
      <c r="I156">
        <v>5</v>
      </c>
      <c r="J1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6" t="str">
        <f>IF(final_data787[[#This Row],[DAY_CODE]]=0,"weekend",IF(final_data787[[#This Row],[DAY_CODE]]=1,"weekend","weekday"))</f>
        <v>weekday</v>
      </c>
      <c r="L156">
        <v>2</v>
      </c>
      <c r="M156" t="str">
        <f>IF(final_data787[[#This Row],[WEATHER_CODE]]=1,"clear",IF(final_data787[[#This Row],[WEATHER_CODE]]=2,"cloudy",IF(final_data787[[#This Row],[WEATHER_CODE]]=3,"light rain",IF(final_data787[[#This Row],[WEATHER_CODE]]=4,"heavy rain",0))))</f>
        <v>cloudy</v>
      </c>
      <c r="N156">
        <v>0.2</v>
      </c>
      <c r="O156">
        <v>0.2576</v>
      </c>
      <c r="P156">
        <v>0.37</v>
      </c>
      <c r="Q156">
        <v>0</v>
      </c>
      <c r="R156">
        <v>9</v>
      </c>
      <c r="S156">
        <v>178</v>
      </c>
      <c r="T156">
        <v>187</v>
      </c>
    </row>
    <row r="157" spans="1:20" x14ac:dyDescent="0.35">
      <c r="A157">
        <v>156</v>
      </c>
      <c r="B157" s="1">
        <v>40550</v>
      </c>
      <c r="C157">
        <v>1</v>
      </c>
      <c r="D157">
        <v>0</v>
      </c>
      <c r="E157">
        <v>1</v>
      </c>
      <c r="F157" t="str">
        <f>IF(final_data787[[#This Row],[MONTH_CODE]]=1,"JANUARY",IF(final_data787[[#This Row],[MONTH_CODE]]=2,"FEBRUARY"))</f>
        <v>JANUARY</v>
      </c>
      <c r="G157">
        <v>18</v>
      </c>
      <c r="H157">
        <v>0</v>
      </c>
      <c r="I157">
        <v>5</v>
      </c>
      <c r="J1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7" t="str">
        <f>IF(final_data787[[#This Row],[DAY_CODE]]=0,"weekend",IF(final_data787[[#This Row],[DAY_CODE]]=1,"weekend","weekday"))</f>
        <v>weekday</v>
      </c>
      <c r="L157">
        <v>1</v>
      </c>
      <c r="M157" t="str">
        <f>IF(final_data787[[#This Row],[WEATHER_CODE]]=1,"clear",IF(final_data787[[#This Row],[WEATHER_CODE]]=2,"cloudy",IF(final_data787[[#This Row],[WEATHER_CODE]]=3,"light rain",IF(final_data787[[#This Row],[WEATHER_CODE]]=4,"heavy rain",0))))</f>
        <v>clear</v>
      </c>
      <c r="N157">
        <v>0.2</v>
      </c>
      <c r="O157">
        <v>0.2273</v>
      </c>
      <c r="P157">
        <v>0.4</v>
      </c>
      <c r="Q157">
        <v>8.9599999999999999E-2</v>
      </c>
      <c r="R157">
        <v>7</v>
      </c>
      <c r="S157">
        <v>116</v>
      </c>
      <c r="T157">
        <v>123</v>
      </c>
    </row>
    <row r="158" spans="1:20" x14ac:dyDescent="0.35">
      <c r="A158">
        <v>157</v>
      </c>
      <c r="B158" s="1">
        <v>40550</v>
      </c>
      <c r="C158">
        <v>1</v>
      </c>
      <c r="D158">
        <v>0</v>
      </c>
      <c r="E158">
        <v>1</v>
      </c>
      <c r="F158" t="str">
        <f>IF(final_data787[[#This Row],[MONTH_CODE]]=1,"JANUARY",IF(final_data787[[#This Row],[MONTH_CODE]]=2,"FEBRUARY"))</f>
        <v>JANUARY</v>
      </c>
      <c r="G158">
        <v>19</v>
      </c>
      <c r="H158">
        <v>0</v>
      </c>
      <c r="I158">
        <v>5</v>
      </c>
      <c r="J1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8" t="str">
        <f>IF(final_data787[[#This Row],[DAY_CODE]]=0,"weekend",IF(final_data787[[#This Row],[DAY_CODE]]=1,"weekend","weekday"))</f>
        <v>weekday</v>
      </c>
      <c r="L158">
        <v>1</v>
      </c>
      <c r="M158" t="str">
        <f>IF(final_data787[[#This Row],[WEATHER_CODE]]=1,"clear",IF(final_data787[[#This Row],[WEATHER_CODE]]=2,"cloudy",IF(final_data787[[#This Row],[WEATHER_CODE]]=3,"light rain",IF(final_data787[[#This Row],[WEATHER_CODE]]=4,"heavy rain",0))))</f>
        <v>clear</v>
      </c>
      <c r="N158">
        <v>0.16</v>
      </c>
      <c r="O158">
        <v>0.19700000000000001</v>
      </c>
      <c r="P158">
        <v>0.55000000000000004</v>
      </c>
      <c r="Q158">
        <v>8.9599999999999999E-2</v>
      </c>
      <c r="R158">
        <v>3</v>
      </c>
      <c r="S158">
        <v>92</v>
      </c>
      <c r="T158">
        <v>95</v>
      </c>
    </row>
    <row r="159" spans="1:20" x14ac:dyDescent="0.35">
      <c r="A159">
        <v>158</v>
      </c>
      <c r="B159" s="1">
        <v>40550</v>
      </c>
      <c r="C159">
        <v>1</v>
      </c>
      <c r="D159">
        <v>0</v>
      </c>
      <c r="E159">
        <v>1</v>
      </c>
      <c r="F159" t="str">
        <f>IF(final_data787[[#This Row],[MONTH_CODE]]=1,"JANUARY",IF(final_data787[[#This Row],[MONTH_CODE]]=2,"FEBRUARY"))</f>
        <v>JANUARY</v>
      </c>
      <c r="G159">
        <v>20</v>
      </c>
      <c r="H159">
        <v>0</v>
      </c>
      <c r="I159">
        <v>5</v>
      </c>
      <c r="J1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59" t="str">
        <f>IF(final_data787[[#This Row],[DAY_CODE]]=0,"weekend",IF(final_data787[[#This Row],[DAY_CODE]]=1,"weekend","weekday"))</f>
        <v>weekday</v>
      </c>
      <c r="L159">
        <v>1</v>
      </c>
      <c r="M159" t="str">
        <f>IF(final_data787[[#This Row],[WEATHER_CODE]]=1,"clear",IF(final_data787[[#This Row],[WEATHER_CODE]]=2,"cloudy",IF(final_data787[[#This Row],[WEATHER_CODE]]=3,"light rain",IF(final_data787[[#This Row],[WEATHER_CODE]]=4,"heavy rain",0))))</f>
        <v>clear</v>
      </c>
      <c r="N159">
        <v>0.18</v>
      </c>
      <c r="O159">
        <v>0.21210000000000001</v>
      </c>
      <c r="P159">
        <v>0.47</v>
      </c>
      <c r="Q159">
        <v>0.1045</v>
      </c>
      <c r="R159">
        <v>1</v>
      </c>
      <c r="S159">
        <v>50</v>
      </c>
      <c r="T159">
        <v>51</v>
      </c>
    </row>
    <row r="160" spans="1:20" x14ac:dyDescent="0.35">
      <c r="A160">
        <v>159</v>
      </c>
      <c r="B160" s="1">
        <v>40550</v>
      </c>
      <c r="C160">
        <v>1</v>
      </c>
      <c r="D160">
        <v>0</v>
      </c>
      <c r="E160">
        <v>1</v>
      </c>
      <c r="F160" t="str">
        <f>IF(final_data787[[#This Row],[MONTH_CODE]]=1,"JANUARY",IF(final_data787[[#This Row],[MONTH_CODE]]=2,"FEBRUARY"))</f>
        <v>JANUARY</v>
      </c>
      <c r="G160">
        <v>21</v>
      </c>
      <c r="H160">
        <v>0</v>
      </c>
      <c r="I160">
        <v>5</v>
      </c>
      <c r="J1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60" t="str">
        <f>IF(final_data787[[#This Row],[DAY_CODE]]=0,"weekend",IF(final_data787[[#This Row],[DAY_CODE]]=1,"weekend","weekday"))</f>
        <v>weekday</v>
      </c>
      <c r="L160">
        <v>1</v>
      </c>
      <c r="M160" t="str">
        <f>IF(final_data787[[#This Row],[WEATHER_CODE]]=1,"clear",IF(final_data787[[#This Row],[WEATHER_CODE]]=2,"cloudy",IF(final_data787[[#This Row],[WEATHER_CODE]]=3,"light rain",IF(final_data787[[#This Row],[WEATHER_CODE]]=4,"heavy rain",0))))</f>
        <v>clear</v>
      </c>
      <c r="N160">
        <v>0.18</v>
      </c>
      <c r="O160">
        <v>0.19700000000000001</v>
      </c>
      <c r="P160">
        <v>0.47</v>
      </c>
      <c r="Q160">
        <v>0.1343</v>
      </c>
      <c r="R160">
        <v>0</v>
      </c>
      <c r="S160">
        <v>39</v>
      </c>
      <c r="T160">
        <v>39</v>
      </c>
    </row>
    <row r="161" spans="1:20" x14ac:dyDescent="0.35">
      <c r="A161">
        <v>160</v>
      </c>
      <c r="B161" s="1">
        <v>40550</v>
      </c>
      <c r="C161">
        <v>1</v>
      </c>
      <c r="D161">
        <v>0</v>
      </c>
      <c r="E161">
        <v>1</v>
      </c>
      <c r="F161" t="str">
        <f>IF(final_data787[[#This Row],[MONTH_CODE]]=1,"JANUARY",IF(final_data787[[#This Row],[MONTH_CODE]]=2,"FEBRUARY"))</f>
        <v>JANUARY</v>
      </c>
      <c r="G161">
        <v>22</v>
      </c>
      <c r="H161">
        <v>0</v>
      </c>
      <c r="I161">
        <v>5</v>
      </c>
      <c r="J1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61" t="str">
        <f>IF(final_data787[[#This Row],[DAY_CODE]]=0,"weekend",IF(final_data787[[#This Row],[DAY_CODE]]=1,"weekend","weekday"))</f>
        <v>weekday</v>
      </c>
      <c r="L161">
        <v>2</v>
      </c>
      <c r="M161" t="str">
        <f>IF(final_data787[[#This Row],[WEATHER_CODE]]=1,"clear",IF(final_data787[[#This Row],[WEATHER_CODE]]=2,"cloudy",IF(final_data787[[#This Row],[WEATHER_CODE]]=3,"light rain",IF(final_data787[[#This Row],[WEATHER_CODE]]=4,"heavy rain",0))))</f>
        <v>cloudy</v>
      </c>
      <c r="N161">
        <v>0.18</v>
      </c>
      <c r="O161">
        <v>0.19700000000000001</v>
      </c>
      <c r="P161">
        <v>0.43</v>
      </c>
      <c r="Q161">
        <v>0.16420000000000001</v>
      </c>
      <c r="R161">
        <v>2</v>
      </c>
      <c r="S161">
        <v>34</v>
      </c>
      <c r="T161">
        <v>36</v>
      </c>
    </row>
    <row r="162" spans="1:20" x14ac:dyDescent="0.35">
      <c r="A162">
        <v>161</v>
      </c>
      <c r="B162" s="1">
        <v>40550</v>
      </c>
      <c r="C162">
        <v>1</v>
      </c>
      <c r="D162">
        <v>0</v>
      </c>
      <c r="E162">
        <v>1</v>
      </c>
      <c r="F162" t="str">
        <f>IF(final_data787[[#This Row],[MONTH_CODE]]=1,"JANUARY",IF(final_data787[[#This Row],[MONTH_CODE]]=2,"FEBRUARY"))</f>
        <v>JANUARY</v>
      </c>
      <c r="G162">
        <v>23</v>
      </c>
      <c r="H162">
        <v>0</v>
      </c>
      <c r="I162">
        <v>5</v>
      </c>
      <c r="J1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162" t="str">
        <f>IF(final_data787[[#This Row],[DAY_CODE]]=0,"weekend",IF(final_data787[[#This Row],[DAY_CODE]]=1,"weekend","weekday"))</f>
        <v>weekday</v>
      </c>
      <c r="L162">
        <v>2</v>
      </c>
      <c r="M162" t="str">
        <f>IF(final_data787[[#This Row],[WEATHER_CODE]]=1,"clear",IF(final_data787[[#This Row],[WEATHER_CODE]]=2,"cloudy",IF(final_data787[[#This Row],[WEATHER_CODE]]=3,"light rain",IF(final_data787[[#This Row],[WEATHER_CODE]]=4,"heavy rain",0))))</f>
        <v>cloudy</v>
      </c>
      <c r="N162">
        <v>0.18</v>
      </c>
      <c r="O162">
        <v>0.19700000000000001</v>
      </c>
      <c r="P162">
        <v>0.51</v>
      </c>
      <c r="Q162">
        <v>0.16420000000000001</v>
      </c>
      <c r="R162">
        <v>1</v>
      </c>
      <c r="S162">
        <v>14</v>
      </c>
      <c r="T162">
        <v>15</v>
      </c>
    </row>
    <row r="163" spans="1:20" x14ac:dyDescent="0.35">
      <c r="A163">
        <v>162</v>
      </c>
      <c r="B163" s="1">
        <v>40551</v>
      </c>
      <c r="C163">
        <v>1</v>
      </c>
      <c r="D163">
        <v>0</v>
      </c>
      <c r="E163">
        <v>1</v>
      </c>
      <c r="F163" t="str">
        <f>IF(final_data787[[#This Row],[MONTH_CODE]]=1,"JANUARY",IF(final_data787[[#This Row],[MONTH_CODE]]=2,"FEBRUARY"))</f>
        <v>JANUARY</v>
      </c>
      <c r="G163">
        <v>0</v>
      </c>
      <c r="H163">
        <v>0</v>
      </c>
      <c r="I163">
        <v>6</v>
      </c>
      <c r="J1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3" t="str">
        <f>IF(final_data787[[#This Row],[DAY_CODE]]=0,"weekend",IF(final_data787[[#This Row],[DAY_CODE]]=1,"weekend","weekday"))</f>
        <v>weekday</v>
      </c>
      <c r="L163">
        <v>2</v>
      </c>
      <c r="M163" t="str">
        <f>IF(final_data787[[#This Row],[WEATHER_CODE]]=1,"clear",IF(final_data787[[#This Row],[WEATHER_CODE]]=2,"cloudy",IF(final_data787[[#This Row],[WEATHER_CODE]]=3,"light rain",IF(final_data787[[#This Row],[WEATHER_CODE]]=4,"heavy rain",0))))</f>
        <v>cloudy</v>
      </c>
      <c r="N163">
        <v>0.18</v>
      </c>
      <c r="O163">
        <v>0.19700000000000001</v>
      </c>
      <c r="P163">
        <v>0.51</v>
      </c>
      <c r="Q163">
        <v>0.16420000000000001</v>
      </c>
      <c r="R163">
        <v>1</v>
      </c>
      <c r="S163">
        <v>24</v>
      </c>
      <c r="T163">
        <v>25</v>
      </c>
    </row>
    <row r="164" spans="1:20" x14ac:dyDescent="0.35">
      <c r="A164">
        <v>163</v>
      </c>
      <c r="B164" s="1">
        <v>40551</v>
      </c>
      <c r="C164">
        <v>1</v>
      </c>
      <c r="D164">
        <v>0</v>
      </c>
      <c r="E164">
        <v>1</v>
      </c>
      <c r="F164" t="str">
        <f>IF(final_data787[[#This Row],[MONTH_CODE]]=1,"JANUARY",IF(final_data787[[#This Row],[MONTH_CODE]]=2,"FEBRUARY"))</f>
        <v>JANUARY</v>
      </c>
      <c r="G164">
        <v>1</v>
      </c>
      <c r="H164">
        <v>0</v>
      </c>
      <c r="I164">
        <v>6</v>
      </c>
      <c r="J1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4" t="str">
        <f>IF(final_data787[[#This Row],[DAY_CODE]]=0,"weekend",IF(final_data787[[#This Row],[DAY_CODE]]=1,"weekend","weekday"))</f>
        <v>weekday</v>
      </c>
      <c r="L164">
        <v>2</v>
      </c>
      <c r="M164" t="str">
        <f>IF(final_data787[[#This Row],[WEATHER_CODE]]=1,"clear",IF(final_data787[[#This Row],[WEATHER_CODE]]=2,"cloudy",IF(final_data787[[#This Row],[WEATHER_CODE]]=3,"light rain",IF(final_data787[[#This Row],[WEATHER_CODE]]=4,"heavy rain",0))))</f>
        <v>cloudy</v>
      </c>
      <c r="N164">
        <v>0.18</v>
      </c>
      <c r="O164">
        <v>0.21210000000000001</v>
      </c>
      <c r="P164">
        <v>0.55000000000000004</v>
      </c>
      <c r="Q164">
        <v>8.9599999999999999E-2</v>
      </c>
      <c r="R164">
        <v>1</v>
      </c>
      <c r="S164">
        <v>15</v>
      </c>
      <c r="T164">
        <v>16</v>
      </c>
    </row>
    <row r="165" spans="1:20" x14ac:dyDescent="0.35">
      <c r="A165">
        <v>164</v>
      </c>
      <c r="B165" s="1">
        <v>40551</v>
      </c>
      <c r="C165">
        <v>1</v>
      </c>
      <c r="D165">
        <v>0</v>
      </c>
      <c r="E165">
        <v>1</v>
      </c>
      <c r="F165" t="str">
        <f>IF(final_data787[[#This Row],[MONTH_CODE]]=1,"JANUARY",IF(final_data787[[#This Row],[MONTH_CODE]]=2,"FEBRUARY"))</f>
        <v>JANUARY</v>
      </c>
      <c r="G165">
        <v>2</v>
      </c>
      <c r="H165">
        <v>0</v>
      </c>
      <c r="I165">
        <v>6</v>
      </c>
      <c r="J1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5" t="str">
        <f>IF(final_data787[[#This Row],[DAY_CODE]]=0,"weekend",IF(final_data787[[#This Row],[DAY_CODE]]=1,"weekend","weekday"))</f>
        <v>weekday</v>
      </c>
      <c r="L165">
        <v>2</v>
      </c>
      <c r="M165" t="str">
        <f>IF(final_data787[[#This Row],[WEATHER_CODE]]=1,"clear",IF(final_data787[[#This Row],[WEATHER_CODE]]=2,"cloudy",IF(final_data787[[#This Row],[WEATHER_CODE]]=3,"light rain",IF(final_data787[[#This Row],[WEATHER_CODE]]=4,"heavy rain",0))))</f>
        <v>cloudy</v>
      </c>
      <c r="N165">
        <v>0.18</v>
      </c>
      <c r="O165">
        <v>0.2424</v>
      </c>
      <c r="P165">
        <v>0.55000000000000004</v>
      </c>
      <c r="Q165">
        <v>0</v>
      </c>
      <c r="R165">
        <v>3</v>
      </c>
      <c r="S165">
        <v>13</v>
      </c>
      <c r="T165">
        <v>16</v>
      </c>
    </row>
    <row r="166" spans="1:20" x14ac:dyDescent="0.35">
      <c r="A166">
        <v>165</v>
      </c>
      <c r="B166" s="1">
        <v>40551</v>
      </c>
      <c r="C166">
        <v>1</v>
      </c>
      <c r="D166">
        <v>0</v>
      </c>
      <c r="E166">
        <v>1</v>
      </c>
      <c r="F166" t="str">
        <f>IF(final_data787[[#This Row],[MONTH_CODE]]=1,"JANUARY",IF(final_data787[[#This Row],[MONTH_CODE]]=2,"FEBRUARY"))</f>
        <v>JANUARY</v>
      </c>
      <c r="G166">
        <v>3</v>
      </c>
      <c r="H166">
        <v>0</v>
      </c>
      <c r="I166">
        <v>6</v>
      </c>
      <c r="J1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6" t="str">
        <f>IF(final_data787[[#This Row],[DAY_CODE]]=0,"weekend",IF(final_data787[[#This Row],[DAY_CODE]]=1,"weekend","weekday"))</f>
        <v>weekday</v>
      </c>
      <c r="L166">
        <v>3</v>
      </c>
      <c r="M166" t="str">
        <f>IF(final_data787[[#This Row],[WEATHER_CODE]]=1,"clear",IF(final_data787[[#This Row],[WEATHER_CODE]]=2,"cloudy",IF(final_data787[[#This Row],[WEATHER_CODE]]=3,"light rain",IF(final_data787[[#This Row],[WEATHER_CODE]]=4,"heavy rain",0))))</f>
        <v>light rain</v>
      </c>
      <c r="N166">
        <v>0.18</v>
      </c>
      <c r="O166">
        <v>0.19700000000000001</v>
      </c>
      <c r="P166">
        <v>0.55000000000000004</v>
      </c>
      <c r="Q166">
        <v>0.16420000000000001</v>
      </c>
      <c r="R166">
        <v>0</v>
      </c>
      <c r="S166">
        <v>7</v>
      </c>
      <c r="T166">
        <v>7</v>
      </c>
    </row>
    <row r="167" spans="1:20" x14ac:dyDescent="0.35">
      <c r="A167">
        <v>166</v>
      </c>
      <c r="B167" s="1">
        <v>40551</v>
      </c>
      <c r="C167">
        <v>1</v>
      </c>
      <c r="D167">
        <v>0</v>
      </c>
      <c r="E167">
        <v>1</v>
      </c>
      <c r="F167" t="str">
        <f>IF(final_data787[[#This Row],[MONTH_CODE]]=1,"JANUARY",IF(final_data787[[#This Row],[MONTH_CODE]]=2,"FEBRUARY"))</f>
        <v>JANUARY</v>
      </c>
      <c r="G167">
        <v>4</v>
      </c>
      <c r="H167">
        <v>0</v>
      </c>
      <c r="I167">
        <v>6</v>
      </c>
      <c r="J1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7" t="str">
        <f>IF(final_data787[[#This Row],[DAY_CODE]]=0,"weekend",IF(final_data787[[#This Row],[DAY_CODE]]=1,"weekend","weekday"))</f>
        <v>weekday</v>
      </c>
      <c r="L167">
        <v>3</v>
      </c>
      <c r="M167" t="str">
        <f>IF(final_data787[[#This Row],[WEATHER_CODE]]=1,"clear",IF(final_data787[[#This Row],[WEATHER_CODE]]=2,"cloudy",IF(final_data787[[#This Row],[WEATHER_CODE]]=3,"light rain",IF(final_data787[[#This Row],[WEATHER_CODE]]=4,"heavy rain",0))))</f>
        <v>light rain</v>
      </c>
      <c r="N167">
        <v>0.18</v>
      </c>
      <c r="O167">
        <v>0.19700000000000001</v>
      </c>
      <c r="P167">
        <v>0.55000000000000004</v>
      </c>
      <c r="Q167">
        <v>0.16420000000000001</v>
      </c>
      <c r="R167">
        <v>0</v>
      </c>
      <c r="S167">
        <v>1</v>
      </c>
      <c r="T167">
        <v>1</v>
      </c>
    </row>
    <row r="168" spans="1:20" x14ac:dyDescent="0.35">
      <c r="A168">
        <v>167</v>
      </c>
      <c r="B168" s="1">
        <v>40551</v>
      </c>
      <c r="C168">
        <v>1</v>
      </c>
      <c r="D168">
        <v>0</v>
      </c>
      <c r="E168">
        <v>1</v>
      </c>
      <c r="F168" t="str">
        <f>IF(final_data787[[#This Row],[MONTH_CODE]]=1,"JANUARY",IF(final_data787[[#This Row],[MONTH_CODE]]=2,"FEBRUARY"))</f>
        <v>JANUARY</v>
      </c>
      <c r="G168">
        <v>5</v>
      </c>
      <c r="H168">
        <v>0</v>
      </c>
      <c r="I168">
        <v>6</v>
      </c>
      <c r="J1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8" t="str">
        <f>IF(final_data787[[#This Row],[DAY_CODE]]=0,"weekend",IF(final_data787[[#This Row],[DAY_CODE]]=1,"weekend","weekday"))</f>
        <v>weekday</v>
      </c>
      <c r="L168">
        <v>2</v>
      </c>
      <c r="M168" t="str">
        <f>IF(final_data787[[#This Row],[WEATHER_CODE]]=1,"clear",IF(final_data787[[#This Row],[WEATHER_CODE]]=2,"cloudy",IF(final_data787[[#This Row],[WEATHER_CODE]]=3,"light rain",IF(final_data787[[#This Row],[WEATHER_CODE]]=4,"heavy rain",0))))</f>
        <v>cloudy</v>
      </c>
      <c r="N168">
        <v>0.16</v>
      </c>
      <c r="O168">
        <v>0.16669999999999999</v>
      </c>
      <c r="P168">
        <v>0.74</v>
      </c>
      <c r="Q168">
        <v>0.16420000000000001</v>
      </c>
      <c r="R168">
        <v>0</v>
      </c>
      <c r="S168">
        <v>5</v>
      </c>
      <c r="T168">
        <v>5</v>
      </c>
    </row>
    <row r="169" spans="1:20" x14ac:dyDescent="0.35">
      <c r="A169">
        <v>168</v>
      </c>
      <c r="B169" s="1">
        <v>40551</v>
      </c>
      <c r="C169">
        <v>1</v>
      </c>
      <c r="D169">
        <v>0</v>
      </c>
      <c r="E169">
        <v>1</v>
      </c>
      <c r="F169" t="str">
        <f>IF(final_data787[[#This Row],[MONTH_CODE]]=1,"JANUARY",IF(final_data787[[#This Row],[MONTH_CODE]]=2,"FEBRUARY"))</f>
        <v>JANUARY</v>
      </c>
      <c r="G169">
        <v>6</v>
      </c>
      <c r="H169">
        <v>0</v>
      </c>
      <c r="I169">
        <v>6</v>
      </c>
      <c r="J1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69" t="str">
        <f>IF(final_data787[[#This Row],[DAY_CODE]]=0,"weekend",IF(final_data787[[#This Row],[DAY_CODE]]=1,"weekend","weekday"))</f>
        <v>weekday</v>
      </c>
      <c r="L169">
        <v>2</v>
      </c>
      <c r="M169" t="str">
        <f>IF(final_data787[[#This Row],[WEATHER_CODE]]=1,"clear",IF(final_data787[[#This Row],[WEATHER_CODE]]=2,"cloudy",IF(final_data787[[#This Row],[WEATHER_CODE]]=3,"light rain",IF(final_data787[[#This Row],[WEATHER_CODE]]=4,"heavy rain",0))))</f>
        <v>cloudy</v>
      </c>
      <c r="N169">
        <v>0.16</v>
      </c>
      <c r="O169">
        <v>0.16669999999999999</v>
      </c>
      <c r="P169">
        <v>0.74</v>
      </c>
      <c r="Q169">
        <v>0.16420000000000001</v>
      </c>
      <c r="R169">
        <v>0</v>
      </c>
      <c r="S169">
        <v>2</v>
      </c>
      <c r="T169">
        <v>2</v>
      </c>
    </row>
    <row r="170" spans="1:20" x14ac:dyDescent="0.35">
      <c r="A170">
        <v>169</v>
      </c>
      <c r="B170" s="1">
        <v>40551</v>
      </c>
      <c r="C170">
        <v>1</v>
      </c>
      <c r="D170">
        <v>0</v>
      </c>
      <c r="E170">
        <v>1</v>
      </c>
      <c r="F170" t="str">
        <f>IF(final_data787[[#This Row],[MONTH_CODE]]=1,"JANUARY",IF(final_data787[[#This Row],[MONTH_CODE]]=2,"FEBRUARY"))</f>
        <v>JANUARY</v>
      </c>
      <c r="G170">
        <v>7</v>
      </c>
      <c r="H170">
        <v>0</v>
      </c>
      <c r="I170">
        <v>6</v>
      </c>
      <c r="J1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0" t="str">
        <f>IF(final_data787[[#This Row],[DAY_CODE]]=0,"weekend",IF(final_data787[[#This Row],[DAY_CODE]]=1,"weekend","weekday"))</f>
        <v>weekday</v>
      </c>
      <c r="L170">
        <v>2</v>
      </c>
      <c r="M170" t="str">
        <f>IF(final_data787[[#This Row],[WEATHER_CODE]]=1,"clear",IF(final_data787[[#This Row],[WEATHER_CODE]]=2,"cloudy",IF(final_data787[[#This Row],[WEATHER_CODE]]=3,"light rain",IF(final_data787[[#This Row],[WEATHER_CODE]]=4,"heavy rain",0))))</f>
        <v>cloudy</v>
      </c>
      <c r="N170">
        <v>0.16</v>
      </c>
      <c r="O170">
        <v>0.18179999999999999</v>
      </c>
      <c r="P170">
        <v>0.74</v>
      </c>
      <c r="Q170">
        <v>0.1045</v>
      </c>
      <c r="R170">
        <v>1</v>
      </c>
      <c r="S170">
        <v>8</v>
      </c>
      <c r="T170">
        <v>9</v>
      </c>
    </row>
    <row r="171" spans="1:20" x14ac:dyDescent="0.35">
      <c r="A171">
        <v>170</v>
      </c>
      <c r="B171" s="1">
        <v>40551</v>
      </c>
      <c r="C171">
        <v>1</v>
      </c>
      <c r="D171">
        <v>0</v>
      </c>
      <c r="E171">
        <v>1</v>
      </c>
      <c r="F171" t="str">
        <f>IF(final_data787[[#This Row],[MONTH_CODE]]=1,"JANUARY",IF(final_data787[[#This Row],[MONTH_CODE]]=2,"FEBRUARY"))</f>
        <v>JANUARY</v>
      </c>
      <c r="G171">
        <v>8</v>
      </c>
      <c r="H171">
        <v>0</v>
      </c>
      <c r="I171">
        <v>6</v>
      </c>
      <c r="J1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1" t="str">
        <f>IF(final_data787[[#This Row],[DAY_CODE]]=0,"weekend",IF(final_data787[[#This Row],[DAY_CODE]]=1,"weekend","weekday"))</f>
        <v>weekday</v>
      </c>
      <c r="L171">
        <v>3</v>
      </c>
      <c r="M171" t="str">
        <f>IF(final_data787[[#This Row],[WEATHER_CODE]]=1,"clear",IF(final_data787[[#This Row],[WEATHER_CODE]]=2,"cloudy",IF(final_data787[[#This Row],[WEATHER_CODE]]=3,"light rain",IF(final_data787[[#This Row],[WEATHER_CODE]]=4,"heavy rain",0))))</f>
        <v>light rain</v>
      </c>
      <c r="N171">
        <v>0.16</v>
      </c>
      <c r="O171">
        <v>0.18179999999999999</v>
      </c>
      <c r="P171">
        <v>0.93</v>
      </c>
      <c r="Q171">
        <v>0.1045</v>
      </c>
      <c r="R171">
        <v>0</v>
      </c>
      <c r="S171">
        <v>15</v>
      </c>
      <c r="T171">
        <v>15</v>
      </c>
    </row>
    <row r="172" spans="1:20" x14ac:dyDescent="0.35">
      <c r="A172">
        <v>171</v>
      </c>
      <c r="B172" s="1">
        <v>40551</v>
      </c>
      <c r="C172">
        <v>1</v>
      </c>
      <c r="D172">
        <v>0</v>
      </c>
      <c r="E172">
        <v>1</v>
      </c>
      <c r="F172" t="str">
        <f>IF(final_data787[[#This Row],[MONTH_CODE]]=1,"JANUARY",IF(final_data787[[#This Row],[MONTH_CODE]]=2,"FEBRUARY"))</f>
        <v>JANUARY</v>
      </c>
      <c r="G172">
        <v>9</v>
      </c>
      <c r="H172">
        <v>0</v>
      </c>
      <c r="I172">
        <v>6</v>
      </c>
      <c r="J1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2" t="str">
        <f>IF(final_data787[[#This Row],[DAY_CODE]]=0,"weekend",IF(final_data787[[#This Row],[DAY_CODE]]=1,"weekend","weekday"))</f>
        <v>weekday</v>
      </c>
      <c r="L172">
        <v>3</v>
      </c>
      <c r="M172" t="str">
        <f>IF(final_data787[[#This Row],[WEATHER_CODE]]=1,"clear",IF(final_data787[[#This Row],[WEATHER_CODE]]=2,"cloudy",IF(final_data787[[#This Row],[WEATHER_CODE]]=3,"light rain",IF(final_data787[[#This Row],[WEATHER_CODE]]=4,"heavy rain",0))))</f>
        <v>light rain</v>
      </c>
      <c r="N172">
        <v>0.16</v>
      </c>
      <c r="O172">
        <v>0.18179999999999999</v>
      </c>
      <c r="P172">
        <v>0.93</v>
      </c>
      <c r="Q172">
        <v>0.1045</v>
      </c>
      <c r="R172">
        <v>0</v>
      </c>
      <c r="S172">
        <v>20</v>
      </c>
      <c r="T172">
        <v>20</v>
      </c>
    </row>
    <row r="173" spans="1:20" x14ac:dyDescent="0.35">
      <c r="A173">
        <v>172</v>
      </c>
      <c r="B173" s="1">
        <v>40551</v>
      </c>
      <c r="C173">
        <v>1</v>
      </c>
      <c r="D173">
        <v>0</v>
      </c>
      <c r="E173">
        <v>1</v>
      </c>
      <c r="F173" t="str">
        <f>IF(final_data787[[#This Row],[MONTH_CODE]]=1,"JANUARY",IF(final_data787[[#This Row],[MONTH_CODE]]=2,"FEBRUARY"))</f>
        <v>JANUARY</v>
      </c>
      <c r="G173">
        <v>10</v>
      </c>
      <c r="H173">
        <v>0</v>
      </c>
      <c r="I173">
        <v>6</v>
      </c>
      <c r="J1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3" t="str">
        <f>IF(final_data787[[#This Row],[DAY_CODE]]=0,"weekend",IF(final_data787[[#This Row],[DAY_CODE]]=1,"weekend","weekday"))</f>
        <v>weekday</v>
      </c>
      <c r="L173">
        <v>2</v>
      </c>
      <c r="M173" t="str">
        <f>IF(final_data787[[#This Row],[WEATHER_CODE]]=1,"clear",IF(final_data787[[#This Row],[WEATHER_CODE]]=2,"cloudy",IF(final_data787[[#This Row],[WEATHER_CODE]]=3,"light rain",IF(final_data787[[#This Row],[WEATHER_CODE]]=4,"heavy rain",0))))</f>
        <v>cloudy</v>
      </c>
      <c r="N173">
        <v>0.18</v>
      </c>
      <c r="O173">
        <v>0.19700000000000001</v>
      </c>
      <c r="P173">
        <v>0.8</v>
      </c>
      <c r="Q173">
        <v>0.16420000000000001</v>
      </c>
      <c r="R173">
        <v>5</v>
      </c>
      <c r="S173">
        <v>56</v>
      </c>
      <c r="T173">
        <v>61</v>
      </c>
    </row>
    <row r="174" spans="1:20" x14ac:dyDescent="0.35">
      <c r="A174">
        <v>173</v>
      </c>
      <c r="B174" s="1">
        <v>40551</v>
      </c>
      <c r="C174">
        <v>1</v>
      </c>
      <c r="D174">
        <v>0</v>
      </c>
      <c r="E174">
        <v>1</v>
      </c>
      <c r="F174" t="str">
        <f>IF(final_data787[[#This Row],[MONTH_CODE]]=1,"JANUARY",IF(final_data787[[#This Row],[MONTH_CODE]]=2,"FEBRUARY"))</f>
        <v>JANUARY</v>
      </c>
      <c r="G174">
        <v>11</v>
      </c>
      <c r="H174">
        <v>0</v>
      </c>
      <c r="I174">
        <v>6</v>
      </c>
      <c r="J1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4" t="str">
        <f>IF(final_data787[[#This Row],[DAY_CODE]]=0,"weekend",IF(final_data787[[#This Row],[DAY_CODE]]=1,"weekend","weekday"))</f>
        <v>weekday</v>
      </c>
      <c r="L174">
        <v>2</v>
      </c>
      <c r="M174" t="str">
        <f>IF(final_data787[[#This Row],[WEATHER_CODE]]=1,"clear",IF(final_data787[[#This Row],[WEATHER_CODE]]=2,"cloudy",IF(final_data787[[#This Row],[WEATHER_CODE]]=3,"light rain",IF(final_data787[[#This Row],[WEATHER_CODE]]=4,"heavy rain",0))))</f>
        <v>cloudy</v>
      </c>
      <c r="N174">
        <v>0.2</v>
      </c>
      <c r="O174">
        <v>0.18179999999999999</v>
      </c>
      <c r="P174">
        <v>0.69</v>
      </c>
      <c r="Q174">
        <v>0.3881</v>
      </c>
      <c r="R174">
        <v>2</v>
      </c>
      <c r="S174">
        <v>60</v>
      </c>
      <c r="T174">
        <v>62</v>
      </c>
    </row>
    <row r="175" spans="1:20" x14ac:dyDescent="0.35">
      <c r="A175">
        <v>174</v>
      </c>
      <c r="B175" s="1">
        <v>40551</v>
      </c>
      <c r="C175">
        <v>1</v>
      </c>
      <c r="D175">
        <v>0</v>
      </c>
      <c r="E175">
        <v>1</v>
      </c>
      <c r="F175" t="str">
        <f>IF(final_data787[[#This Row],[MONTH_CODE]]=1,"JANUARY",IF(final_data787[[#This Row],[MONTH_CODE]]=2,"FEBRUARY"))</f>
        <v>JANUARY</v>
      </c>
      <c r="G175">
        <v>12</v>
      </c>
      <c r="H175">
        <v>0</v>
      </c>
      <c r="I175">
        <v>6</v>
      </c>
      <c r="J1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5" t="str">
        <f>IF(final_data787[[#This Row],[DAY_CODE]]=0,"weekend",IF(final_data787[[#This Row],[DAY_CODE]]=1,"weekend","weekday"))</f>
        <v>weekday</v>
      </c>
      <c r="L175">
        <v>2</v>
      </c>
      <c r="M175" t="str">
        <f>IF(final_data787[[#This Row],[WEATHER_CODE]]=1,"clear",IF(final_data787[[#This Row],[WEATHER_CODE]]=2,"cloudy",IF(final_data787[[#This Row],[WEATHER_CODE]]=3,"light rain",IF(final_data787[[#This Row],[WEATHER_CODE]]=4,"heavy rain",0))))</f>
        <v>cloudy</v>
      </c>
      <c r="N175">
        <v>0.2</v>
      </c>
      <c r="O175">
        <v>0.18179999999999999</v>
      </c>
      <c r="P175">
        <v>0.59</v>
      </c>
      <c r="Q175">
        <v>0.35820000000000002</v>
      </c>
      <c r="R175">
        <v>8</v>
      </c>
      <c r="S175">
        <v>90</v>
      </c>
      <c r="T175">
        <v>98</v>
      </c>
    </row>
    <row r="176" spans="1:20" x14ac:dyDescent="0.35">
      <c r="A176">
        <v>175</v>
      </c>
      <c r="B176" s="1">
        <v>40551</v>
      </c>
      <c r="C176">
        <v>1</v>
      </c>
      <c r="D176">
        <v>0</v>
      </c>
      <c r="E176">
        <v>1</v>
      </c>
      <c r="F176" t="str">
        <f>IF(final_data787[[#This Row],[MONTH_CODE]]=1,"JANUARY",IF(final_data787[[#This Row],[MONTH_CODE]]=2,"FEBRUARY"))</f>
        <v>JANUARY</v>
      </c>
      <c r="G176">
        <v>13</v>
      </c>
      <c r="H176">
        <v>0</v>
      </c>
      <c r="I176">
        <v>6</v>
      </c>
      <c r="J1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6" t="str">
        <f>IF(final_data787[[#This Row],[DAY_CODE]]=0,"weekend",IF(final_data787[[#This Row],[DAY_CODE]]=1,"weekend","weekday"))</f>
        <v>weekday</v>
      </c>
      <c r="L176">
        <v>1</v>
      </c>
      <c r="M176" t="str">
        <f>IF(final_data787[[#This Row],[WEATHER_CODE]]=1,"clear",IF(final_data787[[#This Row],[WEATHER_CODE]]=2,"cloudy",IF(final_data787[[#This Row],[WEATHER_CODE]]=3,"light rain",IF(final_data787[[#This Row],[WEATHER_CODE]]=4,"heavy rain",0))))</f>
        <v>clear</v>
      </c>
      <c r="N176">
        <v>0.2</v>
      </c>
      <c r="O176">
        <v>0.18179999999999999</v>
      </c>
      <c r="P176">
        <v>0.44</v>
      </c>
      <c r="Q176">
        <v>0.32840000000000003</v>
      </c>
      <c r="R176">
        <v>7</v>
      </c>
      <c r="S176">
        <v>95</v>
      </c>
      <c r="T176">
        <v>102</v>
      </c>
    </row>
    <row r="177" spans="1:20" x14ac:dyDescent="0.35">
      <c r="A177">
        <v>176</v>
      </c>
      <c r="B177" s="1">
        <v>40551</v>
      </c>
      <c r="C177">
        <v>1</v>
      </c>
      <c r="D177">
        <v>0</v>
      </c>
      <c r="E177">
        <v>1</v>
      </c>
      <c r="F177" t="str">
        <f>IF(final_data787[[#This Row],[MONTH_CODE]]=1,"JANUARY",IF(final_data787[[#This Row],[MONTH_CODE]]=2,"FEBRUARY"))</f>
        <v>JANUARY</v>
      </c>
      <c r="G177">
        <v>14</v>
      </c>
      <c r="H177">
        <v>0</v>
      </c>
      <c r="I177">
        <v>6</v>
      </c>
      <c r="J1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7" t="str">
        <f>IF(final_data787[[#This Row],[DAY_CODE]]=0,"weekend",IF(final_data787[[#This Row],[DAY_CODE]]=1,"weekend","weekday"))</f>
        <v>weekday</v>
      </c>
      <c r="L177">
        <v>1</v>
      </c>
      <c r="M177" t="str">
        <f>IF(final_data787[[#This Row],[WEATHER_CODE]]=1,"clear",IF(final_data787[[#This Row],[WEATHER_CODE]]=2,"cloudy",IF(final_data787[[#This Row],[WEATHER_CODE]]=3,"light rain",IF(final_data787[[#This Row],[WEATHER_CODE]]=4,"heavy rain",0))))</f>
        <v>clear</v>
      </c>
      <c r="N177">
        <v>0.2</v>
      </c>
      <c r="O177">
        <v>0.16669999999999999</v>
      </c>
      <c r="P177">
        <v>0.32</v>
      </c>
      <c r="Q177">
        <v>0.49249999999999999</v>
      </c>
      <c r="R177">
        <v>12</v>
      </c>
      <c r="S177">
        <v>83</v>
      </c>
      <c r="T177">
        <v>95</v>
      </c>
    </row>
    <row r="178" spans="1:20" x14ac:dyDescent="0.35">
      <c r="A178">
        <v>177</v>
      </c>
      <c r="B178" s="1">
        <v>40551</v>
      </c>
      <c r="C178">
        <v>1</v>
      </c>
      <c r="D178">
        <v>0</v>
      </c>
      <c r="E178">
        <v>1</v>
      </c>
      <c r="F178" t="str">
        <f>IF(final_data787[[#This Row],[MONTH_CODE]]=1,"JANUARY",IF(final_data787[[#This Row],[MONTH_CODE]]=2,"FEBRUARY"))</f>
        <v>JANUARY</v>
      </c>
      <c r="G178">
        <v>15</v>
      </c>
      <c r="H178">
        <v>0</v>
      </c>
      <c r="I178">
        <v>6</v>
      </c>
      <c r="J1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8" t="str">
        <f>IF(final_data787[[#This Row],[DAY_CODE]]=0,"weekend",IF(final_data787[[#This Row],[DAY_CODE]]=1,"weekend","weekday"))</f>
        <v>weekday</v>
      </c>
      <c r="L178">
        <v>1</v>
      </c>
      <c r="M178" t="str">
        <f>IF(final_data787[[#This Row],[WEATHER_CODE]]=1,"clear",IF(final_data787[[#This Row],[WEATHER_CODE]]=2,"cloudy",IF(final_data787[[#This Row],[WEATHER_CODE]]=3,"light rain",IF(final_data787[[#This Row],[WEATHER_CODE]]=4,"heavy rain",0))))</f>
        <v>clear</v>
      </c>
      <c r="N178">
        <v>0.2</v>
      </c>
      <c r="O178">
        <v>0.16669999999999999</v>
      </c>
      <c r="P178">
        <v>0.32</v>
      </c>
      <c r="Q178">
        <v>0.44779999999999998</v>
      </c>
      <c r="R178">
        <v>5</v>
      </c>
      <c r="S178">
        <v>69</v>
      </c>
      <c r="T178">
        <v>74</v>
      </c>
    </row>
    <row r="179" spans="1:20" x14ac:dyDescent="0.35">
      <c r="A179">
        <v>178</v>
      </c>
      <c r="B179" s="1">
        <v>40551</v>
      </c>
      <c r="C179">
        <v>1</v>
      </c>
      <c r="D179">
        <v>0</v>
      </c>
      <c r="E179">
        <v>1</v>
      </c>
      <c r="F179" t="str">
        <f>IF(final_data787[[#This Row],[MONTH_CODE]]=1,"JANUARY",IF(final_data787[[#This Row],[MONTH_CODE]]=2,"FEBRUARY"))</f>
        <v>JANUARY</v>
      </c>
      <c r="G179">
        <v>16</v>
      </c>
      <c r="H179">
        <v>0</v>
      </c>
      <c r="I179">
        <v>6</v>
      </c>
      <c r="J1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79" t="str">
        <f>IF(final_data787[[#This Row],[DAY_CODE]]=0,"weekend",IF(final_data787[[#This Row],[DAY_CODE]]=1,"weekend","weekday"))</f>
        <v>weekday</v>
      </c>
      <c r="L179">
        <v>1</v>
      </c>
      <c r="M179" t="str">
        <f>IF(final_data787[[#This Row],[WEATHER_CODE]]=1,"clear",IF(final_data787[[#This Row],[WEATHER_CODE]]=2,"cloudy",IF(final_data787[[#This Row],[WEATHER_CODE]]=3,"light rain",IF(final_data787[[#This Row],[WEATHER_CODE]]=4,"heavy rain",0))))</f>
        <v>clear</v>
      </c>
      <c r="N179">
        <v>0.18</v>
      </c>
      <c r="O179">
        <v>0.13639999999999999</v>
      </c>
      <c r="P179">
        <v>0.28999999999999998</v>
      </c>
      <c r="Q179">
        <v>0.44779999999999998</v>
      </c>
      <c r="R179">
        <v>8</v>
      </c>
      <c r="S179">
        <v>68</v>
      </c>
      <c r="T179">
        <v>76</v>
      </c>
    </row>
    <row r="180" spans="1:20" x14ac:dyDescent="0.35">
      <c r="A180">
        <v>179</v>
      </c>
      <c r="B180" s="1">
        <v>40551</v>
      </c>
      <c r="C180">
        <v>1</v>
      </c>
      <c r="D180">
        <v>0</v>
      </c>
      <c r="E180">
        <v>1</v>
      </c>
      <c r="F180" t="str">
        <f>IF(final_data787[[#This Row],[MONTH_CODE]]=1,"JANUARY",IF(final_data787[[#This Row],[MONTH_CODE]]=2,"FEBRUARY"))</f>
        <v>JANUARY</v>
      </c>
      <c r="G180">
        <v>17</v>
      </c>
      <c r="H180">
        <v>0</v>
      </c>
      <c r="I180">
        <v>6</v>
      </c>
      <c r="J1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0" t="str">
        <f>IF(final_data787[[#This Row],[DAY_CODE]]=0,"weekend",IF(final_data787[[#This Row],[DAY_CODE]]=1,"weekend","weekday"))</f>
        <v>weekday</v>
      </c>
      <c r="L180">
        <v>1</v>
      </c>
      <c r="M180" t="str">
        <f>IF(final_data787[[#This Row],[WEATHER_CODE]]=1,"clear",IF(final_data787[[#This Row],[WEATHER_CODE]]=2,"cloudy",IF(final_data787[[#This Row],[WEATHER_CODE]]=3,"light rain",IF(final_data787[[#This Row],[WEATHER_CODE]]=4,"heavy rain",0))))</f>
        <v>clear</v>
      </c>
      <c r="N180">
        <v>0.16</v>
      </c>
      <c r="O180">
        <v>0.1212</v>
      </c>
      <c r="P180">
        <v>0.37</v>
      </c>
      <c r="Q180">
        <v>0.55220000000000002</v>
      </c>
      <c r="R180">
        <v>5</v>
      </c>
      <c r="S180">
        <v>64</v>
      </c>
      <c r="T180">
        <v>69</v>
      </c>
    </row>
    <row r="181" spans="1:20" x14ac:dyDescent="0.35">
      <c r="A181">
        <v>180</v>
      </c>
      <c r="B181" s="1">
        <v>40551</v>
      </c>
      <c r="C181">
        <v>1</v>
      </c>
      <c r="D181">
        <v>0</v>
      </c>
      <c r="E181">
        <v>1</v>
      </c>
      <c r="F181" t="str">
        <f>IF(final_data787[[#This Row],[MONTH_CODE]]=1,"JANUARY",IF(final_data787[[#This Row],[MONTH_CODE]]=2,"FEBRUARY"))</f>
        <v>JANUARY</v>
      </c>
      <c r="G181">
        <v>18</v>
      </c>
      <c r="H181">
        <v>0</v>
      </c>
      <c r="I181">
        <v>6</v>
      </c>
      <c r="J1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1" t="str">
        <f>IF(final_data787[[#This Row],[DAY_CODE]]=0,"weekend",IF(final_data787[[#This Row],[DAY_CODE]]=1,"weekend","weekday"))</f>
        <v>weekday</v>
      </c>
      <c r="L181">
        <v>1</v>
      </c>
      <c r="M181" t="str">
        <f>IF(final_data787[[#This Row],[WEATHER_CODE]]=1,"clear",IF(final_data787[[#This Row],[WEATHER_CODE]]=2,"cloudy",IF(final_data787[[#This Row],[WEATHER_CODE]]=3,"light rain",IF(final_data787[[#This Row],[WEATHER_CODE]]=4,"heavy rain",0))))</f>
        <v>clear</v>
      </c>
      <c r="N181">
        <v>0.14000000000000001</v>
      </c>
      <c r="O181">
        <v>0.1212</v>
      </c>
      <c r="P181">
        <v>0.39</v>
      </c>
      <c r="Q181">
        <v>0.29849999999999999</v>
      </c>
      <c r="R181">
        <v>3</v>
      </c>
      <c r="S181">
        <v>52</v>
      </c>
      <c r="T181">
        <v>55</v>
      </c>
    </row>
    <row r="182" spans="1:20" x14ac:dyDescent="0.35">
      <c r="A182">
        <v>181</v>
      </c>
      <c r="B182" s="1">
        <v>40551</v>
      </c>
      <c r="C182">
        <v>1</v>
      </c>
      <c r="D182">
        <v>0</v>
      </c>
      <c r="E182">
        <v>1</v>
      </c>
      <c r="F182" t="str">
        <f>IF(final_data787[[#This Row],[MONTH_CODE]]=1,"JANUARY",IF(final_data787[[#This Row],[MONTH_CODE]]=2,"FEBRUARY"))</f>
        <v>JANUARY</v>
      </c>
      <c r="G182">
        <v>19</v>
      </c>
      <c r="H182">
        <v>0</v>
      </c>
      <c r="I182">
        <v>6</v>
      </c>
      <c r="J1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2" t="str">
        <f>IF(final_data787[[#This Row],[DAY_CODE]]=0,"weekend",IF(final_data787[[#This Row],[DAY_CODE]]=1,"weekend","weekday"))</f>
        <v>weekday</v>
      </c>
      <c r="L182">
        <v>1</v>
      </c>
      <c r="M182" t="str">
        <f>IF(final_data787[[#This Row],[WEATHER_CODE]]=1,"clear",IF(final_data787[[#This Row],[WEATHER_CODE]]=2,"cloudy",IF(final_data787[[#This Row],[WEATHER_CODE]]=3,"light rain",IF(final_data787[[#This Row],[WEATHER_CODE]]=4,"heavy rain",0))))</f>
        <v>clear</v>
      </c>
      <c r="N182">
        <v>0.14000000000000001</v>
      </c>
      <c r="O182">
        <v>0.1212</v>
      </c>
      <c r="P182">
        <v>0.36</v>
      </c>
      <c r="Q182">
        <v>0.25369999999999998</v>
      </c>
      <c r="R182">
        <v>4</v>
      </c>
      <c r="S182">
        <v>26</v>
      </c>
      <c r="T182">
        <v>30</v>
      </c>
    </row>
    <row r="183" spans="1:20" x14ac:dyDescent="0.35">
      <c r="A183">
        <v>182</v>
      </c>
      <c r="B183" s="1">
        <v>40551</v>
      </c>
      <c r="C183">
        <v>1</v>
      </c>
      <c r="D183">
        <v>0</v>
      </c>
      <c r="E183">
        <v>1</v>
      </c>
      <c r="F183" t="str">
        <f>IF(final_data787[[#This Row],[MONTH_CODE]]=1,"JANUARY",IF(final_data787[[#This Row],[MONTH_CODE]]=2,"FEBRUARY"))</f>
        <v>JANUARY</v>
      </c>
      <c r="G183">
        <v>20</v>
      </c>
      <c r="H183">
        <v>0</v>
      </c>
      <c r="I183">
        <v>6</v>
      </c>
      <c r="J1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3" t="str">
        <f>IF(final_data787[[#This Row],[DAY_CODE]]=0,"weekend",IF(final_data787[[#This Row],[DAY_CODE]]=1,"weekend","weekday"))</f>
        <v>weekday</v>
      </c>
      <c r="L183">
        <v>1</v>
      </c>
      <c r="M183" t="str">
        <f>IF(final_data787[[#This Row],[WEATHER_CODE]]=1,"clear",IF(final_data787[[#This Row],[WEATHER_CODE]]=2,"cloudy",IF(final_data787[[#This Row],[WEATHER_CODE]]=3,"light rain",IF(final_data787[[#This Row],[WEATHER_CODE]]=4,"heavy rain",0))))</f>
        <v>clear</v>
      </c>
      <c r="N183">
        <v>0.12</v>
      </c>
      <c r="O183">
        <v>0.1212</v>
      </c>
      <c r="P183">
        <v>0.36</v>
      </c>
      <c r="Q183">
        <v>0.25369999999999998</v>
      </c>
      <c r="R183">
        <v>0</v>
      </c>
      <c r="S183">
        <v>28</v>
      </c>
      <c r="T183">
        <v>28</v>
      </c>
    </row>
    <row r="184" spans="1:20" x14ac:dyDescent="0.35">
      <c r="A184">
        <v>183</v>
      </c>
      <c r="B184" s="1">
        <v>40551</v>
      </c>
      <c r="C184">
        <v>1</v>
      </c>
      <c r="D184">
        <v>0</v>
      </c>
      <c r="E184">
        <v>1</v>
      </c>
      <c r="F184" t="str">
        <f>IF(final_data787[[#This Row],[MONTH_CODE]]=1,"JANUARY",IF(final_data787[[#This Row],[MONTH_CODE]]=2,"FEBRUARY"))</f>
        <v>JANUARY</v>
      </c>
      <c r="G184">
        <v>21</v>
      </c>
      <c r="H184">
        <v>0</v>
      </c>
      <c r="I184">
        <v>6</v>
      </c>
      <c r="J1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4" t="str">
        <f>IF(final_data787[[#This Row],[DAY_CODE]]=0,"weekend",IF(final_data787[[#This Row],[DAY_CODE]]=1,"weekend","weekday"))</f>
        <v>weekday</v>
      </c>
      <c r="L184">
        <v>1</v>
      </c>
      <c r="M184" t="str">
        <f>IF(final_data787[[#This Row],[WEATHER_CODE]]=1,"clear",IF(final_data787[[#This Row],[WEATHER_CODE]]=2,"cloudy",IF(final_data787[[#This Row],[WEATHER_CODE]]=3,"light rain",IF(final_data787[[#This Row],[WEATHER_CODE]]=4,"heavy rain",0))))</f>
        <v>clear</v>
      </c>
      <c r="N184">
        <v>0.12</v>
      </c>
      <c r="O184">
        <v>0.1061</v>
      </c>
      <c r="P184">
        <v>0.39</v>
      </c>
      <c r="Q184">
        <v>0.35820000000000002</v>
      </c>
      <c r="R184">
        <v>2</v>
      </c>
      <c r="S184">
        <v>35</v>
      </c>
      <c r="T184">
        <v>37</v>
      </c>
    </row>
    <row r="185" spans="1:20" x14ac:dyDescent="0.35">
      <c r="A185">
        <v>184</v>
      </c>
      <c r="B185" s="1">
        <v>40551</v>
      </c>
      <c r="C185">
        <v>1</v>
      </c>
      <c r="D185">
        <v>0</v>
      </c>
      <c r="E185">
        <v>1</v>
      </c>
      <c r="F185" t="str">
        <f>IF(final_data787[[#This Row],[MONTH_CODE]]=1,"JANUARY",IF(final_data787[[#This Row],[MONTH_CODE]]=2,"FEBRUARY"))</f>
        <v>JANUARY</v>
      </c>
      <c r="G185">
        <v>22</v>
      </c>
      <c r="H185">
        <v>0</v>
      </c>
      <c r="I185">
        <v>6</v>
      </c>
      <c r="J1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5" t="str">
        <f>IF(final_data787[[#This Row],[DAY_CODE]]=0,"weekend",IF(final_data787[[#This Row],[DAY_CODE]]=1,"weekend","weekday"))</f>
        <v>weekday</v>
      </c>
      <c r="L185">
        <v>1</v>
      </c>
      <c r="M185" t="str">
        <f>IF(final_data787[[#This Row],[WEATHER_CODE]]=1,"clear",IF(final_data787[[#This Row],[WEATHER_CODE]]=2,"cloudy",IF(final_data787[[#This Row],[WEATHER_CODE]]=3,"light rain",IF(final_data787[[#This Row],[WEATHER_CODE]]=4,"heavy rain",0))))</f>
        <v>clear</v>
      </c>
      <c r="N185">
        <v>0.12</v>
      </c>
      <c r="O185">
        <v>0.1061</v>
      </c>
      <c r="P185">
        <v>0.36</v>
      </c>
      <c r="Q185">
        <v>0.3881</v>
      </c>
      <c r="R185">
        <v>1</v>
      </c>
      <c r="S185">
        <v>33</v>
      </c>
      <c r="T185">
        <v>34</v>
      </c>
    </row>
    <row r="186" spans="1:20" x14ac:dyDescent="0.35">
      <c r="A186">
        <v>185</v>
      </c>
      <c r="B186" s="1">
        <v>40551</v>
      </c>
      <c r="C186">
        <v>1</v>
      </c>
      <c r="D186">
        <v>0</v>
      </c>
      <c r="E186">
        <v>1</v>
      </c>
      <c r="F186" t="str">
        <f>IF(final_data787[[#This Row],[MONTH_CODE]]=1,"JANUARY",IF(final_data787[[#This Row],[MONTH_CODE]]=2,"FEBRUARY"))</f>
        <v>JANUARY</v>
      </c>
      <c r="G186">
        <v>23</v>
      </c>
      <c r="H186">
        <v>0</v>
      </c>
      <c r="I186">
        <v>6</v>
      </c>
      <c r="J1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186" t="str">
        <f>IF(final_data787[[#This Row],[DAY_CODE]]=0,"weekend",IF(final_data787[[#This Row],[DAY_CODE]]=1,"weekend","weekday"))</f>
        <v>weekday</v>
      </c>
      <c r="L186">
        <v>1</v>
      </c>
      <c r="M186" t="str">
        <f>IF(final_data787[[#This Row],[WEATHER_CODE]]=1,"clear",IF(final_data787[[#This Row],[WEATHER_CODE]]=2,"cloudy",IF(final_data787[[#This Row],[WEATHER_CODE]]=3,"light rain",IF(final_data787[[#This Row],[WEATHER_CODE]]=4,"heavy rain",0))))</f>
        <v>clear</v>
      </c>
      <c r="N186">
        <v>0.1</v>
      </c>
      <c r="O186">
        <v>6.0600000000000001E-2</v>
      </c>
      <c r="P186">
        <v>0.39</v>
      </c>
      <c r="Q186">
        <v>0.44779999999999998</v>
      </c>
      <c r="R186">
        <v>0</v>
      </c>
      <c r="S186">
        <v>22</v>
      </c>
      <c r="T186">
        <v>22</v>
      </c>
    </row>
    <row r="187" spans="1:20" x14ac:dyDescent="0.35">
      <c r="A187">
        <v>186</v>
      </c>
      <c r="B187" s="1">
        <v>40552</v>
      </c>
      <c r="C187">
        <v>1</v>
      </c>
      <c r="D187">
        <v>0</v>
      </c>
      <c r="E187">
        <v>1</v>
      </c>
      <c r="F187" t="str">
        <f>IF(final_data787[[#This Row],[MONTH_CODE]]=1,"JANUARY",IF(final_data787[[#This Row],[MONTH_CODE]]=2,"FEBRUARY"))</f>
        <v>JANUARY</v>
      </c>
      <c r="G187">
        <v>0</v>
      </c>
      <c r="H187">
        <v>0</v>
      </c>
      <c r="I187">
        <v>0</v>
      </c>
      <c r="J1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87" t="str">
        <f>IF(final_data787[[#This Row],[DAY_CODE]]=0,"weekend",IF(final_data787[[#This Row],[DAY_CODE]]=1,"weekend","weekday"))</f>
        <v>weekend</v>
      </c>
      <c r="L187">
        <v>1</v>
      </c>
      <c r="M187" t="str">
        <f>IF(final_data787[[#This Row],[WEATHER_CODE]]=1,"clear",IF(final_data787[[#This Row],[WEATHER_CODE]]=2,"cloudy",IF(final_data787[[#This Row],[WEATHER_CODE]]=3,"light rain",IF(final_data787[[#This Row],[WEATHER_CODE]]=4,"heavy rain",0))))</f>
        <v>clear</v>
      </c>
      <c r="N187">
        <v>0.1</v>
      </c>
      <c r="O187">
        <v>7.5800000000000006E-2</v>
      </c>
      <c r="P187">
        <v>0.42</v>
      </c>
      <c r="Q187">
        <v>0.3881</v>
      </c>
      <c r="R187">
        <v>1</v>
      </c>
      <c r="S187">
        <v>24</v>
      </c>
      <c r="T187">
        <v>25</v>
      </c>
    </row>
    <row r="188" spans="1:20" x14ac:dyDescent="0.35">
      <c r="A188">
        <v>187</v>
      </c>
      <c r="B188" s="1">
        <v>40552</v>
      </c>
      <c r="C188">
        <v>1</v>
      </c>
      <c r="D188">
        <v>0</v>
      </c>
      <c r="E188">
        <v>1</v>
      </c>
      <c r="F188" t="str">
        <f>IF(final_data787[[#This Row],[MONTH_CODE]]=1,"JANUARY",IF(final_data787[[#This Row],[MONTH_CODE]]=2,"FEBRUARY"))</f>
        <v>JANUARY</v>
      </c>
      <c r="G188">
        <v>1</v>
      </c>
      <c r="H188">
        <v>0</v>
      </c>
      <c r="I188">
        <v>0</v>
      </c>
      <c r="J1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88" t="str">
        <f>IF(final_data787[[#This Row],[DAY_CODE]]=0,"weekend",IF(final_data787[[#This Row],[DAY_CODE]]=1,"weekend","weekday"))</f>
        <v>weekend</v>
      </c>
      <c r="L188">
        <v>1</v>
      </c>
      <c r="M188" t="str">
        <f>IF(final_data787[[#This Row],[WEATHER_CODE]]=1,"clear",IF(final_data787[[#This Row],[WEATHER_CODE]]=2,"cloudy",IF(final_data787[[#This Row],[WEATHER_CODE]]=3,"light rain",IF(final_data787[[#This Row],[WEATHER_CODE]]=4,"heavy rain",0))))</f>
        <v>clear</v>
      </c>
      <c r="N188">
        <v>0.1</v>
      </c>
      <c r="O188">
        <v>6.0600000000000001E-2</v>
      </c>
      <c r="P188">
        <v>0.42</v>
      </c>
      <c r="Q188">
        <v>0.4627</v>
      </c>
      <c r="R188">
        <v>0</v>
      </c>
      <c r="S188">
        <v>12</v>
      </c>
      <c r="T188">
        <v>12</v>
      </c>
    </row>
    <row r="189" spans="1:20" x14ac:dyDescent="0.35">
      <c r="A189">
        <v>188</v>
      </c>
      <c r="B189" s="1">
        <v>40552</v>
      </c>
      <c r="C189">
        <v>1</v>
      </c>
      <c r="D189">
        <v>0</v>
      </c>
      <c r="E189">
        <v>1</v>
      </c>
      <c r="F189" t="str">
        <f>IF(final_data787[[#This Row],[MONTH_CODE]]=1,"JANUARY",IF(final_data787[[#This Row],[MONTH_CODE]]=2,"FEBRUARY"))</f>
        <v>JANUARY</v>
      </c>
      <c r="G189">
        <v>2</v>
      </c>
      <c r="H189">
        <v>0</v>
      </c>
      <c r="I189">
        <v>0</v>
      </c>
      <c r="J1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89" t="str">
        <f>IF(final_data787[[#This Row],[DAY_CODE]]=0,"weekend",IF(final_data787[[#This Row],[DAY_CODE]]=1,"weekend","weekday"))</f>
        <v>weekend</v>
      </c>
      <c r="L189">
        <v>1</v>
      </c>
      <c r="M189" t="str">
        <f>IF(final_data787[[#This Row],[WEATHER_CODE]]=1,"clear",IF(final_data787[[#This Row],[WEATHER_CODE]]=2,"cloudy",IF(final_data787[[#This Row],[WEATHER_CODE]]=3,"light rain",IF(final_data787[[#This Row],[WEATHER_CODE]]=4,"heavy rain",0))))</f>
        <v>clear</v>
      </c>
      <c r="N189">
        <v>0.1</v>
      </c>
      <c r="O189">
        <v>6.0600000000000001E-2</v>
      </c>
      <c r="P189">
        <v>0.46</v>
      </c>
      <c r="Q189">
        <v>0.4627</v>
      </c>
      <c r="R189">
        <v>0</v>
      </c>
      <c r="S189">
        <v>11</v>
      </c>
      <c r="T189">
        <v>11</v>
      </c>
    </row>
    <row r="190" spans="1:20" x14ac:dyDescent="0.35">
      <c r="A190">
        <v>189</v>
      </c>
      <c r="B190" s="1">
        <v>40552</v>
      </c>
      <c r="C190">
        <v>1</v>
      </c>
      <c r="D190">
        <v>0</v>
      </c>
      <c r="E190">
        <v>1</v>
      </c>
      <c r="F190" t="str">
        <f>IF(final_data787[[#This Row],[MONTH_CODE]]=1,"JANUARY",IF(final_data787[[#This Row],[MONTH_CODE]]=2,"FEBRUARY"))</f>
        <v>JANUARY</v>
      </c>
      <c r="G190">
        <v>3</v>
      </c>
      <c r="H190">
        <v>0</v>
      </c>
      <c r="I190">
        <v>0</v>
      </c>
      <c r="J1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0" t="str">
        <f>IF(final_data787[[#This Row],[DAY_CODE]]=0,"weekend",IF(final_data787[[#This Row],[DAY_CODE]]=1,"weekend","weekday"))</f>
        <v>weekend</v>
      </c>
      <c r="L190">
        <v>1</v>
      </c>
      <c r="M190" t="str">
        <f>IF(final_data787[[#This Row],[WEATHER_CODE]]=1,"clear",IF(final_data787[[#This Row],[WEATHER_CODE]]=2,"cloudy",IF(final_data787[[#This Row],[WEATHER_CODE]]=3,"light rain",IF(final_data787[[#This Row],[WEATHER_CODE]]=4,"heavy rain",0))))</f>
        <v>clear</v>
      </c>
      <c r="N190">
        <v>0.1</v>
      </c>
      <c r="O190">
        <v>7.5800000000000006E-2</v>
      </c>
      <c r="P190">
        <v>0.46</v>
      </c>
      <c r="Q190">
        <v>0.41789999999999999</v>
      </c>
      <c r="R190">
        <v>0</v>
      </c>
      <c r="S190">
        <v>4</v>
      </c>
      <c r="T190">
        <v>4</v>
      </c>
    </row>
    <row r="191" spans="1:20" x14ac:dyDescent="0.35">
      <c r="A191">
        <v>190</v>
      </c>
      <c r="B191" s="1">
        <v>40552</v>
      </c>
      <c r="C191">
        <v>1</v>
      </c>
      <c r="D191">
        <v>0</v>
      </c>
      <c r="E191">
        <v>1</v>
      </c>
      <c r="F191" t="str">
        <f>IF(final_data787[[#This Row],[MONTH_CODE]]=1,"JANUARY",IF(final_data787[[#This Row],[MONTH_CODE]]=2,"FEBRUARY"))</f>
        <v>JANUARY</v>
      </c>
      <c r="G191">
        <v>4</v>
      </c>
      <c r="H191">
        <v>0</v>
      </c>
      <c r="I191">
        <v>0</v>
      </c>
      <c r="J1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1" t="str">
        <f>IF(final_data787[[#This Row],[DAY_CODE]]=0,"weekend",IF(final_data787[[#This Row],[DAY_CODE]]=1,"weekend","weekday"))</f>
        <v>weekend</v>
      </c>
      <c r="L191">
        <v>1</v>
      </c>
      <c r="M191" t="str">
        <f>IF(final_data787[[#This Row],[WEATHER_CODE]]=1,"clear",IF(final_data787[[#This Row],[WEATHER_CODE]]=2,"cloudy",IF(final_data787[[#This Row],[WEATHER_CODE]]=3,"light rain",IF(final_data787[[#This Row],[WEATHER_CODE]]=4,"heavy rain",0))))</f>
        <v>clear</v>
      </c>
      <c r="N191">
        <v>0.08</v>
      </c>
      <c r="O191">
        <v>9.0899999999999995E-2</v>
      </c>
      <c r="P191">
        <v>0.53</v>
      </c>
      <c r="Q191">
        <v>0.19400000000000001</v>
      </c>
      <c r="R191">
        <v>0</v>
      </c>
      <c r="S191">
        <v>1</v>
      </c>
      <c r="T191">
        <v>1</v>
      </c>
    </row>
    <row r="192" spans="1:20" x14ac:dyDescent="0.35">
      <c r="A192">
        <v>191</v>
      </c>
      <c r="B192" s="1">
        <v>40552</v>
      </c>
      <c r="C192">
        <v>1</v>
      </c>
      <c r="D192">
        <v>0</v>
      </c>
      <c r="E192">
        <v>1</v>
      </c>
      <c r="F192" t="str">
        <f>IF(final_data787[[#This Row],[MONTH_CODE]]=1,"JANUARY",IF(final_data787[[#This Row],[MONTH_CODE]]=2,"FEBRUARY"))</f>
        <v>JANUARY</v>
      </c>
      <c r="G192">
        <v>5</v>
      </c>
      <c r="H192">
        <v>0</v>
      </c>
      <c r="I192">
        <v>0</v>
      </c>
      <c r="J1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2" t="str">
        <f>IF(final_data787[[#This Row],[DAY_CODE]]=0,"weekend",IF(final_data787[[#This Row],[DAY_CODE]]=1,"weekend","weekday"))</f>
        <v>weekend</v>
      </c>
      <c r="L192">
        <v>1</v>
      </c>
      <c r="M192" t="str">
        <f>IF(final_data787[[#This Row],[WEATHER_CODE]]=1,"clear",IF(final_data787[[#This Row],[WEATHER_CODE]]=2,"cloudy",IF(final_data787[[#This Row],[WEATHER_CODE]]=3,"light rain",IF(final_data787[[#This Row],[WEATHER_CODE]]=4,"heavy rain",0))))</f>
        <v>clear</v>
      </c>
      <c r="N192">
        <v>0.08</v>
      </c>
      <c r="O192">
        <v>9.0899999999999995E-2</v>
      </c>
      <c r="P192">
        <v>0.53</v>
      </c>
      <c r="Q192">
        <v>0.19400000000000001</v>
      </c>
      <c r="R192">
        <v>0</v>
      </c>
      <c r="S192">
        <v>1</v>
      </c>
      <c r="T192">
        <v>1</v>
      </c>
    </row>
    <row r="193" spans="1:20" x14ac:dyDescent="0.35">
      <c r="A193">
        <v>192</v>
      </c>
      <c r="B193" s="1">
        <v>40552</v>
      </c>
      <c r="C193">
        <v>1</v>
      </c>
      <c r="D193">
        <v>0</v>
      </c>
      <c r="E193">
        <v>1</v>
      </c>
      <c r="F193" t="str">
        <f>IF(final_data787[[#This Row],[MONTH_CODE]]=1,"JANUARY",IF(final_data787[[#This Row],[MONTH_CODE]]=2,"FEBRUARY"))</f>
        <v>JANUARY</v>
      </c>
      <c r="G193">
        <v>6</v>
      </c>
      <c r="H193">
        <v>0</v>
      </c>
      <c r="I193">
        <v>0</v>
      </c>
      <c r="J1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3" t="str">
        <f>IF(final_data787[[#This Row],[DAY_CODE]]=0,"weekend",IF(final_data787[[#This Row],[DAY_CODE]]=1,"weekend","weekday"))</f>
        <v>weekend</v>
      </c>
      <c r="L193">
        <v>1</v>
      </c>
      <c r="M193" t="str">
        <f>IF(final_data787[[#This Row],[WEATHER_CODE]]=1,"clear",IF(final_data787[[#This Row],[WEATHER_CODE]]=2,"cloudy",IF(final_data787[[#This Row],[WEATHER_CODE]]=3,"light rain",IF(final_data787[[#This Row],[WEATHER_CODE]]=4,"heavy rain",0))))</f>
        <v>clear</v>
      </c>
      <c r="N193">
        <v>0.1</v>
      </c>
      <c r="O193">
        <v>9.0899999999999995E-2</v>
      </c>
      <c r="P193">
        <v>0.49</v>
      </c>
      <c r="Q193">
        <v>0.28360000000000002</v>
      </c>
      <c r="R193">
        <v>0</v>
      </c>
      <c r="S193">
        <v>1</v>
      </c>
      <c r="T193">
        <v>1</v>
      </c>
    </row>
    <row r="194" spans="1:20" x14ac:dyDescent="0.35">
      <c r="A194">
        <v>193</v>
      </c>
      <c r="B194" s="1">
        <v>40552</v>
      </c>
      <c r="C194">
        <v>1</v>
      </c>
      <c r="D194">
        <v>0</v>
      </c>
      <c r="E194">
        <v>1</v>
      </c>
      <c r="F194" t="str">
        <f>IF(final_data787[[#This Row],[MONTH_CODE]]=1,"JANUARY",IF(final_data787[[#This Row],[MONTH_CODE]]=2,"FEBRUARY"))</f>
        <v>JANUARY</v>
      </c>
      <c r="G194">
        <v>7</v>
      </c>
      <c r="H194">
        <v>0</v>
      </c>
      <c r="I194">
        <v>0</v>
      </c>
      <c r="J1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4" t="str">
        <f>IF(final_data787[[#This Row],[DAY_CODE]]=0,"weekend",IF(final_data787[[#This Row],[DAY_CODE]]=1,"weekend","weekday"))</f>
        <v>weekend</v>
      </c>
      <c r="L194">
        <v>1</v>
      </c>
      <c r="M194" t="str">
        <f>IF(final_data787[[#This Row],[WEATHER_CODE]]=1,"clear",IF(final_data787[[#This Row],[WEATHER_CODE]]=2,"cloudy",IF(final_data787[[#This Row],[WEATHER_CODE]]=3,"light rain",IF(final_data787[[#This Row],[WEATHER_CODE]]=4,"heavy rain",0))))</f>
        <v>clear</v>
      </c>
      <c r="N194">
        <v>0.08</v>
      </c>
      <c r="O194">
        <v>9.0899999999999995E-2</v>
      </c>
      <c r="P194">
        <v>0.53</v>
      </c>
      <c r="Q194">
        <v>0.19400000000000001</v>
      </c>
      <c r="R194">
        <v>1</v>
      </c>
      <c r="S194">
        <v>5</v>
      </c>
      <c r="T194">
        <v>6</v>
      </c>
    </row>
    <row r="195" spans="1:20" x14ac:dyDescent="0.35">
      <c r="A195">
        <v>194</v>
      </c>
      <c r="B195" s="1">
        <v>40552</v>
      </c>
      <c r="C195">
        <v>1</v>
      </c>
      <c r="D195">
        <v>0</v>
      </c>
      <c r="E195">
        <v>1</v>
      </c>
      <c r="F195" t="str">
        <f>IF(final_data787[[#This Row],[MONTH_CODE]]=1,"JANUARY",IF(final_data787[[#This Row],[MONTH_CODE]]=2,"FEBRUARY"))</f>
        <v>JANUARY</v>
      </c>
      <c r="G195">
        <v>8</v>
      </c>
      <c r="H195">
        <v>0</v>
      </c>
      <c r="I195">
        <v>0</v>
      </c>
      <c r="J1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5" t="str">
        <f>IF(final_data787[[#This Row],[DAY_CODE]]=0,"weekend",IF(final_data787[[#This Row],[DAY_CODE]]=1,"weekend","weekday"))</f>
        <v>weekend</v>
      </c>
      <c r="L195">
        <v>1</v>
      </c>
      <c r="M195" t="str">
        <f>IF(final_data787[[#This Row],[WEATHER_CODE]]=1,"clear",IF(final_data787[[#This Row],[WEATHER_CODE]]=2,"cloudy",IF(final_data787[[#This Row],[WEATHER_CODE]]=3,"light rain",IF(final_data787[[#This Row],[WEATHER_CODE]]=4,"heavy rain",0))))</f>
        <v>clear</v>
      </c>
      <c r="N195">
        <v>0.1</v>
      </c>
      <c r="O195">
        <v>9.0899999999999995E-2</v>
      </c>
      <c r="P195">
        <v>0.49</v>
      </c>
      <c r="Q195">
        <v>0.28360000000000002</v>
      </c>
      <c r="R195">
        <v>0</v>
      </c>
      <c r="S195">
        <v>10</v>
      </c>
      <c r="T195">
        <v>10</v>
      </c>
    </row>
    <row r="196" spans="1:20" x14ac:dyDescent="0.35">
      <c r="A196">
        <v>195</v>
      </c>
      <c r="B196" s="1">
        <v>40552</v>
      </c>
      <c r="C196">
        <v>1</v>
      </c>
      <c r="D196">
        <v>0</v>
      </c>
      <c r="E196">
        <v>1</v>
      </c>
      <c r="F196" t="str">
        <f>IF(final_data787[[#This Row],[MONTH_CODE]]=1,"JANUARY",IF(final_data787[[#This Row],[MONTH_CODE]]=2,"FEBRUARY"))</f>
        <v>JANUARY</v>
      </c>
      <c r="G196">
        <v>9</v>
      </c>
      <c r="H196">
        <v>0</v>
      </c>
      <c r="I196">
        <v>0</v>
      </c>
      <c r="J1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6" t="str">
        <f>IF(final_data787[[#This Row],[DAY_CODE]]=0,"weekend",IF(final_data787[[#This Row],[DAY_CODE]]=1,"weekend","weekday"))</f>
        <v>weekend</v>
      </c>
      <c r="L196">
        <v>1</v>
      </c>
      <c r="M196" t="str">
        <f>IF(final_data787[[#This Row],[WEATHER_CODE]]=1,"clear",IF(final_data787[[#This Row],[WEATHER_CODE]]=2,"cloudy",IF(final_data787[[#This Row],[WEATHER_CODE]]=3,"light rain",IF(final_data787[[#This Row],[WEATHER_CODE]]=4,"heavy rain",0))))</f>
        <v>clear</v>
      </c>
      <c r="N196">
        <v>0.12</v>
      </c>
      <c r="O196">
        <v>7.5800000000000006E-2</v>
      </c>
      <c r="P196">
        <v>0.46</v>
      </c>
      <c r="Q196">
        <v>0.52239999999999998</v>
      </c>
      <c r="R196">
        <v>0</v>
      </c>
      <c r="S196">
        <v>19</v>
      </c>
      <c r="T196">
        <v>19</v>
      </c>
    </row>
    <row r="197" spans="1:20" x14ac:dyDescent="0.35">
      <c r="A197">
        <v>196</v>
      </c>
      <c r="B197" s="1">
        <v>40552</v>
      </c>
      <c r="C197">
        <v>1</v>
      </c>
      <c r="D197">
        <v>0</v>
      </c>
      <c r="E197">
        <v>1</v>
      </c>
      <c r="F197" t="str">
        <f>IF(final_data787[[#This Row],[MONTH_CODE]]=1,"JANUARY",IF(final_data787[[#This Row],[MONTH_CODE]]=2,"FEBRUARY"))</f>
        <v>JANUARY</v>
      </c>
      <c r="G197">
        <v>10</v>
      </c>
      <c r="H197">
        <v>0</v>
      </c>
      <c r="I197">
        <v>0</v>
      </c>
      <c r="J1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7" t="str">
        <f>IF(final_data787[[#This Row],[DAY_CODE]]=0,"weekend",IF(final_data787[[#This Row],[DAY_CODE]]=1,"weekend","weekday"))</f>
        <v>weekend</v>
      </c>
      <c r="L197">
        <v>1</v>
      </c>
      <c r="M197" t="str">
        <f>IF(final_data787[[#This Row],[WEATHER_CODE]]=1,"clear",IF(final_data787[[#This Row],[WEATHER_CODE]]=2,"cloudy",IF(final_data787[[#This Row],[WEATHER_CODE]]=3,"light rain",IF(final_data787[[#This Row],[WEATHER_CODE]]=4,"heavy rain",0))))</f>
        <v>clear</v>
      </c>
      <c r="N197">
        <v>0.14000000000000001</v>
      </c>
      <c r="O197">
        <v>0.1061</v>
      </c>
      <c r="P197">
        <v>0.43</v>
      </c>
      <c r="Q197">
        <v>0.3881</v>
      </c>
      <c r="R197">
        <v>0</v>
      </c>
      <c r="S197">
        <v>49</v>
      </c>
      <c r="T197">
        <v>49</v>
      </c>
    </row>
    <row r="198" spans="1:20" x14ac:dyDescent="0.35">
      <c r="A198">
        <v>197</v>
      </c>
      <c r="B198" s="1">
        <v>40552</v>
      </c>
      <c r="C198">
        <v>1</v>
      </c>
      <c r="D198">
        <v>0</v>
      </c>
      <c r="E198">
        <v>1</v>
      </c>
      <c r="F198" t="str">
        <f>IF(final_data787[[#This Row],[MONTH_CODE]]=1,"JANUARY",IF(final_data787[[#This Row],[MONTH_CODE]]=2,"FEBRUARY"))</f>
        <v>JANUARY</v>
      </c>
      <c r="G198">
        <v>11</v>
      </c>
      <c r="H198">
        <v>0</v>
      </c>
      <c r="I198">
        <v>0</v>
      </c>
      <c r="J1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8" t="str">
        <f>IF(final_data787[[#This Row],[DAY_CODE]]=0,"weekend",IF(final_data787[[#This Row],[DAY_CODE]]=1,"weekend","weekday"))</f>
        <v>weekend</v>
      </c>
      <c r="L198">
        <v>1</v>
      </c>
      <c r="M198" t="str">
        <f>IF(final_data787[[#This Row],[WEATHER_CODE]]=1,"clear",IF(final_data787[[#This Row],[WEATHER_CODE]]=2,"cloudy",IF(final_data787[[#This Row],[WEATHER_CODE]]=3,"light rain",IF(final_data787[[#This Row],[WEATHER_CODE]]=4,"heavy rain",0))))</f>
        <v>clear</v>
      </c>
      <c r="N198">
        <v>0.16</v>
      </c>
      <c r="O198">
        <v>0.1212</v>
      </c>
      <c r="P198">
        <v>0.4</v>
      </c>
      <c r="Q198">
        <v>0.52239999999999998</v>
      </c>
      <c r="R198">
        <v>2</v>
      </c>
      <c r="S198">
        <v>47</v>
      </c>
      <c r="T198">
        <v>49</v>
      </c>
    </row>
    <row r="199" spans="1:20" x14ac:dyDescent="0.35">
      <c r="A199">
        <v>198</v>
      </c>
      <c r="B199" s="1">
        <v>40552</v>
      </c>
      <c r="C199">
        <v>1</v>
      </c>
      <c r="D199">
        <v>0</v>
      </c>
      <c r="E199">
        <v>1</v>
      </c>
      <c r="F199" t="str">
        <f>IF(final_data787[[#This Row],[MONTH_CODE]]=1,"JANUARY",IF(final_data787[[#This Row],[MONTH_CODE]]=2,"FEBRUARY"))</f>
        <v>JANUARY</v>
      </c>
      <c r="G199">
        <v>12</v>
      </c>
      <c r="H199">
        <v>0</v>
      </c>
      <c r="I199">
        <v>0</v>
      </c>
      <c r="J1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199" t="str">
        <f>IF(final_data787[[#This Row],[DAY_CODE]]=0,"weekend",IF(final_data787[[#This Row],[DAY_CODE]]=1,"weekend","weekday"))</f>
        <v>weekend</v>
      </c>
      <c r="L199">
        <v>1</v>
      </c>
      <c r="M199" t="str">
        <f>IF(final_data787[[#This Row],[WEATHER_CODE]]=1,"clear",IF(final_data787[[#This Row],[WEATHER_CODE]]=2,"cloudy",IF(final_data787[[#This Row],[WEATHER_CODE]]=3,"light rain",IF(final_data787[[#This Row],[WEATHER_CODE]]=4,"heavy rain",0))))</f>
        <v>clear</v>
      </c>
      <c r="N199">
        <v>0.18</v>
      </c>
      <c r="O199">
        <v>0.13639999999999999</v>
      </c>
      <c r="P199">
        <v>0.37</v>
      </c>
      <c r="Q199">
        <v>0.44779999999999998</v>
      </c>
      <c r="R199">
        <v>4</v>
      </c>
      <c r="S199">
        <v>79</v>
      </c>
      <c r="T199">
        <v>83</v>
      </c>
    </row>
    <row r="200" spans="1:20" x14ac:dyDescent="0.35">
      <c r="A200">
        <v>199</v>
      </c>
      <c r="B200" s="1">
        <v>40552</v>
      </c>
      <c r="C200">
        <v>1</v>
      </c>
      <c r="D200">
        <v>0</v>
      </c>
      <c r="E200">
        <v>1</v>
      </c>
      <c r="F200" t="str">
        <f>IF(final_data787[[#This Row],[MONTH_CODE]]=1,"JANUARY",IF(final_data787[[#This Row],[MONTH_CODE]]=2,"FEBRUARY"))</f>
        <v>JANUARY</v>
      </c>
      <c r="G200">
        <v>13</v>
      </c>
      <c r="H200">
        <v>0</v>
      </c>
      <c r="I200">
        <v>0</v>
      </c>
      <c r="J2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0" t="str">
        <f>IF(final_data787[[#This Row],[DAY_CODE]]=0,"weekend",IF(final_data787[[#This Row],[DAY_CODE]]=1,"weekend","weekday"))</f>
        <v>weekend</v>
      </c>
      <c r="L200">
        <v>1</v>
      </c>
      <c r="M200" t="str">
        <f>IF(final_data787[[#This Row],[WEATHER_CODE]]=1,"clear",IF(final_data787[[#This Row],[WEATHER_CODE]]=2,"cloudy",IF(final_data787[[#This Row],[WEATHER_CODE]]=3,"light rain",IF(final_data787[[#This Row],[WEATHER_CODE]]=4,"heavy rain",0))))</f>
        <v>clear</v>
      </c>
      <c r="N200">
        <v>0.2</v>
      </c>
      <c r="O200">
        <v>0.16669999999999999</v>
      </c>
      <c r="P200">
        <v>0.34</v>
      </c>
      <c r="Q200">
        <v>0.44779999999999998</v>
      </c>
      <c r="R200">
        <v>6</v>
      </c>
      <c r="S200">
        <v>69</v>
      </c>
      <c r="T200">
        <v>75</v>
      </c>
    </row>
    <row r="201" spans="1:20" x14ac:dyDescent="0.35">
      <c r="A201">
        <v>200</v>
      </c>
      <c r="B201" s="1">
        <v>40552</v>
      </c>
      <c r="C201">
        <v>1</v>
      </c>
      <c r="D201">
        <v>0</v>
      </c>
      <c r="E201">
        <v>1</v>
      </c>
      <c r="F201" t="str">
        <f>IF(final_data787[[#This Row],[MONTH_CODE]]=1,"JANUARY",IF(final_data787[[#This Row],[MONTH_CODE]]=2,"FEBRUARY"))</f>
        <v>JANUARY</v>
      </c>
      <c r="G201">
        <v>14</v>
      </c>
      <c r="H201">
        <v>0</v>
      </c>
      <c r="I201">
        <v>0</v>
      </c>
      <c r="J2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1" t="str">
        <f>IF(final_data787[[#This Row],[DAY_CODE]]=0,"weekend",IF(final_data787[[#This Row],[DAY_CODE]]=1,"weekend","weekday"))</f>
        <v>weekend</v>
      </c>
      <c r="L201">
        <v>1</v>
      </c>
      <c r="M201" t="str">
        <f>IF(final_data787[[#This Row],[WEATHER_CODE]]=1,"clear",IF(final_data787[[#This Row],[WEATHER_CODE]]=2,"cloudy",IF(final_data787[[#This Row],[WEATHER_CODE]]=3,"light rain",IF(final_data787[[#This Row],[WEATHER_CODE]]=4,"heavy rain",0))))</f>
        <v>clear</v>
      </c>
      <c r="N201">
        <v>0.22</v>
      </c>
      <c r="O201">
        <v>0.18179999999999999</v>
      </c>
      <c r="P201">
        <v>0.32</v>
      </c>
      <c r="Q201">
        <v>0.4627</v>
      </c>
      <c r="R201">
        <v>8</v>
      </c>
      <c r="S201">
        <v>64</v>
      </c>
      <c r="T201">
        <v>72</v>
      </c>
    </row>
    <row r="202" spans="1:20" x14ac:dyDescent="0.35">
      <c r="A202">
        <v>201</v>
      </c>
      <c r="B202" s="1">
        <v>40552</v>
      </c>
      <c r="C202">
        <v>1</v>
      </c>
      <c r="D202">
        <v>0</v>
      </c>
      <c r="E202">
        <v>1</v>
      </c>
      <c r="F202" t="str">
        <f>IF(final_data787[[#This Row],[MONTH_CODE]]=1,"JANUARY",IF(final_data787[[#This Row],[MONTH_CODE]]=2,"FEBRUARY"))</f>
        <v>JANUARY</v>
      </c>
      <c r="G202">
        <v>15</v>
      </c>
      <c r="H202">
        <v>0</v>
      </c>
      <c r="I202">
        <v>0</v>
      </c>
      <c r="J2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2" t="str">
        <f>IF(final_data787[[#This Row],[DAY_CODE]]=0,"weekend",IF(final_data787[[#This Row],[DAY_CODE]]=1,"weekend","weekday"))</f>
        <v>weekend</v>
      </c>
      <c r="L202">
        <v>1</v>
      </c>
      <c r="M202" t="str">
        <f>IF(final_data787[[#This Row],[WEATHER_CODE]]=1,"clear",IF(final_data787[[#This Row],[WEATHER_CODE]]=2,"cloudy",IF(final_data787[[#This Row],[WEATHER_CODE]]=3,"light rain",IF(final_data787[[#This Row],[WEATHER_CODE]]=4,"heavy rain",0))))</f>
        <v>clear</v>
      </c>
      <c r="N202">
        <v>0.22</v>
      </c>
      <c r="O202">
        <v>0.19700000000000001</v>
      </c>
      <c r="P202">
        <v>0.35</v>
      </c>
      <c r="Q202">
        <v>0.35820000000000002</v>
      </c>
      <c r="R202">
        <v>5</v>
      </c>
      <c r="S202">
        <v>77</v>
      </c>
      <c r="T202">
        <v>82</v>
      </c>
    </row>
    <row r="203" spans="1:20" x14ac:dyDescent="0.35">
      <c r="A203">
        <v>202</v>
      </c>
      <c r="B203" s="1">
        <v>40552</v>
      </c>
      <c r="C203">
        <v>1</v>
      </c>
      <c r="D203">
        <v>0</v>
      </c>
      <c r="E203">
        <v>1</v>
      </c>
      <c r="F203" t="str">
        <f>IF(final_data787[[#This Row],[MONTH_CODE]]=1,"JANUARY",IF(final_data787[[#This Row],[MONTH_CODE]]=2,"FEBRUARY"))</f>
        <v>JANUARY</v>
      </c>
      <c r="G203">
        <v>16</v>
      </c>
      <c r="H203">
        <v>0</v>
      </c>
      <c r="I203">
        <v>0</v>
      </c>
      <c r="J2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3" t="str">
        <f>IF(final_data787[[#This Row],[DAY_CODE]]=0,"weekend",IF(final_data787[[#This Row],[DAY_CODE]]=1,"weekend","weekday"))</f>
        <v>weekend</v>
      </c>
      <c r="L203">
        <v>1</v>
      </c>
      <c r="M203" t="str">
        <f>IF(final_data787[[#This Row],[WEATHER_CODE]]=1,"clear",IF(final_data787[[#This Row],[WEATHER_CODE]]=2,"cloudy",IF(final_data787[[#This Row],[WEATHER_CODE]]=3,"light rain",IF(final_data787[[#This Row],[WEATHER_CODE]]=4,"heavy rain",0))))</f>
        <v>clear</v>
      </c>
      <c r="N203">
        <v>0.2</v>
      </c>
      <c r="O203">
        <v>0.16669999999999999</v>
      </c>
      <c r="P203">
        <v>0.34</v>
      </c>
      <c r="Q203">
        <v>0.44779999999999998</v>
      </c>
      <c r="R203">
        <v>13</v>
      </c>
      <c r="S203">
        <v>79</v>
      </c>
      <c r="T203">
        <v>92</v>
      </c>
    </row>
    <row r="204" spans="1:20" x14ac:dyDescent="0.35">
      <c r="A204">
        <v>203</v>
      </c>
      <c r="B204" s="1">
        <v>40552</v>
      </c>
      <c r="C204">
        <v>1</v>
      </c>
      <c r="D204">
        <v>0</v>
      </c>
      <c r="E204">
        <v>1</v>
      </c>
      <c r="F204" t="str">
        <f>IF(final_data787[[#This Row],[MONTH_CODE]]=1,"JANUARY",IF(final_data787[[#This Row],[MONTH_CODE]]=2,"FEBRUARY"))</f>
        <v>JANUARY</v>
      </c>
      <c r="G204">
        <v>17</v>
      </c>
      <c r="H204">
        <v>0</v>
      </c>
      <c r="I204">
        <v>0</v>
      </c>
      <c r="J2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4" t="str">
        <f>IF(final_data787[[#This Row],[DAY_CODE]]=0,"weekend",IF(final_data787[[#This Row],[DAY_CODE]]=1,"weekend","weekday"))</f>
        <v>weekend</v>
      </c>
      <c r="L204">
        <v>1</v>
      </c>
      <c r="M204" t="str">
        <f>IF(final_data787[[#This Row],[WEATHER_CODE]]=1,"clear",IF(final_data787[[#This Row],[WEATHER_CODE]]=2,"cloudy",IF(final_data787[[#This Row],[WEATHER_CODE]]=3,"light rain",IF(final_data787[[#This Row],[WEATHER_CODE]]=4,"heavy rain",0))))</f>
        <v>clear</v>
      </c>
      <c r="N204">
        <v>0.18</v>
      </c>
      <c r="O204">
        <v>0.1515</v>
      </c>
      <c r="P204">
        <v>0.37</v>
      </c>
      <c r="Q204">
        <v>0.3881</v>
      </c>
      <c r="R204">
        <v>3</v>
      </c>
      <c r="S204">
        <v>59</v>
      </c>
      <c r="T204">
        <v>62</v>
      </c>
    </row>
    <row r="205" spans="1:20" x14ac:dyDescent="0.35">
      <c r="A205">
        <v>204</v>
      </c>
      <c r="B205" s="1">
        <v>40552</v>
      </c>
      <c r="C205">
        <v>1</v>
      </c>
      <c r="D205">
        <v>0</v>
      </c>
      <c r="E205">
        <v>1</v>
      </c>
      <c r="F205" t="str">
        <f>IF(final_data787[[#This Row],[MONTH_CODE]]=1,"JANUARY",IF(final_data787[[#This Row],[MONTH_CODE]]=2,"FEBRUARY"))</f>
        <v>JANUARY</v>
      </c>
      <c r="G205">
        <v>18</v>
      </c>
      <c r="H205">
        <v>0</v>
      </c>
      <c r="I205">
        <v>0</v>
      </c>
      <c r="J2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5" t="str">
        <f>IF(final_data787[[#This Row],[DAY_CODE]]=0,"weekend",IF(final_data787[[#This Row],[DAY_CODE]]=1,"weekend","weekday"))</f>
        <v>weekend</v>
      </c>
      <c r="L205">
        <v>1</v>
      </c>
      <c r="M205" t="str">
        <f>IF(final_data787[[#This Row],[WEATHER_CODE]]=1,"clear",IF(final_data787[[#This Row],[WEATHER_CODE]]=2,"cloudy",IF(final_data787[[#This Row],[WEATHER_CODE]]=3,"light rain",IF(final_data787[[#This Row],[WEATHER_CODE]]=4,"heavy rain",0))))</f>
        <v>clear</v>
      </c>
      <c r="N205">
        <v>0.16</v>
      </c>
      <c r="O205">
        <v>0.13639999999999999</v>
      </c>
      <c r="P205">
        <v>0.4</v>
      </c>
      <c r="Q205">
        <v>0.32840000000000003</v>
      </c>
      <c r="R205">
        <v>4</v>
      </c>
      <c r="S205">
        <v>44</v>
      </c>
      <c r="T205">
        <v>48</v>
      </c>
    </row>
    <row r="206" spans="1:20" x14ac:dyDescent="0.35">
      <c r="A206">
        <v>205</v>
      </c>
      <c r="B206" s="1">
        <v>40552</v>
      </c>
      <c r="C206">
        <v>1</v>
      </c>
      <c r="D206">
        <v>0</v>
      </c>
      <c r="E206">
        <v>1</v>
      </c>
      <c r="F206" t="str">
        <f>IF(final_data787[[#This Row],[MONTH_CODE]]=1,"JANUARY",IF(final_data787[[#This Row],[MONTH_CODE]]=2,"FEBRUARY"))</f>
        <v>JANUARY</v>
      </c>
      <c r="G206">
        <v>19</v>
      </c>
      <c r="H206">
        <v>0</v>
      </c>
      <c r="I206">
        <v>0</v>
      </c>
      <c r="J2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6" t="str">
        <f>IF(final_data787[[#This Row],[DAY_CODE]]=0,"weekend",IF(final_data787[[#This Row],[DAY_CODE]]=1,"weekend","weekday"))</f>
        <v>weekend</v>
      </c>
      <c r="L206">
        <v>1</v>
      </c>
      <c r="M206" t="str">
        <f>IF(final_data787[[#This Row],[WEATHER_CODE]]=1,"clear",IF(final_data787[[#This Row],[WEATHER_CODE]]=2,"cloudy",IF(final_data787[[#This Row],[WEATHER_CODE]]=3,"light rain",IF(final_data787[[#This Row],[WEATHER_CODE]]=4,"heavy rain",0))))</f>
        <v>clear</v>
      </c>
      <c r="N206">
        <v>0.16</v>
      </c>
      <c r="O206">
        <v>0.13639999999999999</v>
      </c>
      <c r="P206">
        <v>0.43</v>
      </c>
      <c r="Q206">
        <v>0.32840000000000003</v>
      </c>
      <c r="R206">
        <v>1</v>
      </c>
      <c r="S206">
        <v>40</v>
      </c>
      <c r="T206">
        <v>41</v>
      </c>
    </row>
    <row r="207" spans="1:20" x14ac:dyDescent="0.35">
      <c r="A207">
        <v>206</v>
      </c>
      <c r="B207" s="1">
        <v>40552</v>
      </c>
      <c r="C207">
        <v>1</v>
      </c>
      <c r="D207">
        <v>0</v>
      </c>
      <c r="E207">
        <v>1</v>
      </c>
      <c r="F207" t="str">
        <f>IF(final_data787[[#This Row],[MONTH_CODE]]=1,"JANUARY",IF(final_data787[[#This Row],[MONTH_CODE]]=2,"FEBRUARY"))</f>
        <v>JANUARY</v>
      </c>
      <c r="G207">
        <v>20</v>
      </c>
      <c r="H207">
        <v>0</v>
      </c>
      <c r="I207">
        <v>0</v>
      </c>
      <c r="J2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7" t="str">
        <f>IF(final_data787[[#This Row],[DAY_CODE]]=0,"weekend",IF(final_data787[[#This Row],[DAY_CODE]]=1,"weekend","weekday"))</f>
        <v>weekend</v>
      </c>
      <c r="L207">
        <v>1</v>
      </c>
      <c r="M207" t="str">
        <f>IF(final_data787[[#This Row],[WEATHER_CODE]]=1,"clear",IF(final_data787[[#This Row],[WEATHER_CODE]]=2,"cloudy",IF(final_data787[[#This Row],[WEATHER_CODE]]=3,"light rain",IF(final_data787[[#This Row],[WEATHER_CODE]]=4,"heavy rain",0))))</f>
        <v>clear</v>
      </c>
      <c r="N207">
        <v>0.14000000000000001</v>
      </c>
      <c r="O207">
        <v>0.1212</v>
      </c>
      <c r="P207">
        <v>0.46</v>
      </c>
      <c r="Q207">
        <v>0.25369999999999998</v>
      </c>
      <c r="R207">
        <v>0</v>
      </c>
      <c r="S207">
        <v>38</v>
      </c>
      <c r="T207">
        <v>38</v>
      </c>
    </row>
    <row r="208" spans="1:20" x14ac:dyDescent="0.35">
      <c r="A208">
        <v>207</v>
      </c>
      <c r="B208" s="1">
        <v>40552</v>
      </c>
      <c r="C208">
        <v>1</v>
      </c>
      <c r="D208">
        <v>0</v>
      </c>
      <c r="E208">
        <v>1</v>
      </c>
      <c r="F208" t="str">
        <f>IF(final_data787[[#This Row],[MONTH_CODE]]=1,"JANUARY",IF(final_data787[[#This Row],[MONTH_CODE]]=2,"FEBRUARY"))</f>
        <v>JANUARY</v>
      </c>
      <c r="G208">
        <v>21</v>
      </c>
      <c r="H208">
        <v>0</v>
      </c>
      <c r="I208">
        <v>0</v>
      </c>
      <c r="J2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8" t="str">
        <f>IF(final_data787[[#This Row],[DAY_CODE]]=0,"weekend",IF(final_data787[[#This Row],[DAY_CODE]]=1,"weekend","weekday"))</f>
        <v>weekend</v>
      </c>
      <c r="L208">
        <v>1</v>
      </c>
      <c r="M208" t="str">
        <f>IF(final_data787[[#This Row],[WEATHER_CODE]]=1,"clear",IF(final_data787[[#This Row],[WEATHER_CODE]]=2,"cloudy",IF(final_data787[[#This Row],[WEATHER_CODE]]=3,"light rain",IF(final_data787[[#This Row],[WEATHER_CODE]]=4,"heavy rain",0))))</f>
        <v>clear</v>
      </c>
      <c r="N208">
        <v>0.14000000000000001</v>
      </c>
      <c r="O208">
        <v>0.1061</v>
      </c>
      <c r="P208">
        <v>0.46</v>
      </c>
      <c r="Q208">
        <v>0.41789999999999999</v>
      </c>
      <c r="R208">
        <v>1</v>
      </c>
      <c r="S208">
        <v>19</v>
      </c>
      <c r="T208">
        <v>20</v>
      </c>
    </row>
    <row r="209" spans="1:20" x14ac:dyDescent="0.35">
      <c r="A209">
        <v>208</v>
      </c>
      <c r="B209" s="1">
        <v>40552</v>
      </c>
      <c r="C209">
        <v>1</v>
      </c>
      <c r="D209">
        <v>0</v>
      </c>
      <c r="E209">
        <v>1</v>
      </c>
      <c r="F209" t="str">
        <f>IF(final_data787[[#This Row],[MONTH_CODE]]=1,"JANUARY",IF(final_data787[[#This Row],[MONTH_CODE]]=2,"FEBRUARY"))</f>
        <v>JANUARY</v>
      </c>
      <c r="G209">
        <v>22</v>
      </c>
      <c r="H209">
        <v>0</v>
      </c>
      <c r="I209">
        <v>0</v>
      </c>
      <c r="J2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09" t="str">
        <f>IF(final_data787[[#This Row],[DAY_CODE]]=0,"weekend",IF(final_data787[[#This Row],[DAY_CODE]]=1,"weekend","weekday"))</f>
        <v>weekend</v>
      </c>
      <c r="L209">
        <v>1</v>
      </c>
      <c r="M209" t="str">
        <f>IF(final_data787[[#This Row],[WEATHER_CODE]]=1,"clear",IF(final_data787[[#This Row],[WEATHER_CODE]]=2,"cloudy",IF(final_data787[[#This Row],[WEATHER_CODE]]=3,"light rain",IF(final_data787[[#This Row],[WEATHER_CODE]]=4,"heavy rain",0))))</f>
        <v>clear</v>
      </c>
      <c r="N209">
        <v>0.14000000000000001</v>
      </c>
      <c r="O209">
        <v>0.1212</v>
      </c>
      <c r="P209">
        <v>0.46</v>
      </c>
      <c r="Q209">
        <v>0.29849999999999999</v>
      </c>
      <c r="R209">
        <v>5</v>
      </c>
      <c r="S209">
        <v>10</v>
      </c>
      <c r="T209">
        <v>15</v>
      </c>
    </row>
    <row r="210" spans="1:20" x14ac:dyDescent="0.35">
      <c r="A210">
        <v>209</v>
      </c>
      <c r="B210" s="1">
        <v>40552</v>
      </c>
      <c r="C210">
        <v>1</v>
      </c>
      <c r="D210">
        <v>0</v>
      </c>
      <c r="E210">
        <v>1</v>
      </c>
      <c r="F210" t="str">
        <f>IF(final_data787[[#This Row],[MONTH_CODE]]=1,"JANUARY",IF(final_data787[[#This Row],[MONTH_CODE]]=2,"FEBRUARY"))</f>
        <v>JANUARY</v>
      </c>
      <c r="G210">
        <v>23</v>
      </c>
      <c r="H210">
        <v>0</v>
      </c>
      <c r="I210">
        <v>0</v>
      </c>
      <c r="J2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210" t="str">
        <f>IF(final_data787[[#This Row],[DAY_CODE]]=0,"weekend",IF(final_data787[[#This Row],[DAY_CODE]]=1,"weekend","weekday"))</f>
        <v>weekend</v>
      </c>
      <c r="L210">
        <v>1</v>
      </c>
      <c r="M210" t="str">
        <f>IF(final_data787[[#This Row],[WEATHER_CODE]]=1,"clear",IF(final_data787[[#This Row],[WEATHER_CODE]]=2,"cloudy",IF(final_data787[[#This Row],[WEATHER_CODE]]=3,"light rain",IF(final_data787[[#This Row],[WEATHER_CODE]]=4,"heavy rain",0))))</f>
        <v>clear</v>
      </c>
      <c r="N210">
        <v>0.12</v>
      </c>
      <c r="O210">
        <v>0.13639999999999999</v>
      </c>
      <c r="P210">
        <v>0.5</v>
      </c>
      <c r="Q210">
        <v>0.19400000000000001</v>
      </c>
      <c r="R210">
        <v>0</v>
      </c>
      <c r="S210">
        <v>6</v>
      </c>
      <c r="T210">
        <v>6</v>
      </c>
    </row>
    <row r="211" spans="1:20" x14ac:dyDescent="0.35">
      <c r="A211">
        <v>210</v>
      </c>
      <c r="B211" s="1">
        <v>40553</v>
      </c>
      <c r="C211">
        <v>1</v>
      </c>
      <c r="D211">
        <v>0</v>
      </c>
      <c r="E211">
        <v>1</v>
      </c>
      <c r="F211" t="str">
        <f>IF(final_data787[[#This Row],[MONTH_CODE]]=1,"JANUARY",IF(final_data787[[#This Row],[MONTH_CODE]]=2,"FEBRUARY"))</f>
        <v>JANUARY</v>
      </c>
      <c r="G211">
        <v>0</v>
      </c>
      <c r="H211">
        <v>0</v>
      </c>
      <c r="I211">
        <v>1</v>
      </c>
      <c r="J2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1" t="str">
        <f>IF(final_data787[[#This Row],[DAY_CODE]]=0,"weekend",IF(final_data787[[#This Row],[DAY_CODE]]=1,"weekend","weekday"))</f>
        <v>weekend</v>
      </c>
      <c r="L211">
        <v>1</v>
      </c>
      <c r="M211" t="str">
        <f>IF(final_data787[[#This Row],[WEATHER_CODE]]=1,"clear",IF(final_data787[[#This Row],[WEATHER_CODE]]=2,"cloudy",IF(final_data787[[#This Row],[WEATHER_CODE]]=3,"light rain",IF(final_data787[[#This Row],[WEATHER_CODE]]=4,"heavy rain",0))))</f>
        <v>clear</v>
      </c>
      <c r="N211">
        <v>0.12</v>
      </c>
      <c r="O211">
        <v>0.1212</v>
      </c>
      <c r="P211">
        <v>0.5</v>
      </c>
      <c r="Q211">
        <v>0.28360000000000002</v>
      </c>
      <c r="R211">
        <v>2</v>
      </c>
      <c r="S211">
        <v>3</v>
      </c>
      <c r="T211">
        <v>5</v>
      </c>
    </row>
    <row r="212" spans="1:20" x14ac:dyDescent="0.35">
      <c r="A212">
        <v>211</v>
      </c>
      <c r="B212" s="1">
        <v>40553</v>
      </c>
      <c r="C212">
        <v>1</v>
      </c>
      <c r="D212">
        <v>0</v>
      </c>
      <c r="E212">
        <v>1</v>
      </c>
      <c r="F212" t="str">
        <f>IF(final_data787[[#This Row],[MONTH_CODE]]=1,"JANUARY",IF(final_data787[[#This Row],[MONTH_CODE]]=2,"FEBRUARY"))</f>
        <v>JANUARY</v>
      </c>
      <c r="G212">
        <v>1</v>
      </c>
      <c r="H212">
        <v>0</v>
      </c>
      <c r="I212">
        <v>1</v>
      </c>
      <c r="J2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2" t="str">
        <f>IF(final_data787[[#This Row],[DAY_CODE]]=0,"weekend",IF(final_data787[[#This Row],[DAY_CODE]]=1,"weekend","weekday"))</f>
        <v>weekend</v>
      </c>
      <c r="L212">
        <v>1</v>
      </c>
      <c r="M212" t="str">
        <f>IF(final_data787[[#This Row],[WEATHER_CODE]]=1,"clear",IF(final_data787[[#This Row],[WEATHER_CODE]]=2,"cloudy",IF(final_data787[[#This Row],[WEATHER_CODE]]=3,"light rain",IF(final_data787[[#This Row],[WEATHER_CODE]]=4,"heavy rain",0))))</f>
        <v>clear</v>
      </c>
      <c r="N212">
        <v>0.12</v>
      </c>
      <c r="O212">
        <v>0.1212</v>
      </c>
      <c r="P212">
        <v>0.5</v>
      </c>
      <c r="Q212">
        <v>0.28360000000000002</v>
      </c>
      <c r="R212">
        <v>1</v>
      </c>
      <c r="S212">
        <v>0</v>
      </c>
      <c r="T212">
        <v>1</v>
      </c>
    </row>
    <row r="213" spans="1:20" x14ac:dyDescent="0.35">
      <c r="A213">
        <v>212</v>
      </c>
      <c r="B213" s="1">
        <v>40553</v>
      </c>
      <c r="C213">
        <v>1</v>
      </c>
      <c r="D213">
        <v>0</v>
      </c>
      <c r="E213">
        <v>1</v>
      </c>
      <c r="F213" t="str">
        <f>IF(final_data787[[#This Row],[MONTH_CODE]]=1,"JANUARY",IF(final_data787[[#This Row],[MONTH_CODE]]=2,"FEBRUARY"))</f>
        <v>JANUARY</v>
      </c>
      <c r="G213">
        <v>2</v>
      </c>
      <c r="H213">
        <v>0</v>
      </c>
      <c r="I213">
        <v>1</v>
      </c>
      <c r="J2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3" t="str">
        <f>IF(final_data787[[#This Row],[DAY_CODE]]=0,"weekend",IF(final_data787[[#This Row],[DAY_CODE]]=1,"weekend","weekday"))</f>
        <v>weekend</v>
      </c>
      <c r="L213">
        <v>1</v>
      </c>
      <c r="M213" t="str">
        <f>IF(final_data787[[#This Row],[WEATHER_CODE]]=1,"clear",IF(final_data787[[#This Row],[WEATHER_CODE]]=2,"cloudy",IF(final_data787[[#This Row],[WEATHER_CODE]]=3,"light rain",IF(final_data787[[#This Row],[WEATHER_CODE]]=4,"heavy rain",0))))</f>
        <v>clear</v>
      </c>
      <c r="N213">
        <v>0.12</v>
      </c>
      <c r="O213">
        <v>0.1212</v>
      </c>
      <c r="P213">
        <v>0.5</v>
      </c>
      <c r="Q213">
        <v>0.22389999999999999</v>
      </c>
      <c r="R213">
        <v>0</v>
      </c>
      <c r="S213">
        <v>3</v>
      </c>
      <c r="T213">
        <v>3</v>
      </c>
    </row>
    <row r="214" spans="1:20" x14ac:dyDescent="0.35">
      <c r="A214">
        <v>213</v>
      </c>
      <c r="B214" s="1">
        <v>40553</v>
      </c>
      <c r="C214">
        <v>1</v>
      </c>
      <c r="D214">
        <v>0</v>
      </c>
      <c r="E214">
        <v>1</v>
      </c>
      <c r="F214" t="str">
        <f>IF(final_data787[[#This Row],[MONTH_CODE]]=1,"JANUARY",IF(final_data787[[#This Row],[MONTH_CODE]]=2,"FEBRUARY"))</f>
        <v>JANUARY</v>
      </c>
      <c r="G214">
        <v>3</v>
      </c>
      <c r="H214">
        <v>0</v>
      </c>
      <c r="I214">
        <v>1</v>
      </c>
      <c r="J2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4" t="str">
        <f>IF(final_data787[[#This Row],[DAY_CODE]]=0,"weekend",IF(final_data787[[#This Row],[DAY_CODE]]=1,"weekend","weekday"))</f>
        <v>weekend</v>
      </c>
      <c r="L214">
        <v>1</v>
      </c>
      <c r="M214" t="str">
        <f>IF(final_data787[[#This Row],[WEATHER_CODE]]=1,"clear",IF(final_data787[[#This Row],[WEATHER_CODE]]=2,"cloudy",IF(final_data787[[#This Row],[WEATHER_CODE]]=3,"light rain",IF(final_data787[[#This Row],[WEATHER_CODE]]=4,"heavy rain",0))))</f>
        <v>clear</v>
      </c>
      <c r="N214">
        <v>0.12</v>
      </c>
      <c r="O214">
        <v>0.1212</v>
      </c>
      <c r="P214">
        <v>0.5</v>
      </c>
      <c r="Q214">
        <v>0.22389999999999999</v>
      </c>
      <c r="R214">
        <v>0</v>
      </c>
      <c r="S214">
        <v>1</v>
      </c>
      <c r="T214">
        <v>1</v>
      </c>
    </row>
    <row r="215" spans="1:20" x14ac:dyDescent="0.35">
      <c r="A215">
        <v>214</v>
      </c>
      <c r="B215" s="1">
        <v>40553</v>
      </c>
      <c r="C215">
        <v>1</v>
      </c>
      <c r="D215">
        <v>0</v>
      </c>
      <c r="E215">
        <v>1</v>
      </c>
      <c r="F215" t="str">
        <f>IF(final_data787[[#This Row],[MONTH_CODE]]=1,"JANUARY",IF(final_data787[[#This Row],[MONTH_CODE]]=2,"FEBRUARY"))</f>
        <v>JANUARY</v>
      </c>
      <c r="G215">
        <v>4</v>
      </c>
      <c r="H215">
        <v>0</v>
      </c>
      <c r="I215">
        <v>1</v>
      </c>
      <c r="J2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5" t="str">
        <f>IF(final_data787[[#This Row],[DAY_CODE]]=0,"weekend",IF(final_data787[[#This Row],[DAY_CODE]]=1,"weekend","weekday"))</f>
        <v>weekend</v>
      </c>
      <c r="L215">
        <v>1</v>
      </c>
      <c r="M215" t="str">
        <f>IF(final_data787[[#This Row],[WEATHER_CODE]]=1,"clear",IF(final_data787[[#This Row],[WEATHER_CODE]]=2,"cloudy",IF(final_data787[[#This Row],[WEATHER_CODE]]=3,"light rain",IF(final_data787[[#This Row],[WEATHER_CODE]]=4,"heavy rain",0))))</f>
        <v>clear</v>
      </c>
      <c r="N215">
        <v>0.1</v>
      </c>
      <c r="O215">
        <v>0.1212</v>
      </c>
      <c r="P215">
        <v>0.54</v>
      </c>
      <c r="Q215">
        <v>0.1343</v>
      </c>
      <c r="R215">
        <v>1</v>
      </c>
      <c r="S215">
        <v>2</v>
      </c>
      <c r="T215">
        <v>3</v>
      </c>
    </row>
    <row r="216" spans="1:20" x14ac:dyDescent="0.35">
      <c r="A216">
        <v>215</v>
      </c>
      <c r="B216" s="1">
        <v>40553</v>
      </c>
      <c r="C216">
        <v>1</v>
      </c>
      <c r="D216">
        <v>0</v>
      </c>
      <c r="E216">
        <v>1</v>
      </c>
      <c r="F216" t="str">
        <f>IF(final_data787[[#This Row],[MONTH_CODE]]=1,"JANUARY",IF(final_data787[[#This Row],[MONTH_CODE]]=2,"FEBRUARY"))</f>
        <v>JANUARY</v>
      </c>
      <c r="G216">
        <v>5</v>
      </c>
      <c r="H216">
        <v>0</v>
      </c>
      <c r="I216">
        <v>1</v>
      </c>
      <c r="J2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6" t="str">
        <f>IF(final_data787[[#This Row],[DAY_CODE]]=0,"weekend",IF(final_data787[[#This Row],[DAY_CODE]]=1,"weekend","weekday"))</f>
        <v>weekend</v>
      </c>
      <c r="L216">
        <v>1</v>
      </c>
      <c r="M216" t="str">
        <f>IF(final_data787[[#This Row],[WEATHER_CODE]]=1,"clear",IF(final_data787[[#This Row],[WEATHER_CODE]]=2,"cloudy",IF(final_data787[[#This Row],[WEATHER_CODE]]=3,"light rain",IF(final_data787[[#This Row],[WEATHER_CODE]]=4,"heavy rain",0))))</f>
        <v>clear</v>
      </c>
      <c r="N216">
        <v>0.1</v>
      </c>
      <c r="O216">
        <v>0.1061</v>
      </c>
      <c r="P216">
        <v>0.54</v>
      </c>
      <c r="Q216">
        <v>0.25369999999999998</v>
      </c>
      <c r="R216">
        <v>0</v>
      </c>
      <c r="S216">
        <v>3</v>
      </c>
      <c r="T216">
        <v>3</v>
      </c>
    </row>
    <row r="217" spans="1:20" x14ac:dyDescent="0.35">
      <c r="A217">
        <v>216</v>
      </c>
      <c r="B217" s="1">
        <v>40553</v>
      </c>
      <c r="C217">
        <v>1</v>
      </c>
      <c r="D217">
        <v>0</v>
      </c>
      <c r="E217">
        <v>1</v>
      </c>
      <c r="F217" t="str">
        <f>IF(final_data787[[#This Row],[MONTH_CODE]]=1,"JANUARY",IF(final_data787[[#This Row],[MONTH_CODE]]=2,"FEBRUARY"))</f>
        <v>JANUARY</v>
      </c>
      <c r="G217">
        <v>6</v>
      </c>
      <c r="H217">
        <v>0</v>
      </c>
      <c r="I217">
        <v>1</v>
      </c>
      <c r="J2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7" t="str">
        <f>IF(final_data787[[#This Row],[DAY_CODE]]=0,"weekend",IF(final_data787[[#This Row],[DAY_CODE]]=1,"weekend","weekday"))</f>
        <v>weekend</v>
      </c>
      <c r="L217">
        <v>1</v>
      </c>
      <c r="M217" t="str">
        <f>IF(final_data787[[#This Row],[WEATHER_CODE]]=1,"clear",IF(final_data787[[#This Row],[WEATHER_CODE]]=2,"cloudy",IF(final_data787[[#This Row],[WEATHER_CODE]]=3,"light rain",IF(final_data787[[#This Row],[WEATHER_CODE]]=4,"heavy rain",0))))</f>
        <v>clear</v>
      </c>
      <c r="N217">
        <v>0.12</v>
      </c>
      <c r="O217">
        <v>0.1212</v>
      </c>
      <c r="P217">
        <v>0.5</v>
      </c>
      <c r="Q217">
        <v>0.28360000000000002</v>
      </c>
      <c r="R217">
        <v>0</v>
      </c>
      <c r="S217">
        <v>31</v>
      </c>
      <c r="T217">
        <v>31</v>
      </c>
    </row>
    <row r="218" spans="1:20" x14ac:dyDescent="0.35">
      <c r="A218">
        <v>217</v>
      </c>
      <c r="B218" s="1">
        <v>40553</v>
      </c>
      <c r="C218">
        <v>1</v>
      </c>
      <c r="D218">
        <v>0</v>
      </c>
      <c r="E218">
        <v>1</v>
      </c>
      <c r="F218" t="str">
        <f>IF(final_data787[[#This Row],[MONTH_CODE]]=1,"JANUARY",IF(final_data787[[#This Row],[MONTH_CODE]]=2,"FEBRUARY"))</f>
        <v>JANUARY</v>
      </c>
      <c r="G218">
        <v>7</v>
      </c>
      <c r="H218">
        <v>0</v>
      </c>
      <c r="I218">
        <v>1</v>
      </c>
      <c r="J2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8" t="str">
        <f>IF(final_data787[[#This Row],[DAY_CODE]]=0,"weekend",IF(final_data787[[#This Row],[DAY_CODE]]=1,"weekend","weekday"))</f>
        <v>weekend</v>
      </c>
      <c r="L218">
        <v>1</v>
      </c>
      <c r="M218" t="str">
        <f>IF(final_data787[[#This Row],[WEATHER_CODE]]=1,"clear",IF(final_data787[[#This Row],[WEATHER_CODE]]=2,"cloudy",IF(final_data787[[#This Row],[WEATHER_CODE]]=3,"light rain",IF(final_data787[[#This Row],[WEATHER_CODE]]=4,"heavy rain",0))))</f>
        <v>clear</v>
      </c>
      <c r="N218">
        <v>0.12</v>
      </c>
      <c r="O218">
        <v>0.1212</v>
      </c>
      <c r="P218">
        <v>0.5</v>
      </c>
      <c r="Q218">
        <v>0.22389999999999999</v>
      </c>
      <c r="R218">
        <v>2</v>
      </c>
      <c r="S218">
        <v>75</v>
      </c>
      <c r="T218">
        <v>77</v>
      </c>
    </row>
    <row r="219" spans="1:20" x14ac:dyDescent="0.35">
      <c r="A219">
        <v>218</v>
      </c>
      <c r="B219" s="1">
        <v>40553</v>
      </c>
      <c r="C219">
        <v>1</v>
      </c>
      <c r="D219">
        <v>0</v>
      </c>
      <c r="E219">
        <v>1</v>
      </c>
      <c r="F219" t="str">
        <f>IF(final_data787[[#This Row],[MONTH_CODE]]=1,"JANUARY",IF(final_data787[[#This Row],[MONTH_CODE]]=2,"FEBRUARY"))</f>
        <v>JANUARY</v>
      </c>
      <c r="G219">
        <v>8</v>
      </c>
      <c r="H219">
        <v>0</v>
      </c>
      <c r="I219">
        <v>1</v>
      </c>
      <c r="J2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19" t="str">
        <f>IF(final_data787[[#This Row],[DAY_CODE]]=0,"weekend",IF(final_data787[[#This Row],[DAY_CODE]]=1,"weekend","weekday"))</f>
        <v>weekend</v>
      </c>
      <c r="L219">
        <v>2</v>
      </c>
      <c r="M219" t="str">
        <f>IF(final_data787[[#This Row],[WEATHER_CODE]]=1,"clear",IF(final_data787[[#This Row],[WEATHER_CODE]]=2,"cloudy",IF(final_data787[[#This Row],[WEATHER_CODE]]=3,"light rain",IF(final_data787[[#This Row],[WEATHER_CODE]]=4,"heavy rain",0))))</f>
        <v>cloudy</v>
      </c>
      <c r="N219">
        <v>0.12</v>
      </c>
      <c r="O219">
        <v>0.1212</v>
      </c>
      <c r="P219">
        <v>0.5</v>
      </c>
      <c r="Q219">
        <v>0.28360000000000002</v>
      </c>
      <c r="R219">
        <v>4</v>
      </c>
      <c r="S219">
        <v>184</v>
      </c>
      <c r="T219">
        <v>188</v>
      </c>
    </row>
    <row r="220" spans="1:20" x14ac:dyDescent="0.35">
      <c r="A220">
        <v>219</v>
      </c>
      <c r="B220" s="1">
        <v>40553</v>
      </c>
      <c r="C220">
        <v>1</v>
      </c>
      <c r="D220">
        <v>0</v>
      </c>
      <c r="E220">
        <v>1</v>
      </c>
      <c r="F220" t="str">
        <f>IF(final_data787[[#This Row],[MONTH_CODE]]=1,"JANUARY",IF(final_data787[[#This Row],[MONTH_CODE]]=2,"FEBRUARY"))</f>
        <v>JANUARY</v>
      </c>
      <c r="G220">
        <v>9</v>
      </c>
      <c r="H220">
        <v>0</v>
      </c>
      <c r="I220">
        <v>1</v>
      </c>
      <c r="J2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0" t="str">
        <f>IF(final_data787[[#This Row],[DAY_CODE]]=0,"weekend",IF(final_data787[[#This Row],[DAY_CODE]]=1,"weekend","weekday"))</f>
        <v>weekend</v>
      </c>
      <c r="L220">
        <v>2</v>
      </c>
      <c r="M220" t="str">
        <f>IF(final_data787[[#This Row],[WEATHER_CODE]]=1,"clear",IF(final_data787[[#This Row],[WEATHER_CODE]]=2,"cloudy",IF(final_data787[[#This Row],[WEATHER_CODE]]=3,"light rain",IF(final_data787[[#This Row],[WEATHER_CODE]]=4,"heavy rain",0))))</f>
        <v>cloudy</v>
      </c>
      <c r="N220">
        <v>0.14000000000000001</v>
      </c>
      <c r="O220">
        <v>0.1212</v>
      </c>
      <c r="P220">
        <v>0.5</v>
      </c>
      <c r="Q220">
        <v>0.25369999999999998</v>
      </c>
      <c r="R220">
        <v>2</v>
      </c>
      <c r="S220">
        <v>92</v>
      </c>
      <c r="T220">
        <v>94</v>
      </c>
    </row>
    <row r="221" spans="1:20" x14ac:dyDescent="0.35">
      <c r="A221">
        <v>220</v>
      </c>
      <c r="B221" s="1">
        <v>40553</v>
      </c>
      <c r="C221">
        <v>1</v>
      </c>
      <c r="D221">
        <v>0</v>
      </c>
      <c r="E221">
        <v>1</v>
      </c>
      <c r="F221" t="str">
        <f>IF(final_data787[[#This Row],[MONTH_CODE]]=1,"JANUARY",IF(final_data787[[#This Row],[MONTH_CODE]]=2,"FEBRUARY"))</f>
        <v>JANUARY</v>
      </c>
      <c r="G221">
        <v>10</v>
      </c>
      <c r="H221">
        <v>0</v>
      </c>
      <c r="I221">
        <v>1</v>
      </c>
      <c r="J2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1" t="str">
        <f>IF(final_data787[[#This Row],[DAY_CODE]]=0,"weekend",IF(final_data787[[#This Row],[DAY_CODE]]=1,"weekend","weekday"))</f>
        <v>weekend</v>
      </c>
      <c r="L221">
        <v>2</v>
      </c>
      <c r="M221" t="str">
        <f>IF(final_data787[[#This Row],[WEATHER_CODE]]=1,"clear",IF(final_data787[[#This Row],[WEATHER_CODE]]=2,"cloudy",IF(final_data787[[#This Row],[WEATHER_CODE]]=3,"light rain",IF(final_data787[[#This Row],[WEATHER_CODE]]=4,"heavy rain",0))))</f>
        <v>cloudy</v>
      </c>
      <c r="N221">
        <v>0.14000000000000001</v>
      </c>
      <c r="O221">
        <v>0.1212</v>
      </c>
      <c r="P221">
        <v>0.5</v>
      </c>
      <c r="Q221">
        <v>0.29849999999999999</v>
      </c>
      <c r="R221">
        <v>0</v>
      </c>
      <c r="S221">
        <v>31</v>
      </c>
      <c r="T221">
        <v>31</v>
      </c>
    </row>
    <row r="222" spans="1:20" x14ac:dyDescent="0.35">
      <c r="A222">
        <v>221</v>
      </c>
      <c r="B222" s="1">
        <v>40553</v>
      </c>
      <c r="C222">
        <v>1</v>
      </c>
      <c r="D222">
        <v>0</v>
      </c>
      <c r="E222">
        <v>1</v>
      </c>
      <c r="F222" t="str">
        <f>IF(final_data787[[#This Row],[MONTH_CODE]]=1,"JANUARY",IF(final_data787[[#This Row],[MONTH_CODE]]=2,"FEBRUARY"))</f>
        <v>JANUARY</v>
      </c>
      <c r="G222">
        <v>11</v>
      </c>
      <c r="H222">
        <v>0</v>
      </c>
      <c r="I222">
        <v>1</v>
      </c>
      <c r="J2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2" t="str">
        <f>IF(final_data787[[#This Row],[DAY_CODE]]=0,"weekend",IF(final_data787[[#This Row],[DAY_CODE]]=1,"weekend","weekday"))</f>
        <v>weekend</v>
      </c>
      <c r="L222">
        <v>2</v>
      </c>
      <c r="M222" t="str">
        <f>IF(final_data787[[#This Row],[WEATHER_CODE]]=1,"clear",IF(final_data787[[#This Row],[WEATHER_CODE]]=2,"cloudy",IF(final_data787[[#This Row],[WEATHER_CODE]]=3,"light rain",IF(final_data787[[#This Row],[WEATHER_CODE]]=4,"heavy rain",0))))</f>
        <v>cloudy</v>
      </c>
      <c r="N222">
        <v>0.16</v>
      </c>
      <c r="O222">
        <v>0.13639999999999999</v>
      </c>
      <c r="P222">
        <v>0.47</v>
      </c>
      <c r="Q222">
        <v>0.28360000000000002</v>
      </c>
      <c r="R222">
        <v>2</v>
      </c>
      <c r="S222">
        <v>28</v>
      </c>
      <c r="T222">
        <v>30</v>
      </c>
    </row>
    <row r="223" spans="1:20" x14ac:dyDescent="0.35">
      <c r="A223">
        <v>222</v>
      </c>
      <c r="B223" s="1">
        <v>40553</v>
      </c>
      <c r="C223">
        <v>1</v>
      </c>
      <c r="D223">
        <v>0</v>
      </c>
      <c r="E223">
        <v>1</v>
      </c>
      <c r="F223" t="str">
        <f>IF(final_data787[[#This Row],[MONTH_CODE]]=1,"JANUARY",IF(final_data787[[#This Row],[MONTH_CODE]]=2,"FEBRUARY"))</f>
        <v>JANUARY</v>
      </c>
      <c r="G223">
        <v>12</v>
      </c>
      <c r="H223">
        <v>0</v>
      </c>
      <c r="I223">
        <v>1</v>
      </c>
      <c r="J2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3" t="str">
        <f>IF(final_data787[[#This Row],[DAY_CODE]]=0,"weekend",IF(final_data787[[#This Row],[DAY_CODE]]=1,"weekend","weekday"))</f>
        <v>weekend</v>
      </c>
      <c r="L223">
        <v>2</v>
      </c>
      <c r="M223" t="str">
        <f>IF(final_data787[[#This Row],[WEATHER_CODE]]=1,"clear",IF(final_data787[[#This Row],[WEATHER_CODE]]=2,"cloudy",IF(final_data787[[#This Row],[WEATHER_CODE]]=3,"light rain",IF(final_data787[[#This Row],[WEATHER_CODE]]=4,"heavy rain",0))))</f>
        <v>cloudy</v>
      </c>
      <c r="N223">
        <v>0.2</v>
      </c>
      <c r="O223">
        <v>0.18179999999999999</v>
      </c>
      <c r="P223">
        <v>0.4</v>
      </c>
      <c r="Q223">
        <v>0.28360000000000002</v>
      </c>
      <c r="R223">
        <v>5</v>
      </c>
      <c r="S223">
        <v>47</v>
      </c>
      <c r="T223">
        <v>52</v>
      </c>
    </row>
    <row r="224" spans="1:20" x14ac:dyDescent="0.35">
      <c r="A224">
        <v>223</v>
      </c>
      <c r="B224" s="1">
        <v>40553</v>
      </c>
      <c r="C224">
        <v>1</v>
      </c>
      <c r="D224">
        <v>0</v>
      </c>
      <c r="E224">
        <v>1</v>
      </c>
      <c r="F224" t="str">
        <f>IF(final_data787[[#This Row],[MONTH_CODE]]=1,"JANUARY",IF(final_data787[[#This Row],[MONTH_CODE]]=2,"FEBRUARY"))</f>
        <v>JANUARY</v>
      </c>
      <c r="G224">
        <v>13</v>
      </c>
      <c r="H224">
        <v>0</v>
      </c>
      <c r="I224">
        <v>1</v>
      </c>
      <c r="J2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4" t="str">
        <f>IF(final_data787[[#This Row],[DAY_CODE]]=0,"weekend",IF(final_data787[[#This Row],[DAY_CODE]]=1,"weekend","weekday"))</f>
        <v>weekend</v>
      </c>
      <c r="L224">
        <v>2</v>
      </c>
      <c r="M224" t="str">
        <f>IF(final_data787[[#This Row],[WEATHER_CODE]]=1,"clear",IF(final_data787[[#This Row],[WEATHER_CODE]]=2,"cloudy",IF(final_data787[[#This Row],[WEATHER_CODE]]=3,"light rain",IF(final_data787[[#This Row],[WEATHER_CODE]]=4,"heavy rain",0))))</f>
        <v>cloudy</v>
      </c>
      <c r="N224">
        <v>0.2</v>
      </c>
      <c r="O224">
        <v>0.18179999999999999</v>
      </c>
      <c r="P224">
        <v>0.4</v>
      </c>
      <c r="Q224">
        <v>0.28360000000000002</v>
      </c>
      <c r="R224">
        <v>4</v>
      </c>
      <c r="S224">
        <v>50</v>
      </c>
      <c r="T224">
        <v>54</v>
      </c>
    </row>
    <row r="225" spans="1:20" x14ac:dyDescent="0.35">
      <c r="A225">
        <v>224</v>
      </c>
      <c r="B225" s="1">
        <v>40553</v>
      </c>
      <c r="C225">
        <v>1</v>
      </c>
      <c r="D225">
        <v>0</v>
      </c>
      <c r="E225">
        <v>1</v>
      </c>
      <c r="F225" t="str">
        <f>IF(final_data787[[#This Row],[MONTH_CODE]]=1,"JANUARY",IF(final_data787[[#This Row],[MONTH_CODE]]=2,"FEBRUARY"))</f>
        <v>JANUARY</v>
      </c>
      <c r="G225">
        <v>14</v>
      </c>
      <c r="H225">
        <v>0</v>
      </c>
      <c r="I225">
        <v>1</v>
      </c>
      <c r="J2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5" t="str">
        <f>IF(final_data787[[#This Row],[DAY_CODE]]=0,"weekend",IF(final_data787[[#This Row],[DAY_CODE]]=1,"weekend","weekday"))</f>
        <v>weekend</v>
      </c>
      <c r="L225">
        <v>2</v>
      </c>
      <c r="M225" t="str">
        <f>IF(final_data787[[#This Row],[WEATHER_CODE]]=1,"clear",IF(final_data787[[#This Row],[WEATHER_CODE]]=2,"cloudy",IF(final_data787[[#This Row],[WEATHER_CODE]]=3,"light rain",IF(final_data787[[#This Row],[WEATHER_CODE]]=4,"heavy rain",0))))</f>
        <v>cloudy</v>
      </c>
      <c r="N225">
        <v>0.2</v>
      </c>
      <c r="O225">
        <v>0.19700000000000001</v>
      </c>
      <c r="P225">
        <v>0.4</v>
      </c>
      <c r="Q225">
        <v>0.22389999999999999</v>
      </c>
      <c r="R225">
        <v>0</v>
      </c>
      <c r="S225">
        <v>47</v>
      </c>
      <c r="T225">
        <v>47</v>
      </c>
    </row>
    <row r="226" spans="1:20" x14ac:dyDescent="0.35">
      <c r="A226">
        <v>225</v>
      </c>
      <c r="B226" s="1">
        <v>40553</v>
      </c>
      <c r="C226">
        <v>1</v>
      </c>
      <c r="D226">
        <v>0</v>
      </c>
      <c r="E226">
        <v>1</v>
      </c>
      <c r="F226" t="str">
        <f>IF(final_data787[[#This Row],[MONTH_CODE]]=1,"JANUARY",IF(final_data787[[#This Row],[MONTH_CODE]]=2,"FEBRUARY"))</f>
        <v>JANUARY</v>
      </c>
      <c r="G226">
        <v>15</v>
      </c>
      <c r="H226">
        <v>0</v>
      </c>
      <c r="I226">
        <v>1</v>
      </c>
      <c r="J2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6" t="str">
        <f>IF(final_data787[[#This Row],[DAY_CODE]]=0,"weekend",IF(final_data787[[#This Row],[DAY_CODE]]=1,"weekend","weekday"))</f>
        <v>weekend</v>
      </c>
      <c r="L226">
        <v>2</v>
      </c>
      <c r="M226" t="str">
        <f>IF(final_data787[[#This Row],[WEATHER_CODE]]=1,"clear",IF(final_data787[[#This Row],[WEATHER_CODE]]=2,"cloudy",IF(final_data787[[#This Row],[WEATHER_CODE]]=3,"light rain",IF(final_data787[[#This Row],[WEATHER_CODE]]=4,"heavy rain",0))))</f>
        <v>cloudy</v>
      </c>
      <c r="N226">
        <v>0.2</v>
      </c>
      <c r="O226">
        <v>0.19700000000000001</v>
      </c>
      <c r="P226">
        <v>0.4</v>
      </c>
      <c r="Q226">
        <v>0.22389999999999999</v>
      </c>
      <c r="R226">
        <v>2</v>
      </c>
      <c r="S226">
        <v>43</v>
      </c>
      <c r="T226">
        <v>45</v>
      </c>
    </row>
    <row r="227" spans="1:20" x14ac:dyDescent="0.35">
      <c r="A227">
        <v>226</v>
      </c>
      <c r="B227" s="1">
        <v>40553</v>
      </c>
      <c r="C227">
        <v>1</v>
      </c>
      <c r="D227">
        <v>0</v>
      </c>
      <c r="E227">
        <v>1</v>
      </c>
      <c r="F227" t="str">
        <f>IF(final_data787[[#This Row],[MONTH_CODE]]=1,"JANUARY",IF(final_data787[[#This Row],[MONTH_CODE]]=2,"FEBRUARY"))</f>
        <v>JANUARY</v>
      </c>
      <c r="G227">
        <v>16</v>
      </c>
      <c r="H227">
        <v>0</v>
      </c>
      <c r="I227">
        <v>1</v>
      </c>
      <c r="J2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7" t="str">
        <f>IF(final_data787[[#This Row],[DAY_CODE]]=0,"weekend",IF(final_data787[[#This Row],[DAY_CODE]]=1,"weekend","weekday"))</f>
        <v>weekend</v>
      </c>
      <c r="L227">
        <v>1</v>
      </c>
      <c r="M227" t="str">
        <f>IF(final_data787[[#This Row],[WEATHER_CODE]]=1,"clear",IF(final_data787[[#This Row],[WEATHER_CODE]]=2,"cloudy",IF(final_data787[[#This Row],[WEATHER_CODE]]=3,"light rain",IF(final_data787[[#This Row],[WEATHER_CODE]]=4,"heavy rain",0))))</f>
        <v>clear</v>
      </c>
      <c r="N227">
        <v>0.2</v>
      </c>
      <c r="O227">
        <v>0.21210000000000001</v>
      </c>
      <c r="P227">
        <v>0.4</v>
      </c>
      <c r="Q227">
        <v>0.1343</v>
      </c>
      <c r="R227">
        <v>4</v>
      </c>
      <c r="S227">
        <v>70</v>
      </c>
      <c r="T227">
        <v>74</v>
      </c>
    </row>
    <row r="228" spans="1:20" x14ac:dyDescent="0.35">
      <c r="A228">
        <v>227</v>
      </c>
      <c r="B228" s="1">
        <v>40553</v>
      </c>
      <c r="C228">
        <v>1</v>
      </c>
      <c r="D228">
        <v>0</v>
      </c>
      <c r="E228">
        <v>1</v>
      </c>
      <c r="F228" t="str">
        <f>IF(final_data787[[#This Row],[MONTH_CODE]]=1,"JANUARY",IF(final_data787[[#This Row],[MONTH_CODE]]=2,"FEBRUARY"))</f>
        <v>JANUARY</v>
      </c>
      <c r="G228">
        <v>17</v>
      </c>
      <c r="H228">
        <v>0</v>
      </c>
      <c r="I228">
        <v>1</v>
      </c>
      <c r="J2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8" t="str">
        <f>IF(final_data787[[#This Row],[DAY_CODE]]=0,"weekend",IF(final_data787[[#This Row],[DAY_CODE]]=1,"weekend","weekday"))</f>
        <v>weekend</v>
      </c>
      <c r="L228">
        <v>1</v>
      </c>
      <c r="M228" t="str">
        <f>IF(final_data787[[#This Row],[WEATHER_CODE]]=1,"clear",IF(final_data787[[#This Row],[WEATHER_CODE]]=2,"cloudy",IF(final_data787[[#This Row],[WEATHER_CODE]]=3,"light rain",IF(final_data787[[#This Row],[WEATHER_CODE]]=4,"heavy rain",0))))</f>
        <v>clear</v>
      </c>
      <c r="N228">
        <v>0.2</v>
      </c>
      <c r="O228">
        <v>0.2273</v>
      </c>
      <c r="P228">
        <v>0.4</v>
      </c>
      <c r="Q228">
        <v>0.1045</v>
      </c>
      <c r="R228">
        <v>4</v>
      </c>
      <c r="S228">
        <v>174</v>
      </c>
      <c r="T228">
        <v>178</v>
      </c>
    </row>
    <row r="229" spans="1:20" x14ac:dyDescent="0.35">
      <c r="A229">
        <v>228</v>
      </c>
      <c r="B229" s="1">
        <v>40553</v>
      </c>
      <c r="C229">
        <v>1</v>
      </c>
      <c r="D229">
        <v>0</v>
      </c>
      <c r="E229">
        <v>1</v>
      </c>
      <c r="F229" t="str">
        <f>IF(final_data787[[#This Row],[MONTH_CODE]]=1,"JANUARY",IF(final_data787[[#This Row],[MONTH_CODE]]=2,"FEBRUARY"))</f>
        <v>JANUARY</v>
      </c>
      <c r="G229">
        <v>18</v>
      </c>
      <c r="H229">
        <v>0</v>
      </c>
      <c r="I229">
        <v>1</v>
      </c>
      <c r="J2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29" t="str">
        <f>IF(final_data787[[#This Row],[DAY_CODE]]=0,"weekend",IF(final_data787[[#This Row],[DAY_CODE]]=1,"weekend","weekday"))</f>
        <v>weekend</v>
      </c>
      <c r="L229">
        <v>1</v>
      </c>
      <c r="M229" t="str">
        <f>IF(final_data787[[#This Row],[WEATHER_CODE]]=1,"clear",IF(final_data787[[#This Row],[WEATHER_CODE]]=2,"cloudy",IF(final_data787[[#This Row],[WEATHER_CODE]]=3,"light rain",IF(final_data787[[#This Row],[WEATHER_CODE]]=4,"heavy rain",0))))</f>
        <v>clear</v>
      </c>
      <c r="N229">
        <v>0.2</v>
      </c>
      <c r="O229">
        <v>0.19700000000000001</v>
      </c>
      <c r="P229">
        <v>0.4</v>
      </c>
      <c r="Q229">
        <v>0.22389999999999999</v>
      </c>
      <c r="R229">
        <v>1</v>
      </c>
      <c r="S229">
        <v>154</v>
      </c>
      <c r="T229">
        <v>155</v>
      </c>
    </row>
    <row r="230" spans="1:20" x14ac:dyDescent="0.35">
      <c r="A230">
        <v>229</v>
      </c>
      <c r="B230" s="1">
        <v>40553</v>
      </c>
      <c r="C230">
        <v>1</v>
      </c>
      <c r="D230">
        <v>0</v>
      </c>
      <c r="E230">
        <v>1</v>
      </c>
      <c r="F230" t="str">
        <f>IF(final_data787[[#This Row],[MONTH_CODE]]=1,"JANUARY",IF(final_data787[[#This Row],[MONTH_CODE]]=2,"FEBRUARY"))</f>
        <v>JANUARY</v>
      </c>
      <c r="G230">
        <v>19</v>
      </c>
      <c r="H230">
        <v>0</v>
      </c>
      <c r="I230">
        <v>1</v>
      </c>
      <c r="J2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30" t="str">
        <f>IF(final_data787[[#This Row],[DAY_CODE]]=0,"weekend",IF(final_data787[[#This Row],[DAY_CODE]]=1,"weekend","weekday"))</f>
        <v>weekend</v>
      </c>
      <c r="L230">
        <v>1</v>
      </c>
      <c r="M230" t="str">
        <f>IF(final_data787[[#This Row],[WEATHER_CODE]]=1,"clear",IF(final_data787[[#This Row],[WEATHER_CODE]]=2,"cloudy",IF(final_data787[[#This Row],[WEATHER_CODE]]=3,"light rain",IF(final_data787[[#This Row],[WEATHER_CODE]]=4,"heavy rain",0))))</f>
        <v>clear</v>
      </c>
      <c r="N230">
        <v>0.16</v>
      </c>
      <c r="O230">
        <v>0.16669999999999999</v>
      </c>
      <c r="P230">
        <v>0.47</v>
      </c>
      <c r="Q230">
        <v>0.16420000000000001</v>
      </c>
      <c r="R230">
        <v>3</v>
      </c>
      <c r="S230">
        <v>92</v>
      </c>
      <c r="T230">
        <v>95</v>
      </c>
    </row>
    <row r="231" spans="1:20" x14ac:dyDescent="0.35">
      <c r="A231">
        <v>230</v>
      </c>
      <c r="B231" s="1">
        <v>40553</v>
      </c>
      <c r="C231">
        <v>1</v>
      </c>
      <c r="D231">
        <v>0</v>
      </c>
      <c r="E231">
        <v>1</v>
      </c>
      <c r="F231" t="str">
        <f>IF(final_data787[[#This Row],[MONTH_CODE]]=1,"JANUARY",IF(final_data787[[#This Row],[MONTH_CODE]]=2,"FEBRUARY"))</f>
        <v>JANUARY</v>
      </c>
      <c r="G231">
        <v>20</v>
      </c>
      <c r="H231">
        <v>0</v>
      </c>
      <c r="I231">
        <v>1</v>
      </c>
      <c r="J2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31" t="str">
        <f>IF(final_data787[[#This Row],[DAY_CODE]]=0,"weekend",IF(final_data787[[#This Row],[DAY_CODE]]=1,"weekend","weekday"))</f>
        <v>weekend</v>
      </c>
      <c r="L231">
        <v>1</v>
      </c>
      <c r="M231" t="str">
        <f>IF(final_data787[[#This Row],[WEATHER_CODE]]=1,"clear",IF(final_data787[[#This Row],[WEATHER_CODE]]=2,"cloudy",IF(final_data787[[#This Row],[WEATHER_CODE]]=3,"light rain",IF(final_data787[[#This Row],[WEATHER_CODE]]=4,"heavy rain",0))))</f>
        <v>clear</v>
      </c>
      <c r="N231">
        <v>0.16</v>
      </c>
      <c r="O231">
        <v>0.16669999999999999</v>
      </c>
      <c r="P231">
        <v>0.5</v>
      </c>
      <c r="Q231">
        <v>0.16420000000000001</v>
      </c>
      <c r="R231">
        <v>1</v>
      </c>
      <c r="S231">
        <v>73</v>
      </c>
      <c r="T231">
        <v>74</v>
      </c>
    </row>
    <row r="232" spans="1:20" x14ac:dyDescent="0.35">
      <c r="A232">
        <v>231</v>
      </c>
      <c r="B232" s="1">
        <v>40553</v>
      </c>
      <c r="C232">
        <v>1</v>
      </c>
      <c r="D232">
        <v>0</v>
      </c>
      <c r="E232">
        <v>1</v>
      </c>
      <c r="F232" t="str">
        <f>IF(final_data787[[#This Row],[MONTH_CODE]]=1,"JANUARY",IF(final_data787[[#This Row],[MONTH_CODE]]=2,"FEBRUARY"))</f>
        <v>JANUARY</v>
      </c>
      <c r="G232">
        <v>21</v>
      </c>
      <c r="H232">
        <v>0</v>
      </c>
      <c r="I232">
        <v>1</v>
      </c>
      <c r="J2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32" t="str">
        <f>IF(final_data787[[#This Row],[DAY_CODE]]=0,"weekend",IF(final_data787[[#This Row],[DAY_CODE]]=1,"weekend","weekday"))</f>
        <v>weekend</v>
      </c>
      <c r="L232">
        <v>1</v>
      </c>
      <c r="M232" t="str">
        <f>IF(final_data787[[#This Row],[WEATHER_CODE]]=1,"clear",IF(final_data787[[#This Row],[WEATHER_CODE]]=2,"cloudy",IF(final_data787[[#This Row],[WEATHER_CODE]]=3,"light rain",IF(final_data787[[#This Row],[WEATHER_CODE]]=4,"heavy rain",0))))</f>
        <v>clear</v>
      </c>
      <c r="N232">
        <v>0.14000000000000001</v>
      </c>
      <c r="O232">
        <v>0.13639999999999999</v>
      </c>
      <c r="P232">
        <v>0.59</v>
      </c>
      <c r="Q232">
        <v>0.19400000000000001</v>
      </c>
      <c r="R232">
        <v>1</v>
      </c>
      <c r="S232">
        <v>37</v>
      </c>
      <c r="T232">
        <v>38</v>
      </c>
    </row>
    <row r="233" spans="1:20" x14ac:dyDescent="0.35">
      <c r="A233">
        <v>232</v>
      </c>
      <c r="B233" s="1">
        <v>40553</v>
      </c>
      <c r="C233">
        <v>1</v>
      </c>
      <c r="D233">
        <v>0</v>
      </c>
      <c r="E233">
        <v>1</v>
      </c>
      <c r="F233" t="str">
        <f>IF(final_data787[[#This Row],[MONTH_CODE]]=1,"JANUARY",IF(final_data787[[#This Row],[MONTH_CODE]]=2,"FEBRUARY"))</f>
        <v>JANUARY</v>
      </c>
      <c r="G233">
        <v>22</v>
      </c>
      <c r="H233">
        <v>0</v>
      </c>
      <c r="I233">
        <v>1</v>
      </c>
      <c r="J2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33" t="str">
        <f>IF(final_data787[[#This Row],[DAY_CODE]]=0,"weekend",IF(final_data787[[#This Row],[DAY_CODE]]=1,"weekend","weekday"))</f>
        <v>weekend</v>
      </c>
      <c r="L233">
        <v>1</v>
      </c>
      <c r="M233" t="str">
        <f>IF(final_data787[[#This Row],[WEATHER_CODE]]=1,"clear",IF(final_data787[[#This Row],[WEATHER_CODE]]=2,"cloudy",IF(final_data787[[#This Row],[WEATHER_CODE]]=3,"light rain",IF(final_data787[[#This Row],[WEATHER_CODE]]=4,"heavy rain",0))))</f>
        <v>clear</v>
      </c>
      <c r="N233">
        <v>0.14000000000000001</v>
      </c>
      <c r="O233">
        <v>0.1515</v>
      </c>
      <c r="P233">
        <v>0.59</v>
      </c>
      <c r="Q233">
        <v>0.16420000000000001</v>
      </c>
      <c r="R233">
        <v>2</v>
      </c>
      <c r="S233">
        <v>22</v>
      </c>
      <c r="T233">
        <v>24</v>
      </c>
    </row>
    <row r="234" spans="1:20" x14ac:dyDescent="0.35">
      <c r="A234">
        <v>233</v>
      </c>
      <c r="B234" s="1">
        <v>40553</v>
      </c>
      <c r="C234">
        <v>1</v>
      </c>
      <c r="D234">
        <v>0</v>
      </c>
      <c r="E234">
        <v>1</v>
      </c>
      <c r="F234" t="str">
        <f>IF(final_data787[[#This Row],[MONTH_CODE]]=1,"JANUARY",IF(final_data787[[#This Row],[MONTH_CODE]]=2,"FEBRUARY"))</f>
        <v>JANUARY</v>
      </c>
      <c r="G234">
        <v>23</v>
      </c>
      <c r="H234">
        <v>0</v>
      </c>
      <c r="I234">
        <v>1</v>
      </c>
      <c r="J2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234" t="str">
        <f>IF(final_data787[[#This Row],[DAY_CODE]]=0,"weekend",IF(final_data787[[#This Row],[DAY_CODE]]=1,"weekend","weekday"))</f>
        <v>weekend</v>
      </c>
      <c r="L234">
        <v>1</v>
      </c>
      <c r="M234" t="str">
        <f>IF(final_data787[[#This Row],[WEATHER_CODE]]=1,"clear",IF(final_data787[[#This Row],[WEATHER_CODE]]=2,"cloudy",IF(final_data787[[#This Row],[WEATHER_CODE]]=3,"light rain",IF(final_data787[[#This Row],[WEATHER_CODE]]=4,"heavy rain",0))))</f>
        <v>clear</v>
      </c>
      <c r="N234">
        <v>0.14000000000000001</v>
      </c>
      <c r="O234">
        <v>0.1515</v>
      </c>
      <c r="P234">
        <v>0.59</v>
      </c>
      <c r="Q234">
        <v>0.16420000000000001</v>
      </c>
      <c r="R234">
        <v>0</v>
      </c>
      <c r="S234">
        <v>18</v>
      </c>
      <c r="T234">
        <v>18</v>
      </c>
    </row>
    <row r="235" spans="1:20" x14ac:dyDescent="0.35">
      <c r="A235">
        <v>234</v>
      </c>
      <c r="B235" s="1">
        <v>40554</v>
      </c>
      <c r="C235">
        <v>1</v>
      </c>
      <c r="D235">
        <v>0</v>
      </c>
      <c r="E235">
        <v>1</v>
      </c>
      <c r="F235" t="str">
        <f>IF(final_data787[[#This Row],[MONTH_CODE]]=1,"JANUARY",IF(final_data787[[#This Row],[MONTH_CODE]]=2,"FEBRUARY"))</f>
        <v>JANUARY</v>
      </c>
      <c r="G235">
        <v>0</v>
      </c>
      <c r="H235">
        <v>0</v>
      </c>
      <c r="I235">
        <v>2</v>
      </c>
      <c r="J2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35" t="str">
        <f>IF(final_data787[[#This Row],[DAY_CODE]]=0,"weekend",IF(final_data787[[#This Row],[DAY_CODE]]=1,"weekend","weekday"))</f>
        <v>weekday</v>
      </c>
      <c r="L235">
        <v>1</v>
      </c>
      <c r="M235" t="str">
        <f>IF(final_data787[[#This Row],[WEATHER_CODE]]=1,"clear",IF(final_data787[[#This Row],[WEATHER_CODE]]=2,"cloudy",IF(final_data787[[#This Row],[WEATHER_CODE]]=3,"light rain",IF(final_data787[[#This Row],[WEATHER_CODE]]=4,"heavy rain",0))))</f>
        <v>clear</v>
      </c>
      <c r="N235">
        <v>0.14000000000000001</v>
      </c>
      <c r="O235">
        <v>0.16669999999999999</v>
      </c>
      <c r="P235">
        <v>0.59</v>
      </c>
      <c r="Q235">
        <v>0.1045</v>
      </c>
      <c r="R235">
        <v>2</v>
      </c>
      <c r="S235">
        <v>10</v>
      </c>
      <c r="T235">
        <v>12</v>
      </c>
    </row>
    <row r="236" spans="1:20" x14ac:dyDescent="0.35">
      <c r="A236">
        <v>235</v>
      </c>
      <c r="B236" s="1">
        <v>40554</v>
      </c>
      <c r="C236">
        <v>1</v>
      </c>
      <c r="D236">
        <v>0</v>
      </c>
      <c r="E236">
        <v>1</v>
      </c>
      <c r="F236" t="str">
        <f>IF(final_data787[[#This Row],[MONTH_CODE]]=1,"JANUARY",IF(final_data787[[#This Row],[MONTH_CODE]]=2,"FEBRUARY"))</f>
        <v>JANUARY</v>
      </c>
      <c r="G236">
        <v>1</v>
      </c>
      <c r="H236">
        <v>0</v>
      </c>
      <c r="I236">
        <v>2</v>
      </c>
      <c r="J2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36" t="str">
        <f>IF(final_data787[[#This Row],[DAY_CODE]]=0,"weekend",IF(final_data787[[#This Row],[DAY_CODE]]=1,"weekend","weekday"))</f>
        <v>weekday</v>
      </c>
      <c r="L236">
        <v>1</v>
      </c>
      <c r="M236" t="str">
        <f>IF(final_data787[[#This Row],[WEATHER_CODE]]=1,"clear",IF(final_data787[[#This Row],[WEATHER_CODE]]=2,"cloudy",IF(final_data787[[#This Row],[WEATHER_CODE]]=3,"light rain",IF(final_data787[[#This Row],[WEATHER_CODE]]=4,"heavy rain",0))))</f>
        <v>clear</v>
      </c>
      <c r="N236">
        <v>0.14000000000000001</v>
      </c>
      <c r="O236">
        <v>0.1515</v>
      </c>
      <c r="P236">
        <v>0.59</v>
      </c>
      <c r="Q236">
        <v>0.16420000000000001</v>
      </c>
      <c r="R236">
        <v>0</v>
      </c>
      <c r="S236">
        <v>3</v>
      </c>
      <c r="T236">
        <v>3</v>
      </c>
    </row>
    <row r="237" spans="1:20" x14ac:dyDescent="0.35">
      <c r="A237">
        <v>236</v>
      </c>
      <c r="B237" s="1">
        <v>40554</v>
      </c>
      <c r="C237">
        <v>1</v>
      </c>
      <c r="D237">
        <v>0</v>
      </c>
      <c r="E237">
        <v>1</v>
      </c>
      <c r="F237" t="str">
        <f>IF(final_data787[[#This Row],[MONTH_CODE]]=1,"JANUARY",IF(final_data787[[#This Row],[MONTH_CODE]]=2,"FEBRUARY"))</f>
        <v>JANUARY</v>
      </c>
      <c r="G237">
        <v>2</v>
      </c>
      <c r="H237">
        <v>0</v>
      </c>
      <c r="I237">
        <v>2</v>
      </c>
      <c r="J2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37" t="str">
        <f>IF(final_data787[[#This Row],[DAY_CODE]]=0,"weekend",IF(final_data787[[#This Row],[DAY_CODE]]=1,"weekend","weekday"))</f>
        <v>weekday</v>
      </c>
      <c r="L237">
        <v>2</v>
      </c>
      <c r="M237" t="str">
        <f>IF(final_data787[[#This Row],[WEATHER_CODE]]=1,"clear",IF(final_data787[[#This Row],[WEATHER_CODE]]=2,"cloudy",IF(final_data787[[#This Row],[WEATHER_CODE]]=3,"light rain",IF(final_data787[[#This Row],[WEATHER_CODE]]=4,"heavy rain",0))))</f>
        <v>cloudy</v>
      </c>
      <c r="N237">
        <v>0.16</v>
      </c>
      <c r="O237">
        <v>0.1515</v>
      </c>
      <c r="P237">
        <v>0.55000000000000004</v>
      </c>
      <c r="Q237">
        <v>0.19400000000000001</v>
      </c>
      <c r="R237">
        <v>0</v>
      </c>
      <c r="S237">
        <v>3</v>
      </c>
      <c r="T237">
        <v>3</v>
      </c>
    </row>
    <row r="238" spans="1:20" x14ac:dyDescent="0.35">
      <c r="A238">
        <v>237</v>
      </c>
      <c r="B238" s="1">
        <v>40554</v>
      </c>
      <c r="C238">
        <v>1</v>
      </c>
      <c r="D238">
        <v>0</v>
      </c>
      <c r="E238">
        <v>1</v>
      </c>
      <c r="F238" t="str">
        <f>IF(final_data787[[#This Row],[MONTH_CODE]]=1,"JANUARY",IF(final_data787[[#This Row],[MONTH_CODE]]=2,"FEBRUARY"))</f>
        <v>JANUARY</v>
      </c>
      <c r="G238">
        <v>5</v>
      </c>
      <c r="H238">
        <v>0</v>
      </c>
      <c r="I238">
        <v>2</v>
      </c>
      <c r="J2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38" t="str">
        <f>IF(final_data787[[#This Row],[DAY_CODE]]=0,"weekend",IF(final_data787[[#This Row],[DAY_CODE]]=1,"weekend","weekday"))</f>
        <v>weekday</v>
      </c>
      <c r="L238">
        <v>2</v>
      </c>
      <c r="M238" t="str">
        <f>IF(final_data787[[#This Row],[WEATHER_CODE]]=1,"clear",IF(final_data787[[#This Row],[WEATHER_CODE]]=2,"cloudy",IF(final_data787[[#This Row],[WEATHER_CODE]]=3,"light rain",IF(final_data787[[#This Row],[WEATHER_CODE]]=4,"heavy rain",0))))</f>
        <v>cloudy</v>
      </c>
      <c r="N238">
        <v>0.16</v>
      </c>
      <c r="O238">
        <v>0.18179999999999999</v>
      </c>
      <c r="P238">
        <v>0.55000000000000004</v>
      </c>
      <c r="Q238">
        <v>0.1343</v>
      </c>
      <c r="R238">
        <v>0</v>
      </c>
      <c r="S238">
        <v>6</v>
      </c>
      <c r="T238">
        <v>6</v>
      </c>
    </row>
    <row r="239" spans="1:20" x14ac:dyDescent="0.35">
      <c r="A239">
        <v>238</v>
      </c>
      <c r="B239" s="1">
        <v>40554</v>
      </c>
      <c r="C239">
        <v>1</v>
      </c>
      <c r="D239">
        <v>0</v>
      </c>
      <c r="E239">
        <v>1</v>
      </c>
      <c r="F239" t="str">
        <f>IF(final_data787[[#This Row],[MONTH_CODE]]=1,"JANUARY",IF(final_data787[[#This Row],[MONTH_CODE]]=2,"FEBRUARY"))</f>
        <v>JANUARY</v>
      </c>
      <c r="G239">
        <v>6</v>
      </c>
      <c r="H239">
        <v>0</v>
      </c>
      <c r="I239">
        <v>2</v>
      </c>
      <c r="J2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39" t="str">
        <f>IF(final_data787[[#This Row],[DAY_CODE]]=0,"weekend",IF(final_data787[[#This Row],[DAY_CODE]]=1,"weekend","weekday"))</f>
        <v>weekday</v>
      </c>
      <c r="L239">
        <v>2</v>
      </c>
      <c r="M239" t="str">
        <f>IF(final_data787[[#This Row],[WEATHER_CODE]]=1,"clear",IF(final_data787[[#This Row],[WEATHER_CODE]]=2,"cloudy",IF(final_data787[[#This Row],[WEATHER_CODE]]=3,"light rain",IF(final_data787[[#This Row],[WEATHER_CODE]]=4,"heavy rain",0))))</f>
        <v>cloudy</v>
      </c>
      <c r="N239">
        <v>0.16</v>
      </c>
      <c r="O239">
        <v>0.18179999999999999</v>
      </c>
      <c r="P239">
        <v>0.55000000000000004</v>
      </c>
      <c r="Q239">
        <v>0.1343</v>
      </c>
      <c r="R239">
        <v>0</v>
      </c>
      <c r="S239">
        <v>27</v>
      </c>
      <c r="T239">
        <v>27</v>
      </c>
    </row>
    <row r="240" spans="1:20" x14ac:dyDescent="0.35">
      <c r="A240">
        <v>239</v>
      </c>
      <c r="B240" s="1">
        <v>40554</v>
      </c>
      <c r="C240">
        <v>1</v>
      </c>
      <c r="D240">
        <v>0</v>
      </c>
      <c r="E240">
        <v>1</v>
      </c>
      <c r="F240" t="str">
        <f>IF(final_data787[[#This Row],[MONTH_CODE]]=1,"JANUARY",IF(final_data787[[#This Row],[MONTH_CODE]]=2,"FEBRUARY"))</f>
        <v>JANUARY</v>
      </c>
      <c r="G240">
        <v>7</v>
      </c>
      <c r="H240">
        <v>0</v>
      </c>
      <c r="I240">
        <v>2</v>
      </c>
      <c r="J2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0" t="str">
        <f>IF(final_data787[[#This Row],[DAY_CODE]]=0,"weekend",IF(final_data787[[#This Row],[DAY_CODE]]=1,"weekend","weekday"))</f>
        <v>weekday</v>
      </c>
      <c r="L240">
        <v>2</v>
      </c>
      <c r="M240" t="str">
        <f>IF(final_data787[[#This Row],[WEATHER_CODE]]=1,"clear",IF(final_data787[[#This Row],[WEATHER_CODE]]=2,"cloudy",IF(final_data787[[#This Row],[WEATHER_CODE]]=3,"light rain",IF(final_data787[[#This Row],[WEATHER_CODE]]=4,"heavy rain",0))))</f>
        <v>cloudy</v>
      </c>
      <c r="N240">
        <v>0.16</v>
      </c>
      <c r="O240">
        <v>0.2273</v>
      </c>
      <c r="P240">
        <v>0.55000000000000004</v>
      </c>
      <c r="Q240">
        <v>0</v>
      </c>
      <c r="R240">
        <v>2</v>
      </c>
      <c r="S240">
        <v>97</v>
      </c>
      <c r="T240">
        <v>99</v>
      </c>
    </row>
    <row r="241" spans="1:20" x14ac:dyDescent="0.35">
      <c r="A241">
        <v>240</v>
      </c>
      <c r="B241" s="1">
        <v>40554</v>
      </c>
      <c r="C241">
        <v>1</v>
      </c>
      <c r="D241">
        <v>0</v>
      </c>
      <c r="E241">
        <v>1</v>
      </c>
      <c r="F241" t="str">
        <f>IF(final_data787[[#This Row],[MONTH_CODE]]=1,"JANUARY",IF(final_data787[[#This Row],[MONTH_CODE]]=2,"FEBRUARY"))</f>
        <v>JANUARY</v>
      </c>
      <c r="G241">
        <v>8</v>
      </c>
      <c r="H241">
        <v>0</v>
      </c>
      <c r="I241">
        <v>2</v>
      </c>
      <c r="J2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1" t="str">
        <f>IF(final_data787[[#This Row],[DAY_CODE]]=0,"weekend",IF(final_data787[[#This Row],[DAY_CODE]]=1,"weekend","weekday"))</f>
        <v>weekday</v>
      </c>
      <c r="L241">
        <v>2</v>
      </c>
      <c r="M241" t="str">
        <f>IF(final_data787[[#This Row],[WEATHER_CODE]]=1,"clear",IF(final_data787[[#This Row],[WEATHER_CODE]]=2,"cloudy",IF(final_data787[[#This Row],[WEATHER_CODE]]=3,"light rain",IF(final_data787[[#This Row],[WEATHER_CODE]]=4,"heavy rain",0))))</f>
        <v>cloudy</v>
      </c>
      <c r="N241">
        <v>0.18</v>
      </c>
      <c r="O241">
        <v>0.21210000000000001</v>
      </c>
      <c r="P241">
        <v>0.51</v>
      </c>
      <c r="Q241">
        <v>8.9599999999999999E-2</v>
      </c>
      <c r="R241">
        <v>3</v>
      </c>
      <c r="S241">
        <v>214</v>
      </c>
      <c r="T241">
        <v>217</v>
      </c>
    </row>
    <row r="242" spans="1:20" x14ac:dyDescent="0.35">
      <c r="A242">
        <v>241</v>
      </c>
      <c r="B242" s="1">
        <v>40554</v>
      </c>
      <c r="C242">
        <v>1</v>
      </c>
      <c r="D242">
        <v>0</v>
      </c>
      <c r="E242">
        <v>1</v>
      </c>
      <c r="F242" t="str">
        <f>IF(final_data787[[#This Row],[MONTH_CODE]]=1,"JANUARY",IF(final_data787[[#This Row],[MONTH_CODE]]=2,"FEBRUARY"))</f>
        <v>JANUARY</v>
      </c>
      <c r="G242">
        <v>9</v>
      </c>
      <c r="H242">
        <v>0</v>
      </c>
      <c r="I242">
        <v>2</v>
      </c>
      <c r="J2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2" t="str">
        <f>IF(final_data787[[#This Row],[DAY_CODE]]=0,"weekend",IF(final_data787[[#This Row],[DAY_CODE]]=1,"weekend","weekday"))</f>
        <v>weekday</v>
      </c>
      <c r="L242">
        <v>2</v>
      </c>
      <c r="M242" t="str">
        <f>IF(final_data787[[#This Row],[WEATHER_CODE]]=1,"clear",IF(final_data787[[#This Row],[WEATHER_CODE]]=2,"cloudy",IF(final_data787[[#This Row],[WEATHER_CODE]]=3,"light rain",IF(final_data787[[#This Row],[WEATHER_CODE]]=4,"heavy rain",0))))</f>
        <v>cloudy</v>
      </c>
      <c r="N242">
        <v>0.18</v>
      </c>
      <c r="O242">
        <v>0.19700000000000001</v>
      </c>
      <c r="P242">
        <v>0.51</v>
      </c>
      <c r="Q242">
        <v>0.16420000000000001</v>
      </c>
      <c r="R242">
        <v>3</v>
      </c>
      <c r="S242">
        <v>127</v>
      </c>
      <c r="T242">
        <v>130</v>
      </c>
    </row>
    <row r="243" spans="1:20" x14ac:dyDescent="0.35">
      <c r="A243">
        <v>242</v>
      </c>
      <c r="B243" s="1">
        <v>40554</v>
      </c>
      <c r="C243">
        <v>1</v>
      </c>
      <c r="D243">
        <v>0</v>
      </c>
      <c r="E243">
        <v>1</v>
      </c>
      <c r="F243" t="str">
        <f>IF(final_data787[[#This Row],[MONTH_CODE]]=1,"JANUARY",IF(final_data787[[#This Row],[MONTH_CODE]]=2,"FEBRUARY"))</f>
        <v>JANUARY</v>
      </c>
      <c r="G243">
        <v>10</v>
      </c>
      <c r="H243">
        <v>0</v>
      </c>
      <c r="I243">
        <v>2</v>
      </c>
      <c r="J2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3" t="str">
        <f>IF(final_data787[[#This Row],[DAY_CODE]]=0,"weekend",IF(final_data787[[#This Row],[DAY_CODE]]=1,"weekend","weekday"))</f>
        <v>weekday</v>
      </c>
      <c r="L243">
        <v>2</v>
      </c>
      <c r="M243" t="str">
        <f>IF(final_data787[[#This Row],[WEATHER_CODE]]=1,"clear",IF(final_data787[[#This Row],[WEATHER_CODE]]=2,"cloudy",IF(final_data787[[#This Row],[WEATHER_CODE]]=3,"light rain",IF(final_data787[[#This Row],[WEATHER_CODE]]=4,"heavy rain",0))))</f>
        <v>cloudy</v>
      </c>
      <c r="N243">
        <v>0.2</v>
      </c>
      <c r="O243">
        <v>0.21210000000000001</v>
      </c>
      <c r="P243">
        <v>0.51</v>
      </c>
      <c r="Q243">
        <v>0.16420000000000001</v>
      </c>
      <c r="R243">
        <v>3</v>
      </c>
      <c r="S243">
        <v>51</v>
      </c>
      <c r="T243">
        <v>54</v>
      </c>
    </row>
    <row r="244" spans="1:20" x14ac:dyDescent="0.35">
      <c r="A244">
        <v>243</v>
      </c>
      <c r="B244" s="1">
        <v>40554</v>
      </c>
      <c r="C244">
        <v>1</v>
      </c>
      <c r="D244">
        <v>0</v>
      </c>
      <c r="E244">
        <v>1</v>
      </c>
      <c r="F244" t="str">
        <f>IF(final_data787[[#This Row],[MONTH_CODE]]=1,"JANUARY",IF(final_data787[[#This Row],[MONTH_CODE]]=2,"FEBRUARY"))</f>
        <v>JANUARY</v>
      </c>
      <c r="G244">
        <v>11</v>
      </c>
      <c r="H244">
        <v>0</v>
      </c>
      <c r="I244">
        <v>2</v>
      </c>
      <c r="J2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4" t="str">
        <f>IF(final_data787[[#This Row],[DAY_CODE]]=0,"weekend",IF(final_data787[[#This Row],[DAY_CODE]]=1,"weekend","weekday"))</f>
        <v>weekday</v>
      </c>
      <c r="L244">
        <v>2</v>
      </c>
      <c r="M244" t="str">
        <f>IF(final_data787[[#This Row],[WEATHER_CODE]]=1,"clear",IF(final_data787[[#This Row],[WEATHER_CODE]]=2,"cloudy",IF(final_data787[[#This Row],[WEATHER_CODE]]=3,"light rain",IF(final_data787[[#This Row],[WEATHER_CODE]]=4,"heavy rain",0))))</f>
        <v>cloudy</v>
      </c>
      <c r="N244">
        <v>0.2</v>
      </c>
      <c r="O244">
        <v>0.21210000000000001</v>
      </c>
      <c r="P244">
        <v>0.47</v>
      </c>
      <c r="Q244">
        <v>0.1343</v>
      </c>
      <c r="R244">
        <v>4</v>
      </c>
      <c r="S244">
        <v>31</v>
      </c>
      <c r="T244">
        <v>35</v>
      </c>
    </row>
    <row r="245" spans="1:20" x14ac:dyDescent="0.35">
      <c r="A245">
        <v>244</v>
      </c>
      <c r="B245" s="1">
        <v>40554</v>
      </c>
      <c r="C245">
        <v>1</v>
      </c>
      <c r="D245">
        <v>0</v>
      </c>
      <c r="E245">
        <v>1</v>
      </c>
      <c r="F245" t="str">
        <f>IF(final_data787[[#This Row],[MONTH_CODE]]=1,"JANUARY",IF(final_data787[[#This Row],[MONTH_CODE]]=2,"FEBRUARY"))</f>
        <v>JANUARY</v>
      </c>
      <c r="G245">
        <v>12</v>
      </c>
      <c r="H245">
        <v>0</v>
      </c>
      <c r="I245">
        <v>2</v>
      </c>
      <c r="J2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5" t="str">
        <f>IF(final_data787[[#This Row],[DAY_CODE]]=0,"weekend",IF(final_data787[[#This Row],[DAY_CODE]]=1,"weekend","weekday"))</f>
        <v>weekday</v>
      </c>
      <c r="L245">
        <v>2</v>
      </c>
      <c r="M245" t="str">
        <f>IF(final_data787[[#This Row],[WEATHER_CODE]]=1,"clear",IF(final_data787[[#This Row],[WEATHER_CODE]]=2,"cloudy",IF(final_data787[[#This Row],[WEATHER_CODE]]=3,"light rain",IF(final_data787[[#This Row],[WEATHER_CODE]]=4,"heavy rain",0))))</f>
        <v>cloudy</v>
      </c>
      <c r="N245">
        <v>0.2</v>
      </c>
      <c r="O245">
        <v>0.2273</v>
      </c>
      <c r="P245">
        <v>0.51</v>
      </c>
      <c r="Q245">
        <v>0.1045</v>
      </c>
      <c r="R245">
        <v>2</v>
      </c>
      <c r="S245">
        <v>55</v>
      </c>
      <c r="T245">
        <v>57</v>
      </c>
    </row>
    <row r="246" spans="1:20" x14ac:dyDescent="0.35">
      <c r="A246">
        <v>245</v>
      </c>
      <c r="B246" s="1">
        <v>40554</v>
      </c>
      <c r="C246">
        <v>1</v>
      </c>
      <c r="D246">
        <v>0</v>
      </c>
      <c r="E246">
        <v>1</v>
      </c>
      <c r="F246" t="str">
        <f>IF(final_data787[[#This Row],[MONTH_CODE]]=1,"JANUARY",IF(final_data787[[#This Row],[MONTH_CODE]]=2,"FEBRUARY"))</f>
        <v>JANUARY</v>
      </c>
      <c r="G246">
        <v>13</v>
      </c>
      <c r="H246">
        <v>0</v>
      </c>
      <c r="I246">
        <v>2</v>
      </c>
      <c r="J2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6" t="str">
        <f>IF(final_data787[[#This Row],[DAY_CODE]]=0,"weekend",IF(final_data787[[#This Row],[DAY_CODE]]=1,"weekend","weekday"))</f>
        <v>weekday</v>
      </c>
      <c r="L246">
        <v>2</v>
      </c>
      <c r="M246" t="str">
        <f>IF(final_data787[[#This Row],[WEATHER_CODE]]=1,"clear",IF(final_data787[[#This Row],[WEATHER_CODE]]=2,"cloudy",IF(final_data787[[#This Row],[WEATHER_CODE]]=3,"light rain",IF(final_data787[[#This Row],[WEATHER_CODE]]=4,"heavy rain",0))))</f>
        <v>cloudy</v>
      </c>
      <c r="N246">
        <v>0.2</v>
      </c>
      <c r="O246">
        <v>0.2273</v>
      </c>
      <c r="P246">
        <v>0.59</v>
      </c>
      <c r="Q246">
        <v>8.9599999999999999E-2</v>
      </c>
      <c r="R246">
        <v>6</v>
      </c>
      <c r="S246">
        <v>46</v>
      </c>
      <c r="T246">
        <v>52</v>
      </c>
    </row>
    <row r="247" spans="1:20" x14ac:dyDescent="0.35">
      <c r="A247">
        <v>246</v>
      </c>
      <c r="B247" s="1">
        <v>40554</v>
      </c>
      <c r="C247">
        <v>1</v>
      </c>
      <c r="D247">
        <v>0</v>
      </c>
      <c r="E247">
        <v>1</v>
      </c>
      <c r="F247" t="str">
        <f>IF(final_data787[[#This Row],[MONTH_CODE]]=1,"JANUARY",IF(final_data787[[#This Row],[MONTH_CODE]]=2,"FEBRUARY"))</f>
        <v>JANUARY</v>
      </c>
      <c r="G247">
        <v>14</v>
      </c>
      <c r="H247">
        <v>0</v>
      </c>
      <c r="I247">
        <v>2</v>
      </c>
      <c r="J2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7" t="str">
        <f>IF(final_data787[[#This Row],[DAY_CODE]]=0,"weekend",IF(final_data787[[#This Row],[DAY_CODE]]=1,"weekend","weekday"))</f>
        <v>weekday</v>
      </c>
      <c r="L247">
        <v>2</v>
      </c>
      <c r="M247" t="str">
        <f>IF(final_data787[[#This Row],[WEATHER_CODE]]=1,"clear",IF(final_data787[[#This Row],[WEATHER_CODE]]=2,"cloudy",IF(final_data787[[#This Row],[WEATHER_CODE]]=3,"light rain",IF(final_data787[[#This Row],[WEATHER_CODE]]=4,"heavy rain",0))))</f>
        <v>cloudy</v>
      </c>
      <c r="N247">
        <v>0.2</v>
      </c>
      <c r="O247">
        <v>0.2273</v>
      </c>
      <c r="P247">
        <v>0.59</v>
      </c>
      <c r="Q247">
        <v>8.9599999999999999E-2</v>
      </c>
      <c r="R247">
        <v>3</v>
      </c>
      <c r="S247">
        <v>60</v>
      </c>
      <c r="T247">
        <v>63</v>
      </c>
    </row>
    <row r="248" spans="1:20" x14ac:dyDescent="0.35">
      <c r="A248">
        <v>247</v>
      </c>
      <c r="B248" s="1">
        <v>40554</v>
      </c>
      <c r="C248">
        <v>1</v>
      </c>
      <c r="D248">
        <v>0</v>
      </c>
      <c r="E248">
        <v>1</v>
      </c>
      <c r="F248" t="str">
        <f>IF(final_data787[[#This Row],[MONTH_CODE]]=1,"JANUARY",IF(final_data787[[#This Row],[MONTH_CODE]]=2,"FEBRUARY"))</f>
        <v>JANUARY</v>
      </c>
      <c r="G248">
        <v>15</v>
      </c>
      <c r="H248">
        <v>0</v>
      </c>
      <c r="I248">
        <v>2</v>
      </c>
      <c r="J2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8" t="str">
        <f>IF(final_data787[[#This Row],[DAY_CODE]]=0,"weekend",IF(final_data787[[#This Row],[DAY_CODE]]=1,"weekend","weekday"))</f>
        <v>weekday</v>
      </c>
      <c r="L248">
        <v>2</v>
      </c>
      <c r="M248" t="str">
        <f>IF(final_data787[[#This Row],[WEATHER_CODE]]=1,"clear",IF(final_data787[[#This Row],[WEATHER_CODE]]=2,"cloudy",IF(final_data787[[#This Row],[WEATHER_CODE]]=3,"light rain",IF(final_data787[[#This Row],[WEATHER_CODE]]=4,"heavy rain",0))))</f>
        <v>cloudy</v>
      </c>
      <c r="N248">
        <v>0.16</v>
      </c>
      <c r="O248">
        <v>0.19700000000000001</v>
      </c>
      <c r="P248">
        <v>0.8</v>
      </c>
      <c r="Q248">
        <v>8.9599999999999999E-2</v>
      </c>
      <c r="R248">
        <v>2</v>
      </c>
      <c r="S248">
        <v>45</v>
      </c>
      <c r="T248">
        <v>47</v>
      </c>
    </row>
    <row r="249" spans="1:20" x14ac:dyDescent="0.35">
      <c r="A249">
        <v>248</v>
      </c>
      <c r="B249" s="1">
        <v>40554</v>
      </c>
      <c r="C249">
        <v>1</v>
      </c>
      <c r="D249">
        <v>0</v>
      </c>
      <c r="E249">
        <v>1</v>
      </c>
      <c r="F249" t="str">
        <f>IF(final_data787[[#This Row],[MONTH_CODE]]=1,"JANUARY",IF(final_data787[[#This Row],[MONTH_CODE]]=2,"FEBRUARY"))</f>
        <v>JANUARY</v>
      </c>
      <c r="G249">
        <v>16</v>
      </c>
      <c r="H249">
        <v>0</v>
      </c>
      <c r="I249">
        <v>2</v>
      </c>
      <c r="J2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49" t="str">
        <f>IF(final_data787[[#This Row],[DAY_CODE]]=0,"weekend",IF(final_data787[[#This Row],[DAY_CODE]]=1,"weekend","weekday"))</f>
        <v>weekday</v>
      </c>
      <c r="L249">
        <v>2</v>
      </c>
      <c r="M249" t="str">
        <f>IF(final_data787[[#This Row],[WEATHER_CODE]]=1,"clear",IF(final_data787[[#This Row],[WEATHER_CODE]]=2,"cloudy",IF(final_data787[[#This Row],[WEATHER_CODE]]=3,"light rain",IF(final_data787[[#This Row],[WEATHER_CODE]]=4,"heavy rain",0))))</f>
        <v>cloudy</v>
      </c>
      <c r="N249">
        <v>0.16</v>
      </c>
      <c r="O249">
        <v>0.1515</v>
      </c>
      <c r="P249">
        <v>0.86</v>
      </c>
      <c r="Q249">
        <v>0.22389999999999999</v>
      </c>
      <c r="R249">
        <v>4</v>
      </c>
      <c r="S249">
        <v>72</v>
      </c>
      <c r="T249">
        <v>76</v>
      </c>
    </row>
    <row r="250" spans="1:20" x14ac:dyDescent="0.35">
      <c r="A250">
        <v>249</v>
      </c>
      <c r="B250" s="1">
        <v>40554</v>
      </c>
      <c r="C250">
        <v>1</v>
      </c>
      <c r="D250">
        <v>0</v>
      </c>
      <c r="E250">
        <v>1</v>
      </c>
      <c r="F250" t="str">
        <f>IF(final_data787[[#This Row],[MONTH_CODE]]=1,"JANUARY",IF(final_data787[[#This Row],[MONTH_CODE]]=2,"FEBRUARY"))</f>
        <v>JANUARY</v>
      </c>
      <c r="G250">
        <v>17</v>
      </c>
      <c r="H250">
        <v>0</v>
      </c>
      <c r="I250">
        <v>2</v>
      </c>
      <c r="J2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0" t="str">
        <f>IF(final_data787[[#This Row],[DAY_CODE]]=0,"weekend",IF(final_data787[[#This Row],[DAY_CODE]]=1,"weekend","weekday"))</f>
        <v>weekday</v>
      </c>
      <c r="L250">
        <v>2</v>
      </c>
      <c r="M250" t="str">
        <f>IF(final_data787[[#This Row],[WEATHER_CODE]]=1,"clear",IF(final_data787[[#This Row],[WEATHER_CODE]]=2,"cloudy",IF(final_data787[[#This Row],[WEATHER_CODE]]=3,"light rain",IF(final_data787[[#This Row],[WEATHER_CODE]]=4,"heavy rain",0))))</f>
        <v>cloudy</v>
      </c>
      <c r="N250">
        <v>0.16</v>
      </c>
      <c r="O250">
        <v>0.1515</v>
      </c>
      <c r="P250">
        <v>0.86</v>
      </c>
      <c r="Q250">
        <v>0.22389999999999999</v>
      </c>
      <c r="R250">
        <v>6</v>
      </c>
      <c r="S250">
        <v>130</v>
      </c>
      <c r="T250">
        <v>136</v>
      </c>
    </row>
    <row r="251" spans="1:20" x14ac:dyDescent="0.35">
      <c r="A251">
        <v>250</v>
      </c>
      <c r="B251" s="1">
        <v>40554</v>
      </c>
      <c r="C251">
        <v>1</v>
      </c>
      <c r="D251">
        <v>0</v>
      </c>
      <c r="E251">
        <v>1</v>
      </c>
      <c r="F251" t="str">
        <f>IF(final_data787[[#This Row],[MONTH_CODE]]=1,"JANUARY",IF(final_data787[[#This Row],[MONTH_CODE]]=2,"FEBRUARY"))</f>
        <v>JANUARY</v>
      </c>
      <c r="G251">
        <v>18</v>
      </c>
      <c r="H251">
        <v>0</v>
      </c>
      <c r="I251">
        <v>2</v>
      </c>
      <c r="J2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1" t="str">
        <f>IF(final_data787[[#This Row],[DAY_CODE]]=0,"weekend",IF(final_data787[[#This Row],[DAY_CODE]]=1,"weekend","weekday"))</f>
        <v>weekday</v>
      </c>
      <c r="L251">
        <v>3</v>
      </c>
      <c r="M251" t="str">
        <f>IF(final_data787[[#This Row],[WEATHER_CODE]]=1,"clear",IF(final_data787[[#This Row],[WEATHER_CODE]]=2,"cloudy",IF(final_data787[[#This Row],[WEATHER_CODE]]=3,"light rain",IF(final_data787[[#This Row],[WEATHER_CODE]]=4,"heavy rain",0))))</f>
        <v>light rain</v>
      </c>
      <c r="N251">
        <v>0.16</v>
      </c>
      <c r="O251">
        <v>0.18179999999999999</v>
      </c>
      <c r="P251">
        <v>0.93</v>
      </c>
      <c r="Q251">
        <v>0.1045</v>
      </c>
      <c r="R251">
        <v>1</v>
      </c>
      <c r="S251">
        <v>94</v>
      </c>
      <c r="T251">
        <v>95</v>
      </c>
    </row>
    <row r="252" spans="1:20" x14ac:dyDescent="0.35">
      <c r="A252">
        <v>251</v>
      </c>
      <c r="B252" s="1">
        <v>40554</v>
      </c>
      <c r="C252">
        <v>1</v>
      </c>
      <c r="D252">
        <v>0</v>
      </c>
      <c r="E252">
        <v>1</v>
      </c>
      <c r="F252" t="str">
        <f>IF(final_data787[[#This Row],[MONTH_CODE]]=1,"JANUARY",IF(final_data787[[#This Row],[MONTH_CODE]]=2,"FEBRUARY"))</f>
        <v>JANUARY</v>
      </c>
      <c r="G252">
        <v>19</v>
      </c>
      <c r="H252">
        <v>0</v>
      </c>
      <c r="I252">
        <v>2</v>
      </c>
      <c r="J2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2" t="str">
        <f>IF(final_data787[[#This Row],[DAY_CODE]]=0,"weekend",IF(final_data787[[#This Row],[DAY_CODE]]=1,"weekend","weekday"))</f>
        <v>weekday</v>
      </c>
      <c r="L252">
        <v>3</v>
      </c>
      <c r="M252" t="str">
        <f>IF(final_data787[[#This Row],[WEATHER_CODE]]=1,"clear",IF(final_data787[[#This Row],[WEATHER_CODE]]=2,"cloudy",IF(final_data787[[#This Row],[WEATHER_CODE]]=3,"light rain",IF(final_data787[[#This Row],[WEATHER_CODE]]=4,"heavy rain",0))))</f>
        <v>light rain</v>
      </c>
      <c r="N252">
        <v>0.16</v>
      </c>
      <c r="O252">
        <v>0.2273</v>
      </c>
      <c r="P252">
        <v>0.93</v>
      </c>
      <c r="Q252">
        <v>0</v>
      </c>
      <c r="R252">
        <v>0</v>
      </c>
      <c r="S252">
        <v>51</v>
      </c>
      <c r="T252">
        <v>51</v>
      </c>
    </row>
    <row r="253" spans="1:20" x14ac:dyDescent="0.35">
      <c r="A253">
        <v>252</v>
      </c>
      <c r="B253" s="1">
        <v>40554</v>
      </c>
      <c r="C253">
        <v>1</v>
      </c>
      <c r="D253">
        <v>0</v>
      </c>
      <c r="E253">
        <v>1</v>
      </c>
      <c r="F253" t="str">
        <f>IF(final_data787[[#This Row],[MONTH_CODE]]=1,"JANUARY",IF(final_data787[[#This Row],[MONTH_CODE]]=2,"FEBRUARY"))</f>
        <v>JANUARY</v>
      </c>
      <c r="G253">
        <v>20</v>
      </c>
      <c r="H253">
        <v>0</v>
      </c>
      <c r="I253">
        <v>2</v>
      </c>
      <c r="J2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3" t="str">
        <f>IF(final_data787[[#This Row],[DAY_CODE]]=0,"weekend",IF(final_data787[[#This Row],[DAY_CODE]]=1,"weekend","weekday"))</f>
        <v>weekday</v>
      </c>
      <c r="L253">
        <v>3</v>
      </c>
      <c r="M253" t="str">
        <f>IF(final_data787[[#This Row],[WEATHER_CODE]]=1,"clear",IF(final_data787[[#This Row],[WEATHER_CODE]]=2,"cloudy",IF(final_data787[[#This Row],[WEATHER_CODE]]=3,"light rain",IF(final_data787[[#This Row],[WEATHER_CODE]]=4,"heavy rain",0))))</f>
        <v>light rain</v>
      </c>
      <c r="N253">
        <v>0.16</v>
      </c>
      <c r="O253">
        <v>0.1515</v>
      </c>
      <c r="P253">
        <v>0.93</v>
      </c>
      <c r="Q253">
        <v>0.19400000000000001</v>
      </c>
      <c r="R253">
        <v>0</v>
      </c>
      <c r="S253">
        <v>32</v>
      </c>
      <c r="T253">
        <v>32</v>
      </c>
    </row>
    <row r="254" spans="1:20" x14ac:dyDescent="0.35">
      <c r="A254">
        <v>253</v>
      </c>
      <c r="B254" s="1">
        <v>40554</v>
      </c>
      <c r="C254">
        <v>1</v>
      </c>
      <c r="D254">
        <v>0</v>
      </c>
      <c r="E254">
        <v>1</v>
      </c>
      <c r="F254" t="str">
        <f>IF(final_data787[[#This Row],[MONTH_CODE]]=1,"JANUARY",IF(final_data787[[#This Row],[MONTH_CODE]]=2,"FEBRUARY"))</f>
        <v>JANUARY</v>
      </c>
      <c r="G254">
        <v>21</v>
      </c>
      <c r="H254">
        <v>0</v>
      </c>
      <c r="I254">
        <v>2</v>
      </c>
      <c r="J2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4" t="str">
        <f>IF(final_data787[[#This Row],[DAY_CODE]]=0,"weekend",IF(final_data787[[#This Row],[DAY_CODE]]=1,"weekend","weekday"))</f>
        <v>weekday</v>
      </c>
      <c r="L254">
        <v>3</v>
      </c>
      <c r="M254" t="str">
        <f>IF(final_data787[[#This Row],[WEATHER_CODE]]=1,"clear",IF(final_data787[[#This Row],[WEATHER_CODE]]=2,"cloudy",IF(final_data787[[#This Row],[WEATHER_CODE]]=3,"light rain",IF(final_data787[[#This Row],[WEATHER_CODE]]=4,"heavy rain",0))))</f>
        <v>light rain</v>
      </c>
      <c r="N254">
        <v>0.16</v>
      </c>
      <c r="O254">
        <v>0.19700000000000001</v>
      </c>
      <c r="P254">
        <v>0.86</v>
      </c>
      <c r="Q254">
        <v>8.9599999999999999E-2</v>
      </c>
      <c r="R254">
        <v>0</v>
      </c>
      <c r="S254">
        <v>20</v>
      </c>
      <c r="T254">
        <v>20</v>
      </c>
    </row>
    <row r="255" spans="1:20" x14ac:dyDescent="0.35">
      <c r="A255">
        <v>254</v>
      </c>
      <c r="B255" s="1">
        <v>40554</v>
      </c>
      <c r="C255">
        <v>1</v>
      </c>
      <c r="D255">
        <v>0</v>
      </c>
      <c r="E255">
        <v>1</v>
      </c>
      <c r="F255" t="str">
        <f>IF(final_data787[[#This Row],[MONTH_CODE]]=1,"JANUARY",IF(final_data787[[#This Row],[MONTH_CODE]]=2,"FEBRUARY"))</f>
        <v>JANUARY</v>
      </c>
      <c r="G255">
        <v>22</v>
      </c>
      <c r="H255">
        <v>0</v>
      </c>
      <c r="I255">
        <v>2</v>
      </c>
      <c r="J2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5" t="str">
        <f>IF(final_data787[[#This Row],[DAY_CODE]]=0,"weekend",IF(final_data787[[#This Row],[DAY_CODE]]=1,"weekend","weekday"))</f>
        <v>weekday</v>
      </c>
      <c r="L255">
        <v>3</v>
      </c>
      <c r="M255" t="str">
        <f>IF(final_data787[[#This Row],[WEATHER_CODE]]=1,"clear",IF(final_data787[[#This Row],[WEATHER_CODE]]=2,"cloudy",IF(final_data787[[#This Row],[WEATHER_CODE]]=3,"light rain",IF(final_data787[[#This Row],[WEATHER_CODE]]=4,"heavy rain",0))))</f>
        <v>light rain</v>
      </c>
      <c r="N255">
        <v>0.16</v>
      </c>
      <c r="O255">
        <v>0.18179999999999999</v>
      </c>
      <c r="P255">
        <v>0.93</v>
      </c>
      <c r="Q255">
        <v>0.1045</v>
      </c>
      <c r="R255">
        <v>1</v>
      </c>
      <c r="S255">
        <v>28</v>
      </c>
      <c r="T255">
        <v>29</v>
      </c>
    </row>
    <row r="256" spans="1:20" x14ac:dyDescent="0.35">
      <c r="A256">
        <v>255</v>
      </c>
      <c r="B256" s="1">
        <v>40554</v>
      </c>
      <c r="C256">
        <v>1</v>
      </c>
      <c r="D256">
        <v>0</v>
      </c>
      <c r="E256">
        <v>1</v>
      </c>
      <c r="F256" t="str">
        <f>IF(final_data787[[#This Row],[MONTH_CODE]]=1,"JANUARY",IF(final_data787[[#This Row],[MONTH_CODE]]=2,"FEBRUARY"))</f>
        <v>JANUARY</v>
      </c>
      <c r="G256">
        <v>23</v>
      </c>
      <c r="H256">
        <v>0</v>
      </c>
      <c r="I256">
        <v>2</v>
      </c>
      <c r="J2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256" t="str">
        <f>IF(final_data787[[#This Row],[DAY_CODE]]=0,"weekend",IF(final_data787[[#This Row],[DAY_CODE]]=1,"weekend","weekday"))</f>
        <v>weekday</v>
      </c>
      <c r="L256">
        <v>3</v>
      </c>
      <c r="M256" t="str">
        <f>IF(final_data787[[#This Row],[WEATHER_CODE]]=1,"clear",IF(final_data787[[#This Row],[WEATHER_CODE]]=2,"cloudy",IF(final_data787[[#This Row],[WEATHER_CODE]]=3,"light rain",IF(final_data787[[#This Row],[WEATHER_CODE]]=4,"heavy rain",0))))</f>
        <v>light rain</v>
      </c>
      <c r="N256">
        <v>0.16</v>
      </c>
      <c r="O256">
        <v>0.19700000000000001</v>
      </c>
      <c r="P256">
        <v>0.93</v>
      </c>
      <c r="Q256">
        <v>8.9599999999999999E-2</v>
      </c>
      <c r="R256">
        <v>1</v>
      </c>
      <c r="S256">
        <v>18</v>
      </c>
      <c r="T256">
        <v>19</v>
      </c>
    </row>
    <row r="257" spans="1:20" x14ac:dyDescent="0.35">
      <c r="A257">
        <v>256</v>
      </c>
      <c r="B257" s="1">
        <v>40555</v>
      </c>
      <c r="C257">
        <v>1</v>
      </c>
      <c r="D257">
        <v>0</v>
      </c>
      <c r="E257">
        <v>1</v>
      </c>
      <c r="F257" t="str">
        <f>IF(final_data787[[#This Row],[MONTH_CODE]]=1,"JANUARY",IF(final_data787[[#This Row],[MONTH_CODE]]=2,"FEBRUARY"))</f>
        <v>JANUARY</v>
      </c>
      <c r="G257">
        <v>0</v>
      </c>
      <c r="H257">
        <v>0</v>
      </c>
      <c r="I257">
        <v>3</v>
      </c>
      <c r="J2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57" t="str">
        <f>IF(final_data787[[#This Row],[DAY_CODE]]=0,"weekend",IF(final_data787[[#This Row],[DAY_CODE]]=1,"weekend","weekday"))</f>
        <v>weekday</v>
      </c>
      <c r="L257">
        <v>2</v>
      </c>
      <c r="M257" t="str">
        <f>IF(final_data787[[#This Row],[WEATHER_CODE]]=1,"clear",IF(final_data787[[#This Row],[WEATHER_CODE]]=2,"cloudy",IF(final_data787[[#This Row],[WEATHER_CODE]]=3,"light rain",IF(final_data787[[#This Row],[WEATHER_CODE]]=4,"heavy rain",0))))</f>
        <v>cloudy</v>
      </c>
      <c r="N257">
        <v>0.16</v>
      </c>
      <c r="O257">
        <v>0.19700000000000001</v>
      </c>
      <c r="P257">
        <v>0.86</v>
      </c>
      <c r="Q257">
        <v>8.9599999999999999E-2</v>
      </c>
      <c r="R257">
        <v>0</v>
      </c>
      <c r="S257">
        <v>7</v>
      </c>
      <c r="T257">
        <v>7</v>
      </c>
    </row>
    <row r="258" spans="1:20" x14ac:dyDescent="0.35">
      <c r="A258">
        <v>257</v>
      </c>
      <c r="B258" s="1">
        <v>40555</v>
      </c>
      <c r="C258">
        <v>1</v>
      </c>
      <c r="D258">
        <v>0</v>
      </c>
      <c r="E258">
        <v>1</v>
      </c>
      <c r="F258" t="str">
        <f>IF(final_data787[[#This Row],[MONTH_CODE]]=1,"JANUARY",IF(final_data787[[#This Row],[MONTH_CODE]]=2,"FEBRUARY"))</f>
        <v>JANUARY</v>
      </c>
      <c r="G258">
        <v>1</v>
      </c>
      <c r="H258">
        <v>0</v>
      </c>
      <c r="I258">
        <v>3</v>
      </c>
      <c r="J2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58" t="str">
        <f>IF(final_data787[[#This Row],[DAY_CODE]]=0,"weekend",IF(final_data787[[#This Row],[DAY_CODE]]=1,"weekend","weekday"))</f>
        <v>weekday</v>
      </c>
      <c r="L258">
        <v>2</v>
      </c>
      <c r="M258" t="str">
        <f>IF(final_data787[[#This Row],[WEATHER_CODE]]=1,"clear",IF(final_data787[[#This Row],[WEATHER_CODE]]=2,"cloudy",IF(final_data787[[#This Row],[WEATHER_CODE]]=3,"light rain",IF(final_data787[[#This Row],[WEATHER_CODE]]=4,"heavy rain",0))))</f>
        <v>cloudy</v>
      </c>
      <c r="N258">
        <v>0.16</v>
      </c>
      <c r="O258">
        <v>0.18179999999999999</v>
      </c>
      <c r="P258">
        <v>0.86</v>
      </c>
      <c r="Q258">
        <v>0.1045</v>
      </c>
      <c r="R258">
        <v>0</v>
      </c>
      <c r="S258">
        <v>6</v>
      </c>
      <c r="T258">
        <v>6</v>
      </c>
    </row>
    <row r="259" spans="1:20" x14ac:dyDescent="0.35">
      <c r="A259">
        <v>258</v>
      </c>
      <c r="B259" s="1">
        <v>40555</v>
      </c>
      <c r="C259">
        <v>1</v>
      </c>
      <c r="D259">
        <v>0</v>
      </c>
      <c r="E259">
        <v>1</v>
      </c>
      <c r="F259" t="str">
        <f>IF(final_data787[[#This Row],[MONTH_CODE]]=1,"JANUARY",IF(final_data787[[#This Row],[MONTH_CODE]]=2,"FEBRUARY"))</f>
        <v>JANUARY</v>
      </c>
      <c r="G259">
        <v>2</v>
      </c>
      <c r="H259">
        <v>0</v>
      </c>
      <c r="I259">
        <v>3</v>
      </c>
      <c r="J2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59" t="str">
        <f>IF(final_data787[[#This Row],[DAY_CODE]]=0,"weekend",IF(final_data787[[#This Row],[DAY_CODE]]=1,"weekend","weekday"))</f>
        <v>weekday</v>
      </c>
      <c r="L259">
        <v>1</v>
      </c>
      <c r="M259" t="str">
        <f>IF(final_data787[[#This Row],[WEATHER_CODE]]=1,"clear",IF(final_data787[[#This Row],[WEATHER_CODE]]=2,"cloudy",IF(final_data787[[#This Row],[WEATHER_CODE]]=3,"light rain",IF(final_data787[[#This Row],[WEATHER_CODE]]=4,"heavy rain",0))))</f>
        <v>clear</v>
      </c>
      <c r="N259">
        <v>0.14000000000000001</v>
      </c>
      <c r="O259">
        <v>0.1515</v>
      </c>
      <c r="P259">
        <v>0.86</v>
      </c>
      <c r="Q259">
        <v>0.1343</v>
      </c>
      <c r="R259">
        <v>0</v>
      </c>
      <c r="S259">
        <v>1</v>
      </c>
      <c r="T259">
        <v>1</v>
      </c>
    </row>
    <row r="260" spans="1:20" x14ac:dyDescent="0.35">
      <c r="A260">
        <v>259</v>
      </c>
      <c r="B260" s="1">
        <v>40555</v>
      </c>
      <c r="C260">
        <v>1</v>
      </c>
      <c r="D260">
        <v>0</v>
      </c>
      <c r="E260">
        <v>1</v>
      </c>
      <c r="F260" t="str">
        <f>IF(final_data787[[#This Row],[MONTH_CODE]]=1,"JANUARY",IF(final_data787[[#This Row],[MONTH_CODE]]=2,"FEBRUARY"))</f>
        <v>JANUARY</v>
      </c>
      <c r="G260">
        <v>5</v>
      </c>
      <c r="H260">
        <v>0</v>
      </c>
      <c r="I260">
        <v>3</v>
      </c>
      <c r="J2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0" t="str">
        <f>IF(final_data787[[#This Row],[DAY_CODE]]=0,"weekend",IF(final_data787[[#This Row],[DAY_CODE]]=1,"weekend","weekday"))</f>
        <v>weekday</v>
      </c>
      <c r="L260">
        <v>1</v>
      </c>
      <c r="M260" t="str">
        <f>IF(final_data787[[#This Row],[WEATHER_CODE]]=1,"clear",IF(final_data787[[#This Row],[WEATHER_CODE]]=2,"cloudy",IF(final_data787[[#This Row],[WEATHER_CODE]]=3,"light rain",IF(final_data787[[#This Row],[WEATHER_CODE]]=4,"heavy rain",0))))</f>
        <v>clear</v>
      </c>
      <c r="N260">
        <v>0.14000000000000001</v>
      </c>
      <c r="O260">
        <v>0.1515</v>
      </c>
      <c r="P260">
        <v>0.86</v>
      </c>
      <c r="Q260">
        <v>0.16420000000000001</v>
      </c>
      <c r="R260">
        <v>0</v>
      </c>
      <c r="S260">
        <v>5</v>
      </c>
      <c r="T260">
        <v>5</v>
      </c>
    </row>
    <row r="261" spans="1:20" x14ac:dyDescent="0.35">
      <c r="A261">
        <v>260</v>
      </c>
      <c r="B261" s="1">
        <v>40555</v>
      </c>
      <c r="C261">
        <v>1</v>
      </c>
      <c r="D261">
        <v>0</v>
      </c>
      <c r="E261">
        <v>1</v>
      </c>
      <c r="F261" t="str">
        <f>IF(final_data787[[#This Row],[MONTH_CODE]]=1,"JANUARY",IF(final_data787[[#This Row],[MONTH_CODE]]=2,"FEBRUARY"))</f>
        <v>JANUARY</v>
      </c>
      <c r="G261">
        <v>6</v>
      </c>
      <c r="H261">
        <v>0</v>
      </c>
      <c r="I261">
        <v>3</v>
      </c>
      <c r="J2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1" t="str">
        <f>IF(final_data787[[#This Row],[DAY_CODE]]=0,"weekend",IF(final_data787[[#This Row],[DAY_CODE]]=1,"weekend","weekday"))</f>
        <v>weekday</v>
      </c>
      <c r="L261">
        <v>1</v>
      </c>
      <c r="M261" t="str">
        <f>IF(final_data787[[#This Row],[WEATHER_CODE]]=1,"clear",IF(final_data787[[#This Row],[WEATHER_CODE]]=2,"cloudy",IF(final_data787[[#This Row],[WEATHER_CODE]]=3,"light rain",IF(final_data787[[#This Row],[WEATHER_CODE]]=4,"heavy rain",0))))</f>
        <v>clear</v>
      </c>
      <c r="N261">
        <v>0.12</v>
      </c>
      <c r="O261">
        <v>0.1515</v>
      </c>
      <c r="P261">
        <v>0.93</v>
      </c>
      <c r="Q261">
        <v>0.1343</v>
      </c>
      <c r="R261">
        <v>0</v>
      </c>
      <c r="S261">
        <v>16</v>
      </c>
      <c r="T261">
        <v>16</v>
      </c>
    </row>
    <row r="262" spans="1:20" x14ac:dyDescent="0.35">
      <c r="A262">
        <v>261</v>
      </c>
      <c r="B262" s="1">
        <v>40555</v>
      </c>
      <c r="C262">
        <v>1</v>
      </c>
      <c r="D262">
        <v>0</v>
      </c>
      <c r="E262">
        <v>1</v>
      </c>
      <c r="F262" t="str">
        <f>IF(final_data787[[#This Row],[MONTH_CODE]]=1,"JANUARY",IF(final_data787[[#This Row],[MONTH_CODE]]=2,"FEBRUARY"))</f>
        <v>JANUARY</v>
      </c>
      <c r="G262">
        <v>7</v>
      </c>
      <c r="H262">
        <v>0</v>
      </c>
      <c r="I262">
        <v>3</v>
      </c>
      <c r="J2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2" t="str">
        <f>IF(final_data787[[#This Row],[DAY_CODE]]=0,"weekend",IF(final_data787[[#This Row],[DAY_CODE]]=1,"weekend","weekday"))</f>
        <v>weekday</v>
      </c>
      <c r="L262">
        <v>1</v>
      </c>
      <c r="M262" t="str">
        <f>IF(final_data787[[#This Row],[WEATHER_CODE]]=1,"clear",IF(final_data787[[#This Row],[WEATHER_CODE]]=2,"cloudy",IF(final_data787[[#This Row],[WEATHER_CODE]]=3,"light rain",IF(final_data787[[#This Row],[WEATHER_CODE]]=4,"heavy rain",0))))</f>
        <v>clear</v>
      </c>
      <c r="N262">
        <v>0.14000000000000001</v>
      </c>
      <c r="O262">
        <v>0.1515</v>
      </c>
      <c r="P262">
        <v>0.69</v>
      </c>
      <c r="Q262">
        <v>0.1343</v>
      </c>
      <c r="R262">
        <v>0</v>
      </c>
      <c r="S262">
        <v>54</v>
      </c>
      <c r="T262">
        <v>54</v>
      </c>
    </row>
    <row r="263" spans="1:20" x14ac:dyDescent="0.35">
      <c r="A263">
        <v>262</v>
      </c>
      <c r="B263" s="1">
        <v>40555</v>
      </c>
      <c r="C263">
        <v>1</v>
      </c>
      <c r="D263">
        <v>0</v>
      </c>
      <c r="E263">
        <v>1</v>
      </c>
      <c r="F263" t="str">
        <f>IF(final_data787[[#This Row],[MONTH_CODE]]=1,"JANUARY",IF(final_data787[[#This Row],[MONTH_CODE]]=2,"FEBRUARY"))</f>
        <v>JANUARY</v>
      </c>
      <c r="G263">
        <v>8</v>
      </c>
      <c r="H263">
        <v>0</v>
      </c>
      <c r="I263">
        <v>3</v>
      </c>
      <c r="J2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3" t="str">
        <f>IF(final_data787[[#This Row],[DAY_CODE]]=0,"weekend",IF(final_data787[[#This Row],[DAY_CODE]]=1,"weekend","weekday"))</f>
        <v>weekday</v>
      </c>
      <c r="L263">
        <v>1</v>
      </c>
      <c r="M263" t="str">
        <f>IF(final_data787[[#This Row],[WEATHER_CODE]]=1,"clear",IF(final_data787[[#This Row],[WEATHER_CODE]]=2,"cloudy",IF(final_data787[[#This Row],[WEATHER_CODE]]=3,"light rain",IF(final_data787[[#This Row],[WEATHER_CODE]]=4,"heavy rain",0))))</f>
        <v>clear</v>
      </c>
      <c r="N263">
        <v>0.16</v>
      </c>
      <c r="O263">
        <v>0.16669999999999999</v>
      </c>
      <c r="P263">
        <v>0.59</v>
      </c>
      <c r="Q263">
        <v>0.16420000000000001</v>
      </c>
      <c r="R263">
        <v>3</v>
      </c>
      <c r="S263">
        <v>125</v>
      </c>
      <c r="T263">
        <v>128</v>
      </c>
    </row>
    <row r="264" spans="1:20" x14ac:dyDescent="0.35">
      <c r="A264">
        <v>263</v>
      </c>
      <c r="B264" s="1">
        <v>40555</v>
      </c>
      <c r="C264">
        <v>1</v>
      </c>
      <c r="D264">
        <v>0</v>
      </c>
      <c r="E264">
        <v>1</v>
      </c>
      <c r="F264" t="str">
        <f>IF(final_data787[[#This Row],[MONTH_CODE]]=1,"JANUARY",IF(final_data787[[#This Row],[MONTH_CODE]]=2,"FEBRUARY"))</f>
        <v>JANUARY</v>
      </c>
      <c r="G264">
        <v>9</v>
      </c>
      <c r="H264">
        <v>0</v>
      </c>
      <c r="I264">
        <v>3</v>
      </c>
      <c r="J2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4" t="str">
        <f>IF(final_data787[[#This Row],[DAY_CODE]]=0,"weekend",IF(final_data787[[#This Row],[DAY_CODE]]=1,"weekend","weekday"))</f>
        <v>weekday</v>
      </c>
      <c r="L264">
        <v>1</v>
      </c>
      <c r="M264" t="str">
        <f>IF(final_data787[[#This Row],[WEATHER_CODE]]=1,"clear",IF(final_data787[[#This Row],[WEATHER_CODE]]=2,"cloudy",IF(final_data787[[#This Row],[WEATHER_CODE]]=3,"light rain",IF(final_data787[[#This Row],[WEATHER_CODE]]=4,"heavy rain",0))))</f>
        <v>clear</v>
      </c>
      <c r="N264">
        <v>0.16</v>
      </c>
      <c r="O264">
        <v>0.13639999999999999</v>
      </c>
      <c r="P264">
        <v>0.59</v>
      </c>
      <c r="Q264">
        <v>0.32840000000000003</v>
      </c>
      <c r="R264">
        <v>3</v>
      </c>
      <c r="S264">
        <v>78</v>
      </c>
      <c r="T264">
        <v>81</v>
      </c>
    </row>
    <row r="265" spans="1:20" x14ac:dyDescent="0.35">
      <c r="A265">
        <v>264</v>
      </c>
      <c r="B265" s="1">
        <v>40555</v>
      </c>
      <c r="C265">
        <v>1</v>
      </c>
      <c r="D265">
        <v>0</v>
      </c>
      <c r="E265">
        <v>1</v>
      </c>
      <c r="F265" t="str">
        <f>IF(final_data787[[#This Row],[MONTH_CODE]]=1,"JANUARY",IF(final_data787[[#This Row],[MONTH_CODE]]=2,"FEBRUARY"))</f>
        <v>JANUARY</v>
      </c>
      <c r="G265">
        <v>10</v>
      </c>
      <c r="H265">
        <v>0</v>
      </c>
      <c r="I265">
        <v>3</v>
      </c>
      <c r="J2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5" t="str">
        <f>IF(final_data787[[#This Row],[DAY_CODE]]=0,"weekend",IF(final_data787[[#This Row],[DAY_CODE]]=1,"weekend","weekday"))</f>
        <v>weekday</v>
      </c>
      <c r="L265">
        <v>1</v>
      </c>
      <c r="M265" t="str">
        <f>IF(final_data787[[#This Row],[WEATHER_CODE]]=1,"clear",IF(final_data787[[#This Row],[WEATHER_CODE]]=2,"cloudy",IF(final_data787[[#This Row],[WEATHER_CODE]]=3,"light rain",IF(final_data787[[#This Row],[WEATHER_CODE]]=4,"heavy rain",0))))</f>
        <v>clear</v>
      </c>
      <c r="N265">
        <v>0.18</v>
      </c>
      <c r="O265">
        <v>0.18179999999999999</v>
      </c>
      <c r="P265">
        <v>0.55000000000000004</v>
      </c>
      <c r="Q265">
        <v>0.22389999999999999</v>
      </c>
      <c r="R265">
        <v>0</v>
      </c>
      <c r="S265">
        <v>39</v>
      </c>
      <c r="T265">
        <v>39</v>
      </c>
    </row>
    <row r="266" spans="1:20" x14ac:dyDescent="0.35">
      <c r="A266">
        <v>265</v>
      </c>
      <c r="B266" s="1">
        <v>40555</v>
      </c>
      <c r="C266">
        <v>1</v>
      </c>
      <c r="D266">
        <v>0</v>
      </c>
      <c r="E266">
        <v>1</v>
      </c>
      <c r="F266" t="str">
        <f>IF(final_data787[[#This Row],[MONTH_CODE]]=1,"JANUARY",IF(final_data787[[#This Row],[MONTH_CODE]]=2,"FEBRUARY"))</f>
        <v>JANUARY</v>
      </c>
      <c r="G266">
        <v>11</v>
      </c>
      <c r="H266">
        <v>0</v>
      </c>
      <c r="I266">
        <v>3</v>
      </c>
      <c r="J2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6" t="str">
        <f>IF(final_data787[[#This Row],[DAY_CODE]]=0,"weekend",IF(final_data787[[#This Row],[DAY_CODE]]=1,"weekend","weekday"))</f>
        <v>weekday</v>
      </c>
      <c r="L266">
        <v>1</v>
      </c>
      <c r="M266" t="str">
        <f>IF(final_data787[[#This Row],[WEATHER_CODE]]=1,"clear",IF(final_data787[[#This Row],[WEATHER_CODE]]=2,"cloudy",IF(final_data787[[#This Row],[WEATHER_CODE]]=3,"light rain",IF(final_data787[[#This Row],[WEATHER_CODE]]=4,"heavy rain",0))))</f>
        <v>clear</v>
      </c>
      <c r="N266">
        <v>0.2</v>
      </c>
      <c r="O266">
        <v>0.18179999999999999</v>
      </c>
      <c r="P266">
        <v>0.51</v>
      </c>
      <c r="Q266">
        <v>0.3881</v>
      </c>
      <c r="R266">
        <v>3</v>
      </c>
      <c r="S266">
        <v>32</v>
      </c>
      <c r="T266">
        <v>35</v>
      </c>
    </row>
    <row r="267" spans="1:20" x14ac:dyDescent="0.35">
      <c r="A267">
        <v>266</v>
      </c>
      <c r="B267" s="1">
        <v>40555</v>
      </c>
      <c r="C267">
        <v>1</v>
      </c>
      <c r="D267">
        <v>0</v>
      </c>
      <c r="E267">
        <v>1</v>
      </c>
      <c r="F267" t="str">
        <f>IF(final_data787[[#This Row],[MONTH_CODE]]=1,"JANUARY",IF(final_data787[[#This Row],[MONTH_CODE]]=2,"FEBRUARY"))</f>
        <v>JANUARY</v>
      </c>
      <c r="G267">
        <v>12</v>
      </c>
      <c r="H267">
        <v>0</v>
      </c>
      <c r="I267">
        <v>3</v>
      </c>
      <c r="J2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7" t="str">
        <f>IF(final_data787[[#This Row],[DAY_CODE]]=0,"weekend",IF(final_data787[[#This Row],[DAY_CODE]]=1,"weekend","weekday"))</f>
        <v>weekday</v>
      </c>
      <c r="L267">
        <v>1</v>
      </c>
      <c r="M267" t="str">
        <f>IF(final_data787[[#This Row],[WEATHER_CODE]]=1,"clear",IF(final_data787[[#This Row],[WEATHER_CODE]]=2,"cloudy",IF(final_data787[[#This Row],[WEATHER_CODE]]=3,"light rain",IF(final_data787[[#This Row],[WEATHER_CODE]]=4,"heavy rain",0))))</f>
        <v>clear</v>
      </c>
      <c r="N267">
        <v>0.2</v>
      </c>
      <c r="O267">
        <v>0.1515</v>
      </c>
      <c r="P267">
        <v>0.47</v>
      </c>
      <c r="Q267">
        <v>0.58209999999999995</v>
      </c>
      <c r="R267">
        <v>3</v>
      </c>
      <c r="S267">
        <v>52</v>
      </c>
      <c r="T267">
        <v>55</v>
      </c>
    </row>
    <row r="268" spans="1:20" x14ac:dyDescent="0.35">
      <c r="A268">
        <v>267</v>
      </c>
      <c r="B268" s="1">
        <v>40555</v>
      </c>
      <c r="C268">
        <v>1</v>
      </c>
      <c r="D268">
        <v>0</v>
      </c>
      <c r="E268">
        <v>1</v>
      </c>
      <c r="F268" t="str">
        <f>IF(final_data787[[#This Row],[MONTH_CODE]]=1,"JANUARY",IF(final_data787[[#This Row],[MONTH_CODE]]=2,"FEBRUARY"))</f>
        <v>JANUARY</v>
      </c>
      <c r="G268">
        <v>13</v>
      </c>
      <c r="H268">
        <v>0</v>
      </c>
      <c r="I268">
        <v>3</v>
      </c>
      <c r="J2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8" t="str">
        <f>IF(final_data787[[#This Row],[DAY_CODE]]=0,"weekend",IF(final_data787[[#This Row],[DAY_CODE]]=1,"weekend","weekday"))</f>
        <v>weekday</v>
      </c>
      <c r="L268">
        <v>1</v>
      </c>
      <c r="M268" t="str">
        <f>IF(final_data787[[#This Row],[WEATHER_CODE]]=1,"clear",IF(final_data787[[#This Row],[WEATHER_CODE]]=2,"cloudy",IF(final_data787[[#This Row],[WEATHER_CODE]]=3,"light rain",IF(final_data787[[#This Row],[WEATHER_CODE]]=4,"heavy rain",0))))</f>
        <v>clear</v>
      </c>
      <c r="N268">
        <v>0.22</v>
      </c>
      <c r="O268">
        <v>0.19700000000000001</v>
      </c>
      <c r="P268">
        <v>0.44</v>
      </c>
      <c r="Q268">
        <v>0.35820000000000002</v>
      </c>
      <c r="R268">
        <v>0</v>
      </c>
      <c r="S268">
        <v>49</v>
      </c>
      <c r="T268">
        <v>49</v>
      </c>
    </row>
    <row r="269" spans="1:20" x14ac:dyDescent="0.35">
      <c r="A269">
        <v>268</v>
      </c>
      <c r="B269" s="1">
        <v>40555</v>
      </c>
      <c r="C269">
        <v>1</v>
      </c>
      <c r="D269">
        <v>0</v>
      </c>
      <c r="E269">
        <v>1</v>
      </c>
      <c r="F269" t="str">
        <f>IF(final_data787[[#This Row],[MONTH_CODE]]=1,"JANUARY",IF(final_data787[[#This Row],[MONTH_CODE]]=2,"FEBRUARY"))</f>
        <v>JANUARY</v>
      </c>
      <c r="G269">
        <v>14</v>
      </c>
      <c r="H269">
        <v>0</v>
      </c>
      <c r="I269">
        <v>3</v>
      </c>
      <c r="J2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69" t="str">
        <f>IF(final_data787[[#This Row],[DAY_CODE]]=0,"weekend",IF(final_data787[[#This Row],[DAY_CODE]]=1,"weekend","weekday"))</f>
        <v>weekday</v>
      </c>
      <c r="L269">
        <v>1</v>
      </c>
      <c r="M269" t="str">
        <f>IF(final_data787[[#This Row],[WEATHER_CODE]]=1,"clear",IF(final_data787[[#This Row],[WEATHER_CODE]]=2,"cloudy",IF(final_data787[[#This Row],[WEATHER_CODE]]=3,"light rain",IF(final_data787[[#This Row],[WEATHER_CODE]]=4,"heavy rain",0))))</f>
        <v>clear</v>
      </c>
      <c r="N269">
        <v>0.2</v>
      </c>
      <c r="O269">
        <v>0.18179999999999999</v>
      </c>
      <c r="P269">
        <v>0.47</v>
      </c>
      <c r="Q269">
        <v>0.32840000000000003</v>
      </c>
      <c r="R269">
        <v>0</v>
      </c>
      <c r="S269">
        <v>44</v>
      </c>
      <c r="T269">
        <v>44</v>
      </c>
    </row>
    <row r="270" spans="1:20" x14ac:dyDescent="0.35">
      <c r="A270">
        <v>269</v>
      </c>
      <c r="B270" s="1">
        <v>40555</v>
      </c>
      <c r="C270">
        <v>1</v>
      </c>
      <c r="D270">
        <v>0</v>
      </c>
      <c r="E270">
        <v>1</v>
      </c>
      <c r="F270" t="str">
        <f>IF(final_data787[[#This Row],[MONTH_CODE]]=1,"JANUARY",IF(final_data787[[#This Row],[MONTH_CODE]]=2,"FEBRUARY"))</f>
        <v>JANUARY</v>
      </c>
      <c r="G270">
        <v>15</v>
      </c>
      <c r="H270">
        <v>0</v>
      </c>
      <c r="I270">
        <v>3</v>
      </c>
      <c r="J2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0" t="str">
        <f>IF(final_data787[[#This Row],[DAY_CODE]]=0,"weekend",IF(final_data787[[#This Row],[DAY_CODE]]=1,"weekend","weekday"))</f>
        <v>weekday</v>
      </c>
      <c r="L270">
        <v>1</v>
      </c>
      <c r="M270" t="str">
        <f>IF(final_data787[[#This Row],[WEATHER_CODE]]=1,"clear",IF(final_data787[[#This Row],[WEATHER_CODE]]=2,"cloudy",IF(final_data787[[#This Row],[WEATHER_CODE]]=3,"light rain",IF(final_data787[[#This Row],[WEATHER_CODE]]=4,"heavy rain",0))))</f>
        <v>clear</v>
      </c>
      <c r="N270">
        <v>0.2</v>
      </c>
      <c r="O270">
        <v>0.16669999999999999</v>
      </c>
      <c r="P270">
        <v>0.47</v>
      </c>
      <c r="Q270">
        <v>0.41789999999999999</v>
      </c>
      <c r="R270">
        <v>1</v>
      </c>
      <c r="S270">
        <v>48</v>
      </c>
      <c r="T270">
        <v>49</v>
      </c>
    </row>
    <row r="271" spans="1:20" x14ac:dyDescent="0.35">
      <c r="A271">
        <v>270</v>
      </c>
      <c r="B271" s="1">
        <v>40555</v>
      </c>
      <c r="C271">
        <v>1</v>
      </c>
      <c r="D271">
        <v>0</v>
      </c>
      <c r="E271">
        <v>1</v>
      </c>
      <c r="F271" t="str">
        <f>IF(final_data787[[#This Row],[MONTH_CODE]]=1,"JANUARY",IF(final_data787[[#This Row],[MONTH_CODE]]=2,"FEBRUARY"))</f>
        <v>JANUARY</v>
      </c>
      <c r="G271">
        <v>16</v>
      </c>
      <c r="H271">
        <v>0</v>
      </c>
      <c r="I271">
        <v>3</v>
      </c>
      <c r="J2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1" t="str">
        <f>IF(final_data787[[#This Row],[DAY_CODE]]=0,"weekend",IF(final_data787[[#This Row],[DAY_CODE]]=1,"weekend","weekday"))</f>
        <v>weekday</v>
      </c>
      <c r="L271">
        <v>1</v>
      </c>
      <c r="M271" t="str">
        <f>IF(final_data787[[#This Row],[WEATHER_CODE]]=1,"clear",IF(final_data787[[#This Row],[WEATHER_CODE]]=2,"cloudy",IF(final_data787[[#This Row],[WEATHER_CODE]]=3,"light rain",IF(final_data787[[#This Row],[WEATHER_CODE]]=4,"heavy rain",0))))</f>
        <v>clear</v>
      </c>
      <c r="N271">
        <v>0.22</v>
      </c>
      <c r="O271">
        <v>0.19700000000000001</v>
      </c>
      <c r="P271">
        <v>0.44</v>
      </c>
      <c r="Q271">
        <v>0.32840000000000003</v>
      </c>
      <c r="R271">
        <v>5</v>
      </c>
      <c r="S271">
        <v>63</v>
      </c>
      <c r="T271">
        <v>68</v>
      </c>
    </row>
    <row r="272" spans="1:20" x14ac:dyDescent="0.35">
      <c r="A272">
        <v>271</v>
      </c>
      <c r="B272" s="1">
        <v>40555</v>
      </c>
      <c r="C272">
        <v>1</v>
      </c>
      <c r="D272">
        <v>0</v>
      </c>
      <c r="E272">
        <v>1</v>
      </c>
      <c r="F272" t="str">
        <f>IF(final_data787[[#This Row],[MONTH_CODE]]=1,"JANUARY",IF(final_data787[[#This Row],[MONTH_CODE]]=2,"FEBRUARY"))</f>
        <v>JANUARY</v>
      </c>
      <c r="G272">
        <v>17</v>
      </c>
      <c r="H272">
        <v>0</v>
      </c>
      <c r="I272">
        <v>3</v>
      </c>
      <c r="J2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2" t="str">
        <f>IF(final_data787[[#This Row],[DAY_CODE]]=0,"weekend",IF(final_data787[[#This Row],[DAY_CODE]]=1,"weekend","weekday"))</f>
        <v>weekday</v>
      </c>
      <c r="L272">
        <v>1</v>
      </c>
      <c r="M272" t="str">
        <f>IF(final_data787[[#This Row],[WEATHER_CODE]]=1,"clear",IF(final_data787[[#This Row],[WEATHER_CODE]]=2,"cloudy",IF(final_data787[[#This Row],[WEATHER_CODE]]=3,"light rain",IF(final_data787[[#This Row],[WEATHER_CODE]]=4,"heavy rain",0))))</f>
        <v>clear</v>
      </c>
      <c r="N272">
        <v>0.2</v>
      </c>
      <c r="O272">
        <v>0.18179999999999999</v>
      </c>
      <c r="P272">
        <v>0.47</v>
      </c>
      <c r="Q272">
        <v>0.35820000000000002</v>
      </c>
      <c r="R272">
        <v>0</v>
      </c>
      <c r="S272">
        <v>139</v>
      </c>
      <c r="T272">
        <v>139</v>
      </c>
    </row>
    <row r="273" spans="1:20" x14ac:dyDescent="0.35">
      <c r="A273">
        <v>272</v>
      </c>
      <c r="B273" s="1">
        <v>40555</v>
      </c>
      <c r="C273">
        <v>1</v>
      </c>
      <c r="D273">
        <v>0</v>
      </c>
      <c r="E273">
        <v>1</v>
      </c>
      <c r="F273" t="str">
        <f>IF(final_data787[[#This Row],[MONTH_CODE]]=1,"JANUARY",IF(final_data787[[#This Row],[MONTH_CODE]]=2,"FEBRUARY"))</f>
        <v>JANUARY</v>
      </c>
      <c r="G273">
        <v>18</v>
      </c>
      <c r="H273">
        <v>0</v>
      </c>
      <c r="I273">
        <v>3</v>
      </c>
      <c r="J2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3" t="str">
        <f>IF(final_data787[[#This Row],[DAY_CODE]]=0,"weekend",IF(final_data787[[#This Row],[DAY_CODE]]=1,"weekend","weekday"))</f>
        <v>weekday</v>
      </c>
      <c r="L273">
        <v>1</v>
      </c>
      <c r="M273" t="str">
        <f>IF(final_data787[[#This Row],[WEATHER_CODE]]=1,"clear",IF(final_data787[[#This Row],[WEATHER_CODE]]=2,"cloudy",IF(final_data787[[#This Row],[WEATHER_CODE]]=3,"light rain",IF(final_data787[[#This Row],[WEATHER_CODE]]=4,"heavy rain",0))))</f>
        <v>clear</v>
      </c>
      <c r="N273">
        <v>0.2</v>
      </c>
      <c r="O273">
        <v>0.1515</v>
      </c>
      <c r="P273">
        <v>0.47</v>
      </c>
      <c r="Q273">
        <v>0.52239999999999998</v>
      </c>
      <c r="R273">
        <v>2</v>
      </c>
      <c r="S273">
        <v>135</v>
      </c>
      <c r="T273">
        <v>137</v>
      </c>
    </row>
    <row r="274" spans="1:20" x14ac:dyDescent="0.35">
      <c r="A274">
        <v>273</v>
      </c>
      <c r="B274" s="1">
        <v>40555</v>
      </c>
      <c r="C274">
        <v>1</v>
      </c>
      <c r="D274">
        <v>0</v>
      </c>
      <c r="E274">
        <v>1</v>
      </c>
      <c r="F274" t="str">
        <f>IF(final_data787[[#This Row],[MONTH_CODE]]=1,"JANUARY",IF(final_data787[[#This Row],[MONTH_CODE]]=2,"FEBRUARY"))</f>
        <v>JANUARY</v>
      </c>
      <c r="G274">
        <v>19</v>
      </c>
      <c r="H274">
        <v>0</v>
      </c>
      <c r="I274">
        <v>3</v>
      </c>
      <c r="J2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4" t="str">
        <f>IF(final_data787[[#This Row],[DAY_CODE]]=0,"weekend",IF(final_data787[[#This Row],[DAY_CODE]]=1,"weekend","weekday"))</f>
        <v>weekday</v>
      </c>
      <c r="L274">
        <v>1</v>
      </c>
      <c r="M274" t="str">
        <f>IF(final_data787[[#This Row],[WEATHER_CODE]]=1,"clear",IF(final_data787[[#This Row],[WEATHER_CODE]]=2,"cloudy",IF(final_data787[[#This Row],[WEATHER_CODE]]=3,"light rain",IF(final_data787[[#This Row],[WEATHER_CODE]]=4,"heavy rain",0))))</f>
        <v>clear</v>
      </c>
      <c r="N274">
        <v>0.18</v>
      </c>
      <c r="O274">
        <v>0.1515</v>
      </c>
      <c r="P274">
        <v>0.47</v>
      </c>
      <c r="Q274">
        <v>0.41789999999999999</v>
      </c>
      <c r="R274">
        <v>1</v>
      </c>
      <c r="S274">
        <v>82</v>
      </c>
      <c r="T274">
        <v>83</v>
      </c>
    </row>
    <row r="275" spans="1:20" x14ac:dyDescent="0.35">
      <c r="A275">
        <v>274</v>
      </c>
      <c r="B275" s="1">
        <v>40555</v>
      </c>
      <c r="C275">
        <v>1</v>
      </c>
      <c r="D275">
        <v>0</v>
      </c>
      <c r="E275">
        <v>1</v>
      </c>
      <c r="F275" t="str">
        <f>IF(final_data787[[#This Row],[MONTH_CODE]]=1,"JANUARY",IF(final_data787[[#This Row],[MONTH_CODE]]=2,"FEBRUARY"))</f>
        <v>JANUARY</v>
      </c>
      <c r="G275">
        <v>20</v>
      </c>
      <c r="H275">
        <v>0</v>
      </c>
      <c r="I275">
        <v>3</v>
      </c>
      <c r="J2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5" t="str">
        <f>IF(final_data787[[#This Row],[DAY_CODE]]=0,"weekend",IF(final_data787[[#This Row],[DAY_CODE]]=1,"weekend","weekday"))</f>
        <v>weekday</v>
      </c>
      <c r="L275">
        <v>1</v>
      </c>
      <c r="M275" t="str">
        <f>IF(final_data787[[#This Row],[WEATHER_CODE]]=1,"clear",IF(final_data787[[#This Row],[WEATHER_CODE]]=2,"cloudy",IF(final_data787[[#This Row],[WEATHER_CODE]]=3,"light rain",IF(final_data787[[#This Row],[WEATHER_CODE]]=4,"heavy rain",0))))</f>
        <v>clear</v>
      </c>
      <c r="N275">
        <v>0.16</v>
      </c>
      <c r="O275">
        <v>0.13639999999999999</v>
      </c>
      <c r="P275">
        <v>0.5</v>
      </c>
      <c r="Q275">
        <v>0.32840000000000003</v>
      </c>
      <c r="R275">
        <v>2</v>
      </c>
      <c r="S275">
        <v>54</v>
      </c>
      <c r="T275">
        <v>56</v>
      </c>
    </row>
    <row r="276" spans="1:20" x14ac:dyDescent="0.35">
      <c r="A276">
        <v>275</v>
      </c>
      <c r="B276" s="1">
        <v>40555</v>
      </c>
      <c r="C276">
        <v>1</v>
      </c>
      <c r="D276">
        <v>0</v>
      </c>
      <c r="E276">
        <v>1</v>
      </c>
      <c r="F276" t="str">
        <f>IF(final_data787[[#This Row],[MONTH_CODE]]=1,"JANUARY",IF(final_data787[[#This Row],[MONTH_CODE]]=2,"FEBRUARY"))</f>
        <v>JANUARY</v>
      </c>
      <c r="G276">
        <v>21</v>
      </c>
      <c r="H276">
        <v>0</v>
      </c>
      <c r="I276">
        <v>3</v>
      </c>
      <c r="J2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6" t="str">
        <f>IF(final_data787[[#This Row],[DAY_CODE]]=0,"weekend",IF(final_data787[[#This Row],[DAY_CODE]]=1,"weekend","weekday"))</f>
        <v>weekday</v>
      </c>
      <c r="L276">
        <v>1</v>
      </c>
      <c r="M276" t="str">
        <f>IF(final_data787[[#This Row],[WEATHER_CODE]]=1,"clear",IF(final_data787[[#This Row],[WEATHER_CODE]]=2,"cloudy",IF(final_data787[[#This Row],[WEATHER_CODE]]=3,"light rain",IF(final_data787[[#This Row],[WEATHER_CODE]]=4,"heavy rain",0))))</f>
        <v>clear</v>
      </c>
      <c r="N276">
        <v>0.16</v>
      </c>
      <c r="O276">
        <v>0.13639999999999999</v>
      </c>
      <c r="P276">
        <v>0.55000000000000004</v>
      </c>
      <c r="Q276">
        <v>0.32840000000000003</v>
      </c>
      <c r="R276">
        <v>0</v>
      </c>
      <c r="S276">
        <v>57</v>
      </c>
      <c r="T276">
        <v>57</v>
      </c>
    </row>
    <row r="277" spans="1:20" x14ac:dyDescent="0.35">
      <c r="A277">
        <v>276</v>
      </c>
      <c r="B277" s="1">
        <v>40555</v>
      </c>
      <c r="C277">
        <v>1</v>
      </c>
      <c r="D277">
        <v>0</v>
      </c>
      <c r="E277">
        <v>1</v>
      </c>
      <c r="F277" t="str">
        <f>IF(final_data787[[#This Row],[MONTH_CODE]]=1,"JANUARY",IF(final_data787[[#This Row],[MONTH_CODE]]=2,"FEBRUARY"))</f>
        <v>JANUARY</v>
      </c>
      <c r="G277">
        <v>22</v>
      </c>
      <c r="H277">
        <v>0</v>
      </c>
      <c r="I277">
        <v>3</v>
      </c>
      <c r="J2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7" t="str">
        <f>IF(final_data787[[#This Row],[DAY_CODE]]=0,"weekend",IF(final_data787[[#This Row],[DAY_CODE]]=1,"weekend","weekday"))</f>
        <v>weekday</v>
      </c>
      <c r="L277">
        <v>1</v>
      </c>
      <c r="M277" t="str">
        <f>IF(final_data787[[#This Row],[WEATHER_CODE]]=1,"clear",IF(final_data787[[#This Row],[WEATHER_CODE]]=2,"cloudy",IF(final_data787[[#This Row],[WEATHER_CODE]]=3,"light rain",IF(final_data787[[#This Row],[WEATHER_CODE]]=4,"heavy rain",0))))</f>
        <v>clear</v>
      </c>
      <c r="N277">
        <v>0.16</v>
      </c>
      <c r="O277">
        <v>0.1212</v>
      </c>
      <c r="P277">
        <v>0.55000000000000004</v>
      </c>
      <c r="Q277">
        <v>0.44779999999999998</v>
      </c>
      <c r="R277">
        <v>1</v>
      </c>
      <c r="S277">
        <v>32</v>
      </c>
      <c r="T277">
        <v>33</v>
      </c>
    </row>
    <row r="278" spans="1:20" x14ac:dyDescent="0.35">
      <c r="A278">
        <v>277</v>
      </c>
      <c r="B278" s="1">
        <v>40555</v>
      </c>
      <c r="C278">
        <v>1</v>
      </c>
      <c r="D278">
        <v>0</v>
      </c>
      <c r="E278">
        <v>1</v>
      </c>
      <c r="F278" t="str">
        <f>IF(final_data787[[#This Row],[MONTH_CODE]]=1,"JANUARY",IF(final_data787[[#This Row],[MONTH_CODE]]=2,"FEBRUARY"))</f>
        <v>JANUARY</v>
      </c>
      <c r="G278">
        <v>23</v>
      </c>
      <c r="H278">
        <v>0</v>
      </c>
      <c r="I278">
        <v>3</v>
      </c>
      <c r="J2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278" t="str">
        <f>IF(final_data787[[#This Row],[DAY_CODE]]=0,"weekend",IF(final_data787[[#This Row],[DAY_CODE]]=1,"weekend","weekday"))</f>
        <v>weekday</v>
      </c>
      <c r="L278">
        <v>1</v>
      </c>
      <c r="M278" t="str">
        <f>IF(final_data787[[#This Row],[WEATHER_CODE]]=1,"clear",IF(final_data787[[#This Row],[WEATHER_CODE]]=2,"cloudy",IF(final_data787[[#This Row],[WEATHER_CODE]]=3,"light rain",IF(final_data787[[#This Row],[WEATHER_CODE]]=4,"heavy rain",0))))</f>
        <v>clear</v>
      </c>
      <c r="N278">
        <v>0.14000000000000001</v>
      </c>
      <c r="O278">
        <v>0.1061</v>
      </c>
      <c r="P278">
        <v>0.59</v>
      </c>
      <c r="Q278">
        <v>0.41789999999999999</v>
      </c>
      <c r="R278">
        <v>1</v>
      </c>
      <c r="S278">
        <v>19</v>
      </c>
      <c r="T278">
        <v>20</v>
      </c>
    </row>
    <row r="279" spans="1:20" x14ac:dyDescent="0.35">
      <c r="A279">
        <v>278</v>
      </c>
      <c r="B279" s="1">
        <v>40556</v>
      </c>
      <c r="C279">
        <v>1</v>
      </c>
      <c r="D279">
        <v>0</v>
      </c>
      <c r="E279">
        <v>1</v>
      </c>
      <c r="F279" t="str">
        <f>IF(final_data787[[#This Row],[MONTH_CODE]]=1,"JANUARY",IF(final_data787[[#This Row],[MONTH_CODE]]=2,"FEBRUARY"))</f>
        <v>JANUARY</v>
      </c>
      <c r="G279">
        <v>0</v>
      </c>
      <c r="H279">
        <v>0</v>
      </c>
      <c r="I279">
        <v>4</v>
      </c>
      <c r="J2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79" t="str">
        <f>IF(final_data787[[#This Row],[DAY_CODE]]=0,"weekend",IF(final_data787[[#This Row],[DAY_CODE]]=1,"weekend","weekday"))</f>
        <v>weekday</v>
      </c>
      <c r="L279">
        <v>1</v>
      </c>
      <c r="M279" t="str">
        <f>IF(final_data787[[#This Row],[WEATHER_CODE]]=1,"clear",IF(final_data787[[#This Row],[WEATHER_CODE]]=2,"cloudy",IF(final_data787[[#This Row],[WEATHER_CODE]]=3,"light rain",IF(final_data787[[#This Row],[WEATHER_CODE]]=4,"heavy rain",0))))</f>
        <v>clear</v>
      </c>
      <c r="N279">
        <v>0.14000000000000001</v>
      </c>
      <c r="O279">
        <v>0.1212</v>
      </c>
      <c r="P279">
        <v>0.59</v>
      </c>
      <c r="Q279">
        <v>0.28360000000000002</v>
      </c>
      <c r="R279">
        <v>1</v>
      </c>
      <c r="S279">
        <v>6</v>
      </c>
      <c r="T279">
        <v>7</v>
      </c>
    </row>
    <row r="280" spans="1:20" x14ac:dyDescent="0.35">
      <c r="A280">
        <v>279</v>
      </c>
      <c r="B280" s="1">
        <v>40556</v>
      </c>
      <c r="C280">
        <v>1</v>
      </c>
      <c r="D280">
        <v>0</v>
      </c>
      <c r="E280">
        <v>1</v>
      </c>
      <c r="F280" t="str">
        <f>IF(final_data787[[#This Row],[MONTH_CODE]]=1,"JANUARY",IF(final_data787[[#This Row],[MONTH_CODE]]=2,"FEBRUARY"))</f>
        <v>JANUARY</v>
      </c>
      <c r="G280">
        <v>1</v>
      </c>
      <c r="H280">
        <v>0</v>
      </c>
      <c r="I280">
        <v>4</v>
      </c>
      <c r="J2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0" t="str">
        <f>IF(final_data787[[#This Row],[DAY_CODE]]=0,"weekend",IF(final_data787[[#This Row],[DAY_CODE]]=1,"weekend","weekday"))</f>
        <v>weekday</v>
      </c>
      <c r="L280">
        <v>1</v>
      </c>
      <c r="M280" t="str">
        <f>IF(final_data787[[#This Row],[WEATHER_CODE]]=1,"clear",IF(final_data787[[#This Row],[WEATHER_CODE]]=2,"cloudy",IF(final_data787[[#This Row],[WEATHER_CODE]]=3,"light rain",IF(final_data787[[#This Row],[WEATHER_CODE]]=4,"heavy rain",0))))</f>
        <v>clear</v>
      </c>
      <c r="N280">
        <v>0.14000000000000001</v>
      </c>
      <c r="O280">
        <v>0.1212</v>
      </c>
      <c r="P280">
        <v>0.5</v>
      </c>
      <c r="Q280">
        <v>0.28360000000000002</v>
      </c>
      <c r="R280">
        <v>0</v>
      </c>
      <c r="S280">
        <v>2</v>
      </c>
      <c r="T280">
        <v>2</v>
      </c>
    </row>
    <row r="281" spans="1:20" x14ac:dyDescent="0.35">
      <c r="A281">
        <v>280</v>
      </c>
      <c r="B281" s="1">
        <v>40556</v>
      </c>
      <c r="C281">
        <v>1</v>
      </c>
      <c r="D281">
        <v>0</v>
      </c>
      <c r="E281">
        <v>1</v>
      </c>
      <c r="F281" t="str">
        <f>IF(final_data787[[#This Row],[MONTH_CODE]]=1,"JANUARY",IF(final_data787[[#This Row],[MONTH_CODE]]=2,"FEBRUARY"))</f>
        <v>JANUARY</v>
      </c>
      <c r="G281">
        <v>2</v>
      </c>
      <c r="H281">
        <v>0</v>
      </c>
      <c r="I281">
        <v>4</v>
      </c>
      <c r="J2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1" t="str">
        <f>IF(final_data787[[#This Row],[DAY_CODE]]=0,"weekend",IF(final_data787[[#This Row],[DAY_CODE]]=1,"weekend","weekday"))</f>
        <v>weekday</v>
      </c>
      <c r="L281">
        <v>1</v>
      </c>
      <c r="M281" t="str">
        <f>IF(final_data787[[#This Row],[WEATHER_CODE]]=1,"clear",IF(final_data787[[#This Row],[WEATHER_CODE]]=2,"cloudy",IF(final_data787[[#This Row],[WEATHER_CODE]]=3,"light rain",IF(final_data787[[#This Row],[WEATHER_CODE]]=4,"heavy rain",0))))</f>
        <v>clear</v>
      </c>
      <c r="N281">
        <v>0.14000000000000001</v>
      </c>
      <c r="O281">
        <v>0.1212</v>
      </c>
      <c r="P281">
        <v>0.5</v>
      </c>
      <c r="Q281">
        <v>0.35820000000000002</v>
      </c>
      <c r="R281">
        <v>0</v>
      </c>
      <c r="S281">
        <v>2</v>
      </c>
      <c r="T281">
        <v>2</v>
      </c>
    </row>
    <row r="282" spans="1:20" x14ac:dyDescent="0.35">
      <c r="A282">
        <v>281</v>
      </c>
      <c r="B282" s="1">
        <v>40556</v>
      </c>
      <c r="C282">
        <v>1</v>
      </c>
      <c r="D282">
        <v>0</v>
      </c>
      <c r="E282">
        <v>1</v>
      </c>
      <c r="F282" t="str">
        <f>IF(final_data787[[#This Row],[MONTH_CODE]]=1,"JANUARY",IF(final_data787[[#This Row],[MONTH_CODE]]=2,"FEBRUARY"))</f>
        <v>JANUARY</v>
      </c>
      <c r="G282">
        <v>3</v>
      </c>
      <c r="H282">
        <v>0</v>
      </c>
      <c r="I282">
        <v>4</v>
      </c>
      <c r="J2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2" t="str">
        <f>IF(final_data787[[#This Row],[DAY_CODE]]=0,"weekend",IF(final_data787[[#This Row],[DAY_CODE]]=1,"weekend","weekday"))</f>
        <v>weekday</v>
      </c>
      <c r="L282">
        <v>1</v>
      </c>
      <c r="M282" t="str">
        <f>IF(final_data787[[#This Row],[WEATHER_CODE]]=1,"clear",IF(final_data787[[#This Row],[WEATHER_CODE]]=2,"cloudy",IF(final_data787[[#This Row],[WEATHER_CODE]]=3,"light rain",IF(final_data787[[#This Row],[WEATHER_CODE]]=4,"heavy rain",0))))</f>
        <v>clear</v>
      </c>
      <c r="N282">
        <v>0.14000000000000001</v>
      </c>
      <c r="O282">
        <v>0.1212</v>
      </c>
      <c r="P282">
        <v>0.5</v>
      </c>
      <c r="Q282">
        <v>0.32840000000000003</v>
      </c>
      <c r="R282">
        <v>0</v>
      </c>
      <c r="S282">
        <v>3</v>
      </c>
      <c r="T282">
        <v>3</v>
      </c>
    </row>
    <row r="283" spans="1:20" x14ac:dyDescent="0.35">
      <c r="A283">
        <v>282</v>
      </c>
      <c r="B283" s="1">
        <v>40556</v>
      </c>
      <c r="C283">
        <v>1</v>
      </c>
      <c r="D283">
        <v>0</v>
      </c>
      <c r="E283">
        <v>1</v>
      </c>
      <c r="F283" t="str">
        <f>IF(final_data787[[#This Row],[MONTH_CODE]]=1,"JANUARY",IF(final_data787[[#This Row],[MONTH_CODE]]=2,"FEBRUARY"))</f>
        <v>JANUARY</v>
      </c>
      <c r="G283">
        <v>4</v>
      </c>
      <c r="H283">
        <v>0</v>
      </c>
      <c r="I283">
        <v>4</v>
      </c>
      <c r="J2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3" t="str">
        <f>IF(final_data787[[#This Row],[DAY_CODE]]=0,"weekend",IF(final_data787[[#This Row],[DAY_CODE]]=1,"weekend","weekday"))</f>
        <v>weekday</v>
      </c>
      <c r="L283">
        <v>1</v>
      </c>
      <c r="M283" t="str">
        <f>IF(final_data787[[#This Row],[WEATHER_CODE]]=1,"clear",IF(final_data787[[#This Row],[WEATHER_CODE]]=2,"cloudy",IF(final_data787[[#This Row],[WEATHER_CODE]]=3,"light rain",IF(final_data787[[#This Row],[WEATHER_CODE]]=4,"heavy rain",0))))</f>
        <v>clear</v>
      </c>
      <c r="N283">
        <v>0.14000000000000001</v>
      </c>
      <c r="O283">
        <v>0.1212</v>
      </c>
      <c r="P283">
        <v>0.5</v>
      </c>
      <c r="Q283">
        <v>0.25369999999999998</v>
      </c>
      <c r="R283">
        <v>0</v>
      </c>
      <c r="S283">
        <v>4</v>
      </c>
      <c r="T283">
        <v>4</v>
      </c>
    </row>
    <row r="284" spans="1:20" x14ac:dyDescent="0.35">
      <c r="A284">
        <v>283</v>
      </c>
      <c r="B284" s="1">
        <v>40556</v>
      </c>
      <c r="C284">
        <v>1</v>
      </c>
      <c r="D284">
        <v>0</v>
      </c>
      <c r="E284">
        <v>1</v>
      </c>
      <c r="F284" t="str">
        <f>IF(final_data787[[#This Row],[MONTH_CODE]]=1,"JANUARY",IF(final_data787[[#This Row],[MONTH_CODE]]=2,"FEBRUARY"))</f>
        <v>JANUARY</v>
      </c>
      <c r="G284">
        <v>5</v>
      </c>
      <c r="H284">
        <v>0</v>
      </c>
      <c r="I284">
        <v>4</v>
      </c>
      <c r="J2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4" t="str">
        <f>IF(final_data787[[#This Row],[DAY_CODE]]=0,"weekend",IF(final_data787[[#This Row],[DAY_CODE]]=1,"weekend","weekday"))</f>
        <v>weekday</v>
      </c>
      <c r="L284">
        <v>1</v>
      </c>
      <c r="M284" t="str">
        <f>IF(final_data787[[#This Row],[WEATHER_CODE]]=1,"clear",IF(final_data787[[#This Row],[WEATHER_CODE]]=2,"cloudy",IF(final_data787[[#This Row],[WEATHER_CODE]]=3,"light rain",IF(final_data787[[#This Row],[WEATHER_CODE]]=4,"heavy rain",0))))</f>
        <v>clear</v>
      </c>
      <c r="N284">
        <v>0.14000000000000001</v>
      </c>
      <c r="O284">
        <v>0.1212</v>
      </c>
      <c r="P284">
        <v>0.5</v>
      </c>
      <c r="Q284">
        <v>0.29849999999999999</v>
      </c>
      <c r="R284">
        <v>0</v>
      </c>
      <c r="S284">
        <v>3</v>
      </c>
      <c r="T284">
        <v>3</v>
      </c>
    </row>
    <row r="285" spans="1:20" x14ac:dyDescent="0.35">
      <c r="A285">
        <v>284</v>
      </c>
      <c r="B285" s="1">
        <v>40556</v>
      </c>
      <c r="C285">
        <v>1</v>
      </c>
      <c r="D285">
        <v>0</v>
      </c>
      <c r="E285">
        <v>1</v>
      </c>
      <c r="F285" t="str">
        <f>IF(final_data787[[#This Row],[MONTH_CODE]]=1,"JANUARY",IF(final_data787[[#This Row],[MONTH_CODE]]=2,"FEBRUARY"))</f>
        <v>JANUARY</v>
      </c>
      <c r="G285">
        <v>6</v>
      </c>
      <c r="H285">
        <v>0</v>
      </c>
      <c r="I285">
        <v>4</v>
      </c>
      <c r="J2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5" t="str">
        <f>IF(final_data787[[#This Row],[DAY_CODE]]=0,"weekend",IF(final_data787[[#This Row],[DAY_CODE]]=1,"weekend","weekday"))</f>
        <v>weekday</v>
      </c>
      <c r="L285">
        <v>1</v>
      </c>
      <c r="M285" t="str">
        <f>IF(final_data787[[#This Row],[WEATHER_CODE]]=1,"clear",IF(final_data787[[#This Row],[WEATHER_CODE]]=2,"cloudy",IF(final_data787[[#This Row],[WEATHER_CODE]]=3,"light rain",IF(final_data787[[#This Row],[WEATHER_CODE]]=4,"heavy rain",0))))</f>
        <v>clear</v>
      </c>
      <c r="N285">
        <v>0.12</v>
      </c>
      <c r="O285">
        <v>0.1515</v>
      </c>
      <c r="P285">
        <v>0.54</v>
      </c>
      <c r="Q285">
        <v>0.1343</v>
      </c>
      <c r="R285">
        <v>0</v>
      </c>
      <c r="S285">
        <v>28</v>
      </c>
      <c r="T285">
        <v>28</v>
      </c>
    </row>
    <row r="286" spans="1:20" x14ac:dyDescent="0.35">
      <c r="A286">
        <v>285</v>
      </c>
      <c r="B286" s="1">
        <v>40556</v>
      </c>
      <c r="C286">
        <v>1</v>
      </c>
      <c r="D286">
        <v>0</v>
      </c>
      <c r="E286">
        <v>1</v>
      </c>
      <c r="F286" t="str">
        <f>IF(final_data787[[#This Row],[MONTH_CODE]]=1,"JANUARY",IF(final_data787[[#This Row],[MONTH_CODE]]=2,"FEBRUARY"))</f>
        <v>JANUARY</v>
      </c>
      <c r="G286">
        <v>7</v>
      </c>
      <c r="H286">
        <v>0</v>
      </c>
      <c r="I286">
        <v>4</v>
      </c>
      <c r="J2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6" t="str">
        <f>IF(final_data787[[#This Row],[DAY_CODE]]=0,"weekend",IF(final_data787[[#This Row],[DAY_CODE]]=1,"weekend","weekday"))</f>
        <v>weekday</v>
      </c>
      <c r="L286">
        <v>1</v>
      </c>
      <c r="M286" t="str">
        <f>IF(final_data787[[#This Row],[WEATHER_CODE]]=1,"clear",IF(final_data787[[#This Row],[WEATHER_CODE]]=2,"cloudy",IF(final_data787[[#This Row],[WEATHER_CODE]]=3,"light rain",IF(final_data787[[#This Row],[WEATHER_CODE]]=4,"heavy rain",0))))</f>
        <v>clear</v>
      </c>
      <c r="N286">
        <v>0.12</v>
      </c>
      <c r="O286">
        <v>0.1515</v>
      </c>
      <c r="P286">
        <v>0.54</v>
      </c>
      <c r="Q286">
        <v>0.1343</v>
      </c>
      <c r="R286">
        <v>0</v>
      </c>
      <c r="S286">
        <v>72</v>
      </c>
      <c r="T286">
        <v>72</v>
      </c>
    </row>
    <row r="287" spans="1:20" x14ac:dyDescent="0.35">
      <c r="A287">
        <v>286</v>
      </c>
      <c r="B287" s="1">
        <v>40556</v>
      </c>
      <c r="C287">
        <v>1</v>
      </c>
      <c r="D287">
        <v>0</v>
      </c>
      <c r="E287">
        <v>1</v>
      </c>
      <c r="F287" t="str">
        <f>IF(final_data787[[#This Row],[MONTH_CODE]]=1,"JANUARY",IF(final_data787[[#This Row],[MONTH_CODE]]=2,"FEBRUARY"))</f>
        <v>JANUARY</v>
      </c>
      <c r="G287">
        <v>8</v>
      </c>
      <c r="H287">
        <v>0</v>
      </c>
      <c r="I287">
        <v>4</v>
      </c>
      <c r="J2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7" t="str">
        <f>IF(final_data787[[#This Row],[DAY_CODE]]=0,"weekend",IF(final_data787[[#This Row],[DAY_CODE]]=1,"weekend","weekday"))</f>
        <v>weekday</v>
      </c>
      <c r="L287">
        <v>1</v>
      </c>
      <c r="M287" t="str">
        <f>IF(final_data787[[#This Row],[WEATHER_CODE]]=1,"clear",IF(final_data787[[#This Row],[WEATHER_CODE]]=2,"cloudy",IF(final_data787[[#This Row],[WEATHER_CODE]]=3,"light rain",IF(final_data787[[#This Row],[WEATHER_CODE]]=4,"heavy rain",0))))</f>
        <v>clear</v>
      </c>
      <c r="N287">
        <v>0.14000000000000001</v>
      </c>
      <c r="O287">
        <v>0.13639999999999999</v>
      </c>
      <c r="P287">
        <v>0.5</v>
      </c>
      <c r="Q287">
        <v>0.19400000000000001</v>
      </c>
      <c r="R287">
        <v>5</v>
      </c>
      <c r="S287">
        <v>197</v>
      </c>
      <c r="T287">
        <v>202</v>
      </c>
    </row>
    <row r="288" spans="1:20" x14ac:dyDescent="0.35">
      <c r="A288">
        <v>287</v>
      </c>
      <c r="B288" s="1">
        <v>40556</v>
      </c>
      <c r="C288">
        <v>1</v>
      </c>
      <c r="D288">
        <v>0</v>
      </c>
      <c r="E288">
        <v>1</v>
      </c>
      <c r="F288" t="str">
        <f>IF(final_data787[[#This Row],[MONTH_CODE]]=1,"JANUARY",IF(final_data787[[#This Row],[MONTH_CODE]]=2,"FEBRUARY"))</f>
        <v>JANUARY</v>
      </c>
      <c r="G288">
        <v>9</v>
      </c>
      <c r="H288">
        <v>0</v>
      </c>
      <c r="I288">
        <v>4</v>
      </c>
      <c r="J2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8" t="str">
        <f>IF(final_data787[[#This Row],[DAY_CODE]]=0,"weekend",IF(final_data787[[#This Row],[DAY_CODE]]=1,"weekend","weekday"))</f>
        <v>weekday</v>
      </c>
      <c r="L288">
        <v>1</v>
      </c>
      <c r="M288" t="str">
        <f>IF(final_data787[[#This Row],[WEATHER_CODE]]=1,"clear",IF(final_data787[[#This Row],[WEATHER_CODE]]=2,"cloudy",IF(final_data787[[#This Row],[WEATHER_CODE]]=3,"light rain",IF(final_data787[[#This Row],[WEATHER_CODE]]=4,"heavy rain",0))))</f>
        <v>clear</v>
      </c>
      <c r="N288">
        <v>0.14000000000000001</v>
      </c>
      <c r="O288">
        <v>0.1212</v>
      </c>
      <c r="P288">
        <v>0.5</v>
      </c>
      <c r="Q288">
        <v>0.32840000000000003</v>
      </c>
      <c r="R288">
        <v>2</v>
      </c>
      <c r="S288">
        <v>137</v>
      </c>
      <c r="T288">
        <v>139</v>
      </c>
    </row>
    <row r="289" spans="1:20" x14ac:dyDescent="0.35">
      <c r="A289">
        <v>288</v>
      </c>
      <c r="B289" s="1">
        <v>40556</v>
      </c>
      <c r="C289">
        <v>1</v>
      </c>
      <c r="D289">
        <v>0</v>
      </c>
      <c r="E289">
        <v>1</v>
      </c>
      <c r="F289" t="str">
        <f>IF(final_data787[[#This Row],[MONTH_CODE]]=1,"JANUARY",IF(final_data787[[#This Row],[MONTH_CODE]]=2,"FEBRUARY"))</f>
        <v>JANUARY</v>
      </c>
      <c r="G289">
        <v>10</v>
      </c>
      <c r="H289">
        <v>0</v>
      </c>
      <c r="I289">
        <v>4</v>
      </c>
      <c r="J2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89" t="str">
        <f>IF(final_data787[[#This Row],[DAY_CODE]]=0,"weekend",IF(final_data787[[#This Row],[DAY_CODE]]=1,"weekend","weekday"))</f>
        <v>weekday</v>
      </c>
      <c r="L289">
        <v>2</v>
      </c>
      <c r="M289" t="str">
        <f>IF(final_data787[[#This Row],[WEATHER_CODE]]=1,"clear",IF(final_data787[[#This Row],[WEATHER_CODE]]=2,"cloudy",IF(final_data787[[#This Row],[WEATHER_CODE]]=3,"light rain",IF(final_data787[[#This Row],[WEATHER_CODE]]=4,"heavy rain",0))))</f>
        <v>cloudy</v>
      </c>
      <c r="N289">
        <v>0.16</v>
      </c>
      <c r="O289">
        <v>0.13639999999999999</v>
      </c>
      <c r="P289">
        <v>0.5</v>
      </c>
      <c r="Q289">
        <v>0.35820000000000002</v>
      </c>
      <c r="R289">
        <v>2</v>
      </c>
      <c r="S289">
        <v>36</v>
      </c>
      <c r="T289">
        <v>38</v>
      </c>
    </row>
    <row r="290" spans="1:20" x14ac:dyDescent="0.35">
      <c r="A290">
        <v>289</v>
      </c>
      <c r="B290" s="1">
        <v>40556</v>
      </c>
      <c r="C290">
        <v>1</v>
      </c>
      <c r="D290">
        <v>0</v>
      </c>
      <c r="E290">
        <v>1</v>
      </c>
      <c r="F290" t="str">
        <f>IF(final_data787[[#This Row],[MONTH_CODE]]=1,"JANUARY",IF(final_data787[[#This Row],[MONTH_CODE]]=2,"FEBRUARY"))</f>
        <v>JANUARY</v>
      </c>
      <c r="G290">
        <v>11</v>
      </c>
      <c r="H290">
        <v>0</v>
      </c>
      <c r="I290">
        <v>4</v>
      </c>
      <c r="J2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0" t="str">
        <f>IF(final_data787[[#This Row],[DAY_CODE]]=0,"weekend",IF(final_data787[[#This Row],[DAY_CODE]]=1,"weekend","weekday"))</f>
        <v>weekday</v>
      </c>
      <c r="L290">
        <v>2</v>
      </c>
      <c r="M290" t="str">
        <f>IF(final_data787[[#This Row],[WEATHER_CODE]]=1,"clear",IF(final_data787[[#This Row],[WEATHER_CODE]]=2,"cloudy",IF(final_data787[[#This Row],[WEATHER_CODE]]=3,"light rain",IF(final_data787[[#This Row],[WEATHER_CODE]]=4,"heavy rain",0))))</f>
        <v>cloudy</v>
      </c>
      <c r="N290">
        <v>0.2</v>
      </c>
      <c r="O290">
        <v>0.16669999999999999</v>
      </c>
      <c r="P290">
        <v>0.44</v>
      </c>
      <c r="Q290">
        <v>0.44779999999999998</v>
      </c>
      <c r="R290">
        <v>4</v>
      </c>
      <c r="S290">
        <v>33</v>
      </c>
      <c r="T290">
        <v>37</v>
      </c>
    </row>
    <row r="291" spans="1:20" x14ac:dyDescent="0.35">
      <c r="A291">
        <v>290</v>
      </c>
      <c r="B291" s="1">
        <v>40556</v>
      </c>
      <c r="C291">
        <v>1</v>
      </c>
      <c r="D291">
        <v>0</v>
      </c>
      <c r="E291">
        <v>1</v>
      </c>
      <c r="F291" t="str">
        <f>IF(final_data787[[#This Row],[MONTH_CODE]]=1,"JANUARY",IF(final_data787[[#This Row],[MONTH_CODE]]=2,"FEBRUARY"))</f>
        <v>JANUARY</v>
      </c>
      <c r="G291">
        <v>12</v>
      </c>
      <c r="H291">
        <v>0</v>
      </c>
      <c r="I291">
        <v>4</v>
      </c>
      <c r="J2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1" t="str">
        <f>IF(final_data787[[#This Row],[DAY_CODE]]=0,"weekend",IF(final_data787[[#This Row],[DAY_CODE]]=1,"weekend","weekday"))</f>
        <v>weekday</v>
      </c>
      <c r="L291">
        <v>1</v>
      </c>
      <c r="M291" t="str">
        <f>IF(final_data787[[#This Row],[WEATHER_CODE]]=1,"clear",IF(final_data787[[#This Row],[WEATHER_CODE]]=2,"cloudy",IF(final_data787[[#This Row],[WEATHER_CODE]]=3,"light rain",IF(final_data787[[#This Row],[WEATHER_CODE]]=4,"heavy rain",0))))</f>
        <v>clear</v>
      </c>
      <c r="N291">
        <v>0.2</v>
      </c>
      <c r="O291">
        <v>0.16669999999999999</v>
      </c>
      <c r="P291">
        <v>0.44</v>
      </c>
      <c r="Q291">
        <v>0.41789999999999999</v>
      </c>
      <c r="R291">
        <v>3</v>
      </c>
      <c r="S291">
        <v>49</v>
      </c>
      <c r="T291">
        <v>52</v>
      </c>
    </row>
    <row r="292" spans="1:20" x14ac:dyDescent="0.35">
      <c r="A292">
        <v>291</v>
      </c>
      <c r="B292" s="1">
        <v>40556</v>
      </c>
      <c r="C292">
        <v>1</v>
      </c>
      <c r="D292">
        <v>0</v>
      </c>
      <c r="E292">
        <v>1</v>
      </c>
      <c r="F292" t="str">
        <f>IF(final_data787[[#This Row],[MONTH_CODE]]=1,"JANUARY",IF(final_data787[[#This Row],[MONTH_CODE]]=2,"FEBRUARY"))</f>
        <v>JANUARY</v>
      </c>
      <c r="G292">
        <v>13</v>
      </c>
      <c r="H292">
        <v>0</v>
      </c>
      <c r="I292">
        <v>4</v>
      </c>
      <c r="J2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2" t="str">
        <f>IF(final_data787[[#This Row],[DAY_CODE]]=0,"weekend",IF(final_data787[[#This Row],[DAY_CODE]]=1,"weekend","weekday"))</f>
        <v>weekday</v>
      </c>
      <c r="L292">
        <v>1</v>
      </c>
      <c r="M292" t="str">
        <f>IF(final_data787[[#This Row],[WEATHER_CODE]]=1,"clear",IF(final_data787[[#This Row],[WEATHER_CODE]]=2,"cloudy",IF(final_data787[[#This Row],[WEATHER_CODE]]=3,"light rain",IF(final_data787[[#This Row],[WEATHER_CODE]]=4,"heavy rain",0))))</f>
        <v>clear</v>
      </c>
      <c r="N292">
        <v>0.22</v>
      </c>
      <c r="O292">
        <v>0.19700000000000001</v>
      </c>
      <c r="P292">
        <v>0.41</v>
      </c>
      <c r="Q292">
        <v>0.44779999999999998</v>
      </c>
      <c r="R292">
        <v>2</v>
      </c>
      <c r="S292">
        <v>81</v>
      </c>
      <c r="T292">
        <v>83</v>
      </c>
    </row>
    <row r="293" spans="1:20" x14ac:dyDescent="0.35">
      <c r="A293">
        <v>292</v>
      </c>
      <c r="B293" s="1">
        <v>40556</v>
      </c>
      <c r="C293">
        <v>1</v>
      </c>
      <c r="D293">
        <v>0</v>
      </c>
      <c r="E293">
        <v>1</v>
      </c>
      <c r="F293" t="str">
        <f>IF(final_data787[[#This Row],[MONTH_CODE]]=1,"JANUARY",IF(final_data787[[#This Row],[MONTH_CODE]]=2,"FEBRUARY"))</f>
        <v>JANUARY</v>
      </c>
      <c r="G293">
        <v>14</v>
      </c>
      <c r="H293">
        <v>0</v>
      </c>
      <c r="I293">
        <v>4</v>
      </c>
      <c r="J2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3" t="str">
        <f>IF(final_data787[[#This Row],[DAY_CODE]]=0,"weekend",IF(final_data787[[#This Row],[DAY_CODE]]=1,"weekend","weekday"))</f>
        <v>weekday</v>
      </c>
      <c r="L293">
        <v>1</v>
      </c>
      <c r="M293" t="str">
        <f>IF(final_data787[[#This Row],[WEATHER_CODE]]=1,"clear",IF(final_data787[[#This Row],[WEATHER_CODE]]=2,"cloudy",IF(final_data787[[#This Row],[WEATHER_CODE]]=3,"light rain",IF(final_data787[[#This Row],[WEATHER_CODE]]=4,"heavy rain",0))))</f>
        <v>clear</v>
      </c>
      <c r="N293">
        <v>0.22</v>
      </c>
      <c r="O293">
        <v>0.19700000000000001</v>
      </c>
      <c r="P293">
        <v>0.41</v>
      </c>
      <c r="Q293">
        <v>0.3881</v>
      </c>
      <c r="R293">
        <v>3</v>
      </c>
      <c r="S293">
        <v>39</v>
      </c>
      <c r="T293">
        <v>42</v>
      </c>
    </row>
    <row r="294" spans="1:20" x14ac:dyDescent="0.35">
      <c r="A294">
        <v>293</v>
      </c>
      <c r="B294" s="1">
        <v>40556</v>
      </c>
      <c r="C294">
        <v>1</v>
      </c>
      <c r="D294">
        <v>0</v>
      </c>
      <c r="E294">
        <v>1</v>
      </c>
      <c r="F294" t="str">
        <f>IF(final_data787[[#This Row],[MONTH_CODE]]=1,"JANUARY",IF(final_data787[[#This Row],[MONTH_CODE]]=2,"FEBRUARY"))</f>
        <v>JANUARY</v>
      </c>
      <c r="G294">
        <v>15</v>
      </c>
      <c r="H294">
        <v>0</v>
      </c>
      <c r="I294">
        <v>4</v>
      </c>
      <c r="J2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4" t="str">
        <f>IF(final_data787[[#This Row],[DAY_CODE]]=0,"weekend",IF(final_data787[[#This Row],[DAY_CODE]]=1,"weekend","weekday"))</f>
        <v>weekday</v>
      </c>
      <c r="L294">
        <v>1</v>
      </c>
      <c r="M294" t="str">
        <f>IF(final_data787[[#This Row],[WEATHER_CODE]]=1,"clear",IF(final_data787[[#This Row],[WEATHER_CODE]]=2,"cloudy",IF(final_data787[[#This Row],[WEATHER_CODE]]=3,"light rain",IF(final_data787[[#This Row],[WEATHER_CODE]]=4,"heavy rain",0))))</f>
        <v>clear</v>
      </c>
      <c r="N294">
        <v>0.24</v>
      </c>
      <c r="O294">
        <v>0.21210000000000001</v>
      </c>
      <c r="P294">
        <v>0.38</v>
      </c>
      <c r="Q294">
        <v>0.29849999999999999</v>
      </c>
      <c r="R294">
        <v>5</v>
      </c>
      <c r="S294">
        <v>55</v>
      </c>
      <c r="T294">
        <v>60</v>
      </c>
    </row>
    <row r="295" spans="1:20" x14ac:dyDescent="0.35">
      <c r="A295">
        <v>294</v>
      </c>
      <c r="B295" s="1">
        <v>40556</v>
      </c>
      <c r="C295">
        <v>1</v>
      </c>
      <c r="D295">
        <v>0</v>
      </c>
      <c r="E295">
        <v>1</v>
      </c>
      <c r="F295" t="str">
        <f>IF(final_data787[[#This Row],[MONTH_CODE]]=1,"JANUARY",IF(final_data787[[#This Row],[MONTH_CODE]]=2,"FEBRUARY"))</f>
        <v>JANUARY</v>
      </c>
      <c r="G295">
        <v>16</v>
      </c>
      <c r="H295">
        <v>0</v>
      </c>
      <c r="I295">
        <v>4</v>
      </c>
      <c r="J2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5" t="str">
        <f>IF(final_data787[[#This Row],[DAY_CODE]]=0,"weekend",IF(final_data787[[#This Row],[DAY_CODE]]=1,"weekend","weekday"))</f>
        <v>weekday</v>
      </c>
      <c r="L295">
        <v>1</v>
      </c>
      <c r="M295" t="str">
        <f>IF(final_data787[[#This Row],[WEATHER_CODE]]=1,"clear",IF(final_data787[[#This Row],[WEATHER_CODE]]=2,"cloudy",IF(final_data787[[#This Row],[WEATHER_CODE]]=3,"light rain",IF(final_data787[[#This Row],[WEATHER_CODE]]=4,"heavy rain",0))))</f>
        <v>clear</v>
      </c>
      <c r="N295">
        <v>0.24</v>
      </c>
      <c r="O295">
        <v>0.21210000000000001</v>
      </c>
      <c r="P295">
        <v>0.38</v>
      </c>
      <c r="Q295">
        <v>0.35820000000000002</v>
      </c>
      <c r="R295">
        <v>2</v>
      </c>
      <c r="S295">
        <v>76</v>
      </c>
      <c r="T295">
        <v>78</v>
      </c>
    </row>
    <row r="296" spans="1:20" x14ac:dyDescent="0.35">
      <c r="A296">
        <v>295</v>
      </c>
      <c r="B296" s="1">
        <v>40556</v>
      </c>
      <c r="C296">
        <v>1</v>
      </c>
      <c r="D296">
        <v>0</v>
      </c>
      <c r="E296">
        <v>1</v>
      </c>
      <c r="F296" t="str">
        <f>IF(final_data787[[#This Row],[MONTH_CODE]]=1,"JANUARY",IF(final_data787[[#This Row],[MONTH_CODE]]=2,"FEBRUARY"))</f>
        <v>JANUARY</v>
      </c>
      <c r="G296">
        <v>17</v>
      </c>
      <c r="H296">
        <v>0</v>
      </c>
      <c r="I296">
        <v>4</v>
      </c>
      <c r="J2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6" t="str">
        <f>IF(final_data787[[#This Row],[DAY_CODE]]=0,"weekend",IF(final_data787[[#This Row],[DAY_CODE]]=1,"weekend","weekday"))</f>
        <v>weekday</v>
      </c>
      <c r="L296">
        <v>1</v>
      </c>
      <c r="M296" t="str">
        <f>IF(final_data787[[#This Row],[WEATHER_CODE]]=1,"clear",IF(final_data787[[#This Row],[WEATHER_CODE]]=2,"cloudy",IF(final_data787[[#This Row],[WEATHER_CODE]]=3,"light rain",IF(final_data787[[#This Row],[WEATHER_CODE]]=4,"heavy rain",0))))</f>
        <v>clear</v>
      </c>
      <c r="N296">
        <v>0.2</v>
      </c>
      <c r="O296">
        <v>0.18179999999999999</v>
      </c>
      <c r="P296">
        <v>0.4</v>
      </c>
      <c r="Q296">
        <v>0.28360000000000002</v>
      </c>
      <c r="R296">
        <v>4</v>
      </c>
      <c r="S296">
        <v>158</v>
      </c>
      <c r="T296">
        <v>162</v>
      </c>
    </row>
    <row r="297" spans="1:20" x14ac:dyDescent="0.35">
      <c r="A297">
        <v>296</v>
      </c>
      <c r="B297" s="1">
        <v>40556</v>
      </c>
      <c r="C297">
        <v>1</v>
      </c>
      <c r="D297">
        <v>0</v>
      </c>
      <c r="E297">
        <v>1</v>
      </c>
      <c r="F297" t="str">
        <f>IF(final_data787[[#This Row],[MONTH_CODE]]=1,"JANUARY",IF(final_data787[[#This Row],[MONTH_CODE]]=2,"FEBRUARY"))</f>
        <v>JANUARY</v>
      </c>
      <c r="G297">
        <v>18</v>
      </c>
      <c r="H297">
        <v>0</v>
      </c>
      <c r="I297">
        <v>4</v>
      </c>
      <c r="J2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7" t="str">
        <f>IF(final_data787[[#This Row],[DAY_CODE]]=0,"weekend",IF(final_data787[[#This Row],[DAY_CODE]]=1,"weekend","weekday"))</f>
        <v>weekday</v>
      </c>
      <c r="L297">
        <v>1</v>
      </c>
      <c r="M297" t="str">
        <f>IF(final_data787[[#This Row],[WEATHER_CODE]]=1,"clear",IF(final_data787[[#This Row],[WEATHER_CODE]]=2,"cloudy",IF(final_data787[[#This Row],[WEATHER_CODE]]=3,"light rain",IF(final_data787[[#This Row],[WEATHER_CODE]]=4,"heavy rain",0))))</f>
        <v>clear</v>
      </c>
      <c r="N297">
        <v>0.2</v>
      </c>
      <c r="O297">
        <v>0.18179999999999999</v>
      </c>
      <c r="P297">
        <v>0.4</v>
      </c>
      <c r="Q297">
        <v>0.32840000000000003</v>
      </c>
      <c r="R297">
        <v>3</v>
      </c>
      <c r="S297">
        <v>141</v>
      </c>
      <c r="T297">
        <v>144</v>
      </c>
    </row>
    <row r="298" spans="1:20" x14ac:dyDescent="0.35">
      <c r="A298">
        <v>297</v>
      </c>
      <c r="B298" s="1">
        <v>40556</v>
      </c>
      <c r="C298">
        <v>1</v>
      </c>
      <c r="D298">
        <v>0</v>
      </c>
      <c r="E298">
        <v>1</v>
      </c>
      <c r="F298" t="str">
        <f>IF(final_data787[[#This Row],[MONTH_CODE]]=1,"JANUARY",IF(final_data787[[#This Row],[MONTH_CODE]]=2,"FEBRUARY"))</f>
        <v>JANUARY</v>
      </c>
      <c r="G298">
        <v>19</v>
      </c>
      <c r="H298">
        <v>0</v>
      </c>
      <c r="I298">
        <v>4</v>
      </c>
      <c r="J2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8" t="str">
        <f>IF(final_data787[[#This Row],[DAY_CODE]]=0,"weekend",IF(final_data787[[#This Row],[DAY_CODE]]=1,"weekend","weekday"))</f>
        <v>weekday</v>
      </c>
      <c r="L298">
        <v>1</v>
      </c>
      <c r="M298" t="str">
        <f>IF(final_data787[[#This Row],[WEATHER_CODE]]=1,"clear",IF(final_data787[[#This Row],[WEATHER_CODE]]=2,"cloudy",IF(final_data787[[#This Row],[WEATHER_CODE]]=3,"light rain",IF(final_data787[[#This Row],[WEATHER_CODE]]=4,"heavy rain",0))))</f>
        <v>clear</v>
      </c>
      <c r="N298">
        <v>0.16</v>
      </c>
      <c r="O298">
        <v>0.1515</v>
      </c>
      <c r="P298">
        <v>0.47</v>
      </c>
      <c r="Q298">
        <v>0.25369999999999998</v>
      </c>
      <c r="R298">
        <v>1</v>
      </c>
      <c r="S298">
        <v>98</v>
      </c>
      <c r="T298">
        <v>99</v>
      </c>
    </row>
    <row r="299" spans="1:20" x14ac:dyDescent="0.35">
      <c r="A299">
        <v>298</v>
      </c>
      <c r="B299" s="1">
        <v>40556</v>
      </c>
      <c r="C299">
        <v>1</v>
      </c>
      <c r="D299">
        <v>0</v>
      </c>
      <c r="E299">
        <v>1</v>
      </c>
      <c r="F299" t="str">
        <f>IF(final_data787[[#This Row],[MONTH_CODE]]=1,"JANUARY",IF(final_data787[[#This Row],[MONTH_CODE]]=2,"FEBRUARY"))</f>
        <v>JANUARY</v>
      </c>
      <c r="G299">
        <v>20</v>
      </c>
      <c r="H299">
        <v>0</v>
      </c>
      <c r="I299">
        <v>4</v>
      </c>
      <c r="J2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299" t="str">
        <f>IF(final_data787[[#This Row],[DAY_CODE]]=0,"weekend",IF(final_data787[[#This Row],[DAY_CODE]]=1,"weekend","weekday"))</f>
        <v>weekday</v>
      </c>
      <c r="L299">
        <v>1</v>
      </c>
      <c r="M299" t="str">
        <f>IF(final_data787[[#This Row],[WEATHER_CODE]]=1,"clear",IF(final_data787[[#This Row],[WEATHER_CODE]]=2,"cloudy",IF(final_data787[[#This Row],[WEATHER_CODE]]=3,"light rain",IF(final_data787[[#This Row],[WEATHER_CODE]]=4,"heavy rain",0))))</f>
        <v>clear</v>
      </c>
      <c r="N299">
        <v>0.16</v>
      </c>
      <c r="O299">
        <v>0.1515</v>
      </c>
      <c r="P299">
        <v>0.47</v>
      </c>
      <c r="Q299">
        <v>0.22389999999999999</v>
      </c>
      <c r="R299">
        <v>0</v>
      </c>
      <c r="S299">
        <v>64</v>
      </c>
      <c r="T299">
        <v>64</v>
      </c>
    </row>
    <row r="300" spans="1:20" x14ac:dyDescent="0.35">
      <c r="A300">
        <v>299</v>
      </c>
      <c r="B300" s="1">
        <v>40556</v>
      </c>
      <c r="C300">
        <v>1</v>
      </c>
      <c r="D300">
        <v>0</v>
      </c>
      <c r="E300">
        <v>1</v>
      </c>
      <c r="F300" t="str">
        <f>IF(final_data787[[#This Row],[MONTH_CODE]]=1,"JANUARY",IF(final_data787[[#This Row],[MONTH_CODE]]=2,"FEBRUARY"))</f>
        <v>JANUARY</v>
      </c>
      <c r="G300">
        <v>21</v>
      </c>
      <c r="H300">
        <v>0</v>
      </c>
      <c r="I300">
        <v>4</v>
      </c>
      <c r="J3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300" t="str">
        <f>IF(final_data787[[#This Row],[DAY_CODE]]=0,"weekend",IF(final_data787[[#This Row],[DAY_CODE]]=1,"weekend","weekday"))</f>
        <v>weekday</v>
      </c>
      <c r="L300">
        <v>1</v>
      </c>
      <c r="M300" t="str">
        <f>IF(final_data787[[#This Row],[WEATHER_CODE]]=1,"clear",IF(final_data787[[#This Row],[WEATHER_CODE]]=2,"cloudy",IF(final_data787[[#This Row],[WEATHER_CODE]]=3,"light rain",IF(final_data787[[#This Row],[WEATHER_CODE]]=4,"heavy rain",0))))</f>
        <v>clear</v>
      </c>
      <c r="N300">
        <v>0.14000000000000001</v>
      </c>
      <c r="O300">
        <v>0.1212</v>
      </c>
      <c r="P300">
        <v>0.46</v>
      </c>
      <c r="Q300">
        <v>0.29849999999999999</v>
      </c>
      <c r="R300">
        <v>0</v>
      </c>
      <c r="S300">
        <v>40</v>
      </c>
      <c r="T300">
        <v>40</v>
      </c>
    </row>
    <row r="301" spans="1:20" x14ac:dyDescent="0.35">
      <c r="A301">
        <v>300</v>
      </c>
      <c r="B301" s="1">
        <v>40556</v>
      </c>
      <c r="C301">
        <v>1</v>
      </c>
      <c r="D301">
        <v>0</v>
      </c>
      <c r="E301">
        <v>1</v>
      </c>
      <c r="F301" t="str">
        <f>IF(final_data787[[#This Row],[MONTH_CODE]]=1,"JANUARY",IF(final_data787[[#This Row],[MONTH_CODE]]=2,"FEBRUARY"))</f>
        <v>JANUARY</v>
      </c>
      <c r="G301">
        <v>22</v>
      </c>
      <c r="H301">
        <v>0</v>
      </c>
      <c r="I301">
        <v>4</v>
      </c>
      <c r="J3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301" t="str">
        <f>IF(final_data787[[#This Row],[DAY_CODE]]=0,"weekend",IF(final_data787[[#This Row],[DAY_CODE]]=1,"weekend","weekday"))</f>
        <v>weekday</v>
      </c>
      <c r="L301">
        <v>1</v>
      </c>
      <c r="M301" t="str">
        <f>IF(final_data787[[#This Row],[WEATHER_CODE]]=1,"clear",IF(final_data787[[#This Row],[WEATHER_CODE]]=2,"cloudy",IF(final_data787[[#This Row],[WEATHER_CODE]]=3,"light rain",IF(final_data787[[#This Row],[WEATHER_CODE]]=4,"heavy rain",0))))</f>
        <v>clear</v>
      </c>
      <c r="N301">
        <v>0.14000000000000001</v>
      </c>
      <c r="O301">
        <v>0.1212</v>
      </c>
      <c r="P301">
        <v>0.46</v>
      </c>
      <c r="Q301">
        <v>0.32840000000000003</v>
      </c>
      <c r="R301">
        <v>0</v>
      </c>
      <c r="S301">
        <v>30</v>
      </c>
      <c r="T301">
        <v>30</v>
      </c>
    </row>
    <row r="302" spans="1:20" x14ac:dyDescent="0.35">
      <c r="A302">
        <v>301</v>
      </c>
      <c r="B302" s="1">
        <v>40556</v>
      </c>
      <c r="C302">
        <v>1</v>
      </c>
      <c r="D302">
        <v>0</v>
      </c>
      <c r="E302">
        <v>1</v>
      </c>
      <c r="F302" t="str">
        <f>IF(final_data787[[#This Row],[MONTH_CODE]]=1,"JANUARY",IF(final_data787[[#This Row],[MONTH_CODE]]=2,"FEBRUARY"))</f>
        <v>JANUARY</v>
      </c>
      <c r="G302">
        <v>23</v>
      </c>
      <c r="H302">
        <v>0</v>
      </c>
      <c r="I302">
        <v>4</v>
      </c>
      <c r="J3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302" t="str">
        <f>IF(final_data787[[#This Row],[DAY_CODE]]=0,"weekend",IF(final_data787[[#This Row],[DAY_CODE]]=1,"weekend","weekday"))</f>
        <v>weekday</v>
      </c>
      <c r="L302">
        <v>1</v>
      </c>
      <c r="M302" t="str">
        <f>IF(final_data787[[#This Row],[WEATHER_CODE]]=1,"clear",IF(final_data787[[#This Row],[WEATHER_CODE]]=2,"cloudy",IF(final_data787[[#This Row],[WEATHER_CODE]]=3,"light rain",IF(final_data787[[#This Row],[WEATHER_CODE]]=4,"heavy rain",0))))</f>
        <v>clear</v>
      </c>
      <c r="N302">
        <v>0.12</v>
      </c>
      <c r="O302">
        <v>0.13639999999999999</v>
      </c>
      <c r="P302">
        <v>0.5</v>
      </c>
      <c r="Q302">
        <v>0.19400000000000001</v>
      </c>
      <c r="R302">
        <v>1</v>
      </c>
      <c r="S302">
        <v>14</v>
      </c>
      <c r="T302">
        <v>15</v>
      </c>
    </row>
    <row r="303" spans="1:20" x14ac:dyDescent="0.35">
      <c r="A303">
        <v>302</v>
      </c>
      <c r="B303" s="1">
        <v>40557</v>
      </c>
      <c r="C303">
        <v>1</v>
      </c>
      <c r="D303">
        <v>0</v>
      </c>
      <c r="E303">
        <v>1</v>
      </c>
      <c r="F303" t="str">
        <f>IF(final_data787[[#This Row],[MONTH_CODE]]=1,"JANUARY",IF(final_data787[[#This Row],[MONTH_CODE]]=2,"FEBRUARY"))</f>
        <v>JANUARY</v>
      </c>
      <c r="G303">
        <v>0</v>
      </c>
      <c r="H303">
        <v>0</v>
      </c>
      <c r="I303">
        <v>5</v>
      </c>
      <c r="J3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3" t="str">
        <f>IF(final_data787[[#This Row],[DAY_CODE]]=0,"weekend",IF(final_data787[[#This Row],[DAY_CODE]]=1,"weekend","weekday"))</f>
        <v>weekday</v>
      </c>
      <c r="L303">
        <v>1</v>
      </c>
      <c r="M303" t="str">
        <f>IF(final_data787[[#This Row],[WEATHER_CODE]]=1,"clear",IF(final_data787[[#This Row],[WEATHER_CODE]]=2,"cloudy",IF(final_data787[[#This Row],[WEATHER_CODE]]=3,"light rain",IF(final_data787[[#This Row],[WEATHER_CODE]]=4,"heavy rain",0))))</f>
        <v>clear</v>
      </c>
      <c r="N303">
        <v>0.12</v>
      </c>
      <c r="O303">
        <v>0.13639999999999999</v>
      </c>
      <c r="P303">
        <v>0.5</v>
      </c>
      <c r="Q303">
        <v>0.19400000000000001</v>
      </c>
      <c r="R303">
        <v>0</v>
      </c>
      <c r="S303">
        <v>14</v>
      </c>
      <c r="T303">
        <v>14</v>
      </c>
    </row>
    <row r="304" spans="1:20" x14ac:dyDescent="0.35">
      <c r="A304">
        <v>303</v>
      </c>
      <c r="B304" s="1">
        <v>40557</v>
      </c>
      <c r="C304">
        <v>1</v>
      </c>
      <c r="D304">
        <v>0</v>
      </c>
      <c r="E304">
        <v>1</v>
      </c>
      <c r="F304" t="str">
        <f>IF(final_data787[[#This Row],[MONTH_CODE]]=1,"JANUARY",IF(final_data787[[#This Row],[MONTH_CODE]]=2,"FEBRUARY"))</f>
        <v>JANUARY</v>
      </c>
      <c r="G304">
        <v>1</v>
      </c>
      <c r="H304">
        <v>0</v>
      </c>
      <c r="I304">
        <v>5</v>
      </c>
      <c r="J3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4" t="str">
        <f>IF(final_data787[[#This Row],[DAY_CODE]]=0,"weekend",IF(final_data787[[#This Row],[DAY_CODE]]=1,"weekend","weekday"))</f>
        <v>weekday</v>
      </c>
      <c r="L304">
        <v>1</v>
      </c>
      <c r="M304" t="str">
        <f>IF(final_data787[[#This Row],[WEATHER_CODE]]=1,"clear",IF(final_data787[[#This Row],[WEATHER_CODE]]=2,"cloudy",IF(final_data787[[#This Row],[WEATHER_CODE]]=3,"light rain",IF(final_data787[[#This Row],[WEATHER_CODE]]=4,"heavy rain",0))))</f>
        <v>clear</v>
      </c>
      <c r="N304">
        <v>0.1</v>
      </c>
      <c r="O304">
        <v>0.1212</v>
      </c>
      <c r="P304">
        <v>0.54</v>
      </c>
      <c r="Q304">
        <v>0.16420000000000001</v>
      </c>
      <c r="R304">
        <v>0</v>
      </c>
      <c r="S304">
        <v>5</v>
      </c>
      <c r="T304">
        <v>5</v>
      </c>
    </row>
    <row r="305" spans="1:20" x14ac:dyDescent="0.35">
      <c r="A305">
        <v>304</v>
      </c>
      <c r="B305" s="1">
        <v>40557</v>
      </c>
      <c r="C305">
        <v>1</v>
      </c>
      <c r="D305">
        <v>0</v>
      </c>
      <c r="E305">
        <v>1</v>
      </c>
      <c r="F305" t="str">
        <f>IF(final_data787[[#This Row],[MONTH_CODE]]=1,"JANUARY",IF(final_data787[[#This Row],[MONTH_CODE]]=2,"FEBRUARY"))</f>
        <v>JANUARY</v>
      </c>
      <c r="G305">
        <v>2</v>
      </c>
      <c r="H305">
        <v>0</v>
      </c>
      <c r="I305">
        <v>5</v>
      </c>
      <c r="J3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5" t="str">
        <f>IF(final_data787[[#This Row],[DAY_CODE]]=0,"weekend",IF(final_data787[[#This Row],[DAY_CODE]]=1,"weekend","weekday"))</f>
        <v>weekday</v>
      </c>
      <c r="L305">
        <v>1</v>
      </c>
      <c r="M305" t="str">
        <f>IF(final_data787[[#This Row],[WEATHER_CODE]]=1,"clear",IF(final_data787[[#This Row],[WEATHER_CODE]]=2,"cloudy",IF(final_data787[[#This Row],[WEATHER_CODE]]=3,"light rain",IF(final_data787[[#This Row],[WEATHER_CODE]]=4,"heavy rain",0))))</f>
        <v>clear</v>
      </c>
      <c r="N305">
        <v>0.1</v>
      </c>
      <c r="O305">
        <v>0.1212</v>
      </c>
      <c r="P305">
        <v>0.54</v>
      </c>
      <c r="Q305">
        <v>0.1343</v>
      </c>
      <c r="R305">
        <v>0</v>
      </c>
      <c r="S305">
        <v>1</v>
      </c>
      <c r="T305">
        <v>1</v>
      </c>
    </row>
    <row r="306" spans="1:20" x14ac:dyDescent="0.35">
      <c r="A306">
        <v>305</v>
      </c>
      <c r="B306" s="1">
        <v>40557</v>
      </c>
      <c r="C306">
        <v>1</v>
      </c>
      <c r="D306">
        <v>0</v>
      </c>
      <c r="E306">
        <v>1</v>
      </c>
      <c r="F306" t="str">
        <f>IF(final_data787[[#This Row],[MONTH_CODE]]=1,"JANUARY",IF(final_data787[[#This Row],[MONTH_CODE]]=2,"FEBRUARY"))</f>
        <v>JANUARY</v>
      </c>
      <c r="G306">
        <v>3</v>
      </c>
      <c r="H306">
        <v>0</v>
      </c>
      <c r="I306">
        <v>5</v>
      </c>
      <c r="J3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6" t="str">
        <f>IF(final_data787[[#This Row],[DAY_CODE]]=0,"weekend",IF(final_data787[[#This Row],[DAY_CODE]]=1,"weekend","weekday"))</f>
        <v>weekday</v>
      </c>
      <c r="L306">
        <v>1</v>
      </c>
      <c r="M306" t="str">
        <f>IF(final_data787[[#This Row],[WEATHER_CODE]]=1,"clear",IF(final_data787[[#This Row],[WEATHER_CODE]]=2,"cloudy",IF(final_data787[[#This Row],[WEATHER_CODE]]=3,"light rain",IF(final_data787[[#This Row],[WEATHER_CODE]]=4,"heavy rain",0))))</f>
        <v>clear</v>
      </c>
      <c r="N306">
        <v>0.1</v>
      </c>
      <c r="O306">
        <v>0.13639999999999999</v>
      </c>
      <c r="P306">
        <v>0.54</v>
      </c>
      <c r="Q306">
        <v>0.1045</v>
      </c>
      <c r="R306">
        <v>0</v>
      </c>
      <c r="S306">
        <v>1</v>
      </c>
      <c r="T306">
        <v>1</v>
      </c>
    </row>
    <row r="307" spans="1:20" x14ac:dyDescent="0.35">
      <c r="A307">
        <v>306</v>
      </c>
      <c r="B307" s="1">
        <v>40557</v>
      </c>
      <c r="C307">
        <v>1</v>
      </c>
      <c r="D307">
        <v>0</v>
      </c>
      <c r="E307">
        <v>1</v>
      </c>
      <c r="F307" t="str">
        <f>IF(final_data787[[#This Row],[MONTH_CODE]]=1,"JANUARY",IF(final_data787[[#This Row],[MONTH_CODE]]=2,"FEBRUARY"))</f>
        <v>JANUARY</v>
      </c>
      <c r="G307">
        <v>5</v>
      </c>
      <c r="H307">
        <v>0</v>
      </c>
      <c r="I307">
        <v>5</v>
      </c>
      <c r="J3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7" t="str">
        <f>IF(final_data787[[#This Row],[DAY_CODE]]=0,"weekend",IF(final_data787[[#This Row],[DAY_CODE]]=1,"weekend","weekday"))</f>
        <v>weekday</v>
      </c>
      <c r="L307">
        <v>1</v>
      </c>
      <c r="M307" t="str">
        <f>IF(final_data787[[#This Row],[WEATHER_CODE]]=1,"clear",IF(final_data787[[#This Row],[WEATHER_CODE]]=2,"cloudy",IF(final_data787[[#This Row],[WEATHER_CODE]]=3,"light rain",IF(final_data787[[#This Row],[WEATHER_CODE]]=4,"heavy rain",0))))</f>
        <v>clear</v>
      </c>
      <c r="N307">
        <v>0.1</v>
      </c>
      <c r="O307">
        <v>0.13639999999999999</v>
      </c>
      <c r="P307">
        <v>0.54</v>
      </c>
      <c r="Q307">
        <v>8.9599999999999999E-2</v>
      </c>
      <c r="R307">
        <v>0</v>
      </c>
      <c r="S307">
        <v>8</v>
      </c>
      <c r="T307">
        <v>8</v>
      </c>
    </row>
    <row r="308" spans="1:20" x14ac:dyDescent="0.35">
      <c r="A308">
        <v>307</v>
      </c>
      <c r="B308" s="1">
        <v>40557</v>
      </c>
      <c r="C308">
        <v>1</v>
      </c>
      <c r="D308">
        <v>0</v>
      </c>
      <c r="E308">
        <v>1</v>
      </c>
      <c r="F308" t="str">
        <f>IF(final_data787[[#This Row],[MONTH_CODE]]=1,"JANUARY",IF(final_data787[[#This Row],[MONTH_CODE]]=2,"FEBRUARY"))</f>
        <v>JANUARY</v>
      </c>
      <c r="G308">
        <v>6</v>
      </c>
      <c r="H308">
        <v>0</v>
      </c>
      <c r="I308">
        <v>5</v>
      </c>
      <c r="J3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8" t="str">
        <f>IF(final_data787[[#This Row],[DAY_CODE]]=0,"weekend",IF(final_data787[[#This Row],[DAY_CODE]]=1,"weekend","weekday"))</f>
        <v>weekday</v>
      </c>
      <c r="L308">
        <v>1</v>
      </c>
      <c r="M308" t="str">
        <f>IF(final_data787[[#This Row],[WEATHER_CODE]]=1,"clear",IF(final_data787[[#This Row],[WEATHER_CODE]]=2,"cloudy",IF(final_data787[[#This Row],[WEATHER_CODE]]=3,"light rain",IF(final_data787[[#This Row],[WEATHER_CODE]]=4,"heavy rain",0))))</f>
        <v>clear</v>
      </c>
      <c r="N308">
        <v>0.1</v>
      </c>
      <c r="O308">
        <v>0.18179999999999999</v>
      </c>
      <c r="P308">
        <v>0.54</v>
      </c>
      <c r="Q308">
        <v>0</v>
      </c>
      <c r="R308">
        <v>0</v>
      </c>
      <c r="S308">
        <v>17</v>
      </c>
      <c r="T308">
        <v>17</v>
      </c>
    </row>
    <row r="309" spans="1:20" x14ac:dyDescent="0.35">
      <c r="A309">
        <v>308</v>
      </c>
      <c r="B309" s="1">
        <v>40557</v>
      </c>
      <c r="C309">
        <v>1</v>
      </c>
      <c r="D309">
        <v>0</v>
      </c>
      <c r="E309">
        <v>1</v>
      </c>
      <c r="F309" t="str">
        <f>IF(final_data787[[#This Row],[MONTH_CODE]]=1,"JANUARY",IF(final_data787[[#This Row],[MONTH_CODE]]=2,"FEBRUARY"))</f>
        <v>JANUARY</v>
      </c>
      <c r="G309">
        <v>7</v>
      </c>
      <c r="H309">
        <v>0</v>
      </c>
      <c r="I309">
        <v>5</v>
      </c>
      <c r="J3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09" t="str">
        <f>IF(final_data787[[#This Row],[DAY_CODE]]=0,"weekend",IF(final_data787[[#This Row],[DAY_CODE]]=1,"weekend","weekday"))</f>
        <v>weekday</v>
      </c>
      <c r="L309">
        <v>1</v>
      </c>
      <c r="M309" t="str">
        <f>IF(final_data787[[#This Row],[WEATHER_CODE]]=1,"clear",IF(final_data787[[#This Row],[WEATHER_CODE]]=2,"cloudy",IF(final_data787[[#This Row],[WEATHER_CODE]]=3,"light rain",IF(final_data787[[#This Row],[WEATHER_CODE]]=4,"heavy rain",0))))</f>
        <v>clear</v>
      </c>
      <c r="N309">
        <v>0.1</v>
      </c>
      <c r="O309">
        <v>0.1212</v>
      </c>
      <c r="P309">
        <v>0.74</v>
      </c>
      <c r="Q309">
        <v>0.16420000000000001</v>
      </c>
      <c r="R309">
        <v>0</v>
      </c>
      <c r="S309">
        <v>70</v>
      </c>
      <c r="T309">
        <v>70</v>
      </c>
    </row>
    <row r="310" spans="1:20" x14ac:dyDescent="0.35">
      <c r="A310">
        <v>309</v>
      </c>
      <c r="B310" s="1">
        <v>40557</v>
      </c>
      <c r="C310">
        <v>1</v>
      </c>
      <c r="D310">
        <v>0</v>
      </c>
      <c r="E310">
        <v>1</v>
      </c>
      <c r="F310" t="str">
        <f>IF(final_data787[[#This Row],[MONTH_CODE]]=1,"JANUARY",IF(final_data787[[#This Row],[MONTH_CODE]]=2,"FEBRUARY"))</f>
        <v>JANUARY</v>
      </c>
      <c r="G310">
        <v>8</v>
      </c>
      <c r="H310">
        <v>0</v>
      </c>
      <c r="I310">
        <v>5</v>
      </c>
      <c r="J3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0" t="str">
        <f>IF(final_data787[[#This Row],[DAY_CODE]]=0,"weekend",IF(final_data787[[#This Row],[DAY_CODE]]=1,"weekend","weekday"))</f>
        <v>weekday</v>
      </c>
      <c r="L310">
        <v>1</v>
      </c>
      <c r="M310" t="str">
        <f>IF(final_data787[[#This Row],[WEATHER_CODE]]=1,"clear",IF(final_data787[[#This Row],[WEATHER_CODE]]=2,"cloudy",IF(final_data787[[#This Row],[WEATHER_CODE]]=3,"light rain",IF(final_data787[[#This Row],[WEATHER_CODE]]=4,"heavy rain",0))))</f>
        <v>clear</v>
      </c>
      <c r="N310">
        <v>0.12</v>
      </c>
      <c r="O310">
        <v>0.16669999999999999</v>
      </c>
      <c r="P310">
        <v>0.68</v>
      </c>
      <c r="Q310">
        <v>0</v>
      </c>
      <c r="R310">
        <v>2</v>
      </c>
      <c r="S310">
        <v>156</v>
      </c>
      <c r="T310">
        <v>158</v>
      </c>
    </row>
    <row r="311" spans="1:20" x14ac:dyDescent="0.35">
      <c r="A311">
        <v>310</v>
      </c>
      <c r="B311" s="1">
        <v>40557</v>
      </c>
      <c r="C311">
        <v>1</v>
      </c>
      <c r="D311">
        <v>0</v>
      </c>
      <c r="E311">
        <v>1</v>
      </c>
      <c r="F311" t="str">
        <f>IF(final_data787[[#This Row],[MONTH_CODE]]=1,"JANUARY",IF(final_data787[[#This Row],[MONTH_CODE]]=2,"FEBRUARY"))</f>
        <v>JANUARY</v>
      </c>
      <c r="G311">
        <v>9</v>
      </c>
      <c r="H311">
        <v>0</v>
      </c>
      <c r="I311">
        <v>5</v>
      </c>
      <c r="J3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1" t="str">
        <f>IF(final_data787[[#This Row],[DAY_CODE]]=0,"weekend",IF(final_data787[[#This Row],[DAY_CODE]]=1,"weekend","weekday"))</f>
        <v>weekday</v>
      </c>
      <c r="L311">
        <v>1</v>
      </c>
      <c r="M311" t="str">
        <f>IF(final_data787[[#This Row],[WEATHER_CODE]]=1,"clear",IF(final_data787[[#This Row],[WEATHER_CODE]]=2,"cloudy",IF(final_data787[[#This Row],[WEATHER_CODE]]=3,"light rain",IF(final_data787[[#This Row],[WEATHER_CODE]]=4,"heavy rain",0))))</f>
        <v>clear</v>
      </c>
      <c r="N311">
        <v>0.14000000000000001</v>
      </c>
      <c r="O311">
        <v>0.1515</v>
      </c>
      <c r="P311">
        <v>0.69</v>
      </c>
      <c r="Q311">
        <v>0.1343</v>
      </c>
      <c r="R311">
        <v>0</v>
      </c>
      <c r="S311">
        <v>117</v>
      </c>
      <c r="T311">
        <v>117</v>
      </c>
    </row>
    <row r="312" spans="1:20" x14ac:dyDescent="0.35">
      <c r="A312">
        <v>311</v>
      </c>
      <c r="B312" s="1">
        <v>40557</v>
      </c>
      <c r="C312">
        <v>1</v>
      </c>
      <c r="D312">
        <v>0</v>
      </c>
      <c r="E312">
        <v>1</v>
      </c>
      <c r="F312" t="str">
        <f>IF(final_data787[[#This Row],[MONTH_CODE]]=1,"JANUARY",IF(final_data787[[#This Row],[MONTH_CODE]]=2,"FEBRUARY"))</f>
        <v>JANUARY</v>
      </c>
      <c r="G312">
        <v>10</v>
      </c>
      <c r="H312">
        <v>0</v>
      </c>
      <c r="I312">
        <v>5</v>
      </c>
      <c r="J3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2" t="str">
        <f>IF(final_data787[[#This Row],[DAY_CODE]]=0,"weekend",IF(final_data787[[#This Row],[DAY_CODE]]=1,"weekend","weekday"))</f>
        <v>weekday</v>
      </c>
      <c r="L312">
        <v>1</v>
      </c>
      <c r="M312" t="str">
        <f>IF(final_data787[[#This Row],[WEATHER_CODE]]=1,"clear",IF(final_data787[[#This Row],[WEATHER_CODE]]=2,"cloudy",IF(final_data787[[#This Row],[WEATHER_CODE]]=3,"light rain",IF(final_data787[[#This Row],[WEATHER_CODE]]=4,"heavy rain",0))))</f>
        <v>clear</v>
      </c>
      <c r="N312">
        <v>0.18</v>
      </c>
      <c r="O312">
        <v>0.18179999999999999</v>
      </c>
      <c r="P312">
        <v>0.55000000000000004</v>
      </c>
      <c r="Q312">
        <v>0.19400000000000001</v>
      </c>
      <c r="R312">
        <v>4</v>
      </c>
      <c r="S312">
        <v>40</v>
      </c>
      <c r="T312">
        <v>44</v>
      </c>
    </row>
    <row r="313" spans="1:20" x14ac:dyDescent="0.35">
      <c r="A313">
        <v>312</v>
      </c>
      <c r="B313" s="1">
        <v>40557</v>
      </c>
      <c r="C313">
        <v>1</v>
      </c>
      <c r="D313">
        <v>0</v>
      </c>
      <c r="E313">
        <v>1</v>
      </c>
      <c r="F313" t="str">
        <f>IF(final_data787[[#This Row],[MONTH_CODE]]=1,"JANUARY",IF(final_data787[[#This Row],[MONTH_CODE]]=2,"FEBRUARY"))</f>
        <v>JANUARY</v>
      </c>
      <c r="G313">
        <v>11</v>
      </c>
      <c r="H313">
        <v>0</v>
      </c>
      <c r="I313">
        <v>5</v>
      </c>
      <c r="J3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3" t="str">
        <f>IF(final_data787[[#This Row],[DAY_CODE]]=0,"weekend",IF(final_data787[[#This Row],[DAY_CODE]]=1,"weekend","weekday"))</f>
        <v>weekday</v>
      </c>
      <c r="L313">
        <v>1</v>
      </c>
      <c r="M313" t="str">
        <f>IF(final_data787[[#This Row],[WEATHER_CODE]]=1,"clear",IF(final_data787[[#This Row],[WEATHER_CODE]]=2,"cloudy",IF(final_data787[[#This Row],[WEATHER_CODE]]=3,"light rain",IF(final_data787[[#This Row],[WEATHER_CODE]]=4,"heavy rain",0))))</f>
        <v>clear</v>
      </c>
      <c r="N313">
        <v>0.18</v>
      </c>
      <c r="O313">
        <v>0.16669999999999999</v>
      </c>
      <c r="P313">
        <v>0.51</v>
      </c>
      <c r="Q313">
        <v>0.28360000000000002</v>
      </c>
      <c r="R313">
        <v>6</v>
      </c>
      <c r="S313">
        <v>47</v>
      </c>
      <c r="T313">
        <v>53</v>
      </c>
    </row>
    <row r="314" spans="1:20" x14ac:dyDescent="0.35">
      <c r="A314">
        <v>313</v>
      </c>
      <c r="B314" s="1">
        <v>40557</v>
      </c>
      <c r="C314">
        <v>1</v>
      </c>
      <c r="D314">
        <v>0</v>
      </c>
      <c r="E314">
        <v>1</v>
      </c>
      <c r="F314" t="str">
        <f>IF(final_data787[[#This Row],[MONTH_CODE]]=1,"JANUARY",IF(final_data787[[#This Row],[MONTH_CODE]]=2,"FEBRUARY"))</f>
        <v>JANUARY</v>
      </c>
      <c r="G314">
        <v>12</v>
      </c>
      <c r="H314">
        <v>0</v>
      </c>
      <c r="I314">
        <v>5</v>
      </c>
      <c r="J3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4" t="str">
        <f>IF(final_data787[[#This Row],[DAY_CODE]]=0,"weekend",IF(final_data787[[#This Row],[DAY_CODE]]=1,"weekend","weekday"))</f>
        <v>weekday</v>
      </c>
      <c r="L314">
        <v>1</v>
      </c>
      <c r="M314" t="str">
        <f>IF(final_data787[[#This Row],[WEATHER_CODE]]=1,"clear",IF(final_data787[[#This Row],[WEATHER_CODE]]=2,"cloudy",IF(final_data787[[#This Row],[WEATHER_CODE]]=3,"light rain",IF(final_data787[[#This Row],[WEATHER_CODE]]=4,"heavy rain",0))))</f>
        <v>clear</v>
      </c>
      <c r="N314">
        <v>0.2</v>
      </c>
      <c r="O314">
        <v>0.19700000000000001</v>
      </c>
      <c r="P314">
        <v>0.44</v>
      </c>
      <c r="Q314">
        <v>0.25369999999999998</v>
      </c>
      <c r="R314">
        <v>2</v>
      </c>
      <c r="S314">
        <v>59</v>
      </c>
      <c r="T314">
        <v>61</v>
      </c>
    </row>
    <row r="315" spans="1:20" x14ac:dyDescent="0.35">
      <c r="A315">
        <v>314</v>
      </c>
      <c r="B315" s="1">
        <v>40557</v>
      </c>
      <c r="C315">
        <v>1</v>
      </c>
      <c r="D315">
        <v>0</v>
      </c>
      <c r="E315">
        <v>1</v>
      </c>
      <c r="F315" t="str">
        <f>IF(final_data787[[#This Row],[MONTH_CODE]]=1,"JANUARY",IF(final_data787[[#This Row],[MONTH_CODE]]=2,"FEBRUARY"))</f>
        <v>JANUARY</v>
      </c>
      <c r="G315">
        <v>13</v>
      </c>
      <c r="H315">
        <v>0</v>
      </c>
      <c r="I315">
        <v>5</v>
      </c>
      <c r="J3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5" t="str">
        <f>IF(final_data787[[#This Row],[DAY_CODE]]=0,"weekend",IF(final_data787[[#This Row],[DAY_CODE]]=1,"weekend","weekday"))</f>
        <v>weekday</v>
      </c>
      <c r="L315">
        <v>1</v>
      </c>
      <c r="M315" t="str">
        <f>IF(final_data787[[#This Row],[WEATHER_CODE]]=1,"clear",IF(final_data787[[#This Row],[WEATHER_CODE]]=2,"cloudy",IF(final_data787[[#This Row],[WEATHER_CODE]]=3,"light rain",IF(final_data787[[#This Row],[WEATHER_CODE]]=4,"heavy rain",0))))</f>
        <v>clear</v>
      </c>
      <c r="N315">
        <v>0.22</v>
      </c>
      <c r="O315">
        <v>0.19700000000000001</v>
      </c>
      <c r="P315">
        <v>0.37</v>
      </c>
      <c r="Q315">
        <v>0.3881</v>
      </c>
      <c r="R315">
        <v>4</v>
      </c>
      <c r="S315">
        <v>73</v>
      </c>
      <c r="T315">
        <v>77</v>
      </c>
    </row>
    <row r="316" spans="1:20" x14ac:dyDescent="0.35">
      <c r="A316">
        <v>315</v>
      </c>
      <c r="B316" s="1">
        <v>40557</v>
      </c>
      <c r="C316">
        <v>1</v>
      </c>
      <c r="D316">
        <v>0</v>
      </c>
      <c r="E316">
        <v>1</v>
      </c>
      <c r="F316" t="str">
        <f>IF(final_data787[[#This Row],[MONTH_CODE]]=1,"JANUARY",IF(final_data787[[#This Row],[MONTH_CODE]]=2,"FEBRUARY"))</f>
        <v>JANUARY</v>
      </c>
      <c r="G316">
        <v>14</v>
      </c>
      <c r="H316">
        <v>0</v>
      </c>
      <c r="I316">
        <v>5</v>
      </c>
      <c r="J3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6" t="str">
        <f>IF(final_data787[[#This Row],[DAY_CODE]]=0,"weekend",IF(final_data787[[#This Row],[DAY_CODE]]=1,"weekend","weekday"))</f>
        <v>weekday</v>
      </c>
      <c r="L316">
        <v>1</v>
      </c>
      <c r="M316" t="str">
        <f>IF(final_data787[[#This Row],[WEATHER_CODE]]=1,"clear",IF(final_data787[[#This Row],[WEATHER_CODE]]=2,"cloudy",IF(final_data787[[#This Row],[WEATHER_CODE]]=3,"light rain",IF(final_data787[[#This Row],[WEATHER_CODE]]=4,"heavy rain",0))))</f>
        <v>clear</v>
      </c>
      <c r="N316">
        <v>0.22</v>
      </c>
      <c r="O316">
        <v>0.21210000000000001</v>
      </c>
      <c r="P316">
        <v>0.41</v>
      </c>
      <c r="Q316">
        <v>0.28360000000000002</v>
      </c>
      <c r="R316">
        <v>5</v>
      </c>
      <c r="S316">
        <v>59</v>
      </c>
      <c r="T316">
        <v>64</v>
      </c>
    </row>
    <row r="317" spans="1:20" x14ac:dyDescent="0.35">
      <c r="A317">
        <v>316</v>
      </c>
      <c r="B317" s="1">
        <v>40557</v>
      </c>
      <c r="C317">
        <v>1</v>
      </c>
      <c r="D317">
        <v>0</v>
      </c>
      <c r="E317">
        <v>1</v>
      </c>
      <c r="F317" t="str">
        <f>IF(final_data787[[#This Row],[MONTH_CODE]]=1,"JANUARY",IF(final_data787[[#This Row],[MONTH_CODE]]=2,"FEBRUARY"))</f>
        <v>JANUARY</v>
      </c>
      <c r="G317">
        <v>15</v>
      </c>
      <c r="H317">
        <v>0</v>
      </c>
      <c r="I317">
        <v>5</v>
      </c>
      <c r="J3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7" t="str">
        <f>IF(final_data787[[#This Row],[DAY_CODE]]=0,"weekend",IF(final_data787[[#This Row],[DAY_CODE]]=1,"weekend","weekday"))</f>
        <v>weekday</v>
      </c>
      <c r="L317">
        <v>1</v>
      </c>
      <c r="M317" t="str">
        <f>IF(final_data787[[#This Row],[WEATHER_CODE]]=1,"clear",IF(final_data787[[#This Row],[WEATHER_CODE]]=2,"cloudy",IF(final_data787[[#This Row],[WEATHER_CODE]]=3,"light rain",IF(final_data787[[#This Row],[WEATHER_CODE]]=4,"heavy rain",0))))</f>
        <v>clear</v>
      </c>
      <c r="N317">
        <v>0.24</v>
      </c>
      <c r="O317">
        <v>0.2424</v>
      </c>
      <c r="P317">
        <v>0.38</v>
      </c>
      <c r="Q317">
        <v>0.16420000000000001</v>
      </c>
      <c r="R317">
        <v>9</v>
      </c>
      <c r="S317">
        <v>59</v>
      </c>
      <c r="T317">
        <v>68</v>
      </c>
    </row>
    <row r="318" spans="1:20" x14ac:dyDescent="0.35">
      <c r="A318">
        <v>317</v>
      </c>
      <c r="B318" s="1">
        <v>40557</v>
      </c>
      <c r="C318">
        <v>1</v>
      </c>
      <c r="D318">
        <v>0</v>
      </c>
      <c r="E318">
        <v>1</v>
      </c>
      <c r="F318" t="str">
        <f>IF(final_data787[[#This Row],[MONTH_CODE]]=1,"JANUARY",IF(final_data787[[#This Row],[MONTH_CODE]]=2,"FEBRUARY"))</f>
        <v>JANUARY</v>
      </c>
      <c r="G318">
        <v>16</v>
      </c>
      <c r="H318">
        <v>0</v>
      </c>
      <c r="I318">
        <v>5</v>
      </c>
      <c r="J3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8" t="str">
        <f>IF(final_data787[[#This Row],[DAY_CODE]]=0,"weekend",IF(final_data787[[#This Row],[DAY_CODE]]=1,"weekend","weekday"))</f>
        <v>weekday</v>
      </c>
      <c r="L318">
        <v>1</v>
      </c>
      <c r="M318" t="str">
        <f>IF(final_data787[[#This Row],[WEATHER_CODE]]=1,"clear",IF(final_data787[[#This Row],[WEATHER_CODE]]=2,"cloudy",IF(final_data787[[#This Row],[WEATHER_CODE]]=3,"light rain",IF(final_data787[[#This Row],[WEATHER_CODE]]=4,"heavy rain",0))))</f>
        <v>clear</v>
      </c>
      <c r="N318">
        <v>0.22</v>
      </c>
      <c r="O318">
        <v>0.2424</v>
      </c>
      <c r="P318">
        <v>0.41</v>
      </c>
      <c r="Q318">
        <v>0.1045</v>
      </c>
      <c r="R318">
        <v>3</v>
      </c>
      <c r="S318">
        <v>87</v>
      </c>
      <c r="T318">
        <v>90</v>
      </c>
    </row>
    <row r="319" spans="1:20" x14ac:dyDescent="0.35">
      <c r="A319">
        <v>318</v>
      </c>
      <c r="B319" s="1">
        <v>40557</v>
      </c>
      <c r="C319">
        <v>1</v>
      </c>
      <c r="D319">
        <v>0</v>
      </c>
      <c r="E319">
        <v>1</v>
      </c>
      <c r="F319" t="str">
        <f>IF(final_data787[[#This Row],[MONTH_CODE]]=1,"JANUARY",IF(final_data787[[#This Row],[MONTH_CODE]]=2,"FEBRUARY"))</f>
        <v>JANUARY</v>
      </c>
      <c r="G319">
        <v>17</v>
      </c>
      <c r="H319">
        <v>0</v>
      </c>
      <c r="I319">
        <v>5</v>
      </c>
      <c r="J3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19" t="str">
        <f>IF(final_data787[[#This Row],[DAY_CODE]]=0,"weekend",IF(final_data787[[#This Row],[DAY_CODE]]=1,"weekend","weekday"))</f>
        <v>weekday</v>
      </c>
      <c r="L319">
        <v>1</v>
      </c>
      <c r="M319" t="str">
        <f>IF(final_data787[[#This Row],[WEATHER_CODE]]=1,"clear",IF(final_data787[[#This Row],[WEATHER_CODE]]=2,"cloudy",IF(final_data787[[#This Row],[WEATHER_CODE]]=3,"light rain",IF(final_data787[[#This Row],[WEATHER_CODE]]=4,"heavy rain",0))))</f>
        <v>clear</v>
      </c>
      <c r="N319">
        <v>0.22</v>
      </c>
      <c r="O319">
        <v>0.2273</v>
      </c>
      <c r="P319">
        <v>0.41</v>
      </c>
      <c r="Q319">
        <v>0.16420000000000001</v>
      </c>
      <c r="R319">
        <v>4</v>
      </c>
      <c r="S319">
        <v>155</v>
      </c>
      <c r="T319">
        <v>159</v>
      </c>
    </row>
    <row r="320" spans="1:20" x14ac:dyDescent="0.35">
      <c r="A320">
        <v>319</v>
      </c>
      <c r="B320" s="1">
        <v>40557</v>
      </c>
      <c r="C320">
        <v>1</v>
      </c>
      <c r="D320">
        <v>0</v>
      </c>
      <c r="E320">
        <v>1</v>
      </c>
      <c r="F320" t="str">
        <f>IF(final_data787[[#This Row],[MONTH_CODE]]=1,"JANUARY",IF(final_data787[[#This Row],[MONTH_CODE]]=2,"FEBRUARY"))</f>
        <v>JANUARY</v>
      </c>
      <c r="G320">
        <v>18</v>
      </c>
      <c r="H320">
        <v>0</v>
      </c>
      <c r="I320">
        <v>5</v>
      </c>
      <c r="J3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0" t="str">
        <f>IF(final_data787[[#This Row],[DAY_CODE]]=0,"weekend",IF(final_data787[[#This Row],[DAY_CODE]]=1,"weekend","weekday"))</f>
        <v>weekday</v>
      </c>
      <c r="L320">
        <v>1</v>
      </c>
      <c r="M320" t="str">
        <f>IF(final_data787[[#This Row],[WEATHER_CODE]]=1,"clear",IF(final_data787[[#This Row],[WEATHER_CODE]]=2,"cloudy",IF(final_data787[[#This Row],[WEATHER_CODE]]=3,"light rain",IF(final_data787[[#This Row],[WEATHER_CODE]]=4,"heavy rain",0))))</f>
        <v>clear</v>
      </c>
      <c r="N320">
        <v>0.2</v>
      </c>
      <c r="O320">
        <v>0.2576</v>
      </c>
      <c r="P320">
        <v>0.47</v>
      </c>
      <c r="Q320">
        <v>0</v>
      </c>
      <c r="R320">
        <v>5</v>
      </c>
      <c r="S320">
        <v>134</v>
      </c>
      <c r="T320">
        <v>139</v>
      </c>
    </row>
    <row r="321" spans="1:20" x14ac:dyDescent="0.35">
      <c r="A321">
        <v>320</v>
      </c>
      <c r="B321" s="1">
        <v>40557</v>
      </c>
      <c r="C321">
        <v>1</v>
      </c>
      <c r="D321">
        <v>0</v>
      </c>
      <c r="E321">
        <v>1</v>
      </c>
      <c r="F321" t="str">
        <f>IF(final_data787[[#This Row],[MONTH_CODE]]=1,"JANUARY",IF(final_data787[[#This Row],[MONTH_CODE]]=2,"FEBRUARY"))</f>
        <v>JANUARY</v>
      </c>
      <c r="G321">
        <v>19</v>
      </c>
      <c r="H321">
        <v>0</v>
      </c>
      <c r="I321">
        <v>5</v>
      </c>
      <c r="J3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1" t="str">
        <f>IF(final_data787[[#This Row],[DAY_CODE]]=0,"weekend",IF(final_data787[[#This Row],[DAY_CODE]]=1,"weekend","weekday"))</f>
        <v>weekday</v>
      </c>
      <c r="L321">
        <v>1</v>
      </c>
      <c r="M321" t="str">
        <f>IF(final_data787[[#This Row],[WEATHER_CODE]]=1,"clear",IF(final_data787[[#This Row],[WEATHER_CODE]]=2,"cloudy",IF(final_data787[[#This Row],[WEATHER_CODE]]=3,"light rain",IF(final_data787[[#This Row],[WEATHER_CODE]]=4,"heavy rain",0))))</f>
        <v>clear</v>
      </c>
      <c r="N321">
        <v>0.16</v>
      </c>
      <c r="O321">
        <v>0.19700000000000001</v>
      </c>
      <c r="P321">
        <v>0.59</v>
      </c>
      <c r="Q321">
        <v>8.9599999999999999E-2</v>
      </c>
      <c r="R321">
        <v>3</v>
      </c>
      <c r="S321">
        <v>89</v>
      </c>
      <c r="T321">
        <v>92</v>
      </c>
    </row>
    <row r="322" spans="1:20" x14ac:dyDescent="0.35">
      <c r="A322">
        <v>321</v>
      </c>
      <c r="B322" s="1">
        <v>40557</v>
      </c>
      <c r="C322">
        <v>1</v>
      </c>
      <c r="D322">
        <v>0</v>
      </c>
      <c r="E322">
        <v>1</v>
      </c>
      <c r="F322" t="str">
        <f>IF(final_data787[[#This Row],[MONTH_CODE]]=1,"JANUARY",IF(final_data787[[#This Row],[MONTH_CODE]]=2,"FEBRUARY"))</f>
        <v>JANUARY</v>
      </c>
      <c r="G322">
        <v>20</v>
      </c>
      <c r="H322">
        <v>0</v>
      </c>
      <c r="I322">
        <v>5</v>
      </c>
      <c r="J3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2" t="str">
        <f>IF(final_data787[[#This Row],[DAY_CODE]]=0,"weekend",IF(final_data787[[#This Row],[DAY_CODE]]=1,"weekend","weekday"))</f>
        <v>weekday</v>
      </c>
      <c r="L322">
        <v>1</v>
      </c>
      <c r="M322" t="str">
        <f>IF(final_data787[[#This Row],[WEATHER_CODE]]=1,"clear",IF(final_data787[[#This Row],[WEATHER_CODE]]=2,"cloudy",IF(final_data787[[#This Row],[WEATHER_CODE]]=3,"light rain",IF(final_data787[[#This Row],[WEATHER_CODE]]=4,"heavy rain",0))))</f>
        <v>clear</v>
      </c>
      <c r="N322">
        <v>0.18</v>
      </c>
      <c r="O322">
        <v>0.2424</v>
      </c>
      <c r="P322">
        <v>0.59</v>
      </c>
      <c r="Q322">
        <v>0</v>
      </c>
      <c r="R322">
        <v>0</v>
      </c>
      <c r="S322">
        <v>68</v>
      </c>
      <c r="T322">
        <v>68</v>
      </c>
    </row>
    <row r="323" spans="1:20" x14ac:dyDescent="0.35">
      <c r="A323">
        <v>322</v>
      </c>
      <c r="B323" s="1">
        <v>40557</v>
      </c>
      <c r="C323">
        <v>1</v>
      </c>
      <c r="D323">
        <v>0</v>
      </c>
      <c r="E323">
        <v>1</v>
      </c>
      <c r="F323" t="str">
        <f>IF(final_data787[[#This Row],[MONTH_CODE]]=1,"JANUARY",IF(final_data787[[#This Row],[MONTH_CODE]]=2,"FEBRUARY"))</f>
        <v>JANUARY</v>
      </c>
      <c r="G323">
        <v>21</v>
      </c>
      <c r="H323">
        <v>0</v>
      </c>
      <c r="I323">
        <v>5</v>
      </c>
      <c r="J3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3" t="str">
        <f>IF(final_data787[[#This Row],[DAY_CODE]]=0,"weekend",IF(final_data787[[#This Row],[DAY_CODE]]=1,"weekend","weekday"))</f>
        <v>weekday</v>
      </c>
      <c r="L323">
        <v>1</v>
      </c>
      <c r="M323" t="str">
        <f>IF(final_data787[[#This Row],[WEATHER_CODE]]=1,"clear",IF(final_data787[[#This Row],[WEATHER_CODE]]=2,"cloudy",IF(final_data787[[#This Row],[WEATHER_CODE]]=3,"light rain",IF(final_data787[[#This Row],[WEATHER_CODE]]=4,"heavy rain",0))))</f>
        <v>clear</v>
      </c>
      <c r="N323">
        <v>0.16</v>
      </c>
      <c r="O323">
        <v>0.2273</v>
      </c>
      <c r="P323">
        <v>0.69</v>
      </c>
      <c r="Q323">
        <v>0</v>
      </c>
      <c r="R323">
        <v>4</v>
      </c>
      <c r="S323">
        <v>48</v>
      </c>
      <c r="T323">
        <v>52</v>
      </c>
    </row>
    <row r="324" spans="1:20" x14ac:dyDescent="0.35">
      <c r="A324">
        <v>323</v>
      </c>
      <c r="B324" s="1">
        <v>40557</v>
      </c>
      <c r="C324">
        <v>1</v>
      </c>
      <c r="D324">
        <v>0</v>
      </c>
      <c r="E324">
        <v>1</v>
      </c>
      <c r="F324" t="str">
        <f>IF(final_data787[[#This Row],[MONTH_CODE]]=1,"JANUARY",IF(final_data787[[#This Row],[MONTH_CODE]]=2,"FEBRUARY"))</f>
        <v>JANUARY</v>
      </c>
      <c r="G324">
        <v>22</v>
      </c>
      <c r="H324">
        <v>0</v>
      </c>
      <c r="I324">
        <v>5</v>
      </c>
      <c r="J3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4" t="str">
        <f>IF(final_data787[[#This Row],[DAY_CODE]]=0,"weekend",IF(final_data787[[#This Row],[DAY_CODE]]=1,"weekend","weekday"))</f>
        <v>weekday</v>
      </c>
      <c r="L324">
        <v>2</v>
      </c>
      <c r="M324" t="str">
        <f>IF(final_data787[[#This Row],[WEATHER_CODE]]=1,"clear",IF(final_data787[[#This Row],[WEATHER_CODE]]=2,"cloudy",IF(final_data787[[#This Row],[WEATHER_CODE]]=3,"light rain",IF(final_data787[[#This Row],[WEATHER_CODE]]=4,"heavy rain",0))))</f>
        <v>cloudy</v>
      </c>
      <c r="N324">
        <v>0.16</v>
      </c>
      <c r="O324">
        <v>0.2273</v>
      </c>
      <c r="P324">
        <v>0.69</v>
      </c>
      <c r="Q324">
        <v>0</v>
      </c>
      <c r="R324">
        <v>2</v>
      </c>
      <c r="S324">
        <v>34</v>
      </c>
      <c r="T324">
        <v>36</v>
      </c>
    </row>
    <row r="325" spans="1:20" x14ac:dyDescent="0.35">
      <c r="A325">
        <v>324</v>
      </c>
      <c r="B325" s="1">
        <v>40557</v>
      </c>
      <c r="C325">
        <v>1</v>
      </c>
      <c r="D325">
        <v>0</v>
      </c>
      <c r="E325">
        <v>1</v>
      </c>
      <c r="F325" t="str">
        <f>IF(final_data787[[#This Row],[MONTH_CODE]]=1,"JANUARY",IF(final_data787[[#This Row],[MONTH_CODE]]=2,"FEBRUARY"))</f>
        <v>JANUARY</v>
      </c>
      <c r="G325">
        <v>23</v>
      </c>
      <c r="H325">
        <v>0</v>
      </c>
      <c r="I325">
        <v>5</v>
      </c>
      <c r="J3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325" t="str">
        <f>IF(final_data787[[#This Row],[DAY_CODE]]=0,"weekend",IF(final_data787[[#This Row],[DAY_CODE]]=1,"weekend","weekday"))</f>
        <v>weekday</v>
      </c>
      <c r="L325">
        <v>2</v>
      </c>
      <c r="M325" t="str">
        <f>IF(final_data787[[#This Row],[WEATHER_CODE]]=1,"clear",IF(final_data787[[#This Row],[WEATHER_CODE]]=2,"cloudy",IF(final_data787[[#This Row],[WEATHER_CODE]]=3,"light rain",IF(final_data787[[#This Row],[WEATHER_CODE]]=4,"heavy rain",0))))</f>
        <v>cloudy</v>
      </c>
      <c r="N325">
        <v>0.18</v>
      </c>
      <c r="O325">
        <v>0.2424</v>
      </c>
      <c r="P325">
        <v>0.55000000000000004</v>
      </c>
      <c r="Q325">
        <v>0</v>
      </c>
      <c r="R325">
        <v>1</v>
      </c>
      <c r="S325">
        <v>26</v>
      </c>
      <c r="T325">
        <v>27</v>
      </c>
    </row>
    <row r="326" spans="1:20" x14ac:dyDescent="0.35">
      <c r="A326">
        <v>325</v>
      </c>
      <c r="B326" s="1">
        <v>40558</v>
      </c>
      <c r="C326">
        <v>1</v>
      </c>
      <c r="D326">
        <v>0</v>
      </c>
      <c r="E326">
        <v>1</v>
      </c>
      <c r="F326" t="str">
        <f>IF(final_data787[[#This Row],[MONTH_CODE]]=1,"JANUARY",IF(final_data787[[#This Row],[MONTH_CODE]]=2,"FEBRUARY"))</f>
        <v>JANUARY</v>
      </c>
      <c r="G326">
        <v>0</v>
      </c>
      <c r="H326">
        <v>0</v>
      </c>
      <c r="I326">
        <v>6</v>
      </c>
      <c r="J3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26" t="str">
        <f>IF(final_data787[[#This Row],[DAY_CODE]]=0,"weekend",IF(final_data787[[#This Row],[DAY_CODE]]=1,"weekend","weekday"))</f>
        <v>weekday</v>
      </c>
      <c r="L326">
        <v>1</v>
      </c>
      <c r="M326" t="str">
        <f>IF(final_data787[[#This Row],[WEATHER_CODE]]=1,"clear",IF(final_data787[[#This Row],[WEATHER_CODE]]=2,"cloudy",IF(final_data787[[#This Row],[WEATHER_CODE]]=3,"light rain",IF(final_data787[[#This Row],[WEATHER_CODE]]=4,"heavy rain",0))))</f>
        <v>clear</v>
      </c>
      <c r="N326">
        <v>0.18</v>
      </c>
      <c r="O326">
        <v>0.2424</v>
      </c>
      <c r="P326">
        <v>0.55000000000000004</v>
      </c>
      <c r="Q326">
        <v>0</v>
      </c>
      <c r="R326">
        <v>3</v>
      </c>
      <c r="S326">
        <v>25</v>
      </c>
      <c r="T326">
        <v>28</v>
      </c>
    </row>
    <row r="327" spans="1:20" x14ac:dyDescent="0.35">
      <c r="A327">
        <v>326</v>
      </c>
      <c r="B327" s="1">
        <v>40558</v>
      </c>
      <c r="C327">
        <v>1</v>
      </c>
      <c r="D327">
        <v>0</v>
      </c>
      <c r="E327">
        <v>1</v>
      </c>
      <c r="F327" t="str">
        <f>IF(final_data787[[#This Row],[MONTH_CODE]]=1,"JANUARY",IF(final_data787[[#This Row],[MONTH_CODE]]=2,"FEBRUARY"))</f>
        <v>JANUARY</v>
      </c>
      <c r="G327">
        <v>1</v>
      </c>
      <c r="H327">
        <v>0</v>
      </c>
      <c r="I327">
        <v>6</v>
      </c>
      <c r="J3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27" t="str">
        <f>IF(final_data787[[#This Row],[DAY_CODE]]=0,"weekend",IF(final_data787[[#This Row],[DAY_CODE]]=1,"weekend","weekday"))</f>
        <v>weekday</v>
      </c>
      <c r="L327">
        <v>2</v>
      </c>
      <c r="M327" t="str">
        <f>IF(final_data787[[#This Row],[WEATHER_CODE]]=1,"clear",IF(final_data787[[#This Row],[WEATHER_CODE]]=2,"cloudy",IF(final_data787[[#This Row],[WEATHER_CODE]]=3,"light rain",IF(final_data787[[#This Row],[WEATHER_CODE]]=4,"heavy rain",0))))</f>
        <v>cloudy</v>
      </c>
      <c r="N327">
        <v>0.16</v>
      </c>
      <c r="O327">
        <v>0.19700000000000001</v>
      </c>
      <c r="P327">
        <v>0.59</v>
      </c>
      <c r="Q327">
        <v>8.9599999999999999E-2</v>
      </c>
      <c r="R327">
        <v>2</v>
      </c>
      <c r="S327">
        <v>18</v>
      </c>
      <c r="T327">
        <v>20</v>
      </c>
    </row>
    <row r="328" spans="1:20" x14ac:dyDescent="0.35">
      <c r="A328">
        <v>327</v>
      </c>
      <c r="B328" s="1">
        <v>40558</v>
      </c>
      <c r="C328">
        <v>1</v>
      </c>
      <c r="D328">
        <v>0</v>
      </c>
      <c r="E328">
        <v>1</v>
      </c>
      <c r="F328" t="str">
        <f>IF(final_data787[[#This Row],[MONTH_CODE]]=1,"JANUARY",IF(final_data787[[#This Row],[MONTH_CODE]]=2,"FEBRUARY"))</f>
        <v>JANUARY</v>
      </c>
      <c r="G328">
        <v>2</v>
      </c>
      <c r="H328">
        <v>0</v>
      </c>
      <c r="I328">
        <v>6</v>
      </c>
      <c r="J3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28" t="str">
        <f>IF(final_data787[[#This Row],[DAY_CODE]]=0,"weekend",IF(final_data787[[#This Row],[DAY_CODE]]=1,"weekend","weekday"))</f>
        <v>weekday</v>
      </c>
      <c r="L328">
        <v>2</v>
      </c>
      <c r="M328" t="str">
        <f>IF(final_data787[[#This Row],[WEATHER_CODE]]=1,"clear",IF(final_data787[[#This Row],[WEATHER_CODE]]=2,"cloudy",IF(final_data787[[#This Row],[WEATHER_CODE]]=3,"light rain",IF(final_data787[[#This Row],[WEATHER_CODE]]=4,"heavy rain",0))))</f>
        <v>cloudy</v>
      </c>
      <c r="N328">
        <v>0.16</v>
      </c>
      <c r="O328">
        <v>0.19700000000000001</v>
      </c>
      <c r="P328">
        <v>0.59</v>
      </c>
      <c r="Q328">
        <v>8.9599999999999999E-2</v>
      </c>
      <c r="R328">
        <v>0</v>
      </c>
      <c r="S328">
        <v>12</v>
      </c>
      <c r="T328">
        <v>12</v>
      </c>
    </row>
    <row r="329" spans="1:20" x14ac:dyDescent="0.35">
      <c r="A329">
        <v>328</v>
      </c>
      <c r="B329" s="1">
        <v>40558</v>
      </c>
      <c r="C329">
        <v>1</v>
      </c>
      <c r="D329">
        <v>0</v>
      </c>
      <c r="E329">
        <v>1</v>
      </c>
      <c r="F329" t="str">
        <f>IF(final_data787[[#This Row],[MONTH_CODE]]=1,"JANUARY",IF(final_data787[[#This Row],[MONTH_CODE]]=2,"FEBRUARY"))</f>
        <v>JANUARY</v>
      </c>
      <c r="G329">
        <v>3</v>
      </c>
      <c r="H329">
        <v>0</v>
      </c>
      <c r="I329">
        <v>6</v>
      </c>
      <c r="J3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29" t="str">
        <f>IF(final_data787[[#This Row],[DAY_CODE]]=0,"weekend",IF(final_data787[[#This Row],[DAY_CODE]]=1,"weekend","weekday"))</f>
        <v>weekday</v>
      </c>
      <c r="L329">
        <v>2</v>
      </c>
      <c r="M329" t="str">
        <f>IF(final_data787[[#This Row],[WEATHER_CODE]]=1,"clear",IF(final_data787[[#This Row],[WEATHER_CODE]]=2,"cloudy",IF(final_data787[[#This Row],[WEATHER_CODE]]=3,"light rain",IF(final_data787[[#This Row],[WEATHER_CODE]]=4,"heavy rain",0))))</f>
        <v>cloudy</v>
      </c>
      <c r="N329">
        <v>0.16</v>
      </c>
      <c r="O329">
        <v>0.2273</v>
      </c>
      <c r="P329">
        <v>0.59</v>
      </c>
      <c r="Q329">
        <v>0</v>
      </c>
      <c r="R329">
        <v>1</v>
      </c>
      <c r="S329">
        <v>7</v>
      </c>
      <c r="T329">
        <v>8</v>
      </c>
    </row>
    <row r="330" spans="1:20" x14ac:dyDescent="0.35">
      <c r="A330">
        <v>329</v>
      </c>
      <c r="B330" s="1">
        <v>40558</v>
      </c>
      <c r="C330">
        <v>1</v>
      </c>
      <c r="D330">
        <v>0</v>
      </c>
      <c r="E330">
        <v>1</v>
      </c>
      <c r="F330" t="str">
        <f>IF(final_data787[[#This Row],[MONTH_CODE]]=1,"JANUARY",IF(final_data787[[#This Row],[MONTH_CODE]]=2,"FEBRUARY"))</f>
        <v>JANUARY</v>
      </c>
      <c r="G330">
        <v>4</v>
      </c>
      <c r="H330">
        <v>0</v>
      </c>
      <c r="I330">
        <v>6</v>
      </c>
      <c r="J3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0" t="str">
        <f>IF(final_data787[[#This Row],[DAY_CODE]]=0,"weekend",IF(final_data787[[#This Row],[DAY_CODE]]=1,"weekend","weekday"))</f>
        <v>weekday</v>
      </c>
      <c r="L330">
        <v>2</v>
      </c>
      <c r="M330" t="str">
        <f>IF(final_data787[[#This Row],[WEATHER_CODE]]=1,"clear",IF(final_data787[[#This Row],[WEATHER_CODE]]=2,"cloudy",IF(final_data787[[#This Row],[WEATHER_CODE]]=3,"light rain",IF(final_data787[[#This Row],[WEATHER_CODE]]=4,"heavy rain",0))))</f>
        <v>cloudy</v>
      </c>
      <c r="N330">
        <v>0.16</v>
      </c>
      <c r="O330">
        <v>0.2273</v>
      </c>
      <c r="P330">
        <v>0.59</v>
      </c>
      <c r="Q330">
        <v>0</v>
      </c>
      <c r="R330">
        <v>0</v>
      </c>
      <c r="S330">
        <v>5</v>
      </c>
      <c r="T330">
        <v>5</v>
      </c>
    </row>
    <row r="331" spans="1:20" x14ac:dyDescent="0.35">
      <c r="A331">
        <v>330</v>
      </c>
      <c r="B331" s="1">
        <v>40558</v>
      </c>
      <c r="C331">
        <v>1</v>
      </c>
      <c r="D331">
        <v>0</v>
      </c>
      <c r="E331">
        <v>1</v>
      </c>
      <c r="F331" t="str">
        <f>IF(final_data787[[#This Row],[MONTH_CODE]]=1,"JANUARY",IF(final_data787[[#This Row],[MONTH_CODE]]=2,"FEBRUARY"))</f>
        <v>JANUARY</v>
      </c>
      <c r="G331">
        <v>5</v>
      </c>
      <c r="H331">
        <v>0</v>
      </c>
      <c r="I331">
        <v>6</v>
      </c>
      <c r="J3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1" t="str">
        <f>IF(final_data787[[#This Row],[DAY_CODE]]=0,"weekend",IF(final_data787[[#This Row],[DAY_CODE]]=1,"weekend","weekday"))</f>
        <v>weekday</v>
      </c>
      <c r="L331">
        <v>1</v>
      </c>
      <c r="M331" t="str">
        <f>IF(final_data787[[#This Row],[WEATHER_CODE]]=1,"clear",IF(final_data787[[#This Row],[WEATHER_CODE]]=2,"cloudy",IF(final_data787[[#This Row],[WEATHER_CODE]]=3,"light rain",IF(final_data787[[#This Row],[WEATHER_CODE]]=4,"heavy rain",0))))</f>
        <v>clear</v>
      </c>
      <c r="N331">
        <v>0.16</v>
      </c>
      <c r="O331">
        <v>0.2273</v>
      </c>
      <c r="P331">
        <v>0.59</v>
      </c>
      <c r="Q331">
        <v>0</v>
      </c>
      <c r="R331">
        <v>0</v>
      </c>
      <c r="S331">
        <v>1</v>
      </c>
      <c r="T331">
        <v>1</v>
      </c>
    </row>
    <row r="332" spans="1:20" x14ac:dyDescent="0.35">
      <c r="A332">
        <v>331</v>
      </c>
      <c r="B332" s="1">
        <v>40558</v>
      </c>
      <c r="C332">
        <v>1</v>
      </c>
      <c r="D332">
        <v>0</v>
      </c>
      <c r="E332">
        <v>1</v>
      </c>
      <c r="F332" t="str">
        <f>IF(final_data787[[#This Row],[MONTH_CODE]]=1,"JANUARY",IF(final_data787[[#This Row],[MONTH_CODE]]=2,"FEBRUARY"))</f>
        <v>JANUARY</v>
      </c>
      <c r="G332">
        <v>6</v>
      </c>
      <c r="H332">
        <v>0</v>
      </c>
      <c r="I332">
        <v>6</v>
      </c>
      <c r="J3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2" t="str">
        <f>IF(final_data787[[#This Row],[DAY_CODE]]=0,"weekend",IF(final_data787[[#This Row],[DAY_CODE]]=1,"weekend","weekday"))</f>
        <v>weekday</v>
      </c>
      <c r="L332">
        <v>1</v>
      </c>
      <c r="M332" t="str">
        <f>IF(final_data787[[#This Row],[WEATHER_CODE]]=1,"clear",IF(final_data787[[#This Row],[WEATHER_CODE]]=2,"cloudy",IF(final_data787[[#This Row],[WEATHER_CODE]]=3,"light rain",IF(final_data787[[#This Row],[WEATHER_CODE]]=4,"heavy rain",0))))</f>
        <v>clear</v>
      </c>
      <c r="N332">
        <v>0.14000000000000001</v>
      </c>
      <c r="O332">
        <v>0.16669999999999999</v>
      </c>
      <c r="P332">
        <v>0.63</v>
      </c>
      <c r="Q332">
        <v>0.1045</v>
      </c>
      <c r="R332">
        <v>1</v>
      </c>
      <c r="S332">
        <v>2</v>
      </c>
      <c r="T332">
        <v>3</v>
      </c>
    </row>
    <row r="333" spans="1:20" x14ac:dyDescent="0.35">
      <c r="A333">
        <v>332</v>
      </c>
      <c r="B333" s="1">
        <v>40558</v>
      </c>
      <c r="C333">
        <v>1</v>
      </c>
      <c r="D333">
        <v>0</v>
      </c>
      <c r="E333">
        <v>1</v>
      </c>
      <c r="F333" t="str">
        <f>IF(final_data787[[#This Row],[MONTH_CODE]]=1,"JANUARY",IF(final_data787[[#This Row],[MONTH_CODE]]=2,"FEBRUARY"))</f>
        <v>JANUARY</v>
      </c>
      <c r="G333">
        <v>7</v>
      </c>
      <c r="H333">
        <v>0</v>
      </c>
      <c r="I333">
        <v>6</v>
      </c>
      <c r="J3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3" t="str">
        <f>IF(final_data787[[#This Row],[DAY_CODE]]=0,"weekend",IF(final_data787[[#This Row],[DAY_CODE]]=1,"weekend","weekday"))</f>
        <v>weekday</v>
      </c>
      <c r="L333">
        <v>1</v>
      </c>
      <c r="M333" t="str">
        <f>IF(final_data787[[#This Row],[WEATHER_CODE]]=1,"clear",IF(final_data787[[#This Row],[WEATHER_CODE]]=2,"cloudy",IF(final_data787[[#This Row],[WEATHER_CODE]]=3,"light rain",IF(final_data787[[#This Row],[WEATHER_CODE]]=4,"heavy rain",0))))</f>
        <v>clear</v>
      </c>
      <c r="N333">
        <v>0.14000000000000001</v>
      </c>
      <c r="O333">
        <v>0.21210000000000001</v>
      </c>
      <c r="P333">
        <v>0.63</v>
      </c>
      <c r="Q333">
        <v>0</v>
      </c>
      <c r="R333">
        <v>1</v>
      </c>
      <c r="S333">
        <v>9</v>
      </c>
      <c r="T333">
        <v>10</v>
      </c>
    </row>
    <row r="334" spans="1:20" x14ac:dyDescent="0.35">
      <c r="A334">
        <v>333</v>
      </c>
      <c r="B334" s="1">
        <v>40558</v>
      </c>
      <c r="C334">
        <v>1</v>
      </c>
      <c r="D334">
        <v>0</v>
      </c>
      <c r="E334">
        <v>1</v>
      </c>
      <c r="F334" t="str">
        <f>IF(final_data787[[#This Row],[MONTH_CODE]]=1,"JANUARY",IF(final_data787[[#This Row],[MONTH_CODE]]=2,"FEBRUARY"))</f>
        <v>JANUARY</v>
      </c>
      <c r="G334">
        <v>8</v>
      </c>
      <c r="H334">
        <v>0</v>
      </c>
      <c r="I334">
        <v>6</v>
      </c>
      <c r="J3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4" t="str">
        <f>IF(final_data787[[#This Row],[DAY_CODE]]=0,"weekend",IF(final_data787[[#This Row],[DAY_CODE]]=1,"weekend","weekday"))</f>
        <v>weekday</v>
      </c>
      <c r="L334">
        <v>1</v>
      </c>
      <c r="M334" t="str">
        <f>IF(final_data787[[#This Row],[WEATHER_CODE]]=1,"clear",IF(final_data787[[#This Row],[WEATHER_CODE]]=2,"cloudy",IF(final_data787[[#This Row],[WEATHER_CODE]]=3,"light rain",IF(final_data787[[#This Row],[WEATHER_CODE]]=4,"heavy rain",0))))</f>
        <v>clear</v>
      </c>
      <c r="N334">
        <v>0.14000000000000001</v>
      </c>
      <c r="O334">
        <v>0.1515</v>
      </c>
      <c r="P334">
        <v>0.63</v>
      </c>
      <c r="Q334">
        <v>0.1343</v>
      </c>
      <c r="R334">
        <v>1</v>
      </c>
      <c r="S334">
        <v>22</v>
      </c>
      <c r="T334">
        <v>23</v>
      </c>
    </row>
    <row r="335" spans="1:20" x14ac:dyDescent="0.35">
      <c r="A335">
        <v>334</v>
      </c>
      <c r="B335" s="1">
        <v>40558</v>
      </c>
      <c r="C335">
        <v>1</v>
      </c>
      <c r="D335">
        <v>0</v>
      </c>
      <c r="E335">
        <v>1</v>
      </c>
      <c r="F335" t="str">
        <f>IF(final_data787[[#This Row],[MONTH_CODE]]=1,"JANUARY",IF(final_data787[[#This Row],[MONTH_CODE]]=2,"FEBRUARY"))</f>
        <v>JANUARY</v>
      </c>
      <c r="G335">
        <v>9</v>
      </c>
      <c r="H335">
        <v>0</v>
      </c>
      <c r="I335">
        <v>6</v>
      </c>
      <c r="J3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5" t="str">
        <f>IF(final_data787[[#This Row],[DAY_CODE]]=0,"weekend",IF(final_data787[[#This Row],[DAY_CODE]]=1,"weekend","weekday"))</f>
        <v>weekday</v>
      </c>
      <c r="L335">
        <v>1</v>
      </c>
      <c r="M335" t="str">
        <f>IF(final_data787[[#This Row],[WEATHER_CODE]]=1,"clear",IF(final_data787[[#This Row],[WEATHER_CODE]]=2,"cloudy",IF(final_data787[[#This Row],[WEATHER_CODE]]=3,"light rain",IF(final_data787[[#This Row],[WEATHER_CODE]]=4,"heavy rain",0))))</f>
        <v>clear</v>
      </c>
      <c r="N335">
        <v>0.16</v>
      </c>
      <c r="O335">
        <v>0.18179999999999999</v>
      </c>
      <c r="P335">
        <v>0.64</v>
      </c>
      <c r="Q335">
        <v>0.1343</v>
      </c>
      <c r="R335">
        <v>2</v>
      </c>
      <c r="S335">
        <v>31</v>
      </c>
      <c r="T335">
        <v>33</v>
      </c>
    </row>
    <row r="336" spans="1:20" x14ac:dyDescent="0.35">
      <c r="A336">
        <v>335</v>
      </c>
      <c r="B336" s="1">
        <v>40558</v>
      </c>
      <c r="C336">
        <v>1</v>
      </c>
      <c r="D336">
        <v>0</v>
      </c>
      <c r="E336">
        <v>1</v>
      </c>
      <c r="F336" t="str">
        <f>IF(final_data787[[#This Row],[MONTH_CODE]]=1,"JANUARY",IF(final_data787[[#This Row],[MONTH_CODE]]=2,"FEBRUARY"))</f>
        <v>JANUARY</v>
      </c>
      <c r="G336">
        <v>10</v>
      </c>
      <c r="H336">
        <v>0</v>
      </c>
      <c r="I336">
        <v>6</v>
      </c>
      <c r="J3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6" t="str">
        <f>IF(final_data787[[#This Row],[DAY_CODE]]=0,"weekend",IF(final_data787[[#This Row],[DAY_CODE]]=1,"weekend","weekday"))</f>
        <v>weekday</v>
      </c>
      <c r="L336">
        <v>1</v>
      </c>
      <c r="M336" t="str">
        <f>IF(final_data787[[#This Row],[WEATHER_CODE]]=1,"clear",IF(final_data787[[#This Row],[WEATHER_CODE]]=2,"cloudy",IF(final_data787[[#This Row],[WEATHER_CODE]]=3,"light rain",IF(final_data787[[#This Row],[WEATHER_CODE]]=4,"heavy rain",0))))</f>
        <v>clear</v>
      </c>
      <c r="N336">
        <v>0.18</v>
      </c>
      <c r="O336">
        <v>0.19700000000000001</v>
      </c>
      <c r="P336">
        <v>0.59</v>
      </c>
      <c r="Q336">
        <v>0.16420000000000001</v>
      </c>
      <c r="R336">
        <v>2</v>
      </c>
      <c r="S336">
        <v>57</v>
      </c>
      <c r="T336">
        <v>59</v>
      </c>
    </row>
    <row r="337" spans="1:20" x14ac:dyDescent="0.35">
      <c r="A337">
        <v>336</v>
      </c>
      <c r="B337" s="1">
        <v>40558</v>
      </c>
      <c r="C337">
        <v>1</v>
      </c>
      <c r="D337">
        <v>0</v>
      </c>
      <c r="E337">
        <v>1</v>
      </c>
      <c r="F337" t="str">
        <f>IF(final_data787[[#This Row],[MONTH_CODE]]=1,"JANUARY",IF(final_data787[[#This Row],[MONTH_CODE]]=2,"FEBRUARY"))</f>
        <v>JANUARY</v>
      </c>
      <c r="G337">
        <v>11</v>
      </c>
      <c r="H337">
        <v>0</v>
      </c>
      <c r="I337">
        <v>6</v>
      </c>
      <c r="J3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7" t="str">
        <f>IF(final_data787[[#This Row],[DAY_CODE]]=0,"weekend",IF(final_data787[[#This Row],[DAY_CODE]]=1,"weekend","weekday"))</f>
        <v>weekday</v>
      </c>
      <c r="L337">
        <v>1</v>
      </c>
      <c r="M337" t="str">
        <f>IF(final_data787[[#This Row],[WEATHER_CODE]]=1,"clear",IF(final_data787[[#This Row],[WEATHER_CODE]]=2,"cloudy",IF(final_data787[[#This Row],[WEATHER_CODE]]=3,"light rain",IF(final_data787[[#This Row],[WEATHER_CODE]]=4,"heavy rain",0))))</f>
        <v>clear</v>
      </c>
      <c r="N337">
        <v>0.2</v>
      </c>
      <c r="O337">
        <v>0.19700000000000001</v>
      </c>
      <c r="P337">
        <v>0.55000000000000004</v>
      </c>
      <c r="Q337">
        <v>0.22389999999999999</v>
      </c>
      <c r="R337">
        <v>18</v>
      </c>
      <c r="S337">
        <v>54</v>
      </c>
      <c r="T337">
        <v>72</v>
      </c>
    </row>
    <row r="338" spans="1:20" x14ac:dyDescent="0.35">
      <c r="A338">
        <v>337</v>
      </c>
      <c r="B338" s="1">
        <v>40558</v>
      </c>
      <c r="C338">
        <v>1</v>
      </c>
      <c r="D338">
        <v>0</v>
      </c>
      <c r="E338">
        <v>1</v>
      </c>
      <c r="F338" t="str">
        <f>IF(final_data787[[#This Row],[MONTH_CODE]]=1,"JANUARY",IF(final_data787[[#This Row],[MONTH_CODE]]=2,"FEBRUARY"))</f>
        <v>JANUARY</v>
      </c>
      <c r="G338">
        <v>12</v>
      </c>
      <c r="H338">
        <v>0</v>
      </c>
      <c r="I338">
        <v>6</v>
      </c>
      <c r="J3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8" t="str">
        <f>IF(final_data787[[#This Row],[DAY_CODE]]=0,"weekend",IF(final_data787[[#This Row],[DAY_CODE]]=1,"weekend","weekday"))</f>
        <v>weekday</v>
      </c>
      <c r="L338">
        <v>1</v>
      </c>
      <c r="M338" t="str">
        <f>IF(final_data787[[#This Row],[WEATHER_CODE]]=1,"clear",IF(final_data787[[#This Row],[WEATHER_CODE]]=2,"cloudy",IF(final_data787[[#This Row],[WEATHER_CODE]]=3,"light rain",IF(final_data787[[#This Row],[WEATHER_CODE]]=4,"heavy rain",0))))</f>
        <v>clear</v>
      </c>
      <c r="N338">
        <v>0.24</v>
      </c>
      <c r="O338">
        <v>0.2273</v>
      </c>
      <c r="P338">
        <v>0.48</v>
      </c>
      <c r="Q338">
        <v>0.22389999999999999</v>
      </c>
      <c r="R338">
        <v>15</v>
      </c>
      <c r="S338">
        <v>74</v>
      </c>
      <c r="T338">
        <v>89</v>
      </c>
    </row>
    <row r="339" spans="1:20" x14ac:dyDescent="0.35">
      <c r="A339">
        <v>338</v>
      </c>
      <c r="B339" s="1">
        <v>40558</v>
      </c>
      <c r="C339">
        <v>1</v>
      </c>
      <c r="D339">
        <v>0</v>
      </c>
      <c r="E339">
        <v>1</v>
      </c>
      <c r="F339" t="str">
        <f>IF(final_data787[[#This Row],[MONTH_CODE]]=1,"JANUARY",IF(final_data787[[#This Row],[MONTH_CODE]]=2,"FEBRUARY"))</f>
        <v>JANUARY</v>
      </c>
      <c r="G339">
        <v>13</v>
      </c>
      <c r="H339">
        <v>0</v>
      </c>
      <c r="I339">
        <v>6</v>
      </c>
      <c r="J3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39" t="str">
        <f>IF(final_data787[[#This Row],[DAY_CODE]]=0,"weekend",IF(final_data787[[#This Row],[DAY_CODE]]=1,"weekend","weekday"))</f>
        <v>weekday</v>
      </c>
      <c r="L339">
        <v>1</v>
      </c>
      <c r="M339" t="str">
        <f>IF(final_data787[[#This Row],[WEATHER_CODE]]=1,"clear",IF(final_data787[[#This Row],[WEATHER_CODE]]=2,"cloudy",IF(final_data787[[#This Row],[WEATHER_CODE]]=3,"light rain",IF(final_data787[[#This Row],[WEATHER_CODE]]=4,"heavy rain",0))))</f>
        <v>clear</v>
      </c>
      <c r="N339">
        <v>0.28000000000000003</v>
      </c>
      <c r="O339">
        <v>0.2576</v>
      </c>
      <c r="P339">
        <v>0.38</v>
      </c>
      <c r="Q339">
        <v>0.29849999999999999</v>
      </c>
      <c r="R339">
        <v>21</v>
      </c>
      <c r="S339">
        <v>80</v>
      </c>
      <c r="T339">
        <v>101</v>
      </c>
    </row>
    <row r="340" spans="1:20" x14ac:dyDescent="0.35">
      <c r="A340">
        <v>339</v>
      </c>
      <c r="B340" s="1">
        <v>40558</v>
      </c>
      <c r="C340">
        <v>1</v>
      </c>
      <c r="D340">
        <v>0</v>
      </c>
      <c r="E340">
        <v>1</v>
      </c>
      <c r="F340" t="str">
        <f>IF(final_data787[[#This Row],[MONTH_CODE]]=1,"JANUARY",IF(final_data787[[#This Row],[MONTH_CODE]]=2,"FEBRUARY"))</f>
        <v>JANUARY</v>
      </c>
      <c r="G340">
        <v>14</v>
      </c>
      <c r="H340">
        <v>0</v>
      </c>
      <c r="I340">
        <v>6</v>
      </c>
      <c r="J3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0" t="str">
        <f>IF(final_data787[[#This Row],[DAY_CODE]]=0,"weekend",IF(final_data787[[#This Row],[DAY_CODE]]=1,"weekend","weekday"))</f>
        <v>weekday</v>
      </c>
      <c r="L340">
        <v>1</v>
      </c>
      <c r="M340" t="str">
        <f>IF(final_data787[[#This Row],[WEATHER_CODE]]=1,"clear",IF(final_data787[[#This Row],[WEATHER_CODE]]=2,"cloudy",IF(final_data787[[#This Row],[WEATHER_CODE]]=3,"light rain",IF(final_data787[[#This Row],[WEATHER_CODE]]=4,"heavy rain",0))))</f>
        <v>clear</v>
      </c>
      <c r="N340">
        <v>0.3</v>
      </c>
      <c r="O340">
        <v>0.28789999999999999</v>
      </c>
      <c r="P340">
        <v>0.39</v>
      </c>
      <c r="Q340">
        <v>0.28360000000000002</v>
      </c>
      <c r="R340">
        <v>26</v>
      </c>
      <c r="S340">
        <v>92</v>
      </c>
      <c r="T340">
        <v>118</v>
      </c>
    </row>
    <row r="341" spans="1:20" x14ac:dyDescent="0.35">
      <c r="A341">
        <v>340</v>
      </c>
      <c r="B341" s="1">
        <v>40558</v>
      </c>
      <c r="C341">
        <v>1</v>
      </c>
      <c r="D341">
        <v>0</v>
      </c>
      <c r="E341">
        <v>1</v>
      </c>
      <c r="F341" t="str">
        <f>IF(final_data787[[#This Row],[MONTH_CODE]]=1,"JANUARY",IF(final_data787[[#This Row],[MONTH_CODE]]=2,"FEBRUARY"))</f>
        <v>JANUARY</v>
      </c>
      <c r="G341">
        <v>15</v>
      </c>
      <c r="H341">
        <v>0</v>
      </c>
      <c r="I341">
        <v>6</v>
      </c>
      <c r="J3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1" t="str">
        <f>IF(final_data787[[#This Row],[DAY_CODE]]=0,"weekend",IF(final_data787[[#This Row],[DAY_CODE]]=1,"weekend","weekday"))</f>
        <v>weekday</v>
      </c>
      <c r="L341">
        <v>2</v>
      </c>
      <c r="M341" t="str">
        <f>IF(final_data787[[#This Row],[WEATHER_CODE]]=1,"clear",IF(final_data787[[#This Row],[WEATHER_CODE]]=2,"cloudy",IF(final_data787[[#This Row],[WEATHER_CODE]]=3,"light rain",IF(final_data787[[#This Row],[WEATHER_CODE]]=4,"heavy rain",0))))</f>
        <v>cloudy</v>
      </c>
      <c r="N341">
        <v>0.32</v>
      </c>
      <c r="O341">
        <v>0.31819999999999998</v>
      </c>
      <c r="P341">
        <v>0.36</v>
      </c>
      <c r="Q341">
        <v>0.19400000000000001</v>
      </c>
      <c r="R341">
        <v>21</v>
      </c>
      <c r="S341">
        <v>108</v>
      </c>
      <c r="T341">
        <v>129</v>
      </c>
    </row>
    <row r="342" spans="1:20" x14ac:dyDescent="0.35">
      <c r="A342">
        <v>341</v>
      </c>
      <c r="B342" s="1">
        <v>40558</v>
      </c>
      <c r="C342">
        <v>1</v>
      </c>
      <c r="D342">
        <v>0</v>
      </c>
      <c r="E342">
        <v>1</v>
      </c>
      <c r="F342" t="str">
        <f>IF(final_data787[[#This Row],[MONTH_CODE]]=1,"JANUARY",IF(final_data787[[#This Row],[MONTH_CODE]]=2,"FEBRUARY"))</f>
        <v>JANUARY</v>
      </c>
      <c r="G342">
        <v>16</v>
      </c>
      <c r="H342">
        <v>0</v>
      </c>
      <c r="I342">
        <v>6</v>
      </c>
      <c r="J3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2" t="str">
        <f>IF(final_data787[[#This Row],[DAY_CODE]]=0,"weekend",IF(final_data787[[#This Row],[DAY_CODE]]=1,"weekend","weekday"))</f>
        <v>weekday</v>
      </c>
      <c r="L342">
        <v>2</v>
      </c>
      <c r="M342" t="str">
        <f>IF(final_data787[[#This Row],[WEATHER_CODE]]=1,"clear",IF(final_data787[[#This Row],[WEATHER_CODE]]=2,"cloudy",IF(final_data787[[#This Row],[WEATHER_CODE]]=3,"light rain",IF(final_data787[[#This Row],[WEATHER_CODE]]=4,"heavy rain",0))))</f>
        <v>cloudy</v>
      </c>
      <c r="N342">
        <v>0.34</v>
      </c>
      <c r="O342">
        <v>0.33329999999999999</v>
      </c>
      <c r="P342">
        <v>0.34</v>
      </c>
      <c r="Q342">
        <v>0.19400000000000001</v>
      </c>
      <c r="R342">
        <v>33</v>
      </c>
      <c r="S342">
        <v>95</v>
      </c>
      <c r="T342">
        <v>128</v>
      </c>
    </row>
    <row r="343" spans="1:20" x14ac:dyDescent="0.35">
      <c r="A343">
        <v>342</v>
      </c>
      <c r="B343" s="1">
        <v>40558</v>
      </c>
      <c r="C343">
        <v>1</v>
      </c>
      <c r="D343">
        <v>0</v>
      </c>
      <c r="E343">
        <v>1</v>
      </c>
      <c r="F343" t="str">
        <f>IF(final_data787[[#This Row],[MONTH_CODE]]=1,"JANUARY",IF(final_data787[[#This Row],[MONTH_CODE]]=2,"FEBRUARY"))</f>
        <v>JANUARY</v>
      </c>
      <c r="G343">
        <v>17</v>
      </c>
      <c r="H343">
        <v>0</v>
      </c>
      <c r="I343">
        <v>6</v>
      </c>
      <c r="J3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3" t="str">
        <f>IF(final_data787[[#This Row],[DAY_CODE]]=0,"weekend",IF(final_data787[[#This Row],[DAY_CODE]]=1,"weekend","weekday"))</f>
        <v>weekday</v>
      </c>
      <c r="L343">
        <v>2</v>
      </c>
      <c r="M343" t="str">
        <f>IF(final_data787[[#This Row],[WEATHER_CODE]]=1,"clear",IF(final_data787[[#This Row],[WEATHER_CODE]]=2,"cloudy",IF(final_data787[[#This Row],[WEATHER_CODE]]=3,"light rain",IF(final_data787[[#This Row],[WEATHER_CODE]]=4,"heavy rain",0))))</f>
        <v>cloudy</v>
      </c>
      <c r="N343">
        <v>0.32</v>
      </c>
      <c r="O343">
        <v>0.30299999999999999</v>
      </c>
      <c r="P343">
        <v>0.36</v>
      </c>
      <c r="Q343">
        <v>0.28360000000000002</v>
      </c>
      <c r="R343">
        <v>29</v>
      </c>
      <c r="S343">
        <v>54</v>
      </c>
      <c r="T343">
        <v>83</v>
      </c>
    </row>
    <row r="344" spans="1:20" x14ac:dyDescent="0.35">
      <c r="A344">
        <v>343</v>
      </c>
      <c r="B344" s="1">
        <v>40558</v>
      </c>
      <c r="C344">
        <v>1</v>
      </c>
      <c r="D344">
        <v>0</v>
      </c>
      <c r="E344">
        <v>1</v>
      </c>
      <c r="F344" t="str">
        <f>IF(final_data787[[#This Row],[MONTH_CODE]]=1,"JANUARY",IF(final_data787[[#This Row],[MONTH_CODE]]=2,"FEBRUARY"))</f>
        <v>JANUARY</v>
      </c>
      <c r="G344">
        <v>18</v>
      </c>
      <c r="H344">
        <v>0</v>
      </c>
      <c r="I344">
        <v>6</v>
      </c>
      <c r="J3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4" t="str">
        <f>IF(final_data787[[#This Row],[DAY_CODE]]=0,"weekend",IF(final_data787[[#This Row],[DAY_CODE]]=1,"weekend","weekday"))</f>
        <v>weekday</v>
      </c>
      <c r="L344">
        <v>2</v>
      </c>
      <c r="M344" t="str">
        <f>IF(final_data787[[#This Row],[WEATHER_CODE]]=1,"clear",IF(final_data787[[#This Row],[WEATHER_CODE]]=2,"cloudy",IF(final_data787[[#This Row],[WEATHER_CODE]]=3,"light rain",IF(final_data787[[#This Row],[WEATHER_CODE]]=4,"heavy rain",0))))</f>
        <v>cloudy</v>
      </c>
      <c r="N344">
        <v>0.3</v>
      </c>
      <c r="O344">
        <v>0.28789999999999999</v>
      </c>
      <c r="P344">
        <v>0.45</v>
      </c>
      <c r="Q344">
        <v>0.25369999999999998</v>
      </c>
      <c r="R344">
        <v>15</v>
      </c>
      <c r="S344">
        <v>69</v>
      </c>
      <c r="T344">
        <v>84</v>
      </c>
    </row>
    <row r="345" spans="1:20" x14ac:dyDescent="0.35">
      <c r="A345">
        <v>344</v>
      </c>
      <c r="B345" s="1">
        <v>40558</v>
      </c>
      <c r="C345">
        <v>1</v>
      </c>
      <c r="D345">
        <v>0</v>
      </c>
      <c r="E345">
        <v>1</v>
      </c>
      <c r="F345" t="str">
        <f>IF(final_data787[[#This Row],[MONTH_CODE]]=1,"JANUARY",IF(final_data787[[#This Row],[MONTH_CODE]]=2,"FEBRUARY"))</f>
        <v>JANUARY</v>
      </c>
      <c r="G345">
        <v>19</v>
      </c>
      <c r="H345">
        <v>0</v>
      </c>
      <c r="I345">
        <v>6</v>
      </c>
      <c r="J3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5" t="str">
        <f>IF(final_data787[[#This Row],[DAY_CODE]]=0,"weekend",IF(final_data787[[#This Row],[DAY_CODE]]=1,"weekend","weekday"))</f>
        <v>weekday</v>
      </c>
      <c r="L345">
        <v>2</v>
      </c>
      <c r="M345" t="str">
        <f>IF(final_data787[[#This Row],[WEATHER_CODE]]=1,"clear",IF(final_data787[[#This Row],[WEATHER_CODE]]=2,"cloudy",IF(final_data787[[#This Row],[WEATHER_CODE]]=3,"light rain",IF(final_data787[[#This Row],[WEATHER_CODE]]=4,"heavy rain",0))))</f>
        <v>cloudy</v>
      </c>
      <c r="N345">
        <v>0.32</v>
      </c>
      <c r="O345">
        <v>0.30299999999999999</v>
      </c>
      <c r="P345">
        <v>0.39</v>
      </c>
      <c r="Q345">
        <v>0.25369999999999998</v>
      </c>
      <c r="R345">
        <v>14</v>
      </c>
      <c r="S345">
        <v>60</v>
      </c>
      <c r="T345">
        <v>74</v>
      </c>
    </row>
    <row r="346" spans="1:20" x14ac:dyDescent="0.35">
      <c r="A346">
        <v>345</v>
      </c>
      <c r="B346" s="1">
        <v>40558</v>
      </c>
      <c r="C346">
        <v>1</v>
      </c>
      <c r="D346">
        <v>0</v>
      </c>
      <c r="E346">
        <v>1</v>
      </c>
      <c r="F346" t="str">
        <f>IF(final_data787[[#This Row],[MONTH_CODE]]=1,"JANUARY",IF(final_data787[[#This Row],[MONTH_CODE]]=2,"FEBRUARY"))</f>
        <v>JANUARY</v>
      </c>
      <c r="G346">
        <v>20</v>
      </c>
      <c r="H346">
        <v>0</v>
      </c>
      <c r="I346">
        <v>6</v>
      </c>
      <c r="J3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6" t="str">
        <f>IF(final_data787[[#This Row],[DAY_CODE]]=0,"weekend",IF(final_data787[[#This Row],[DAY_CODE]]=1,"weekend","weekday"))</f>
        <v>weekday</v>
      </c>
      <c r="L346">
        <v>2</v>
      </c>
      <c r="M346" t="str">
        <f>IF(final_data787[[#This Row],[WEATHER_CODE]]=1,"clear",IF(final_data787[[#This Row],[WEATHER_CODE]]=2,"cloudy",IF(final_data787[[#This Row],[WEATHER_CODE]]=3,"light rain",IF(final_data787[[#This Row],[WEATHER_CODE]]=4,"heavy rain",0))))</f>
        <v>cloudy</v>
      </c>
      <c r="N346">
        <v>0.32</v>
      </c>
      <c r="O346">
        <v>0.30299999999999999</v>
      </c>
      <c r="P346">
        <v>0.39</v>
      </c>
      <c r="Q346">
        <v>0.25369999999999998</v>
      </c>
      <c r="R346">
        <v>6</v>
      </c>
      <c r="S346">
        <v>35</v>
      </c>
      <c r="T346">
        <v>41</v>
      </c>
    </row>
    <row r="347" spans="1:20" x14ac:dyDescent="0.35">
      <c r="A347">
        <v>346</v>
      </c>
      <c r="B347" s="1">
        <v>40558</v>
      </c>
      <c r="C347">
        <v>1</v>
      </c>
      <c r="D347">
        <v>0</v>
      </c>
      <c r="E347">
        <v>1</v>
      </c>
      <c r="F347" t="str">
        <f>IF(final_data787[[#This Row],[MONTH_CODE]]=1,"JANUARY",IF(final_data787[[#This Row],[MONTH_CODE]]=2,"FEBRUARY"))</f>
        <v>JANUARY</v>
      </c>
      <c r="G347">
        <v>21</v>
      </c>
      <c r="H347">
        <v>0</v>
      </c>
      <c r="I347">
        <v>6</v>
      </c>
      <c r="J3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7" t="str">
        <f>IF(final_data787[[#This Row],[DAY_CODE]]=0,"weekend",IF(final_data787[[#This Row],[DAY_CODE]]=1,"weekend","weekday"))</f>
        <v>weekday</v>
      </c>
      <c r="L347">
        <v>2</v>
      </c>
      <c r="M347" t="str">
        <f>IF(final_data787[[#This Row],[WEATHER_CODE]]=1,"clear",IF(final_data787[[#This Row],[WEATHER_CODE]]=2,"cloudy",IF(final_data787[[#This Row],[WEATHER_CODE]]=3,"light rain",IF(final_data787[[#This Row],[WEATHER_CODE]]=4,"heavy rain",0))))</f>
        <v>cloudy</v>
      </c>
      <c r="N347">
        <v>0.32</v>
      </c>
      <c r="O347">
        <v>0.30299999999999999</v>
      </c>
      <c r="P347">
        <v>0.39</v>
      </c>
      <c r="Q347">
        <v>0.22389999999999999</v>
      </c>
      <c r="R347">
        <v>6</v>
      </c>
      <c r="S347">
        <v>51</v>
      </c>
      <c r="T347">
        <v>57</v>
      </c>
    </row>
    <row r="348" spans="1:20" x14ac:dyDescent="0.35">
      <c r="A348">
        <v>347</v>
      </c>
      <c r="B348" s="1">
        <v>40558</v>
      </c>
      <c r="C348">
        <v>1</v>
      </c>
      <c r="D348">
        <v>0</v>
      </c>
      <c r="E348">
        <v>1</v>
      </c>
      <c r="F348" t="str">
        <f>IF(final_data787[[#This Row],[MONTH_CODE]]=1,"JANUARY",IF(final_data787[[#This Row],[MONTH_CODE]]=2,"FEBRUARY"))</f>
        <v>JANUARY</v>
      </c>
      <c r="G348">
        <v>22</v>
      </c>
      <c r="H348">
        <v>0</v>
      </c>
      <c r="I348">
        <v>6</v>
      </c>
      <c r="J3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8" t="str">
        <f>IF(final_data787[[#This Row],[DAY_CODE]]=0,"weekend",IF(final_data787[[#This Row],[DAY_CODE]]=1,"weekend","weekday"))</f>
        <v>weekday</v>
      </c>
      <c r="L348">
        <v>2</v>
      </c>
      <c r="M348" t="str">
        <f>IF(final_data787[[#This Row],[WEATHER_CODE]]=1,"clear",IF(final_data787[[#This Row],[WEATHER_CODE]]=2,"cloudy",IF(final_data787[[#This Row],[WEATHER_CODE]]=3,"light rain",IF(final_data787[[#This Row],[WEATHER_CODE]]=4,"heavy rain",0))))</f>
        <v>cloudy</v>
      </c>
      <c r="N348">
        <v>0.3</v>
      </c>
      <c r="O348">
        <v>0.31819999999999998</v>
      </c>
      <c r="P348">
        <v>0.42</v>
      </c>
      <c r="Q348">
        <v>0.1045</v>
      </c>
      <c r="R348">
        <v>0</v>
      </c>
      <c r="S348">
        <v>26</v>
      </c>
      <c r="T348">
        <v>26</v>
      </c>
    </row>
    <row r="349" spans="1:20" x14ac:dyDescent="0.35">
      <c r="A349">
        <v>348</v>
      </c>
      <c r="B349" s="1">
        <v>40558</v>
      </c>
      <c r="C349">
        <v>1</v>
      </c>
      <c r="D349">
        <v>0</v>
      </c>
      <c r="E349">
        <v>1</v>
      </c>
      <c r="F349" t="str">
        <f>IF(final_data787[[#This Row],[MONTH_CODE]]=1,"JANUARY",IF(final_data787[[#This Row],[MONTH_CODE]]=2,"FEBRUARY"))</f>
        <v>JANUARY</v>
      </c>
      <c r="G349">
        <v>23</v>
      </c>
      <c r="H349">
        <v>0</v>
      </c>
      <c r="I349">
        <v>6</v>
      </c>
      <c r="J3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349" t="str">
        <f>IF(final_data787[[#This Row],[DAY_CODE]]=0,"weekend",IF(final_data787[[#This Row],[DAY_CODE]]=1,"weekend","weekday"))</f>
        <v>weekday</v>
      </c>
      <c r="L349">
        <v>1</v>
      </c>
      <c r="M349" t="str">
        <f>IF(final_data787[[#This Row],[WEATHER_CODE]]=1,"clear",IF(final_data787[[#This Row],[WEATHER_CODE]]=2,"cloudy",IF(final_data787[[#This Row],[WEATHER_CODE]]=3,"light rain",IF(final_data787[[#This Row],[WEATHER_CODE]]=4,"heavy rain",0))))</f>
        <v>clear</v>
      </c>
      <c r="N349">
        <v>0.3</v>
      </c>
      <c r="O349">
        <v>0.28789999999999999</v>
      </c>
      <c r="P349">
        <v>0.45</v>
      </c>
      <c r="Q349">
        <v>0.28360000000000002</v>
      </c>
      <c r="R349">
        <v>5</v>
      </c>
      <c r="S349">
        <v>39</v>
      </c>
      <c r="T349">
        <v>44</v>
      </c>
    </row>
    <row r="350" spans="1:20" x14ac:dyDescent="0.35">
      <c r="A350">
        <v>349</v>
      </c>
      <c r="B350" s="1">
        <v>40559</v>
      </c>
      <c r="C350">
        <v>1</v>
      </c>
      <c r="D350">
        <v>0</v>
      </c>
      <c r="E350">
        <v>1</v>
      </c>
      <c r="F350" t="str">
        <f>IF(final_data787[[#This Row],[MONTH_CODE]]=1,"JANUARY",IF(final_data787[[#This Row],[MONTH_CODE]]=2,"FEBRUARY"))</f>
        <v>JANUARY</v>
      </c>
      <c r="G350">
        <v>0</v>
      </c>
      <c r="H350">
        <v>0</v>
      </c>
      <c r="I350">
        <v>0</v>
      </c>
      <c r="J3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0" t="str">
        <f>IF(final_data787[[#This Row],[DAY_CODE]]=0,"weekend",IF(final_data787[[#This Row],[DAY_CODE]]=1,"weekend","weekday"))</f>
        <v>weekend</v>
      </c>
      <c r="L350">
        <v>1</v>
      </c>
      <c r="M350" t="str">
        <f>IF(final_data787[[#This Row],[WEATHER_CODE]]=1,"clear",IF(final_data787[[#This Row],[WEATHER_CODE]]=2,"cloudy",IF(final_data787[[#This Row],[WEATHER_CODE]]=3,"light rain",IF(final_data787[[#This Row],[WEATHER_CODE]]=4,"heavy rain",0))))</f>
        <v>clear</v>
      </c>
      <c r="N350">
        <v>0.26</v>
      </c>
      <c r="O350">
        <v>0.30299999999999999</v>
      </c>
      <c r="P350">
        <v>0.56000000000000005</v>
      </c>
      <c r="Q350">
        <v>0</v>
      </c>
      <c r="R350">
        <v>6</v>
      </c>
      <c r="S350">
        <v>33</v>
      </c>
      <c r="T350">
        <v>39</v>
      </c>
    </row>
    <row r="351" spans="1:20" x14ac:dyDescent="0.35">
      <c r="A351">
        <v>350</v>
      </c>
      <c r="B351" s="1">
        <v>40559</v>
      </c>
      <c r="C351">
        <v>1</v>
      </c>
      <c r="D351">
        <v>0</v>
      </c>
      <c r="E351">
        <v>1</v>
      </c>
      <c r="F351" t="str">
        <f>IF(final_data787[[#This Row],[MONTH_CODE]]=1,"JANUARY",IF(final_data787[[#This Row],[MONTH_CODE]]=2,"FEBRUARY"))</f>
        <v>JANUARY</v>
      </c>
      <c r="G351">
        <v>1</v>
      </c>
      <c r="H351">
        <v>0</v>
      </c>
      <c r="I351">
        <v>0</v>
      </c>
      <c r="J3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1" t="str">
        <f>IF(final_data787[[#This Row],[DAY_CODE]]=0,"weekend",IF(final_data787[[#This Row],[DAY_CODE]]=1,"weekend","weekday"))</f>
        <v>weekend</v>
      </c>
      <c r="L351">
        <v>1</v>
      </c>
      <c r="M351" t="str">
        <f>IF(final_data787[[#This Row],[WEATHER_CODE]]=1,"clear",IF(final_data787[[#This Row],[WEATHER_CODE]]=2,"cloudy",IF(final_data787[[#This Row],[WEATHER_CODE]]=3,"light rain",IF(final_data787[[#This Row],[WEATHER_CODE]]=4,"heavy rain",0))))</f>
        <v>clear</v>
      </c>
      <c r="N351">
        <v>0.26</v>
      </c>
      <c r="O351">
        <v>0.2727</v>
      </c>
      <c r="P351">
        <v>0.56000000000000005</v>
      </c>
      <c r="Q351">
        <v>0.1343</v>
      </c>
      <c r="R351">
        <v>4</v>
      </c>
      <c r="S351">
        <v>19</v>
      </c>
      <c r="T351">
        <v>23</v>
      </c>
    </row>
    <row r="352" spans="1:20" x14ac:dyDescent="0.35">
      <c r="A352">
        <v>351</v>
      </c>
      <c r="B352" s="1">
        <v>40559</v>
      </c>
      <c r="C352">
        <v>1</v>
      </c>
      <c r="D352">
        <v>0</v>
      </c>
      <c r="E352">
        <v>1</v>
      </c>
      <c r="F352" t="str">
        <f>IF(final_data787[[#This Row],[MONTH_CODE]]=1,"JANUARY",IF(final_data787[[#This Row],[MONTH_CODE]]=2,"FEBRUARY"))</f>
        <v>JANUARY</v>
      </c>
      <c r="G352">
        <v>2</v>
      </c>
      <c r="H352">
        <v>0</v>
      </c>
      <c r="I352">
        <v>0</v>
      </c>
      <c r="J3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2" t="str">
        <f>IF(final_data787[[#This Row],[DAY_CODE]]=0,"weekend",IF(final_data787[[#This Row],[DAY_CODE]]=1,"weekend","weekday"))</f>
        <v>weekend</v>
      </c>
      <c r="L352">
        <v>1</v>
      </c>
      <c r="M352" t="str">
        <f>IF(final_data787[[#This Row],[WEATHER_CODE]]=1,"clear",IF(final_data787[[#This Row],[WEATHER_CODE]]=2,"cloudy",IF(final_data787[[#This Row],[WEATHER_CODE]]=3,"light rain",IF(final_data787[[#This Row],[WEATHER_CODE]]=4,"heavy rain",0))))</f>
        <v>clear</v>
      </c>
      <c r="N352">
        <v>0.26</v>
      </c>
      <c r="O352">
        <v>0.28789999999999999</v>
      </c>
      <c r="P352">
        <v>0.56000000000000005</v>
      </c>
      <c r="Q352">
        <v>8.9599999999999999E-2</v>
      </c>
      <c r="R352">
        <v>3</v>
      </c>
      <c r="S352">
        <v>13</v>
      </c>
      <c r="T352">
        <v>16</v>
      </c>
    </row>
    <row r="353" spans="1:20" x14ac:dyDescent="0.35">
      <c r="A353">
        <v>352</v>
      </c>
      <c r="B353" s="1">
        <v>40559</v>
      </c>
      <c r="C353">
        <v>1</v>
      </c>
      <c r="D353">
        <v>0</v>
      </c>
      <c r="E353">
        <v>1</v>
      </c>
      <c r="F353" t="str">
        <f>IF(final_data787[[#This Row],[MONTH_CODE]]=1,"JANUARY",IF(final_data787[[#This Row],[MONTH_CODE]]=2,"FEBRUARY"))</f>
        <v>JANUARY</v>
      </c>
      <c r="G353">
        <v>3</v>
      </c>
      <c r="H353">
        <v>0</v>
      </c>
      <c r="I353">
        <v>0</v>
      </c>
      <c r="J3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3" t="str">
        <f>IF(final_data787[[#This Row],[DAY_CODE]]=0,"weekend",IF(final_data787[[#This Row],[DAY_CODE]]=1,"weekend","weekday"))</f>
        <v>weekend</v>
      </c>
      <c r="L353">
        <v>1</v>
      </c>
      <c r="M353" t="str">
        <f>IF(final_data787[[#This Row],[WEATHER_CODE]]=1,"clear",IF(final_data787[[#This Row],[WEATHER_CODE]]=2,"cloudy",IF(final_data787[[#This Row],[WEATHER_CODE]]=3,"light rain",IF(final_data787[[#This Row],[WEATHER_CODE]]=4,"heavy rain",0))))</f>
        <v>clear</v>
      </c>
      <c r="N353">
        <v>0.22</v>
      </c>
      <c r="O353">
        <v>0.2727</v>
      </c>
      <c r="P353">
        <v>0.69</v>
      </c>
      <c r="Q353">
        <v>0</v>
      </c>
      <c r="R353">
        <v>9</v>
      </c>
      <c r="S353">
        <v>6</v>
      </c>
      <c r="T353">
        <v>15</v>
      </c>
    </row>
    <row r="354" spans="1:20" x14ac:dyDescent="0.35">
      <c r="A354">
        <v>353</v>
      </c>
      <c r="B354" s="1">
        <v>40559</v>
      </c>
      <c r="C354">
        <v>1</v>
      </c>
      <c r="D354">
        <v>0</v>
      </c>
      <c r="E354">
        <v>1</v>
      </c>
      <c r="F354" t="str">
        <f>IF(final_data787[[#This Row],[MONTH_CODE]]=1,"JANUARY",IF(final_data787[[#This Row],[MONTH_CODE]]=2,"FEBRUARY"))</f>
        <v>JANUARY</v>
      </c>
      <c r="G354">
        <v>4</v>
      </c>
      <c r="H354">
        <v>0</v>
      </c>
      <c r="I354">
        <v>0</v>
      </c>
      <c r="J3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4" t="str">
        <f>IF(final_data787[[#This Row],[DAY_CODE]]=0,"weekend",IF(final_data787[[#This Row],[DAY_CODE]]=1,"weekend","weekday"))</f>
        <v>weekend</v>
      </c>
      <c r="L354">
        <v>1</v>
      </c>
      <c r="M354" t="str">
        <f>IF(final_data787[[#This Row],[WEATHER_CODE]]=1,"clear",IF(final_data787[[#This Row],[WEATHER_CODE]]=2,"cloudy",IF(final_data787[[#This Row],[WEATHER_CODE]]=3,"light rain",IF(final_data787[[#This Row],[WEATHER_CODE]]=4,"heavy rain",0))))</f>
        <v>clear</v>
      </c>
      <c r="N354">
        <v>0.26</v>
      </c>
      <c r="O354">
        <v>0.2576</v>
      </c>
      <c r="P354">
        <v>0.56000000000000005</v>
      </c>
      <c r="Q354">
        <v>0.16420000000000001</v>
      </c>
      <c r="R354">
        <v>0</v>
      </c>
      <c r="S354">
        <v>1</v>
      </c>
      <c r="T354">
        <v>1</v>
      </c>
    </row>
    <row r="355" spans="1:20" x14ac:dyDescent="0.35">
      <c r="A355">
        <v>354</v>
      </c>
      <c r="B355" s="1">
        <v>40559</v>
      </c>
      <c r="C355">
        <v>1</v>
      </c>
      <c r="D355">
        <v>0</v>
      </c>
      <c r="E355">
        <v>1</v>
      </c>
      <c r="F355" t="str">
        <f>IF(final_data787[[#This Row],[MONTH_CODE]]=1,"JANUARY",IF(final_data787[[#This Row],[MONTH_CODE]]=2,"FEBRUARY"))</f>
        <v>JANUARY</v>
      </c>
      <c r="G355">
        <v>5</v>
      </c>
      <c r="H355">
        <v>0</v>
      </c>
      <c r="I355">
        <v>0</v>
      </c>
      <c r="J3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5" t="str">
        <f>IF(final_data787[[#This Row],[DAY_CODE]]=0,"weekend",IF(final_data787[[#This Row],[DAY_CODE]]=1,"weekend","weekday"))</f>
        <v>weekend</v>
      </c>
      <c r="L355">
        <v>2</v>
      </c>
      <c r="M355" t="str">
        <f>IF(final_data787[[#This Row],[WEATHER_CODE]]=1,"clear",IF(final_data787[[#This Row],[WEATHER_CODE]]=2,"cloudy",IF(final_data787[[#This Row],[WEATHER_CODE]]=3,"light rain",IF(final_data787[[#This Row],[WEATHER_CODE]]=4,"heavy rain",0))))</f>
        <v>cloudy</v>
      </c>
      <c r="N355">
        <v>0.26</v>
      </c>
      <c r="O355">
        <v>0.2576</v>
      </c>
      <c r="P355">
        <v>0.56000000000000005</v>
      </c>
      <c r="Q355">
        <v>0.16420000000000001</v>
      </c>
      <c r="R355">
        <v>1</v>
      </c>
      <c r="S355">
        <v>1</v>
      </c>
      <c r="T355">
        <v>2</v>
      </c>
    </row>
    <row r="356" spans="1:20" x14ac:dyDescent="0.35">
      <c r="A356">
        <v>355</v>
      </c>
      <c r="B356" s="1">
        <v>40559</v>
      </c>
      <c r="C356">
        <v>1</v>
      </c>
      <c r="D356">
        <v>0</v>
      </c>
      <c r="E356">
        <v>1</v>
      </c>
      <c r="F356" t="str">
        <f>IF(final_data787[[#This Row],[MONTH_CODE]]=1,"JANUARY",IF(final_data787[[#This Row],[MONTH_CODE]]=2,"FEBRUARY"))</f>
        <v>JANUARY</v>
      </c>
      <c r="G356">
        <v>6</v>
      </c>
      <c r="H356">
        <v>0</v>
      </c>
      <c r="I356">
        <v>0</v>
      </c>
      <c r="J3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6" t="str">
        <f>IF(final_data787[[#This Row],[DAY_CODE]]=0,"weekend",IF(final_data787[[#This Row],[DAY_CODE]]=1,"weekend","weekday"))</f>
        <v>weekend</v>
      </c>
      <c r="L356">
        <v>2</v>
      </c>
      <c r="M356" t="str">
        <f>IF(final_data787[[#This Row],[WEATHER_CODE]]=1,"clear",IF(final_data787[[#This Row],[WEATHER_CODE]]=2,"cloudy",IF(final_data787[[#This Row],[WEATHER_CODE]]=3,"light rain",IF(final_data787[[#This Row],[WEATHER_CODE]]=4,"heavy rain",0))))</f>
        <v>cloudy</v>
      </c>
      <c r="N356">
        <v>0.26</v>
      </c>
      <c r="O356">
        <v>0.2576</v>
      </c>
      <c r="P356">
        <v>0.56000000000000005</v>
      </c>
      <c r="Q356">
        <v>0.16420000000000001</v>
      </c>
      <c r="R356">
        <v>0</v>
      </c>
      <c r="S356">
        <v>1</v>
      </c>
      <c r="T356">
        <v>1</v>
      </c>
    </row>
    <row r="357" spans="1:20" x14ac:dyDescent="0.35">
      <c r="A357">
        <v>356</v>
      </c>
      <c r="B357" s="1">
        <v>40559</v>
      </c>
      <c r="C357">
        <v>1</v>
      </c>
      <c r="D357">
        <v>0</v>
      </c>
      <c r="E357">
        <v>1</v>
      </c>
      <c r="F357" t="str">
        <f>IF(final_data787[[#This Row],[MONTH_CODE]]=1,"JANUARY",IF(final_data787[[#This Row],[MONTH_CODE]]=2,"FEBRUARY"))</f>
        <v>JANUARY</v>
      </c>
      <c r="G357">
        <v>7</v>
      </c>
      <c r="H357">
        <v>0</v>
      </c>
      <c r="I357">
        <v>0</v>
      </c>
      <c r="J3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7" t="str">
        <f>IF(final_data787[[#This Row],[DAY_CODE]]=0,"weekend",IF(final_data787[[#This Row],[DAY_CODE]]=1,"weekend","weekday"))</f>
        <v>weekend</v>
      </c>
      <c r="L357">
        <v>2</v>
      </c>
      <c r="M357" t="str">
        <f>IF(final_data787[[#This Row],[WEATHER_CODE]]=1,"clear",IF(final_data787[[#This Row],[WEATHER_CODE]]=2,"cloudy",IF(final_data787[[#This Row],[WEATHER_CODE]]=3,"light rain",IF(final_data787[[#This Row],[WEATHER_CODE]]=4,"heavy rain",0))))</f>
        <v>cloudy</v>
      </c>
      <c r="N357">
        <v>0.24</v>
      </c>
      <c r="O357">
        <v>0.21210000000000001</v>
      </c>
      <c r="P357">
        <v>0.56000000000000005</v>
      </c>
      <c r="Q357">
        <v>0.29849999999999999</v>
      </c>
      <c r="R357">
        <v>0</v>
      </c>
      <c r="S357">
        <v>3</v>
      </c>
      <c r="T357">
        <v>3</v>
      </c>
    </row>
    <row r="358" spans="1:20" x14ac:dyDescent="0.35">
      <c r="A358">
        <v>357</v>
      </c>
      <c r="B358" s="1">
        <v>40559</v>
      </c>
      <c r="C358">
        <v>1</v>
      </c>
      <c r="D358">
        <v>0</v>
      </c>
      <c r="E358">
        <v>1</v>
      </c>
      <c r="F358" t="str">
        <f>IF(final_data787[[#This Row],[MONTH_CODE]]=1,"JANUARY",IF(final_data787[[#This Row],[MONTH_CODE]]=2,"FEBRUARY"))</f>
        <v>JANUARY</v>
      </c>
      <c r="G358">
        <v>8</v>
      </c>
      <c r="H358">
        <v>0</v>
      </c>
      <c r="I358">
        <v>0</v>
      </c>
      <c r="J3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8" t="str">
        <f>IF(final_data787[[#This Row],[DAY_CODE]]=0,"weekend",IF(final_data787[[#This Row],[DAY_CODE]]=1,"weekend","weekday"))</f>
        <v>weekend</v>
      </c>
      <c r="L358">
        <v>1</v>
      </c>
      <c r="M358" t="str">
        <f>IF(final_data787[[#This Row],[WEATHER_CODE]]=1,"clear",IF(final_data787[[#This Row],[WEATHER_CODE]]=2,"cloudy",IF(final_data787[[#This Row],[WEATHER_CODE]]=3,"light rain",IF(final_data787[[#This Row],[WEATHER_CODE]]=4,"heavy rain",0))))</f>
        <v>clear</v>
      </c>
      <c r="N358">
        <v>0.22</v>
      </c>
      <c r="O358">
        <v>0.21210000000000001</v>
      </c>
      <c r="P358">
        <v>0.55000000000000004</v>
      </c>
      <c r="Q358">
        <v>0.28360000000000002</v>
      </c>
      <c r="R358">
        <v>0</v>
      </c>
      <c r="S358">
        <v>18</v>
      </c>
      <c r="T358">
        <v>18</v>
      </c>
    </row>
    <row r="359" spans="1:20" x14ac:dyDescent="0.35">
      <c r="A359">
        <v>358</v>
      </c>
      <c r="B359" s="1">
        <v>40559</v>
      </c>
      <c r="C359">
        <v>1</v>
      </c>
      <c r="D359">
        <v>0</v>
      </c>
      <c r="E359">
        <v>1</v>
      </c>
      <c r="F359" t="str">
        <f>IF(final_data787[[#This Row],[MONTH_CODE]]=1,"JANUARY",IF(final_data787[[#This Row],[MONTH_CODE]]=2,"FEBRUARY"))</f>
        <v>JANUARY</v>
      </c>
      <c r="G359">
        <v>9</v>
      </c>
      <c r="H359">
        <v>0</v>
      </c>
      <c r="I359">
        <v>0</v>
      </c>
      <c r="J3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59" t="str">
        <f>IF(final_data787[[#This Row],[DAY_CODE]]=0,"weekend",IF(final_data787[[#This Row],[DAY_CODE]]=1,"weekend","weekday"))</f>
        <v>weekend</v>
      </c>
      <c r="L359">
        <v>1</v>
      </c>
      <c r="M359" t="str">
        <f>IF(final_data787[[#This Row],[WEATHER_CODE]]=1,"clear",IF(final_data787[[#This Row],[WEATHER_CODE]]=2,"cloudy",IF(final_data787[[#This Row],[WEATHER_CODE]]=3,"light rain",IF(final_data787[[#This Row],[WEATHER_CODE]]=4,"heavy rain",0))))</f>
        <v>clear</v>
      </c>
      <c r="N359">
        <v>0.22</v>
      </c>
      <c r="O359">
        <v>0.21210000000000001</v>
      </c>
      <c r="P359">
        <v>0.51</v>
      </c>
      <c r="Q359">
        <v>0.25369999999999998</v>
      </c>
      <c r="R359">
        <v>3</v>
      </c>
      <c r="S359">
        <v>29</v>
      </c>
      <c r="T359">
        <v>32</v>
      </c>
    </row>
    <row r="360" spans="1:20" x14ac:dyDescent="0.35">
      <c r="A360">
        <v>359</v>
      </c>
      <c r="B360" s="1">
        <v>40559</v>
      </c>
      <c r="C360">
        <v>1</v>
      </c>
      <c r="D360">
        <v>0</v>
      </c>
      <c r="E360">
        <v>1</v>
      </c>
      <c r="F360" t="str">
        <f>IF(final_data787[[#This Row],[MONTH_CODE]]=1,"JANUARY",IF(final_data787[[#This Row],[MONTH_CODE]]=2,"FEBRUARY"))</f>
        <v>JANUARY</v>
      </c>
      <c r="G360">
        <v>10</v>
      </c>
      <c r="H360">
        <v>0</v>
      </c>
      <c r="I360">
        <v>0</v>
      </c>
      <c r="J3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0" t="str">
        <f>IF(final_data787[[#This Row],[DAY_CODE]]=0,"weekend",IF(final_data787[[#This Row],[DAY_CODE]]=1,"weekend","weekday"))</f>
        <v>weekend</v>
      </c>
      <c r="L360">
        <v>1</v>
      </c>
      <c r="M360" t="str">
        <f>IF(final_data787[[#This Row],[WEATHER_CODE]]=1,"clear",IF(final_data787[[#This Row],[WEATHER_CODE]]=2,"cloudy",IF(final_data787[[#This Row],[WEATHER_CODE]]=3,"light rain",IF(final_data787[[#This Row],[WEATHER_CODE]]=4,"heavy rain",0))))</f>
        <v>clear</v>
      </c>
      <c r="N360">
        <v>0.22</v>
      </c>
      <c r="O360">
        <v>0.21210000000000001</v>
      </c>
      <c r="P360">
        <v>0.51</v>
      </c>
      <c r="Q360">
        <v>0.28360000000000002</v>
      </c>
      <c r="R360">
        <v>8</v>
      </c>
      <c r="S360">
        <v>71</v>
      </c>
      <c r="T360">
        <v>79</v>
      </c>
    </row>
    <row r="361" spans="1:20" x14ac:dyDescent="0.35">
      <c r="A361">
        <v>360</v>
      </c>
      <c r="B361" s="1">
        <v>40559</v>
      </c>
      <c r="C361">
        <v>1</v>
      </c>
      <c r="D361">
        <v>0</v>
      </c>
      <c r="E361">
        <v>1</v>
      </c>
      <c r="F361" t="str">
        <f>IF(final_data787[[#This Row],[MONTH_CODE]]=1,"JANUARY",IF(final_data787[[#This Row],[MONTH_CODE]]=2,"FEBRUARY"))</f>
        <v>JANUARY</v>
      </c>
      <c r="G361">
        <v>11</v>
      </c>
      <c r="H361">
        <v>0</v>
      </c>
      <c r="I361">
        <v>0</v>
      </c>
      <c r="J3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1" t="str">
        <f>IF(final_data787[[#This Row],[DAY_CODE]]=0,"weekend",IF(final_data787[[#This Row],[DAY_CODE]]=1,"weekend","weekday"))</f>
        <v>weekend</v>
      </c>
      <c r="L361">
        <v>1</v>
      </c>
      <c r="M361" t="str">
        <f>IF(final_data787[[#This Row],[WEATHER_CODE]]=1,"clear",IF(final_data787[[#This Row],[WEATHER_CODE]]=2,"cloudy",IF(final_data787[[#This Row],[WEATHER_CODE]]=3,"light rain",IF(final_data787[[#This Row],[WEATHER_CODE]]=4,"heavy rain",0))))</f>
        <v>clear</v>
      </c>
      <c r="N361">
        <v>0.24</v>
      </c>
      <c r="O361">
        <v>0.2273</v>
      </c>
      <c r="P361">
        <v>0.44</v>
      </c>
      <c r="Q361">
        <v>0.25369999999999998</v>
      </c>
      <c r="R361">
        <v>23</v>
      </c>
      <c r="S361">
        <v>70</v>
      </c>
      <c r="T361">
        <v>93</v>
      </c>
    </row>
    <row r="362" spans="1:20" x14ac:dyDescent="0.35">
      <c r="A362">
        <v>361</v>
      </c>
      <c r="B362" s="1">
        <v>40559</v>
      </c>
      <c r="C362">
        <v>1</v>
      </c>
      <c r="D362">
        <v>0</v>
      </c>
      <c r="E362">
        <v>1</v>
      </c>
      <c r="F362" t="str">
        <f>IF(final_data787[[#This Row],[MONTH_CODE]]=1,"JANUARY",IF(final_data787[[#This Row],[MONTH_CODE]]=2,"FEBRUARY"))</f>
        <v>JANUARY</v>
      </c>
      <c r="G362">
        <v>12</v>
      </c>
      <c r="H362">
        <v>0</v>
      </c>
      <c r="I362">
        <v>0</v>
      </c>
      <c r="J3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2" t="str">
        <f>IF(final_data787[[#This Row],[DAY_CODE]]=0,"weekend",IF(final_data787[[#This Row],[DAY_CODE]]=1,"weekend","weekday"))</f>
        <v>weekend</v>
      </c>
      <c r="L362">
        <v>1</v>
      </c>
      <c r="M362" t="str">
        <f>IF(final_data787[[#This Row],[WEATHER_CODE]]=1,"clear",IF(final_data787[[#This Row],[WEATHER_CODE]]=2,"cloudy",IF(final_data787[[#This Row],[WEATHER_CODE]]=3,"light rain",IF(final_data787[[#This Row],[WEATHER_CODE]]=4,"heavy rain",0))))</f>
        <v>clear</v>
      </c>
      <c r="N362">
        <v>0.24</v>
      </c>
      <c r="O362">
        <v>0.21210000000000001</v>
      </c>
      <c r="P362">
        <v>0.41</v>
      </c>
      <c r="Q362">
        <v>0.28360000000000002</v>
      </c>
      <c r="R362">
        <v>29</v>
      </c>
      <c r="S362">
        <v>75</v>
      </c>
      <c r="T362">
        <v>104</v>
      </c>
    </row>
    <row r="363" spans="1:20" x14ac:dyDescent="0.35">
      <c r="A363">
        <v>362</v>
      </c>
      <c r="B363" s="1">
        <v>40559</v>
      </c>
      <c r="C363">
        <v>1</v>
      </c>
      <c r="D363">
        <v>0</v>
      </c>
      <c r="E363">
        <v>1</v>
      </c>
      <c r="F363" t="str">
        <f>IF(final_data787[[#This Row],[MONTH_CODE]]=1,"JANUARY",IF(final_data787[[#This Row],[MONTH_CODE]]=2,"FEBRUARY"))</f>
        <v>JANUARY</v>
      </c>
      <c r="G363">
        <v>13</v>
      </c>
      <c r="H363">
        <v>0</v>
      </c>
      <c r="I363">
        <v>0</v>
      </c>
      <c r="J3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3" t="str">
        <f>IF(final_data787[[#This Row],[DAY_CODE]]=0,"weekend",IF(final_data787[[#This Row],[DAY_CODE]]=1,"weekend","weekday"))</f>
        <v>weekend</v>
      </c>
      <c r="L363">
        <v>1</v>
      </c>
      <c r="M363" t="str">
        <f>IF(final_data787[[#This Row],[WEATHER_CODE]]=1,"clear",IF(final_data787[[#This Row],[WEATHER_CODE]]=2,"cloudy",IF(final_data787[[#This Row],[WEATHER_CODE]]=3,"light rain",IF(final_data787[[#This Row],[WEATHER_CODE]]=4,"heavy rain",0))))</f>
        <v>clear</v>
      </c>
      <c r="N363">
        <v>0.26</v>
      </c>
      <c r="O363">
        <v>0.2273</v>
      </c>
      <c r="P363">
        <v>0.35</v>
      </c>
      <c r="Q363">
        <v>0.29849999999999999</v>
      </c>
      <c r="R363">
        <v>23</v>
      </c>
      <c r="S363">
        <v>95</v>
      </c>
      <c r="T363">
        <v>118</v>
      </c>
    </row>
    <row r="364" spans="1:20" x14ac:dyDescent="0.35">
      <c r="A364">
        <v>363</v>
      </c>
      <c r="B364" s="1">
        <v>40559</v>
      </c>
      <c r="C364">
        <v>1</v>
      </c>
      <c r="D364">
        <v>0</v>
      </c>
      <c r="E364">
        <v>1</v>
      </c>
      <c r="F364" t="str">
        <f>IF(final_data787[[#This Row],[MONTH_CODE]]=1,"JANUARY",IF(final_data787[[#This Row],[MONTH_CODE]]=2,"FEBRUARY"))</f>
        <v>JANUARY</v>
      </c>
      <c r="G364">
        <v>14</v>
      </c>
      <c r="H364">
        <v>0</v>
      </c>
      <c r="I364">
        <v>0</v>
      </c>
      <c r="J3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4" t="str">
        <f>IF(final_data787[[#This Row],[DAY_CODE]]=0,"weekend",IF(final_data787[[#This Row],[DAY_CODE]]=1,"weekend","weekday"))</f>
        <v>weekend</v>
      </c>
      <c r="L364">
        <v>1</v>
      </c>
      <c r="M364" t="str">
        <f>IF(final_data787[[#This Row],[WEATHER_CODE]]=1,"clear",IF(final_data787[[#This Row],[WEATHER_CODE]]=2,"cloudy",IF(final_data787[[#This Row],[WEATHER_CODE]]=3,"light rain",IF(final_data787[[#This Row],[WEATHER_CODE]]=4,"heavy rain",0))))</f>
        <v>clear</v>
      </c>
      <c r="N364">
        <v>0.28000000000000003</v>
      </c>
      <c r="O364">
        <v>0.2727</v>
      </c>
      <c r="P364">
        <v>0.36</v>
      </c>
      <c r="Q364">
        <v>0.25369999999999998</v>
      </c>
      <c r="R364">
        <v>22</v>
      </c>
      <c r="S364">
        <v>69</v>
      </c>
      <c r="T364">
        <v>91</v>
      </c>
    </row>
    <row r="365" spans="1:20" x14ac:dyDescent="0.35">
      <c r="A365">
        <v>364</v>
      </c>
      <c r="B365" s="1">
        <v>40559</v>
      </c>
      <c r="C365">
        <v>1</v>
      </c>
      <c r="D365">
        <v>0</v>
      </c>
      <c r="E365">
        <v>1</v>
      </c>
      <c r="F365" t="str">
        <f>IF(final_data787[[#This Row],[MONTH_CODE]]=1,"JANUARY",IF(final_data787[[#This Row],[MONTH_CODE]]=2,"FEBRUARY"))</f>
        <v>JANUARY</v>
      </c>
      <c r="G365">
        <v>15</v>
      </c>
      <c r="H365">
        <v>0</v>
      </c>
      <c r="I365">
        <v>0</v>
      </c>
      <c r="J3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5" t="str">
        <f>IF(final_data787[[#This Row],[DAY_CODE]]=0,"weekend",IF(final_data787[[#This Row],[DAY_CODE]]=1,"weekend","weekday"))</f>
        <v>weekend</v>
      </c>
      <c r="L365">
        <v>1</v>
      </c>
      <c r="M365" t="str">
        <f>IF(final_data787[[#This Row],[WEATHER_CODE]]=1,"clear",IF(final_data787[[#This Row],[WEATHER_CODE]]=2,"cloudy",IF(final_data787[[#This Row],[WEATHER_CODE]]=3,"light rain",IF(final_data787[[#This Row],[WEATHER_CODE]]=4,"heavy rain",0))))</f>
        <v>clear</v>
      </c>
      <c r="N365">
        <v>0.26</v>
      </c>
      <c r="O365">
        <v>0.2424</v>
      </c>
      <c r="P365">
        <v>0.38</v>
      </c>
      <c r="Q365">
        <v>0.25369999999999998</v>
      </c>
      <c r="R365">
        <v>35</v>
      </c>
      <c r="S365">
        <v>78</v>
      </c>
      <c r="T365">
        <v>113</v>
      </c>
    </row>
    <row r="366" spans="1:20" x14ac:dyDescent="0.35">
      <c r="A366">
        <v>365</v>
      </c>
      <c r="B366" s="1">
        <v>40559</v>
      </c>
      <c r="C366">
        <v>1</v>
      </c>
      <c r="D366">
        <v>0</v>
      </c>
      <c r="E366">
        <v>1</v>
      </c>
      <c r="F366" t="str">
        <f>IF(final_data787[[#This Row],[MONTH_CODE]]=1,"JANUARY",IF(final_data787[[#This Row],[MONTH_CODE]]=2,"FEBRUARY"))</f>
        <v>JANUARY</v>
      </c>
      <c r="G366">
        <v>16</v>
      </c>
      <c r="H366">
        <v>0</v>
      </c>
      <c r="I366">
        <v>0</v>
      </c>
      <c r="J3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6" t="str">
        <f>IF(final_data787[[#This Row],[DAY_CODE]]=0,"weekend",IF(final_data787[[#This Row],[DAY_CODE]]=1,"weekend","weekday"))</f>
        <v>weekend</v>
      </c>
      <c r="L366">
        <v>1</v>
      </c>
      <c r="M366" t="str">
        <f>IF(final_data787[[#This Row],[WEATHER_CODE]]=1,"clear",IF(final_data787[[#This Row],[WEATHER_CODE]]=2,"cloudy",IF(final_data787[[#This Row],[WEATHER_CODE]]=3,"light rain",IF(final_data787[[#This Row],[WEATHER_CODE]]=4,"heavy rain",0))))</f>
        <v>clear</v>
      </c>
      <c r="N366">
        <v>0.24</v>
      </c>
      <c r="O366">
        <v>0.2273</v>
      </c>
      <c r="P366">
        <v>0.38</v>
      </c>
      <c r="Q366">
        <v>0.22389999999999999</v>
      </c>
      <c r="R366">
        <v>22</v>
      </c>
      <c r="S366">
        <v>77</v>
      </c>
      <c r="T366">
        <v>99</v>
      </c>
    </row>
    <row r="367" spans="1:20" x14ac:dyDescent="0.35">
      <c r="A367">
        <v>366</v>
      </c>
      <c r="B367" s="1">
        <v>40559</v>
      </c>
      <c r="C367">
        <v>1</v>
      </c>
      <c r="D367">
        <v>0</v>
      </c>
      <c r="E367">
        <v>1</v>
      </c>
      <c r="F367" t="str">
        <f>IF(final_data787[[#This Row],[MONTH_CODE]]=1,"JANUARY",IF(final_data787[[#This Row],[MONTH_CODE]]=2,"FEBRUARY"))</f>
        <v>JANUARY</v>
      </c>
      <c r="G367">
        <v>17</v>
      </c>
      <c r="H367">
        <v>0</v>
      </c>
      <c r="I367">
        <v>0</v>
      </c>
      <c r="J3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7" t="str">
        <f>IF(final_data787[[#This Row],[DAY_CODE]]=0,"weekend",IF(final_data787[[#This Row],[DAY_CODE]]=1,"weekend","weekday"))</f>
        <v>weekend</v>
      </c>
      <c r="L367">
        <v>1</v>
      </c>
      <c r="M367" t="str">
        <f>IF(final_data787[[#This Row],[WEATHER_CODE]]=1,"clear",IF(final_data787[[#This Row],[WEATHER_CODE]]=2,"cloudy",IF(final_data787[[#This Row],[WEATHER_CODE]]=3,"light rain",IF(final_data787[[#This Row],[WEATHER_CODE]]=4,"heavy rain",0))))</f>
        <v>clear</v>
      </c>
      <c r="N367">
        <v>0.22</v>
      </c>
      <c r="O367">
        <v>0.21210000000000001</v>
      </c>
      <c r="P367">
        <v>0.37</v>
      </c>
      <c r="Q367">
        <v>0.25369999999999998</v>
      </c>
      <c r="R367">
        <v>23</v>
      </c>
      <c r="S367">
        <v>82</v>
      </c>
      <c r="T367">
        <v>105</v>
      </c>
    </row>
    <row r="368" spans="1:20" x14ac:dyDescent="0.35">
      <c r="A368">
        <v>367</v>
      </c>
      <c r="B368" s="1">
        <v>40559</v>
      </c>
      <c r="C368">
        <v>1</v>
      </c>
      <c r="D368">
        <v>0</v>
      </c>
      <c r="E368">
        <v>1</v>
      </c>
      <c r="F368" t="str">
        <f>IF(final_data787[[#This Row],[MONTH_CODE]]=1,"JANUARY",IF(final_data787[[#This Row],[MONTH_CODE]]=2,"FEBRUARY"))</f>
        <v>JANUARY</v>
      </c>
      <c r="G368">
        <v>18</v>
      </c>
      <c r="H368">
        <v>0</v>
      </c>
      <c r="I368">
        <v>0</v>
      </c>
      <c r="J3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8" t="str">
        <f>IF(final_data787[[#This Row],[DAY_CODE]]=0,"weekend",IF(final_data787[[#This Row],[DAY_CODE]]=1,"weekend","weekday"))</f>
        <v>weekend</v>
      </c>
      <c r="L368">
        <v>1</v>
      </c>
      <c r="M368" t="str">
        <f>IF(final_data787[[#This Row],[WEATHER_CODE]]=1,"clear",IF(final_data787[[#This Row],[WEATHER_CODE]]=2,"cloudy",IF(final_data787[[#This Row],[WEATHER_CODE]]=3,"light rain",IF(final_data787[[#This Row],[WEATHER_CODE]]=4,"heavy rain",0))))</f>
        <v>clear</v>
      </c>
      <c r="N368">
        <v>0.2</v>
      </c>
      <c r="O368">
        <v>0.21210000000000001</v>
      </c>
      <c r="P368">
        <v>0.4</v>
      </c>
      <c r="Q368">
        <v>0.16420000000000001</v>
      </c>
      <c r="R368">
        <v>11</v>
      </c>
      <c r="S368">
        <v>56</v>
      </c>
      <c r="T368">
        <v>67</v>
      </c>
    </row>
    <row r="369" spans="1:20" x14ac:dyDescent="0.35">
      <c r="A369">
        <v>368</v>
      </c>
      <c r="B369" s="1">
        <v>40559</v>
      </c>
      <c r="C369">
        <v>1</v>
      </c>
      <c r="D369">
        <v>0</v>
      </c>
      <c r="E369">
        <v>1</v>
      </c>
      <c r="F369" t="str">
        <f>IF(final_data787[[#This Row],[MONTH_CODE]]=1,"JANUARY",IF(final_data787[[#This Row],[MONTH_CODE]]=2,"FEBRUARY"))</f>
        <v>JANUARY</v>
      </c>
      <c r="G369">
        <v>19</v>
      </c>
      <c r="H369">
        <v>0</v>
      </c>
      <c r="I369">
        <v>0</v>
      </c>
      <c r="J3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69" t="str">
        <f>IF(final_data787[[#This Row],[DAY_CODE]]=0,"weekend",IF(final_data787[[#This Row],[DAY_CODE]]=1,"weekend","weekday"))</f>
        <v>weekend</v>
      </c>
      <c r="L369">
        <v>1</v>
      </c>
      <c r="M369" t="str">
        <f>IF(final_data787[[#This Row],[WEATHER_CODE]]=1,"clear",IF(final_data787[[#This Row],[WEATHER_CODE]]=2,"cloudy",IF(final_data787[[#This Row],[WEATHER_CODE]]=3,"light rain",IF(final_data787[[#This Row],[WEATHER_CODE]]=4,"heavy rain",0))))</f>
        <v>clear</v>
      </c>
      <c r="N369">
        <v>0.18</v>
      </c>
      <c r="O369">
        <v>0.19700000000000001</v>
      </c>
      <c r="P369">
        <v>0.47</v>
      </c>
      <c r="Q369">
        <v>0.1343</v>
      </c>
      <c r="R369">
        <v>14</v>
      </c>
      <c r="S369">
        <v>47</v>
      </c>
      <c r="T369">
        <v>61</v>
      </c>
    </row>
    <row r="370" spans="1:20" x14ac:dyDescent="0.35">
      <c r="A370">
        <v>369</v>
      </c>
      <c r="B370" s="1">
        <v>40559</v>
      </c>
      <c r="C370">
        <v>1</v>
      </c>
      <c r="D370">
        <v>0</v>
      </c>
      <c r="E370">
        <v>1</v>
      </c>
      <c r="F370" t="str">
        <f>IF(final_data787[[#This Row],[MONTH_CODE]]=1,"JANUARY",IF(final_data787[[#This Row],[MONTH_CODE]]=2,"FEBRUARY"))</f>
        <v>JANUARY</v>
      </c>
      <c r="G370">
        <v>20</v>
      </c>
      <c r="H370">
        <v>0</v>
      </c>
      <c r="I370">
        <v>0</v>
      </c>
      <c r="J3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70" t="str">
        <f>IF(final_data787[[#This Row],[DAY_CODE]]=0,"weekend",IF(final_data787[[#This Row],[DAY_CODE]]=1,"weekend","weekday"))</f>
        <v>weekend</v>
      </c>
      <c r="L370">
        <v>1</v>
      </c>
      <c r="M370" t="str">
        <f>IF(final_data787[[#This Row],[WEATHER_CODE]]=1,"clear",IF(final_data787[[#This Row],[WEATHER_CODE]]=2,"cloudy",IF(final_data787[[#This Row],[WEATHER_CODE]]=3,"light rain",IF(final_data787[[#This Row],[WEATHER_CODE]]=4,"heavy rain",0))))</f>
        <v>clear</v>
      </c>
      <c r="N370">
        <v>0.18</v>
      </c>
      <c r="O370">
        <v>0.19700000000000001</v>
      </c>
      <c r="P370">
        <v>0.47</v>
      </c>
      <c r="Q370">
        <v>0.16420000000000001</v>
      </c>
      <c r="R370">
        <v>7</v>
      </c>
      <c r="S370">
        <v>50</v>
      </c>
      <c r="T370">
        <v>57</v>
      </c>
    </row>
    <row r="371" spans="1:20" x14ac:dyDescent="0.35">
      <c r="A371">
        <v>370</v>
      </c>
      <c r="B371" s="1">
        <v>40559</v>
      </c>
      <c r="C371">
        <v>1</v>
      </c>
      <c r="D371">
        <v>0</v>
      </c>
      <c r="E371">
        <v>1</v>
      </c>
      <c r="F371" t="str">
        <f>IF(final_data787[[#This Row],[MONTH_CODE]]=1,"JANUARY",IF(final_data787[[#This Row],[MONTH_CODE]]=2,"FEBRUARY"))</f>
        <v>JANUARY</v>
      </c>
      <c r="G371">
        <v>21</v>
      </c>
      <c r="H371">
        <v>0</v>
      </c>
      <c r="I371">
        <v>0</v>
      </c>
      <c r="J3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71" t="str">
        <f>IF(final_data787[[#This Row],[DAY_CODE]]=0,"weekend",IF(final_data787[[#This Row],[DAY_CODE]]=1,"weekend","weekday"))</f>
        <v>weekend</v>
      </c>
      <c r="L371">
        <v>1</v>
      </c>
      <c r="M371" t="str">
        <f>IF(final_data787[[#This Row],[WEATHER_CODE]]=1,"clear",IF(final_data787[[#This Row],[WEATHER_CODE]]=2,"cloudy",IF(final_data787[[#This Row],[WEATHER_CODE]]=3,"light rain",IF(final_data787[[#This Row],[WEATHER_CODE]]=4,"heavy rain",0))))</f>
        <v>clear</v>
      </c>
      <c r="N371">
        <v>0.18</v>
      </c>
      <c r="O371">
        <v>0.19700000000000001</v>
      </c>
      <c r="P371">
        <v>0.51</v>
      </c>
      <c r="Q371">
        <v>0.16420000000000001</v>
      </c>
      <c r="R371">
        <v>6</v>
      </c>
      <c r="S371">
        <v>22</v>
      </c>
      <c r="T371">
        <v>28</v>
      </c>
    </row>
    <row r="372" spans="1:20" x14ac:dyDescent="0.35">
      <c r="A372">
        <v>371</v>
      </c>
      <c r="B372" s="1">
        <v>40559</v>
      </c>
      <c r="C372">
        <v>1</v>
      </c>
      <c r="D372">
        <v>0</v>
      </c>
      <c r="E372">
        <v>1</v>
      </c>
      <c r="F372" t="str">
        <f>IF(final_data787[[#This Row],[MONTH_CODE]]=1,"JANUARY",IF(final_data787[[#This Row],[MONTH_CODE]]=2,"FEBRUARY"))</f>
        <v>JANUARY</v>
      </c>
      <c r="G372">
        <v>22</v>
      </c>
      <c r="H372">
        <v>0</v>
      </c>
      <c r="I372">
        <v>0</v>
      </c>
      <c r="J3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72" t="str">
        <f>IF(final_data787[[#This Row],[DAY_CODE]]=0,"weekend",IF(final_data787[[#This Row],[DAY_CODE]]=1,"weekend","weekday"))</f>
        <v>weekend</v>
      </c>
      <c r="L372">
        <v>2</v>
      </c>
      <c r="M372" t="str">
        <f>IF(final_data787[[#This Row],[WEATHER_CODE]]=1,"clear",IF(final_data787[[#This Row],[WEATHER_CODE]]=2,"cloudy",IF(final_data787[[#This Row],[WEATHER_CODE]]=3,"light rain",IF(final_data787[[#This Row],[WEATHER_CODE]]=4,"heavy rain",0))))</f>
        <v>cloudy</v>
      </c>
      <c r="N372">
        <v>0.2</v>
      </c>
      <c r="O372">
        <v>0.21210000000000001</v>
      </c>
      <c r="P372">
        <v>0.49</v>
      </c>
      <c r="Q372">
        <v>0.1343</v>
      </c>
      <c r="R372">
        <v>2</v>
      </c>
      <c r="S372">
        <v>19</v>
      </c>
      <c r="T372">
        <v>21</v>
      </c>
    </row>
    <row r="373" spans="1:20" x14ac:dyDescent="0.35">
      <c r="A373">
        <v>372</v>
      </c>
      <c r="B373" s="1">
        <v>40559</v>
      </c>
      <c r="C373">
        <v>1</v>
      </c>
      <c r="D373">
        <v>0</v>
      </c>
      <c r="E373">
        <v>1</v>
      </c>
      <c r="F373" t="str">
        <f>IF(final_data787[[#This Row],[MONTH_CODE]]=1,"JANUARY",IF(final_data787[[#This Row],[MONTH_CODE]]=2,"FEBRUARY"))</f>
        <v>JANUARY</v>
      </c>
      <c r="G373">
        <v>23</v>
      </c>
      <c r="H373">
        <v>0</v>
      </c>
      <c r="I373">
        <v>0</v>
      </c>
      <c r="J3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373" t="str">
        <f>IF(final_data787[[#This Row],[DAY_CODE]]=0,"weekend",IF(final_data787[[#This Row],[DAY_CODE]]=1,"weekend","weekday"))</f>
        <v>weekend</v>
      </c>
      <c r="L373">
        <v>2</v>
      </c>
      <c r="M373" t="str">
        <f>IF(final_data787[[#This Row],[WEATHER_CODE]]=1,"clear",IF(final_data787[[#This Row],[WEATHER_CODE]]=2,"cloudy",IF(final_data787[[#This Row],[WEATHER_CODE]]=3,"light rain",IF(final_data787[[#This Row],[WEATHER_CODE]]=4,"heavy rain",0))))</f>
        <v>cloudy</v>
      </c>
      <c r="N373">
        <v>0.2</v>
      </c>
      <c r="O373">
        <v>0.2273</v>
      </c>
      <c r="P373">
        <v>0.4</v>
      </c>
      <c r="Q373">
        <v>0.1045</v>
      </c>
      <c r="R373">
        <v>0</v>
      </c>
      <c r="S373">
        <v>18</v>
      </c>
      <c r="T373">
        <v>18</v>
      </c>
    </row>
    <row r="374" spans="1:20" x14ac:dyDescent="0.35">
      <c r="A374">
        <v>373</v>
      </c>
      <c r="B374" s="1">
        <v>40560</v>
      </c>
      <c r="C374">
        <v>1</v>
      </c>
      <c r="D374">
        <v>0</v>
      </c>
      <c r="E374">
        <v>1</v>
      </c>
      <c r="F374" t="str">
        <f>IF(final_data787[[#This Row],[MONTH_CODE]]=1,"JANUARY",IF(final_data787[[#This Row],[MONTH_CODE]]=2,"FEBRUARY"))</f>
        <v>JANUARY</v>
      </c>
      <c r="G374">
        <v>0</v>
      </c>
      <c r="H374">
        <v>1</v>
      </c>
      <c r="I374">
        <v>1</v>
      </c>
      <c r="J3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4" t="str">
        <f>IF(final_data787[[#This Row],[DAY_CODE]]=0,"weekend",IF(final_data787[[#This Row],[DAY_CODE]]=1,"weekend","weekday"))</f>
        <v>weekend</v>
      </c>
      <c r="L374">
        <v>2</v>
      </c>
      <c r="M374" t="str">
        <f>IF(final_data787[[#This Row],[WEATHER_CODE]]=1,"clear",IF(final_data787[[#This Row],[WEATHER_CODE]]=2,"cloudy",IF(final_data787[[#This Row],[WEATHER_CODE]]=3,"light rain",IF(final_data787[[#This Row],[WEATHER_CODE]]=4,"heavy rain",0))))</f>
        <v>cloudy</v>
      </c>
      <c r="N374">
        <v>0.2</v>
      </c>
      <c r="O374">
        <v>0.19700000000000001</v>
      </c>
      <c r="P374">
        <v>0.47</v>
      </c>
      <c r="Q374">
        <v>0.22389999999999999</v>
      </c>
      <c r="R374">
        <v>1</v>
      </c>
      <c r="S374">
        <v>16</v>
      </c>
      <c r="T374">
        <v>17</v>
      </c>
    </row>
    <row r="375" spans="1:20" x14ac:dyDescent="0.35">
      <c r="A375">
        <v>374</v>
      </c>
      <c r="B375" s="1">
        <v>40560</v>
      </c>
      <c r="C375">
        <v>1</v>
      </c>
      <c r="D375">
        <v>0</v>
      </c>
      <c r="E375">
        <v>1</v>
      </c>
      <c r="F375" t="str">
        <f>IF(final_data787[[#This Row],[MONTH_CODE]]=1,"JANUARY",IF(final_data787[[#This Row],[MONTH_CODE]]=2,"FEBRUARY"))</f>
        <v>JANUARY</v>
      </c>
      <c r="G375">
        <v>1</v>
      </c>
      <c r="H375">
        <v>1</v>
      </c>
      <c r="I375">
        <v>1</v>
      </c>
      <c r="J3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5" t="str">
        <f>IF(final_data787[[#This Row],[DAY_CODE]]=0,"weekend",IF(final_data787[[#This Row],[DAY_CODE]]=1,"weekend","weekday"))</f>
        <v>weekend</v>
      </c>
      <c r="L375">
        <v>2</v>
      </c>
      <c r="M375" t="str">
        <f>IF(final_data787[[#This Row],[WEATHER_CODE]]=1,"clear",IF(final_data787[[#This Row],[WEATHER_CODE]]=2,"cloudy",IF(final_data787[[#This Row],[WEATHER_CODE]]=3,"light rain",IF(final_data787[[#This Row],[WEATHER_CODE]]=4,"heavy rain",0))))</f>
        <v>cloudy</v>
      </c>
      <c r="N375">
        <v>0.2</v>
      </c>
      <c r="O375">
        <v>0.19700000000000001</v>
      </c>
      <c r="P375">
        <v>0.44</v>
      </c>
      <c r="Q375">
        <v>0.19400000000000001</v>
      </c>
      <c r="R375">
        <v>1</v>
      </c>
      <c r="S375">
        <v>15</v>
      </c>
      <c r="T375">
        <v>16</v>
      </c>
    </row>
    <row r="376" spans="1:20" x14ac:dyDescent="0.35">
      <c r="A376">
        <v>375</v>
      </c>
      <c r="B376" s="1">
        <v>40560</v>
      </c>
      <c r="C376">
        <v>1</v>
      </c>
      <c r="D376">
        <v>0</v>
      </c>
      <c r="E376">
        <v>1</v>
      </c>
      <c r="F376" t="str">
        <f>IF(final_data787[[#This Row],[MONTH_CODE]]=1,"JANUARY",IF(final_data787[[#This Row],[MONTH_CODE]]=2,"FEBRUARY"))</f>
        <v>JANUARY</v>
      </c>
      <c r="G376">
        <v>2</v>
      </c>
      <c r="H376">
        <v>1</v>
      </c>
      <c r="I376">
        <v>1</v>
      </c>
      <c r="J3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6" t="str">
        <f>IF(final_data787[[#This Row],[DAY_CODE]]=0,"weekend",IF(final_data787[[#This Row],[DAY_CODE]]=1,"weekend","weekday"))</f>
        <v>weekend</v>
      </c>
      <c r="L376">
        <v>2</v>
      </c>
      <c r="M376" t="str">
        <f>IF(final_data787[[#This Row],[WEATHER_CODE]]=1,"clear",IF(final_data787[[#This Row],[WEATHER_CODE]]=2,"cloudy",IF(final_data787[[#This Row],[WEATHER_CODE]]=3,"light rain",IF(final_data787[[#This Row],[WEATHER_CODE]]=4,"heavy rain",0))))</f>
        <v>cloudy</v>
      </c>
      <c r="N376">
        <v>0.18</v>
      </c>
      <c r="O376">
        <v>0.16669999999999999</v>
      </c>
      <c r="P376">
        <v>0.43</v>
      </c>
      <c r="Q376">
        <v>0.25369999999999998</v>
      </c>
      <c r="R376">
        <v>0</v>
      </c>
      <c r="S376">
        <v>8</v>
      </c>
      <c r="T376">
        <v>8</v>
      </c>
    </row>
    <row r="377" spans="1:20" x14ac:dyDescent="0.35">
      <c r="A377">
        <v>376</v>
      </c>
      <c r="B377" s="1">
        <v>40560</v>
      </c>
      <c r="C377">
        <v>1</v>
      </c>
      <c r="D377">
        <v>0</v>
      </c>
      <c r="E377">
        <v>1</v>
      </c>
      <c r="F377" t="str">
        <f>IF(final_data787[[#This Row],[MONTH_CODE]]=1,"JANUARY",IF(final_data787[[#This Row],[MONTH_CODE]]=2,"FEBRUARY"))</f>
        <v>JANUARY</v>
      </c>
      <c r="G377">
        <v>3</v>
      </c>
      <c r="H377">
        <v>1</v>
      </c>
      <c r="I377">
        <v>1</v>
      </c>
      <c r="J3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7" t="str">
        <f>IF(final_data787[[#This Row],[DAY_CODE]]=0,"weekend",IF(final_data787[[#This Row],[DAY_CODE]]=1,"weekend","weekday"))</f>
        <v>weekend</v>
      </c>
      <c r="L377">
        <v>2</v>
      </c>
      <c r="M377" t="str">
        <f>IF(final_data787[[#This Row],[WEATHER_CODE]]=1,"clear",IF(final_data787[[#This Row],[WEATHER_CODE]]=2,"cloudy",IF(final_data787[[#This Row],[WEATHER_CODE]]=3,"light rain",IF(final_data787[[#This Row],[WEATHER_CODE]]=4,"heavy rain",0))))</f>
        <v>cloudy</v>
      </c>
      <c r="N377">
        <v>0.18</v>
      </c>
      <c r="O377">
        <v>0.18179999999999999</v>
      </c>
      <c r="P377">
        <v>0.43</v>
      </c>
      <c r="Q377">
        <v>0.19400000000000001</v>
      </c>
      <c r="R377">
        <v>0</v>
      </c>
      <c r="S377">
        <v>2</v>
      </c>
      <c r="T377">
        <v>2</v>
      </c>
    </row>
    <row r="378" spans="1:20" x14ac:dyDescent="0.35">
      <c r="A378">
        <v>377</v>
      </c>
      <c r="B378" s="1">
        <v>40560</v>
      </c>
      <c r="C378">
        <v>1</v>
      </c>
      <c r="D378">
        <v>0</v>
      </c>
      <c r="E378">
        <v>1</v>
      </c>
      <c r="F378" t="str">
        <f>IF(final_data787[[#This Row],[MONTH_CODE]]=1,"JANUARY",IF(final_data787[[#This Row],[MONTH_CODE]]=2,"FEBRUARY"))</f>
        <v>JANUARY</v>
      </c>
      <c r="G378">
        <v>4</v>
      </c>
      <c r="H378">
        <v>1</v>
      </c>
      <c r="I378">
        <v>1</v>
      </c>
      <c r="J3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8" t="str">
        <f>IF(final_data787[[#This Row],[DAY_CODE]]=0,"weekend",IF(final_data787[[#This Row],[DAY_CODE]]=1,"weekend","weekday"))</f>
        <v>weekend</v>
      </c>
      <c r="L378">
        <v>2</v>
      </c>
      <c r="M378" t="str">
        <f>IF(final_data787[[#This Row],[WEATHER_CODE]]=1,"clear",IF(final_data787[[#This Row],[WEATHER_CODE]]=2,"cloudy",IF(final_data787[[#This Row],[WEATHER_CODE]]=3,"light rain",IF(final_data787[[#This Row],[WEATHER_CODE]]=4,"heavy rain",0))))</f>
        <v>cloudy</v>
      </c>
      <c r="N378">
        <v>0.18</v>
      </c>
      <c r="O378">
        <v>0.19700000000000001</v>
      </c>
      <c r="P378">
        <v>0.43</v>
      </c>
      <c r="Q378">
        <v>0.1343</v>
      </c>
      <c r="R378">
        <v>1</v>
      </c>
      <c r="S378">
        <v>2</v>
      </c>
      <c r="T378">
        <v>3</v>
      </c>
    </row>
    <row r="379" spans="1:20" x14ac:dyDescent="0.35">
      <c r="A379">
        <v>378</v>
      </c>
      <c r="B379" s="1">
        <v>40560</v>
      </c>
      <c r="C379">
        <v>1</v>
      </c>
      <c r="D379">
        <v>0</v>
      </c>
      <c r="E379">
        <v>1</v>
      </c>
      <c r="F379" t="str">
        <f>IF(final_data787[[#This Row],[MONTH_CODE]]=1,"JANUARY",IF(final_data787[[#This Row],[MONTH_CODE]]=2,"FEBRUARY"))</f>
        <v>JANUARY</v>
      </c>
      <c r="G379">
        <v>5</v>
      </c>
      <c r="H379">
        <v>1</v>
      </c>
      <c r="I379">
        <v>1</v>
      </c>
      <c r="J3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79" t="str">
        <f>IF(final_data787[[#This Row],[DAY_CODE]]=0,"weekend",IF(final_data787[[#This Row],[DAY_CODE]]=1,"weekend","weekday"))</f>
        <v>weekend</v>
      </c>
      <c r="L379">
        <v>2</v>
      </c>
      <c r="M379" t="str">
        <f>IF(final_data787[[#This Row],[WEATHER_CODE]]=1,"clear",IF(final_data787[[#This Row],[WEATHER_CODE]]=2,"cloudy",IF(final_data787[[#This Row],[WEATHER_CODE]]=3,"light rain",IF(final_data787[[#This Row],[WEATHER_CODE]]=4,"heavy rain",0))))</f>
        <v>cloudy</v>
      </c>
      <c r="N379">
        <v>0.18</v>
      </c>
      <c r="O379">
        <v>0.19700000000000001</v>
      </c>
      <c r="P379">
        <v>0.43</v>
      </c>
      <c r="Q379">
        <v>0.16420000000000001</v>
      </c>
      <c r="R379">
        <v>0</v>
      </c>
      <c r="S379">
        <v>1</v>
      </c>
      <c r="T379">
        <v>1</v>
      </c>
    </row>
    <row r="380" spans="1:20" x14ac:dyDescent="0.35">
      <c r="A380">
        <v>379</v>
      </c>
      <c r="B380" s="1">
        <v>40560</v>
      </c>
      <c r="C380">
        <v>1</v>
      </c>
      <c r="D380">
        <v>0</v>
      </c>
      <c r="E380">
        <v>1</v>
      </c>
      <c r="F380" t="str">
        <f>IF(final_data787[[#This Row],[MONTH_CODE]]=1,"JANUARY",IF(final_data787[[#This Row],[MONTH_CODE]]=2,"FEBRUARY"))</f>
        <v>JANUARY</v>
      </c>
      <c r="G380">
        <v>6</v>
      </c>
      <c r="H380">
        <v>1</v>
      </c>
      <c r="I380">
        <v>1</v>
      </c>
      <c r="J3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0" t="str">
        <f>IF(final_data787[[#This Row],[DAY_CODE]]=0,"weekend",IF(final_data787[[#This Row],[DAY_CODE]]=1,"weekend","weekday"))</f>
        <v>weekend</v>
      </c>
      <c r="L380">
        <v>2</v>
      </c>
      <c r="M380" t="str">
        <f>IF(final_data787[[#This Row],[WEATHER_CODE]]=1,"clear",IF(final_data787[[#This Row],[WEATHER_CODE]]=2,"cloudy",IF(final_data787[[#This Row],[WEATHER_CODE]]=3,"light rain",IF(final_data787[[#This Row],[WEATHER_CODE]]=4,"heavy rain",0))))</f>
        <v>cloudy</v>
      </c>
      <c r="N380">
        <v>0.18</v>
      </c>
      <c r="O380">
        <v>0.18179999999999999</v>
      </c>
      <c r="P380">
        <v>0.43</v>
      </c>
      <c r="Q380">
        <v>0.19400000000000001</v>
      </c>
      <c r="R380">
        <v>0</v>
      </c>
      <c r="S380">
        <v>5</v>
      </c>
      <c r="T380">
        <v>5</v>
      </c>
    </row>
    <row r="381" spans="1:20" x14ac:dyDescent="0.35">
      <c r="A381">
        <v>380</v>
      </c>
      <c r="B381" s="1">
        <v>40560</v>
      </c>
      <c r="C381">
        <v>1</v>
      </c>
      <c r="D381">
        <v>0</v>
      </c>
      <c r="E381">
        <v>1</v>
      </c>
      <c r="F381" t="str">
        <f>IF(final_data787[[#This Row],[MONTH_CODE]]=1,"JANUARY",IF(final_data787[[#This Row],[MONTH_CODE]]=2,"FEBRUARY"))</f>
        <v>JANUARY</v>
      </c>
      <c r="G381">
        <v>7</v>
      </c>
      <c r="H381">
        <v>1</v>
      </c>
      <c r="I381">
        <v>1</v>
      </c>
      <c r="J3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1" t="str">
        <f>IF(final_data787[[#This Row],[DAY_CODE]]=0,"weekend",IF(final_data787[[#This Row],[DAY_CODE]]=1,"weekend","weekday"))</f>
        <v>weekend</v>
      </c>
      <c r="L381">
        <v>2</v>
      </c>
      <c r="M381" t="str">
        <f>IF(final_data787[[#This Row],[WEATHER_CODE]]=1,"clear",IF(final_data787[[#This Row],[WEATHER_CODE]]=2,"cloudy",IF(final_data787[[#This Row],[WEATHER_CODE]]=3,"light rain",IF(final_data787[[#This Row],[WEATHER_CODE]]=4,"heavy rain",0))))</f>
        <v>cloudy</v>
      </c>
      <c r="N381">
        <v>0.16</v>
      </c>
      <c r="O381">
        <v>0.18179999999999999</v>
      </c>
      <c r="P381">
        <v>0.5</v>
      </c>
      <c r="Q381">
        <v>0.1343</v>
      </c>
      <c r="R381">
        <v>4</v>
      </c>
      <c r="S381">
        <v>9</v>
      </c>
      <c r="T381">
        <v>13</v>
      </c>
    </row>
    <row r="382" spans="1:20" x14ac:dyDescent="0.35">
      <c r="A382">
        <v>381</v>
      </c>
      <c r="B382" s="1">
        <v>40560</v>
      </c>
      <c r="C382">
        <v>1</v>
      </c>
      <c r="D382">
        <v>0</v>
      </c>
      <c r="E382">
        <v>1</v>
      </c>
      <c r="F382" t="str">
        <f>IF(final_data787[[#This Row],[MONTH_CODE]]=1,"JANUARY",IF(final_data787[[#This Row],[MONTH_CODE]]=2,"FEBRUARY"))</f>
        <v>JANUARY</v>
      </c>
      <c r="G382">
        <v>8</v>
      </c>
      <c r="H382">
        <v>1</v>
      </c>
      <c r="I382">
        <v>1</v>
      </c>
      <c r="J3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2" t="str">
        <f>IF(final_data787[[#This Row],[DAY_CODE]]=0,"weekend",IF(final_data787[[#This Row],[DAY_CODE]]=1,"weekend","weekday"))</f>
        <v>weekend</v>
      </c>
      <c r="L382">
        <v>2</v>
      </c>
      <c r="M382" t="str">
        <f>IF(final_data787[[#This Row],[WEATHER_CODE]]=1,"clear",IF(final_data787[[#This Row],[WEATHER_CODE]]=2,"cloudy",IF(final_data787[[#This Row],[WEATHER_CODE]]=3,"light rain",IF(final_data787[[#This Row],[WEATHER_CODE]]=4,"heavy rain",0))))</f>
        <v>cloudy</v>
      </c>
      <c r="N382">
        <v>0.16</v>
      </c>
      <c r="O382">
        <v>0.1515</v>
      </c>
      <c r="P382">
        <v>0.47</v>
      </c>
      <c r="Q382">
        <v>0.22389999999999999</v>
      </c>
      <c r="R382">
        <v>3</v>
      </c>
      <c r="S382">
        <v>30</v>
      </c>
      <c r="T382">
        <v>33</v>
      </c>
    </row>
    <row r="383" spans="1:20" x14ac:dyDescent="0.35">
      <c r="A383">
        <v>382</v>
      </c>
      <c r="B383" s="1">
        <v>40560</v>
      </c>
      <c r="C383">
        <v>1</v>
      </c>
      <c r="D383">
        <v>0</v>
      </c>
      <c r="E383">
        <v>1</v>
      </c>
      <c r="F383" t="str">
        <f>IF(final_data787[[#This Row],[MONTH_CODE]]=1,"JANUARY",IF(final_data787[[#This Row],[MONTH_CODE]]=2,"FEBRUARY"))</f>
        <v>JANUARY</v>
      </c>
      <c r="G383">
        <v>9</v>
      </c>
      <c r="H383">
        <v>1</v>
      </c>
      <c r="I383">
        <v>1</v>
      </c>
      <c r="J3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3" t="str">
        <f>IF(final_data787[[#This Row],[DAY_CODE]]=0,"weekend",IF(final_data787[[#This Row],[DAY_CODE]]=1,"weekend","weekday"))</f>
        <v>weekend</v>
      </c>
      <c r="L383">
        <v>2</v>
      </c>
      <c r="M383" t="str">
        <f>IF(final_data787[[#This Row],[WEATHER_CODE]]=1,"clear",IF(final_data787[[#This Row],[WEATHER_CODE]]=2,"cloudy",IF(final_data787[[#This Row],[WEATHER_CODE]]=3,"light rain",IF(final_data787[[#This Row],[WEATHER_CODE]]=4,"heavy rain",0))))</f>
        <v>cloudy</v>
      </c>
      <c r="N383">
        <v>0.16</v>
      </c>
      <c r="O383">
        <v>0.1515</v>
      </c>
      <c r="P383">
        <v>0.47</v>
      </c>
      <c r="Q383">
        <v>0.22389999999999999</v>
      </c>
      <c r="R383">
        <v>8</v>
      </c>
      <c r="S383">
        <v>39</v>
      </c>
      <c r="T383">
        <v>47</v>
      </c>
    </row>
    <row r="384" spans="1:20" x14ac:dyDescent="0.35">
      <c r="A384">
        <v>383</v>
      </c>
      <c r="B384" s="1">
        <v>40560</v>
      </c>
      <c r="C384">
        <v>1</v>
      </c>
      <c r="D384">
        <v>0</v>
      </c>
      <c r="E384">
        <v>1</v>
      </c>
      <c r="F384" t="str">
        <f>IF(final_data787[[#This Row],[MONTH_CODE]]=1,"JANUARY",IF(final_data787[[#This Row],[MONTH_CODE]]=2,"FEBRUARY"))</f>
        <v>JANUARY</v>
      </c>
      <c r="G384">
        <v>10</v>
      </c>
      <c r="H384">
        <v>1</v>
      </c>
      <c r="I384">
        <v>1</v>
      </c>
      <c r="J3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4" t="str">
        <f>IF(final_data787[[#This Row],[DAY_CODE]]=0,"weekend",IF(final_data787[[#This Row],[DAY_CODE]]=1,"weekend","weekday"))</f>
        <v>weekend</v>
      </c>
      <c r="L384">
        <v>2</v>
      </c>
      <c r="M384" t="str">
        <f>IF(final_data787[[#This Row],[WEATHER_CODE]]=1,"clear",IF(final_data787[[#This Row],[WEATHER_CODE]]=2,"cloudy",IF(final_data787[[#This Row],[WEATHER_CODE]]=3,"light rain",IF(final_data787[[#This Row],[WEATHER_CODE]]=4,"heavy rain",0))))</f>
        <v>cloudy</v>
      </c>
      <c r="N384">
        <v>0.16</v>
      </c>
      <c r="O384">
        <v>0.1515</v>
      </c>
      <c r="P384">
        <v>0.5</v>
      </c>
      <c r="Q384">
        <v>0.25369999999999998</v>
      </c>
      <c r="R384">
        <v>7</v>
      </c>
      <c r="S384">
        <v>50</v>
      </c>
      <c r="T384">
        <v>57</v>
      </c>
    </row>
    <row r="385" spans="1:20" x14ac:dyDescent="0.35">
      <c r="A385">
        <v>384</v>
      </c>
      <c r="B385" s="1">
        <v>40560</v>
      </c>
      <c r="C385">
        <v>1</v>
      </c>
      <c r="D385">
        <v>0</v>
      </c>
      <c r="E385">
        <v>1</v>
      </c>
      <c r="F385" t="str">
        <f>IF(final_data787[[#This Row],[MONTH_CODE]]=1,"JANUARY",IF(final_data787[[#This Row],[MONTH_CODE]]=2,"FEBRUARY"))</f>
        <v>JANUARY</v>
      </c>
      <c r="G385">
        <v>11</v>
      </c>
      <c r="H385">
        <v>1</v>
      </c>
      <c r="I385">
        <v>1</v>
      </c>
      <c r="J3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5" t="str">
        <f>IF(final_data787[[#This Row],[DAY_CODE]]=0,"weekend",IF(final_data787[[#This Row],[DAY_CODE]]=1,"weekend","weekday"))</f>
        <v>weekend</v>
      </c>
      <c r="L385">
        <v>2</v>
      </c>
      <c r="M385" t="str">
        <f>IF(final_data787[[#This Row],[WEATHER_CODE]]=1,"clear",IF(final_data787[[#This Row],[WEATHER_CODE]]=2,"cloudy",IF(final_data787[[#This Row],[WEATHER_CODE]]=3,"light rain",IF(final_data787[[#This Row],[WEATHER_CODE]]=4,"heavy rain",0))))</f>
        <v>cloudy</v>
      </c>
      <c r="N385">
        <v>0.16</v>
      </c>
      <c r="O385">
        <v>0.1515</v>
      </c>
      <c r="P385">
        <v>0.55000000000000004</v>
      </c>
      <c r="Q385">
        <v>0.19400000000000001</v>
      </c>
      <c r="R385">
        <v>9</v>
      </c>
      <c r="S385">
        <v>55</v>
      </c>
      <c r="T385">
        <v>64</v>
      </c>
    </row>
    <row r="386" spans="1:20" x14ac:dyDescent="0.35">
      <c r="A386">
        <v>385</v>
      </c>
      <c r="B386" s="1">
        <v>40560</v>
      </c>
      <c r="C386">
        <v>1</v>
      </c>
      <c r="D386">
        <v>0</v>
      </c>
      <c r="E386">
        <v>1</v>
      </c>
      <c r="F386" t="str">
        <f>IF(final_data787[[#This Row],[MONTH_CODE]]=1,"JANUARY",IF(final_data787[[#This Row],[MONTH_CODE]]=2,"FEBRUARY"))</f>
        <v>JANUARY</v>
      </c>
      <c r="G386">
        <v>12</v>
      </c>
      <c r="H386">
        <v>1</v>
      </c>
      <c r="I386">
        <v>1</v>
      </c>
      <c r="J3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6" t="str">
        <f>IF(final_data787[[#This Row],[DAY_CODE]]=0,"weekend",IF(final_data787[[#This Row],[DAY_CODE]]=1,"weekend","weekday"))</f>
        <v>weekend</v>
      </c>
      <c r="L386">
        <v>2</v>
      </c>
      <c r="M386" t="str">
        <f>IF(final_data787[[#This Row],[WEATHER_CODE]]=1,"clear",IF(final_data787[[#This Row],[WEATHER_CODE]]=2,"cloudy",IF(final_data787[[#This Row],[WEATHER_CODE]]=3,"light rain",IF(final_data787[[#This Row],[WEATHER_CODE]]=4,"heavy rain",0))))</f>
        <v>cloudy</v>
      </c>
      <c r="N386">
        <v>0.18</v>
      </c>
      <c r="O386">
        <v>0.19700000000000001</v>
      </c>
      <c r="P386">
        <v>0.47</v>
      </c>
      <c r="Q386">
        <v>0.1343</v>
      </c>
      <c r="R386">
        <v>10</v>
      </c>
      <c r="S386">
        <v>70</v>
      </c>
      <c r="T386">
        <v>80</v>
      </c>
    </row>
    <row r="387" spans="1:20" x14ac:dyDescent="0.35">
      <c r="A387">
        <v>386</v>
      </c>
      <c r="B387" s="1">
        <v>40560</v>
      </c>
      <c r="C387">
        <v>1</v>
      </c>
      <c r="D387">
        <v>0</v>
      </c>
      <c r="E387">
        <v>1</v>
      </c>
      <c r="F387" t="str">
        <f>IF(final_data787[[#This Row],[MONTH_CODE]]=1,"JANUARY",IF(final_data787[[#This Row],[MONTH_CODE]]=2,"FEBRUARY"))</f>
        <v>JANUARY</v>
      </c>
      <c r="G387">
        <v>13</v>
      </c>
      <c r="H387">
        <v>1</v>
      </c>
      <c r="I387">
        <v>1</v>
      </c>
      <c r="J3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7" t="str">
        <f>IF(final_data787[[#This Row],[DAY_CODE]]=0,"weekend",IF(final_data787[[#This Row],[DAY_CODE]]=1,"weekend","weekday"))</f>
        <v>weekend</v>
      </c>
      <c r="L387">
        <v>2</v>
      </c>
      <c r="M387" t="str">
        <f>IF(final_data787[[#This Row],[WEATHER_CODE]]=1,"clear",IF(final_data787[[#This Row],[WEATHER_CODE]]=2,"cloudy",IF(final_data787[[#This Row],[WEATHER_CODE]]=3,"light rain",IF(final_data787[[#This Row],[WEATHER_CODE]]=4,"heavy rain",0))))</f>
        <v>cloudy</v>
      </c>
      <c r="N387">
        <v>0.18</v>
      </c>
      <c r="O387">
        <v>0.19700000000000001</v>
      </c>
      <c r="P387">
        <v>0.47</v>
      </c>
      <c r="Q387">
        <v>0.1343</v>
      </c>
      <c r="R387">
        <v>13</v>
      </c>
      <c r="S387">
        <v>80</v>
      </c>
      <c r="T387">
        <v>93</v>
      </c>
    </row>
    <row r="388" spans="1:20" x14ac:dyDescent="0.35">
      <c r="A388">
        <v>387</v>
      </c>
      <c r="B388" s="1">
        <v>40560</v>
      </c>
      <c r="C388">
        <v>1</v>
      </c>
      <c r="D388">
        <v>0</v>
      </c>
      <c r="E388">
        <v>1</v>
      </c>
      <c r="F388" t="str">
        <f>IF(final_data787[[#This Row],[MONTH_CODE]]=1,"JANUARY",IF(final_data787[[#This Row],[MONTH_CODE]]=2,"FEBRUARY"))</f>
        <v>JANUARY</v>
      </c>
      <c r="G388">
        <v>14</v>
      </c>
      <c r="H388">
        <v>1</v>
      </c>
      <c r="I388">
        <v>1</v>
      </c>
      <c r="J3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8" t="str">
        <f>IF(final_data787[[#This Row],[DAY_CODE]]=0,"weekend",IF(final_data787[[#This Row],[DAY_CODE]]=1,"weekend","weekday"))</f>
        <v>weekend</v>
      </c>
      <c r="L388">
        <v>2</v>
      </c>
      <c r="M388" t="str">
        <f>IF(final_data787[[#This Row],[WEATHER_CODE]]=1,"clear",IF(final_data787[[#This Row],[WEATHER_CODE]]=2,"cloudy",IF(final_data787[[#This Row],[WEATHER_CODE]]=3,"light rain",IF(final_data787[[#This Row],[WEATHER_CODE]]=4,"heavy rain",0))))</f>
        <v>cloudy</v>
      </c>
      <c r="N388">
        <v>0.18</v>
      </c>
      <c r="O388">
        <v>0.21210000000000001</v>
      </c>
      <c r="P388">
        <v>0.43</v>
      </c>
      <c r="Q388">
        <v>0.1045</v>
      </c>
      <c r="R388">
        <v>12</v>
      </c>
      <c r="S388">
        <v>74</v>
      </c>
      <c r="T388">
        <v>86</v>
      </c>
    </row>
    <row r="389" spans="1:20" x14ac:dyDescent="0.35">
      <c r="A389">
        <v>388</v>
      </c>
      <c r="B389" s="1">
        <v>40560</v>
      </c>
      <c r="C389">
        <v>1</v>
      </c>
      <c r="D389">
        <v>0</v>
      </c>
      <c r="E389">
        <v>1</v>
      </c>
      <c r="F389" t="str">
        <f>IF(final_data787[[#This Row],[MONTH_CODE]]=1,"JANUARY",IF(final_data787[[#This Row],[MONTH_CODE]]=2,"FEBRUARY"))</f>
        <v>JANUARY</v>
      </c>
      <c r="G389">
        <v>15</v>
      </c>
      <c r="H389">
        <v>1</v>
      </c>
      <c r="I389">
        <v>1</v>
      </c>
      <c r="J3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89" t="str">
        <f>IF(final_data787[[#This Row],[DAY_CODE]]=0,"weekend",IF(final_data787[[#This Row],[DAY_CODE]]=1,"weekend","weekday"))</f>
        <v>weekend</v>
      </c>
      <c r="L389">
        <v>2</v>
      </c>
      <c r="M389" t="str">
        <f>IF(final_data787[[#This Row],[WEATHER_CODE]]=1,"clear",IF(final_data787[[#This Row],[WEATHER_CODE]]=2,"cloudy",IF(final_data787[[#This Row],[WEATHER_CODE]]=3,"light rain",IF(final_data787[[#This Row],[WEATHER_CODE]]=4,"heavy rain",0))))</f>
        <v>cloudy</v>
      </c>
      <c r="N389">
        <v>0.2</v>
      </c>
      <c r="O389">
        <v>0.21210000000000001</v>
      </c>
      <c r="P389">
        <v>0.47</v>
      </c>
      <c r="Q389">
        <v>0.16420000000000001</v>
      </c>
      <c r="R389">
        <v>21</v>
      </c>
      <c r="S389">
        <v>72</v>
      </c>
      <c r="T389">
        <v>93</v>
      </c>
    </row>
    <row r="390" spans="1:20" x14ac:dyDescent="0.35">
      <c r="A390">
        <v>389</v>
      </c>
      <c r="B390" s="1">
        <v>40560</v>
      </c>
      <c r="C390">
        <v>1</v>
      </c>
      <c r="D390">
        <v>0</v>
      </c>
      <c r="E390">
        <v>1</v>
      </c>
      <c r="F390" t="str">
        <f>IF(final_data787[[#This Row],[MONTH_CODE]]=1,"JANUARY",IF(final_data787[[#This Row],[MONTH_CODE]]=2,"FEBRUARY"))</f>
        <v>JANUARY</v>
      </c>
      <c r="G390">
        <v>16</v>
      </c>
      <c r="H390">
        <v>1</v>
      </c>
      <c r="I390">
        <v>1</v>
      </c>
      <c r="J3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0" t="str">
        <f>IF(final_data787[[#This Row],[DAY_CODE]]=0,"weekend",IF(final_data787[[#This Row],[DAY_CODE]]=1,"weekend","weekday"))</f>
        <v>weekend</v>
      </c>
      <c r="L390">
        <v>2</v>
      </c>
      <c r="M390" t="str">
        <f>IF(final_data787[[#This Row],[WEATHER_CODE]]=1,"clear",IF(final_data787[[#This Row],[WEATHER_CODE]]=2,"cloudy",IF(final_data787[[#This Row],[WEATHER_CODE]]=3,"light rain",IF(final_data787[[#This Row],[WEATHER_CODE]]=4,"heavy rain",0))))</f>
        <v>cloudy</v>
      </c>
      <c r="N390">
        <v>0.2</v>
      </c>
      <c r="O390">
        <v>0.21210000000000001</v>
      </c>
      <c r="P390">
        <v>0.47</v>
      </c>
      <c r="Q390">
        <v>0.16420000000000001</v>
      </c>
      <c r="R390">
        <v>6</v>
      </c>
      <c r="S390">
        <v>76</v>
      </c>
      <c r="T390">
        <v>82</v>
      </c>
    </row>
    <row r="391" spans="1:20" x14ac:dyDescent="0.35">
      <c r="A391">
        <v>390</v>
      </c>
      <c r="B391" s="1">
        <v>40560</v>
      </c>
      <c r="C391">
        <v>1</v>
      </c>
      <c r="D391">
        <v>0</v>
      </c>
      <c r="E391">
        <v>1</v>
      </c>
      <c r="F391" t="str">
        <f>IF(final_data787[[#This Row],[MONTH_CODE]]=1,"JANUARY",IF(final_data787[[#This Row],[MONTH_CODE]]=2,"FEBRUARY"))</f>
        <v>JANUARY</v>
      </c>
      <c r="G391">
        <v>17</v>
      </c>
      <c r="H391">
        <v>1</v>
      </c>
      <c r="I391">
        <v>1</v>
      </c>
      <c r="J3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1" t="str">
        <f>IF(final_data787[[#This Row],[DAY_CODE]]=0,"weekend",IF(final_data787[[#This Row],[DAY_CODE]]=1,"weekend","weekday"))</f>
        <v>weekend</v>
      </c>
      <c r="L391">
        <v>1</v>
      </c>
      <c r="M391" t="str">
        <f>IF(final_data787[[#This Row],[WEATHER_CODE]]=1,"clear",IF(final_data787[[#This Row],[WEATHER_CODE]]=2,"cloudy",IF(final_data787[[#This Row],[WEATHER_CODE]]=3,"light rain",IF(final_data787[[#This Row],[WEATHER_CODE]]=4,"heavy rain",0))))</f>
        <v>clear</v>
      </c>
      <c r="N391">
        <v>0.2</v>
      </c>
      <c r="O391">
        <v>0.19700000000000001</v>
      </c>
      <c r="P391">
        <v>0.51</v>
      </c>
      <c r="Q391">
        <v>0.19400000000000001</v>
      </c>
      <c r="R391">
        <v>4</v>
      </c>
      <c r="S391">
        <v>67</v>
      </c>
      <c r="T391">
        <v>71</v>
      </c>
    </row>
    <row r="392" spans="1:20" x14ac:dyDescent="0.35">
      <c r="A392">
        <v>391</v>
      </c>
      <c r="B392" s="1">
        <v>40560</v>
      </c>
      <c r="C392">
        <v>1</v>
      </c>
      <c r="D392">
        <v>0</v>
      </c>
      <c r="E392">
        <v>1</v>
      </c>
      <c r="F392" t="str">
        <f>IF(final_data787[[#This Row],[MONTH_CODE]]=1,"JANUARY",IF(final_data787[[#This Row],[MONTH_CODE]]=2,"FEBRUARY"))</f>
        <v>JANUARY</v>
      </c>
      <c r="G392">
        <v>18</v>
      </c>
      <c r="H392">
        <v>1</v>
      </c>
      <c r="I392">
        <v>1</v>
      </c>
      <c r="J3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2" t="str">
        <f>IF(final_data787[[#This Row],[DAY_CODE]]=0,"weekend",IF(final_data787[[#This Row],[DAY_CODE]]=1,"weekend","weekday"))</f>
        <v>weekend</v>
      </c>
      <c r="L392">
        <v>2</v>
      </c>
      <c r="M392" t="str">
        <f>IF(final_data787[[#This Row],[WEATHER_CODE]]=1,"clear",IF(final_data787[[#This Row],[WEATHER_CODE]]=2,"cloudy",IF(final_data787[[#This Row],[WEATHER_CODE]]=3,"light rain",IF(final_data787[[#This Row],[WEATHER_CODE]]=4,"heavy rain",0))))</f>
        <v>cloudy</v>
      </c>
      <c r="N392">
        <v>0.18</v>
      </c>
      <c r="O392">
        <v>0.16669999999999999</v>
      </c>
      <c r="P392">
        <v>0.55000000000000004</v>
      </c>
      <c r="Q392">
        <v>0.25369999999999998</v>
      </c>
      <c r="R392">
        <v>7</v>
      </c>
      <c r="S392">
        <v>85</v>
      </c>
      <c r="T392">
        <v>92</v>
      </c>
    </row>
    <row r="393" spans="1:20" x14ac:dyDescent="0.35">
      <c r="A393">
        <v>392</v>
      </c>
      <c r="B393" s="1">
        <v>40560</v>
      </c>
      <c r="C393">
        <v>1</v>
      </c>
      <c r="D393">
        <v>0</v>
      </c>
      <c r="E393">
        <v>1</v>
      </c>
      <c r="F393" t="str">
        <f>IF(final_data787[[#This Row],[MONTH_CODE]]=1,"JANUARY",IF(final_data787[[#This Row],[MONTH_CODE]]=2,"FEBRUARY"))</f>
        <v>JANUARY</v>
      </c>
      <c r="G393">
        <v>19</v>
      </c>
      <c r="H393">
        <v>1</v>
      </c>
      <c r="I393">
        <v>1</v>
      </c>
      <c r="J3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3" t="str">
        <f>IF(final_data787[[#This Row],[DAY_CODE]]=0,"weekend",IF(final_data787[[#This Row],[DAY_CODE]]=1,"weekend","weekday"))</f>
        <v>weekend</v>
      </c>
      <c r="L393">
        <v>3</v>
      </c>
      <c r="M393" t="str">
        <f>IF(final_data787[[#This Row],[WEATHER_CODE]]=1,"clear",IF(final_data787[[#This Row],[WEATHER_CODE]]=2,"cloudy",IF(final_data787[[#This Row],[WEATHER_CODE]]=3,"light rain",IF(final_data787[[#This Row],[WEATHER_CODE]]=4,"heavy rain",0))))</f>
        <v>light rain</v>
      </c>
      <c r="N393">
        <v>0.18</v>
      </c>
      <c r="O393">
        <v>0.18179999999999999</v>
      </c>
      <c r="P393">
        <v>0.59</v>
      </c>
      <c r="Q393">
        <v>0.19400000000000001</v>
      </c>
      <c r="R393">
        <v>2</v>
      </c>
      <c r="S393">
        <v>58</v>
      </c>
      <c r="T393">
        <v>60</v>
      </c>
    </row>
    <row r="394" spans="1:20" x14ac:dyDescent="0.35">
      <c r="A394">
        <v>393</v>
      </c>
      <c r="B394" s="1">
        <v>40560</v>
      </c>
      <c r="C394">
        <v>1</v>
      </c>
      <c r="D394">
        <v>0</v>
      </c>
      <c r="E394">
        <v>1</v>
      </c>
      <c r="F394" t="str">
        <f>IF(final_data787[[#This Row],[MONTH_CODE]]=1,"JANUARY",IF(final_data787[[#This Row],[MONTH_CODE]]=2,"FEBRUARY"))</f>
        <v>JANUARY</v>
      </c>
      <c r="G394">
        <v>20</v>
      </c>
      <c r="H394">
        <v>1</v>
      </c>
      <c r="I394">
        <v>1</v>
      </c>
      <c r="J3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4" t="str">
        <f>IF(final_data787[[#This Row],[DAY_CODE]]=0,"weekend",IF(final_data787[[#This Row],[DAY_CODE]]=1,"weekend","weekday"))</f>
        <v>weekend</v>
      </c>
      <c r="L394">
        <v>3</v>
      </c>
      <c r="M394" t="str">
        <f>IF(final_data787[[#This Row],[WEATHER_CODE]]=1,"clear",IF(final_data787[[#This Row],[WEATHER_CODE]]=2,"cloudy",IF(final_data787[[#This Row],[WEATHER_CODE]]=3,"light rain",IF(final_data787[[#This Row],[WEATHER_CODE]]=4,"heavy rain",0))))</f>
        <v>light rain</v>
      </c>
      <c r="N394">
        <v>0.16</v>
      </c>
      <c r="O394">
        <v>0.1515</v>
      </c>
      <c r="P394">
        <v>0.8</v>
      </c>
      <c r="Q394">
        <v>0.19400000000000001</v>
      </c>
      <c r="R394">
        <v>4</v>
      </c>
      <c r="S394">
        <v>29</v>
      </c>
      <c r="T394">
        <v>33</v>
      </c>
    </row>
    <row r="395" spans="1:20" x14ac:dyDescent="0.35">
      <c r="A395">
        <v>394</v>
      </c>
      <c r="B395" s="1">
        <v>40560</v>
      </c>
      <c r="C395">
        <v>1</v>
      </c>
      <c r="D395">
        <v>0</v>
      </c>
      <c r="E395">
        <v>1</v>
      </c>
      <c r="F395" t="str">
        <f>IF(final_data787[[#This Row],[MONTH_CODE]]=1,"JANUARY",IF(final_data787[[#This Row],[MONTH_CODE]]=2,"FEBRUARY"))</f>
        <v>JANUARY</v>
      </c>
      <c r="G395">
        <v>21</v>
      </c>
      <c r="H395">
        <v>1</v>
      </c>
      <c r="I395">
        <v>1</v>
      </c>
      <c r="J3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5" t="str">
        <f>IF(final_data787[[#This Row],[DAY_CODE]]=0,"weekend",IF(final_data787[[#This Row],[DAY_CODE]]=1,"weekend","weekday"))</f>
        <v>weekend</v>
      </c>
      <c r="L395">
        <v>3</v>
      </c>
      <c r="M395" t="str">
        <f>IF(final_data787[[#This Row],[WEATHER_CODE]]=1,"clear",IF(final_data787[[#This Row],[WEATHER_CODE]]=2,"cloudy",IF(final_data787[[#This Row],[WEATHER_CODE]]=3,"light rain",IF(final_data787[[#This Row],[WEATHER_CODE]]=4,"heavy rain",0))))</f>
        <v>light rain</v>
      </c>
      <c r="N395">
        <v>0.16</v>
      </c>
      <c r="O395">
        <v>0.1515</v>
      </c>
      <c r="P395">
        <v>0.8</v>
      </c>
      <c r="Q395">
        <v>0.19400000000000001</v>
      </c>
      <c r="R395">
        <v>3</v>
      </c>
      <c r="S395">
        <v>24</v>
      </c>
      <c r="T395">
        <v>27</v>
      </c>
    </row>
    <row r="396" spans="1:20" x14ac:dyDescent="0.35">
      <c r="A396">
        <v>395</v>
      </c>
      <c r="B396" s="1">
        <v>40560</v>
      </c>
      <c r="C396">
        <v>1</v>
      </c>
      <c r="D396">
        <v>0</v>
      </c>
      <c r="E396">
        <v>1</v>
      </c>
      <c r="F396" t="str">
        <f>IF(final_data787[[#This Row],[MONTH_CODE]]=1,"JANUARY",IF(final_data787[[#This Row],[MONTH_CODE]]=2,"FEBRUARY"))</f>
        <v>JANUARY</v>
      </c>
      <c r="G396">
        <v>22</v>
      </c>
      <c r="H396">
        <v>1</v>
      </c>
      <c r="I396">
        <v>1</v>
      </c>
      <c r="J3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6" t="str">
        <f>IF(final_data787[[#This Row],[DAY_CODE]]=0,"weekend",IF(final_data787[[#This Row],[DAY_CODE]]=1,"weekend","weekday"))</f>
        <v>weekend</v>
      </c>
      <c r="L396">
        <v>3</v>
      </c>
      <c r="M396" t="str">
        <f>IF(final_data787[[#This Row],[WEATHER_CODE]]=1,"clear",IF(final_data787[[#This Row],[WEATHER_CODE]]=2,"cloudy",IF(final_data787[[#This Row],[WEATHER_CODE]]=3,"light rain",IF(final_data787[[#This Row],[WEATHER_CODE]]=4,"heavy rain",0))))</f>
        <v>light rain</v>
      </c>
      <c r="N396">
        <v>0.14000000000000001</v>
      </c>
      <c r="O396">
        <v>0.1212</v>
      </c>
      <c r="P396">
        <v>0.93</v>
      </c>
      <c r="Q396">
        <v>0.25369999999999998</v>
      </c>
      <c r="R396">
        <v>0</v>
      </c>
      <c r="S396">
        <v>13</v>
      </c>
      <c r="T396">
        <v>13</v>
      </c>
    </row>
    <row r="397" spans="1:20" x14ac:dyDescent="0.35">
      <c r="A397">
        <v>396</v>
      </c>
      <c r="B397" s="1">
        <v>40560</v>
      </c>
      <c r="C397">
        <v>1</v>
      </c>
      <c r="D397">
        <v>0</v>
      </c>
      <c r="E397">
        <v>1</v>
      </c>
      <c r="F397" t="str">
        <f>IF(final_data787[[#This Row],[MONTH_CODE]]=1,"JANUARY",IF(final_data787[[#This Row],[MONTH_CODE]]=2,"FEBRUARY"))</f>
        <v>JANUARY</v>
      </c>
      <c r="G397">
        <v>23</v>
      </c>
      <c r="H397">
        <v>1</v>
      </c>
      <c r="I397">
        <v>1</v>
      </c>
      <c r="J3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397" t="str">
        <f>IF(final_data787[[#This Row],[DAY_CODE]]=0,"weekend",IF(final_data787[[#This Row],[DAY_CODE]]=1,"weekend","weekday"))</f>
        <v>weekend</v>
      </c>
      <c r="L397">
        <v>3</v>
      </c>
      <c r="M397" t="str">
        <f>IF(final_data787[[#This Row],[WEATHER_CODE]]=1,"clear",IF(final_data787[[#This Row],[WEATHER_CODE]]=2,"cloudy",IF(final_data787[[#This Row],[WEATHER_CODE]]=3,"light rain",IF(final_data787[[#This Row],[WEATHER_CODE]]=4,"heavy rain",0))))</f>
        <v>light rain</v>
      </c>
      <c r="N397">
        <v>0.16</v>
      </c>
      <c r="O397">
        <v>0.13639999999999999</v>
      </c>
      <c r="P397">
        <v>0.86</v>
      </c>
      <c r="Q397">
        <v>0.28360000000000002</v>
      </c>
      <c r="R397">
        <v>1</v>
      </c>
      <c r="S397">
        <v>3</v>
      </c>
      <c r="T397">
        <v>4</v>
      </c>
    </row>
    <row r="398" spans="1:20" x14ac:dyDescent="0.35">
      <c r="A398">
        <v>397</v>
      </c>
      <c r="B398" s="1">
        <v>40561</v>
      </c>
      <c r="C398">
        <v>1</v>
      </c>
      <c r="D398">
        <v>0</v>
      </c>
      <c r="E398">
        <v>1</v>
      </c>
      <c r="F398" t="str">
        <f>IF(final_data787[[#This Row],[MONTH_CODE]]=1,"JANUARY",IF(final_data787[[#This Row],[MONTH_CODE]]=2,"FEBRUARY"))</f>
        <v>JANUARY</v>
      </c>
      <c r="G398">
        <v>12</v>
      </c>
      <c r="H398">
        <v>0</v>
      </c>
      <c r="I398">
        <v>2</v>
      </c>
      <c r="J3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398" t="str">
        <f>IF(final_data787[[#This Row],[DAY_CODE]]=0,"weekend",IF(final_data787[[#This Row],[DAY_CODE]]=1,"weekend","weekday"))</f>
        <v>weekday</v>
      </c>
      <c r="L398">
        <v>2</v>
      </c>
      <c r="M398" t="str">
        <f>IF(final_data787[[#This Row],[WEATHER_CODE]]=1,"clear",IF(final_data787[[#This Row],[WEATHER_CODE]]=2,"cloudy",IF(final_data787[[#This Row],[WEATHER_CODE]]=3,"light rain",IF(final_data787[[#This Row],[WEATHER_CODE]]=4,"heavy rain",0))))</f>
        <v>cloudy</v>
      </c>
      <c r="N398">
        <v>0.2</v>
      </c>
      <c r="O398">
        <v>0.18179999999999999</v>
      </c>
      <c r="P398">
        <v>0.86</v>
      </c>
      <c r="Q398">
        <v>0.32840000000000003</v>
      </c>
      <c r="R398">
        <v>0</v>
      </c>
      <c r="S398">
        <v>3</v>
      </c>
      <c r="T398">
        <v>3</v>
      </c>
    </row>
    <row r="399" spans="1:20" x14ac:dyDescent="0.35">
      <c r="A399">
        <v>398</v>
      </c>
      <c r="B399" s="1">
        <v>40561</v>
      </c>
      <c r="C399">
        <v>1</v>
      </c>
      <c r="D399">
        <v>0</v>
      </c>
      <c r="E399">
        <v>1</v>
      </c>
      <c r="F399" t="str">
        <f>IF(final_data787[[#This Row],[MONTH_CODE]]=1,"JANUARY",IF(final_data787[[#This Row],[MONTH_CODE]]=2,"FEBRUARY"))</f>
        <v>JANUARY</v>
      </c>
      <c r="G399">
        <v>13</v>
      </c>
      <c r="H399">
        <v>0</v>
      </c>
      <c r="I399">
        <v>2</v>
      </c>
      <c r="J3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399" t="str">
        <f>IF(final_data787[[#This Row],[DAY_CODE]]=0,"weekend",IF(final_data787[[#This Row],[DAY_CODE]]=1,"weekend","weekday"))</f>
        <v>weekday</v>
      </c>
      <c r="L399">
        <v>2</v>
      </c>
      <c r="M399" t="str">
        <f>IF(final_data787[[#This Row],[WEATHER_CODE]]=1,"clear",IF(final_data787[[#This Row],[WEATHER_CODE]]=2,"cloudy",IF(final_data787[[#This Row],[WEATHER_CODE]]=3,"light rain",IF(final_data787[[#This Row],[WEATHER_CODE]]=4,"heavy rain",0))))</f>
        <v>cloudy</v>
      </c>
      <c r="N399">
        <v>0.2</v>
      </c>
      <c r="O399">
        <v>0.19700000000000001</v>
      </c>
      <c r="P399">
        <v>0.86</v>
      </c>
      <c r="Q399">
        <v>0.22389999999999999</v>
      </c>
      <c r="R399">
        <v>0</v>
      </c>
      <c r="S399">
        <v>22</v>
      </c>
      <c r="T399">
        <v>22</v>
      </c>
    </row>
    <row r="400" spans="1:20" x14ac:dyDescent="0.35">
      <c r="A400">
        <v>399</v>
      </c>
      <c r="B400" s="1">
        <v>40561</v>
      </c>
      <c r="C400">
        <v>1</v>
      </c>
      <c r="D400">
        <v>0</v>
      </c>
      <c r="E400">
        <v>1</v>
      </c>
      <c r="F400" t="str">
        <f>IF(final_data787[[#This Row],[MONTH_CODE]]=1,"JANUARY",IF(final_data787[[#This Row],[MONTH_CODE]]=2,"FEBRUARY"))</f>
        <v>JANUARY</v>
      </c>
      <c r="G400">
        <v>14</v>
      </c>
      <c r="H400">
        <v>0</v>
      </c>
      <c r="I400">
        <v>2</v>
      </c>
      <c r="J4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0" t="str">
        <f>IF(final_data787[[#This Row],[DAY_CODE]]=0,"weekend",IF(final_data787[[#This Row],[DAY_CODE]]=1,"weekend","weekday"))</f>
        <v>weekday</v>
      </c>
      <c r="L400">
        <v>2</v>
      </c>
      <c r="M400" t="str">
        <f>IF(final_data787[[#This Row],[WEATHER_CODE]]=1,"clear",IF(final_data787[[#This Row],[WEATHER_CODE]]=2,"cloudy",IF(final_data787[[#This Row],[WEATHER_CODE]]=3,"light rain",IF(final_data787[[#This Row],[WEATHER_CODE]]=4,"heavy rain",0))))</f>
        <v>cloudy</v>
      </c>
      <c r="N400">
        <v>0.22</v>
      </c>
      <c r="O400">
        <v>0.2273</v>
      </c>
      <c r="P400">
        <v>0.8</v>
      </c>
      <c r="Q400">
        <v>0.16420000000000001</v>
      </c>
      <c r="R400">
        <v>2</v>
      </c>
      <c r="S400">
        <v>26</v>
      </c>
      <c r="T400">
        <v>28</v>
      </c>
    </row>
    <row r="401" spans="1:20" x14ac:dyDescent="0.35">
      <c r="A401">
        <v>400</v>
      </c>
      <c r="B401" s="1">
        <v>40561</v>
      </c>
      <c r="C401">
        <v>1</v>
      </c>
      <c r="D401">
        <v>0</v>
      </c>
      <c r="E401">
        <v>1</v>
      </c>
      <c r="F401" t="str">
        <f>IF(final_data787[[#This Row],[MONTH_CODE]]=1,"JANUARY",IF(final_data787[[#This Row],[MONTH_CODE]]=2,"FEBRUARY"))</f>
        <v>JANUARY</v>
      </c>
      <c r="G401">
        <v>15</v>
      </c>
      <c r="H401">
        <v>0</v>
      </c>
      <c r="I401">
        <v>2</v>
      </c>
      <c r="J4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1" t="str">
        <f>IF(final_data787[[#This Row],[DAY_CODE]]=0,"weekend",IF(final_data787[[#This Row],[DAY_CODE]]=1,"weekend","weekday"))</f>
        <v>weekday</v>
      </c>
      <c r="L401">
        <v>2</v>
      </c>
      <c r="M401" t="str">
        <f>IF(final_data787[[#This Row],[WEATHER_CODE]]=1,"clear",IF(final_data787[[#This Row],[WEATHER_CODE]]=2,"cloudy",IF(final_data787[[#This Row],[WEATHER_CODE]]=3,"light rain",IF(final_data787[[#This Row],[WEATHER_CODE]]=4,"heavy rain",0))))</f>
        <v>cloudy</v>
      </c>
      <c r="N401">
        <v>0.22</v>
      </c>
      <c r="O401">
        <v>0.2273</v>
      </c>
      <c r="P401">
        <v>0.87</v>
      </c>
      <c r="Q401">
        <v>0.16420000000000001</v>
      </c>
      <c r="R401">
        <v>3</v>
      </c>
      <c r="S401">
        <v>32</v>
      </c>
      <c r="T401">
        <v>35</v>
      </c>
    </row>
    <row r="402" spans="1:20" x14ac:dyDescent="0.35">
      <c r="A402">
        <v>401</v>
      </c>
      <c r="B402" s="1">
        <v>40561</v>
      </c>
      <c r="C402">
        <v>1</v>
      </c>
      <c r="D402">
        <v>0</v>
      </c>
      <c r="E402">
        <v>1</v>
      </c>
      <c r="F402" t="str">
        <f>IF(final_data787[[#This Row],[MONTH_CODE]]=1,"JANUARY",IF(final_data787[[#This Row],[MONTH_CODE]]=2,"FEBRUARY"))</f>
        <v>JANUARY</v>
      </c>
      <c r="G402">
        <v>16</v>
      </c>
      <c r="H402">
        <v>0</v>
      </c>
      <c r="I402">
        <v>2</v>
      </c>
      <c r="J4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2" t="str">
        <f>IF(final_data787[[#This Row],[DAY_CODE]]=0,"weekend",IF(final_data787[[#This Row],[DAY_CODE]]=1,"weekend","weekday"))</f>
        <v>weekday</v>
      </c>
      <c r="L402">
        <v>2</v>
      </c>
      <c r="M402" t="str">
        <f>IF(final_data787[[#This Row],[WEATHER_CODE]]=1,"clear",IF(final_data787[[#This Row],[WEATHER_CODE]]=2,"cloudy",IF(final_data787[[#This Row],[WEATHER_CODE]]=3,"light rain",IF(final_data787[[#This Row],[WEATHER_CODE]]=4,"heavy rain",0))))</f>
        <v>cloudy</v>
      </c>
      <c r="N402">
        <v>0.22</v>
      </c>
      <c r="O402">
        <v>0.2273</v>
      </c>
      <c r="P402">
        <v>0.87</v>
      </c>
      <c r="Q402">
        <v>0.19400000000000001</v>
      </c>
      <c r="R402">
        <v>0</v>
      </c>
      <c r="S402">
        <v>61</v>
      </c>
      <c r="T402">
        <v>61</v>
      </c>
    </row>
    <row r="403" spans="1:20" x14ac:dyDescent="0.35">
      <c r="A403">
        <v>402</v>
      </c>
      <c r="B403" s="1">
        <v>40561</v>
      </c>
      <c r="C403">
        <v>1</v>
      </c>
      <c r="D403">
        <v>0</v>
      </c>
      <c r="E403">
        <v>1</v>
      </c>
      <c r="F403" t="str">
        <f>IF(final_data787[[#This Row],[MONTH_CODE]]=1,"JANUARY",IF(final_data787[[#This Row],[MONTH_CODE]]=2,"FEBRUARY"))</f>
        <v>JANUARY</v>
      </c>
      <c r="G403">
        <v>17</v>
      </c>
      <c r="H403">
        <v>0</v>
      </c>
      <c r="I403">
        <v>2</v>
      </c>
      <c r="J4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3" t="str">
        <f>IF(final_data787[[#This Row],[DAY_CODE]]=0,"weekend",IF(final_data787[[#This Row],[DAY_CODE]]=1,"weekend","weekday"))</f>
        <v>weekday</v>
      </c>
      <c r="L403">
        <v>2</v>
      </c>
      <c r="M403" t="str">
        <f>IF(final_data787[[#This Row],[WEATHER_CODE]]=1,"clear",IF(final_data787[[#This Row],[WEATHER_CODE]]=2,"cloudy",IF(final_data787[[#This Row],[WEATHER_CODE]]=3,"light rain",IF(final_data787[[#This Row],[WEATHER_CODE]]=4,"heavy rain",0))))</f>
        <v>cloudy</v>
      </c>
      <c r="N403">
        <v>0.22</v>
      </c>
      <c r="O403">
        <v>0.2273</v>
      </c>
      <c r="P403">
        <v>0.82</v>
      </c>
      <c r="Q403">
        <v>0.19400000000000001</v>
      </c>
      <c r="R403">
        <v>1</v>
      </c>
      <c r="S403">
        <v>124</v>
      </c>
      <c r="T403">
        <v>125</v>
      </c>
    </row>
    <row r="404" spans="1:20" x14ac:dyDescent="0.35">
      <c r="A404">
        <v>403</v>
      </c>
      <c r="B404" s="1">
        <v>40561</v>
      </c>
      <c r="C404">
        <v>1</v>
      </c>
      <c r="D404">
        <v>0</v>
      </c>
      <c r="E404">
        <v>1</v>
      </c>
      <c r="F404" t="str">
        <f>IF(final_data787[[#This Row],[MONTH_CODE]]=1,"JANUARY",IF(final_data787[[#This Row],[MONTH_CODE]]=2,"FEBRUARY"))</f>
        <v>JANUARY</v>
      </c>
      <c r="G404">
        <v>18</v>
      </c>
      <c r="H404">
        <v>0</v>
      </c>
      <c r="I404">
        <v>2</v>
      </c>
      <c r="J4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4" t="str">
        <f>IF(final_data787[[#This Row],[DAY_CODE]]=0,"weekend",IF(final_data787[[#This Row],[DAY_CODE]]=1,"weekend","weekday"))</f>
        <v>weekday</v>
      </c>
      <c r="L404">
        <v>2</v>
      </c>
      <c r="M404" t="str">
        <f>IF(final_data787[[#This Row],[WEATHER_CODE]]=1,"clear",IF(final_data787[[#This Row],[WEATHER_CODE]]=2,"cloudy",IF(final_data787[[#This Row],[WEATHER_CODE]]=3,"light rain",IF(final_data787[[#This Row],[WEATHER_CODE]]=4,"heavy rain",0))))</f>
        <v>cloudy</v>
      </c>
      <c r="N404">
        <v>0.22</v>
      </c>
      <c r="O404">
        <v>0.2273</v>
      </c>
      <c r="P404">
        <v>0.8</v>
      </c>
      <c r="Q404">
        <v>0.16420000000000001</v>
      </c>
      <c r="R404">
        <v>1</v>
      </c>
      <c r="S404">
        <v>132</v>
      </c>
      <c r="T404">
        <v>133</v>
      </c>
    </row>
    <row r="405" spans="1:20" x14ac:dyDescent="0.35">
      <c r="A405">
        <v>404</v>
      </c>
      <c r="B405" s="1">
        <v>40561</v>
      </c>
      <c r="C405">
        <v>1</v>
      </c>
      <c r="D405">
        <v>0</v>
      </c>
      <c r="E405">
        <v>1</v>
      </c>
      <c r="F405" t="str">
        <f>IF(final_data787[[#This Row],[MONTH_CODE]]=1,"JANUARY",IF(final_data787[[#This Row],[MONTH_CODE]]=2,"FEBRUARY"))</f>
        <v>JANUARY</v>
      </c>
      <c r="G405">
        <v>19</v>
      </c>
      <c r="H405">
        <v>0</v>
      </c>
      <c r="I405">
        <v>2</v>
      </c>
      <c r="J4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5" t="str">
        <f>IF(final_data787[[#This Row],[DAY_CODE]]=0,"weekend",IF(final_data787[[#This Row],[DAY_CODE]]=1,"weekend","weekday"))</f>
        <v>weekday</v>
      </c>
      <c r="L405">
        <v>2</v>
      </c>
      <c r="M405" t="str">
        <f>IF(final_data787[[#This Row],[WEATHER_CODE]]=1,"clear",IF(final_data787[[#This Row],[WEATHER_CODE]]=2,"cloudy",IF(final_data787[[#This Row],[WEATHER_CODE]]=3,"light rain",IF(final_data787[[#This Row],[WEATHER_CODE]]=4,"heavy rain",0))))</f>
        <v>cloudy</v>
      </c>
      <c r="N405">
        <v>0.22</v>
      </c>
      <c r="O405">
        <v>0.2273</v>
      </c>
      <c r="P405">
        <v>0.8</v>
      </c>
      <c r="Q405">
        <v>0.1343</v>
      </c>
      <c r="R405">
        <v>1</v>
      </c>
      <c r="S405">
        <v>98</v>
      </c>
      <c r="T405">
        <v>99</v>
      </c>
    </row>
    <row r="406" spans="1:20" x14ac:dyDescent="0.35">
      <c r="A406">
        <v>405</v>
      </c>
      <c r="B406" s="1">
        <v>40561</v>
      </c>
      <c r="C406">
        <v>1</v>
      </c>
      <c r="D406">
        <v>0</v>
      </c>
      <c r="E406">
        <v>1</v>
      </c>
      <c r="F406" t="str">
        <f>IF(final_data787[[#This Row],[MONTH_CODE]]=1,"JANUARY",IF(final_data787[[#This Row],[MONTH_CODE]]=2,"FEBRUARY"))</f>
        <v>JANUARY</v>
      </c>
      <c r="G406">
        <v>20</v>
      </c>
      <c r="H406">
        <v>0</v>
      </c>
      <c r="I406">
        <v>2</v>
      </c>
      <c r="J4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6" t="str">
        <f>IF(final_data787[[#This Row],[DAY_CODE]]=0,"weekend",IF(final_data787[[#This Row],[DAY_CODE]]=1,"weekend","weekday"))</f>
        <v>weekday</v>
      </c>
      <c r="L406">
        <v>2</v>
      </c>
      <c r="M406" t="str">
        <f>IF(final_data787[[#This Row],[WEATHER_CODE]]=1,"clear",IF(final_data787[[#This Row],[WEATHER_CODE]]=2,"cloudy",IF(final_data787[[#This Row],[WEATHER_CODE]]=3,"light rain",IF(final_data787[[#This Row],[WEATHER_CODE]]=4,"heavy rain",0))))</f>
        <v>cloudy</v>
      </c>
      <c r="N406">
        <v>0.22</v>
      </c>
      <c r="O406">
        <v>0.2727</v>
      </c>
      <c r="P406">
        <v>0.87</v>
      </c>
      <c r="Q406">
        <v>0</v>
      </c>
      <c r="R406">
        <v>0</v>
      </c>
      <c r="S406">
        <v>83</v>
      </c>
      <c r="T406">
        <v>83</v>
      </c>
    </row>
    <row r="407" spans="1:20" x14ac:dyDescent="0.35">
      <c r="A407">
        <v>406</v>
      </c>
      <c r="B407" s="1">
        <v>40561</v>
      </c>
      <c r="C407">
        <v>1</v>
      </c>
      <c r="D407">
        <v>0</v>
      </c>
      <c r="E407">
        <v>1</v>
      </c>
      <c r="F407" t="str">
        <f>IF(final_data787[[#This Row],[MONTH_CODE]]=1,"JANUARY",IF(final_data787[[#This Row],[MONTH_CODE]]=2,"FEBRUARY"))</f>
        <v>JANUARY</v>
      </c>
      <c r="G407">
        <v>21</v>
      </c>
      <c r="H407">
        <v>0</v>
      </c>
      <c r="I407">
        <v>2</v>
      </c>
      <c r="J4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7" t="str">
        <f>IF(final_data787[[#This Row],[DAY_CODE]]=0,"weekend",IF(final_data787[[#This Row],[DAY_CODE]]=1,"weekend","weekday"))</f>
        <v>weekday</v>
      </c>
      <c r="L407">
        <v>2</v>
      </c>
      <c r="M407" t="str">
        <f>IF(final_data787[[#This Row],[WEATHER_CODE]]=1,"clear",IF(final_data787[[#This Row],[WEATHER_CODE]]=2,"cloudy",IF(final_data787[[#This Row],[WEATHER_CODE]]=3,"light rain",IF(final_data787[[#This Row],[WEATHER_CODE]]=4,"heavy rain",0))))</f>
        <v>cloudy</v>
      </c>
      <c r="N407">
        <v>0.22</v>
      </c>
      <c r="O407">
        <v>0.2424</v>
      </c>
      <c r="P407">
        <v>0.93</v>
      </c>
      <c r="Q407">
        <v>0.1045</v>
      </c>
      <c r="R407">
        <v>0</v>
      </c>
      <c r="S407">
        <v>41</v>
      </c>
      <c r="T407">
        <v>41</v>
      </c>
    </row>
    <row r="408" spans="1:20" x14ac:dyDescent="0.35">
      <c r="A408">
        <v>407</v>
      </c>
      <c r="B408" s="1">
        <v>40561</v>
      </c>
      <c r="C408">
        <v>1</v>
      </c>
      <c r="D408">
        <v>0</v>
      </c>
      <c r="E408">
        <v>1</v>
      </c>
      <c r="F408" t="str">
        <f>IF(final_data787[[#This Row],[MONTH_CODE]]=1,"JANUARY",IF(final_data787[[#This Row],[MONTH_CODE]]=2,"FEBRUARY"))</f>
        <v>JANUARY</v>
      </c>
      <c r="G408">
        <v>22</v>
      </c>
      <c r="H408">
        <v>0</v>
      </c>
      <c r="I408">
        <v>2</v>
      </c>
      <c r="J4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8" t="str">
        <f>IF(final_data787[[#This Row],[DAY_CODE]]=0,"weekend",IF(final_data787[[#This Row],[DAY_CODE]]=1,"weekend","weekday"))</f>
        <v>weekday</v>
      </c>
      <c r="L408">
        <v>2</v>
      </c>
      <c r="M408" t="str">
        <f>IF(final_data787[[#This Row],[WEATHER_CODE]]=1,"clear",IF(final_data787[[#This Row],[WEATHER_CODE]]=2,"cloudy",IF(final_data787[[#This Row],[WEATHER_CODE]]=3,"light rain",IF(final_data787[[#This Row],[WEATHER_CODE]]=4,"heavy rain",0))))</f>
        <v>cloudy</v>
      </c>
      <c r="N408">
        <v>0.22</v>
      </c>
      <c r="O408">
        <v>0.2576</v>
      </c>
      <c r="P408">
        <v>0.93</v>
      </c>
      <c r="Q408">
        <v>8.9599999999999999E-2</v>
      </c>
      <c r="R408">
        <v>0</v>
      </c>
      <c r="S408">
        <v>33</v>
      </c>
      <c r="T408">
        <v>33</v>
      </c>
    </row>
    <row r="409" spans="1:20" x14ac:dyDescent="0.35">
      <c r="A409">
        <v>408</v>
      </c>
      <c r="B409" s="1">
        <v>40561</v>
      </c>
      <c r="C409">
        <v>1</v>
      </c>
      <c r="D409">
        <v>0</v>
      </c>
      <c r="E409">
        <v>1</v>
      </c>
      <c r="F409" t="str">
        <f>IF(final_data787[[#This Row],[MONTH_CODE]]=1,"JANUARY",IF(final_data787[[#This Row],[MONTH_CODE]]=2,"FEBRUARY"))</f>
        <v>JANUARY</v>
      </c>
      <c r="G409">
        <v>23</v>
      </c>
      <c r="H409">
        <v>0</v>
      </c>
      <c r="I409">
        <v>2</v>
      </c>
      <c r="J4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409" t="str">
        <f>IF(final_data787[[#This Row],[DAY_CODE]]=0,"weekend",IF(final_data787[[#This Row],[DAY_CODE]]=1,"weekend","weekday"))</f>
        <v>weekday</v>
      </c>
      <c r="L409">
        <v>2</v>
      </c>
      <c r="M409" t="str">
        <f>IF(final_data787[[#This Row],[WEATHER_CODE]]=1,"clear",IF(final_data787[[#This Row],[WEATHER_CODE]]=2,"cloudy",IF(final_data787[[#This Row],[WEATHER_CODE]]=3,"light rain",IF(final_data787[[#This Row],[WEATHER_CODE]]=4,"heavy rain",0))))</f>
        <v>cloudy</v>
      </c>
      <c r="N409">
        <v>0.22</v>
      </c>
      <c r="O409">
        <v>0.2727</v>
      </c>
      <c r="P409">
        <v>0.93</v>
      </c>
      <c r="Q409">
        <v>0</v>
      </c>
      <c r="R409">
        <v>1</v>
      </c>
      <c r="S409">
        <v>19</v>
      </c>
      <c r="T409">
        <v>20</v>
      </c>
    </row>
    <row r="410" spans="1:20" x14ac:dyDescent="0.35">
      <c r="A410">
        <v>409</v>
      </c>
      <c r="B410" s="1">
        <v>40562</v>
      </c>
      <c r="C410">
        <v>1</v>
      </c>
      <c r="D410">
        <v>0</v>
      </c>
      <c r="E410">
        <v>1</v>
      </c>
      <c r="F410" t="str">
        <f>IF(final_data787[[#This Row],[MONTH_CODE]]=1,"JANUARY",IF(final_data787[[#This Row],[MONTH_CODE]]=2,"FEBRUARY"))</f>
        <v>JANUARY</v>
      </c>
      <c r="G410">
        <v>0</v>
      </c>
      <c r="H410">
        <v>0</v>
      </c>
      <c r="I410">
        <v>3</v>
      </c>
      <c r="J4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0" t="str">
        <f>IF(final_data787[[#This Row],[DAY_CODE]]=0,"weekend",IF(final_data787[[#This Row],[DAY_CODE]]=1,"weekend","weekday"))</f>
        <v>weekday</v>
      </c>
      <c r="L410">
        <v>2</v>
      </c>
      <c r="M410" t="str">
        <f>IF(final_data787[[#This Row],[WEATHER_CODE]]=1,"clear",IF(final_data787[[#This Row],[WEATHER_CODE]]=2,"cloudy",IF(final_data787[[#This Row],[WEATHER_CODE]]=3,"light rain",IF(final_data787[[#This Row],[WEATHER_CODE]]=4,"heavy rain",0))))</f>
        <v>cloudy</v>
      </c>
      <c r="N410">
        <v>0.22</v>
      </c>
      <c r="O410">
        <v>0.2727</v>
      </c>
      <c r="P410">
        <v>0.93</v>
      </c>
      <c r="Q410">
        <v>0</v>
      </c>
      <c r="R410">
        <v>0</v>
      </c>
      <c r="S410">
        <v>3</v>
      </c>
      <c r="T410">
        <v>3</v>
      </c>
    </row>
    <row r="411" spans="1:20" x14ac:dyDescent="0.35">
      <c r="A411">
        <v>410</v>
      </c>
      <c r="B411" s="1">
        <v>40562</v>
      </c>
      <c r="C411">
        <v>1</v>
      </c>
      <c r="D411">
        <v>0</v>
      </c>
      <c r="E411">
        <v>1</v>
      </c>
      <c r="F411" t="str">
        <f>IF(final_data787[[#This Row],[MONTH_CODE]]=1,"JANUARY",IF(final_data787[[#This Row],[MONTH_CODE]]=2,"FEBRUARY"))</f>
        <v>JANUARY</v>
      </c>
      <c r="G411">
        <v>1</v>
      </c>
      <c r="H411">
        <v>0</v>
      </c>
      <c r="I411">
        <v>3</v>
      </c>
      <c r="J4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1" t="str">
        <f>IF(final_data787[[#This Row],[DAY_CODE]]=0,"weekend",IF(final_data787[[#This Row],[DAY_CODE]]=1,"weekend","weekday"))</f>
        <v>weekday</v>
      </c>
      <c r="L411">
        <v>3</v>
      </c>
      <c r="M411" t="str">
        <f>IF(final_data787[[#This Row],[WEATHER_CODE]]=1,"clear",IF(final_data787[[#This Row],[WEATHER_CODE]]=2,"cloudy",IF(final_data787[[#This Row],[WEATHER_CODE]]=3,"light rain",IF(final_data787[[#This Row],[WEATHER_CODE]]=4,"heavy rain",0))))</f>
        <v>light rain</v>
      </c>
      <c r="N411">
        <v>0.22</v>
      </c>
      <c r="O411">
        <v>0.2273</v>
      </c>
      <c r="P411">
        <v>0.93</v>
      </c>
      <c r="Q411">
        <v>0.1343</v>
      </c>
      <c r="R411">
        <v>1</v>
      </c>
      <c r="S411">
        <v>6</v>
      </c>
      <c r="T411">
        <v>7</v>
      </c>
    </row>
    <row r="412" spans="1:20" x14ac:dyDescent="0.35">
      <c r="A412">
        <v>411</v>
      </c>
      <c r="B412" s="1">
        <v>40562</v>
      </c>
      <c r="C412">
        <v>1</v>
      </c>
      <c r="D412">
        <v>0</v>
      </c>
      <c r="E412">
        <v>1</v>
      </c>
      <c r="F412" t="str">
        <f>IF(final_data787[[#This Row],[MONTH_CODE]]=1,"JANUARY",IF(final_data787[[#This Row],[MONTH_CODE]]=2,"FEBRUARY"))</f>
        <v>JANUARY</v>
      </c>
      <c r="G412">
        <v>2</v>
      </c>
      <c r="H412">
        <v>0</v>
      </c>
      <c r="I412">
        <v>3</v>
      </c>
      <c r="J4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2" t="str">
        <f>IF(final_data787[[#This Row],[DAY_CODE]]=0,"weekend",IF(final_data787[[#This Row],[DAY_CODE]]=1,"weekend","weekday"))</f>
        <v>weekday</v>
      </c>
      <c r="L412">
        <v>3</v>
      </c>
      <c r="M412" t="str">
        <f>IF(final_data787[[#This Row],[WEATHER_CODE]]=1,"clear",IF(final_data787[[#This Row],[WEATHER_CODE]]=2,"cloudy",IF(final_data787[[#This Row],[WEATHER_CODE]]=3,"light rain",IF(final_data787[[#This Row],[WEATHER_CODE]]=4,"heavy rain",0))))</f>
        <v>light rain</v>
      </c>
      <c r="N412">
        <v>0.22</v>
      </c>
      <c r="O412">
        <v>0.2273</v>
      </c>
      <c r="P412">
        <v>0.93</v>
      </c>
      <c r="Q412">
        <v>0.1343</v>
      </c>
      <c r="R412">
        <v>0</v>
      </c>
      <c r="S412">
        <v>3</v>
      </c>
      <c r="T412">
        <v>3</v>
      </c>
    </row>
    <row r="413" spans="1:20" x14ac:dyDescent="0.35">
      <c r="A413">
        <v>412</v>
      </c>
      <c r="B413" s="1">
        <v>40562</v>
      </c>
      <c r="C413">
        <v>1</v>
      </c>
      <c r="D413">
        <v>0</v>
      </c>
      <c r="E413">
        <v>1</v>
      </c>
      <c r="F413" t="str">
        <f>IF(final_data787[[#This Row],[MONTH_CODE]]=1,"JANUARY",IF(final_data787[[#This Row],[MONTH_CODE]]=2,"FEBRUARY"))</f>
        <v>JANUARY</v>
      </c>
      <c r="G413">
        <v>4</v>
      </c>
      <c r="H413">
        <v>0</v>
      </c>
      <c r="I413">
        <v>3</v>
      </c>
      <c r="J4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3" t="str">
        <f>IF(final_data787[[#This Row],[DAY_CODE]]=0,"weekend",IF(final_data787[[#This Row],[DAY_CODE]]=1,"weekend","weekday"))</f>
        <v>weekday</v>
      </c>
      <c r="L413">
        <v>3</v>
      </c>
      <c r="M413" t="str">
        <f>IF(final_data787[[#This Row],[WEATHER_CODE]]=1,"clear",IF(final_data787[[#This Row],[WEATHER_CODE]]=2,"cloudy",IF(final_data787[[#This Row],[WEATHER_CODE]]=3,"light rain",IF(final_data787[[#This Row],[WEATHER_CODE]]=4,"heavy rain",0))))</f>
        <v>light rain</v>
      </c>
      <c r="N413">
        <v>0.22</v>
      </c>
      <c r="O413">
        <v>0.2273</v>
      </c>
      <c r="P413">
        <v>0.93</v>
      </c>
      <c r="Q413">
        <v>0.1343</v>
      </c>
      <c r="R413">
        <v>1</v>
      </c>
      <c r="S413">
        <v>1</v>
      </c>
      <c r="T413">
        <v>2</v>
      </c>
    </row>
    <row r="414" spans="1:20" x14ac:dyDescent="0.35">
      <c r="A414">
        <v>413</v>
      </c>
      <c r="B414" s="1">
        <v>40562</v>
      </c>
      <c r="C414">
        <v>1</v>
      </c>
      <c r="D414">
        <v>0</v>
      </c>
      <c r="E414">
        <v>1</v>
      </c>
      <c r="F414" t="str">
        <f>IF(final_data787[[#This Row],[MONTH_CODE]]=1,"JANUARY",IF(final_data787[[#This Row],[MONTH_CODE]]=2,"FEBRUARY"))</f>
        <v>JANUARY</v>
      </c>
      <c r="G414">
        <v>5</v>
      </c>
      <c r="H414">
        <v>0</v>
      </c>
      <c r="I414">
        <v>3</v>
      </c>
      <c r="J4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4" t="str">
        <f>IF(final_data787[[#This Row],[DAY_CODE]]=0,"weekend",IF(final_data787[[#This Row],[DAY_CODE]]=1,"weekend","weekday"))</f>
        <v>weekday</v>
      </c>
      <c r="L414">
        <v>2</v>
      </c>
      <c r="M414" t="str">
        <f>IF(final_data787[[#This Row],[WEATHER_CODE]]=1,"clear",IF(final_data787[[#This Row],[WEATHER_CODE]]=2,"cloudy",IF(final_data787[[#This Row],[WEATHER_CODE]]=3,"light rain",IF(final_data787[[#This Row],[WEATHER_CODE]]=4,"heavy rain",0))))</f>
        <v>cloudy</v>
      </c>
      <c r="N414">
        <v>0.22</v>
      </c>
      <c r="O414">
        <v>0.2576</v>
      </c>
      <c r="P414">
        <v>0.93</v>
      </c>
      <c r="Q414">
        <v>8.9599999999999999E-2</v>
      </c>
      <c r="R414">
        <v>0</v>
      </c>
      <c r="S414">
        <v>7</v>
      </c>
      <c r="T414">
        <v>7</v>
      </c>
    </row>
    <row r="415" spans="1:20" x14ac:dyDescent="0.35">
      <c r="A415">
        <v>414</v>
      </c>
      <c r="B415" s="1">
        <v>40562</v>
      </c>
      <c r="C415">
        <v>1</v>
      </c>
      <c r="D415">
        <v>0</v>
      </c>
      <c r="E415">
        <v>1</v>
      </c>
      <c r="F415" t="str">
        <f>IF(final_data787[[#This Row],[MONTH_CODE]]=1,"JANUARY",IF(final_data787[[#This Row],[MONTH_CODE]]=2,"FEBRUARY"))</f>
        <v>JANUARY</v>
      </c>
      <c r="G415">
        <v>6</v>
      </c>
      <c r="H415">
        <v>0</v>
      </c>
      <c r="I415">
        <v>3</v>
      </c>
      <c r="J4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5" t="str">
        <f>IF(final_data787[[#This Row],[DAY_CODE]]=0,"weekend",IF(final_data787[[#This Row],[DAY_CODE]]=1,"weekend","weekday"))</f>
        <v>weekday</v>
      </c>
      <c r="L415">
        <v>2</v>
      </c>
      <c r="M415" t="str">
        <f>IF(final_data787[[#This Row],[WEATHER_CODE]]=1,"clear",IF(final_data787[[#This Row],[WEATHER_CODE]]=2,"cloudy",IF(final_data787[[#This Row],[WEATHER_CODE]]=3,"light rain",IF(final_data787[[#This Row],[WEATHER_CODE]]=4,"heavy rain",0))))</f>
        <v>cloudy</v>
      </c>
      <c r="N415">
        <v>0.22</v>
      </c>
      <c r="O415">
        <v>0.2576</v>
      </c>
      <c r="P415">
        <v>0.93</v>
      </c>
      <c r="Q415">
        <v>8.9599999999999999E-2</v>
      </c>
      <c r="R415">
        <v>0</v>
      </c>
      <c r="S415">
        <v>32</v>
      </c>
      <c r="T415">
        <v>32</v>
      </c>
    </row>
    <row r="416" spans="1:20" x14ac:dyDescent="0.35">
      <c r="A416">
        <v>415</v>
      </c>
      <c r="B416" s="1">
        <v>40562</v>
      </c>
      <c r="C416">
        <v>1</v>
      </c>
      <c r="D416">
        <v>0</v>
      </c>
      <c r="E416">
        <v>1</v>
      </c>
      <c r="F416" t="str">
        <f>IF(final_data787[[#This Row],[MONTH_CODE]]=1,"JANUARY",IF(final_data787[[#This Row],[MONTH_CODE]]=2,"FEBRUARY"))</f>
        <v>JANUARY</v>
      </c>
      <c r="G416">
        <v>7</v>
      </c>
      <c r="H416">
        <v>0</v>
      </c>
      <c r="I416">
        <v>3</v>
      </c>
      <c r="J4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6" t="str">
        <f>IF(final_data787[[#This Row],[DAY_CODE]]=0,"weekend",IF(final_data787[[#This Row],[DAY_CODE]]=1,"weekend","weekday"))</f>
        <v>weekday</v>
      </c>
      <c r="L416">
        <v>2</v>
      </c>
      <c r="M416" t="str">
        <f>IF(final_data787[[#This Row],[WEATHER_CODE]]=1,"clear",IF(final_data787[[#This Row],[WEATHER_CODE]]=2,"cloudy",IF(final_data787[[#This Row],[WEATHER_CODE]]=3,"light rain",IF(final_data787[[#This Row],[WEATHER_CODE]]=4,"heavy rain",0))))</f>
        <v>cloudy</v>
      </c>
      <c r="N416">
        <v>0.24</v>
      </c>
      <c r="O416">
        <v>0.2576</v>
      </c>
      <c r="P416">
        <v>0.92</v>
      </c>
      <c r="Q416">
        <v>0.1045</v>
      </c>
      <c r="R416">
        <v>1</v>
      </c>
      <c r="S416">
        <v>89</v>
      </c>
      <c r="T416">
        <v>90</v>
      </c>
    </row>
    <row r="417" spans="1:20" x14ac:dyDescent="0.35">
      <c r="A417">
        <v>416</v>
      </c>
      <c r="B417" s="1">
        <v>40562</v>
      </c>
      <c r="C417">
        <v>1</v>
      </c>
      <c r="D417">
        <v>0</v>
      </c>
      <c r="E417">
        <v>1</v>
      </c>
      <c r="F417" t="str">
        <f>IF(final_data787[[#This Row],[MONTH_CODE]]=1,"JANUARY",IF(final_data787[[#This Row],[MONTH_CODE]]=2,"FEBRUARY"))</f>
        <v>JANUARY</v>
      </c>
      <c r="G417">
        <v>8</v>
      </c>
      <c r="H417">
        <v>0</v>
      </c>
      <c r="I417">
        <v>3</v>
      </c>
      <c r="J4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7" t="str">
        <f>IF(final_data787[[#This Row],[DAY_CODE]]=0,"weekend",IF(final_data787[[#This Row],[DAY_CODE]]=1,"weekend","weekday"))</f>
        <v>weekday</v>
      </c>
      <c r="L417">
        <v>2</v>
      </c>
      <c r="M417" t="str">
        <f>IF(final_data787[[#This Row],[WEATHER_CODE]]=1,"clear",IF(final_data787[[#This Row],[WEATHER_CODE]]=2,"cloudy",IF(final_data787[[#This Row],[WEATHER_CODE]]=3,"light rain",IF(final_data787[[#This Row],[WEATHER_CODE]]=4,"heavy rain",0))))</f>
        <v>cloudy</v>
      </c>
      <c r="N417">
        <v>0.24</v>
      </c>
      <c r="O417">
        <v>0.2576</v>
      </c>
      <c r="P417">
        <v>0.93</v>
      </c>
      <c r="Q417">
        <v>0.1045</v>
      </c>
      <c r="R417">
        <v>1</v>
      </c>
      <c r="S417">
        <v>196</v>
      </c>
      <c r="T417">
        <v>197</v>
      </c>
    </row>
    <row r="418" spans="1:20" x14ac:dyDescent="0.35">
      <c r="A418">
        <v>417</v>
      </c>
      <c r="B418" s="1">
        <v>40562</v>
      </c>
      <c r="C418">
        <v>1</v>
      </c>
      <c r="D418">
        <v>0</v>
      </c>
      <c r="E418">
        <v>1</v>
      </c>
      <c r="F418" t="str">
        <f>IF(final_data787[[#This Row],[MONTH_CODE]]=1,"JANUARY",IF(final_data787[[#This Row],[MONTH_CODE]]=2,"FEBRUARY"))</f>
        <v>JANUARY</v>
      </c>
      <c r="G418">
        <v>9</v>
      </c>
      <c r="H418">
        <v>0</v>
      </c>
      <c r="I418">
        <v>3</v>
      </c>
      <c r="J4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8" t="str">
        <f>IF(final_data787[[#This Row],[DAY_CODE]]=0,"weekend",IF(final_data787[[#This Row],[DAY_CODE]]=1,"weekend","weekday"))</f>
        <v>weekday</v>
      </c>
      <c r="L418">
        <v>2</v>
      </c>
      <c r="M418" t="str">
        <f>IF(final_data787[[#This Row],[WEATHER_CODE]]=1,"clear",IF(final_data787[[#This Row],[WEATHER_CODE]]=2,"cloudy",IF(final_data787[[#This Row],[WEATHER_CODE]]=3,"light rain",IF(final_data787[[#This Row],[WEATHER_CODE]]=4,"heavy rain",0))))</f>
        <v>cloudy</v>
      </c>
      <c r="N418">
        <v>0.24</v>
      </c>
      <c r="O418">
        <v>0.2576</v>
      </c>
      <c r="P418">
        <v>0.93</v>
      </c>
      <c r="Q418">
        <v>0.1045</v>
      </c>
      <c r="R418">
        <v>2</v>
      </c>
      <c r="S418">
        <v>107</v>
      </c>
      <c r="T418">
        <v>109</v>
      </c>
    </row>
    <row r="419" spans="1:20" x14ac:dyDescent="0.35">
      <c r="A419">
        <v>418</v>
      </c>
      <c r="B419" s="1">
        <v>40562</v>
      </c>
      <c r="C419">
        <v>1</v>
      </c>
      <c r="D419">
        <v>0</v>
      </c>
      <c r="E419">
        <v>1</v>
      </c>
      <c r="F419" t="str">
        <f>IF(final_data787[[#This Row],[MONTH_CODE]]=1,"JANUARY",IF(final_data787[[#This Row],[MONTH_CODE]]=2,"FEBRUARY"))</f>
        <v>JANUARY</v>
      </c>
      <c r="G419">
        <v>10</v>
      </c>
      <c r="H419">
        <v>0</v>
      </c>
      <c r="I419">
        <v>3</v>
      </c>
      <c r="J4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19" t="str">
        <f>IF(final_data787[[#This Row],[DAY_CODE]]=0,"weekend",IF(final_data787[[#This Row],[DAY_CODE]]=1,"weekend","weekday"))</f>
        <v>weekday</v>
      </c>
      <c r="L419">
        <v>2</v>
      </c>
      <c r="M419" t="str">
        <f>IF(final_data787[[#This Row],[WEATHER_CODE]]=1,"clear",IF(final_data787[[#This Row],[WEATHER_CODE]]=2,"cloudy",IF(final_data787[[#This Row],[WEATHER_CODE]]=3,"light rain",IF(final_data787[[#This Row],[WEATHER_CODE]]=4,"heavy rain",0))))</f>
        <v>cloudy</v>
      </c>
      <c r="N419">
        <v>0.26</v>
      </c>
      <c r="O419">
        <v>0.2727</v>
      </c>
      <c r="P419">
        <v>0.93</v>
      </c>
      <c r="Q419">
        <v>0.1343</v>
      </c>
      <c r="R419">
        <v>1</v>
      </c>
      <c r="S419">
        <v>46</v>
      </c>
      <c r="T419">
        <v>47</v>
      </c>
    </row>
    <row r="420" spans="1:20" x14ac:dyDescent="0.35">
      <c r="A420">
        <v>419</v>
      </c>
      <c r="B420" s="1">
        <v>40562</v>
      </c>
      <c r="C420">
        <v>1</v>
      </c>
      <c r="D420">
        <v>0</v>
      </c>
      <c r="E420">
        <v>1</v>
      </c>
      <c r="F420" t="str">
        <f>IF(final_data787[[#This Row],[MONTH_CODE]]=1,"JANUARY",IF(final_data787[[#This Row],[MONTH_CODE]]=2,"FEBRUARY"))</f>
        <v>JANUARY</v>
      </c>
      <c r="G420">
        <v>11</v>
      </c>
      <c r="H420">
        <v>0</v>
      </c>
      <c r="I420">
        <v>3</v>
      </c>
      <c r="J4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0" t="str">
        <f>IF(final_data787[[#This Row],[DAY_CODE]]=0,"weekend",IF(final_data787[[#This Row],[DAY_CODE]]=1,"weekend","weekday"))</f>
        <v>weekday</v>
      </c>
      <c r="L420">
        <v>2</v>
      </c>
      <c r="M420" t="str">
        <f>IF(final_data787[[#This Row],[WEATHER_CODE]]=1,"clear",IF(final_data787[[#This Row],[WEATHER_CODE]]=2,"cloudy",IF(final_data787[[#This Row],[WEATHER_CODE]]=3,"light rain",IF(final_data787[[#This Row],[WEATHER_CODE]]=4,"heavy rain",0))))</f>
        <v>cloudy</v>
      </c>
      <c r="N420">
        <v>0.28000000000000003</v>
      </c>
      <c r="O420">
        <v>0.30299999999999999</v>
      </c>
      <c r="P420">
        <v>0.87</v>
      </c>
      <c r="Q420">
        <v>8.9599999999999999E-2</v>
      </c>
      <c r="R420">
        <v>5</v>
      </c>
      <c r="S420">
        <v>47</v>
      </c>
      <c r="T420">
        <v>52</v>
      </c>
    </row>
    <row r="421" spans="1:20" x14ac:dyDescent="0.35">
      <c r="A421">
        <v>420</v>
      </c>
      <c r="B421" s="1">
        <v>40562</v>
      </c>
      <c r="C421">
        <v>1</v>
      </c>
      <c r="D421">
        <v>0</v>
      </c>
      <c r="E421">
        <v>1</v>
      </c>
      <c r="F421" t="str">
        <f>IF(final_data787[[#This Row],[MONTH_CODE]]=1,"JANUARY",IF(final_data787[[#This Row],[MONTH_CODE]]=2,"FEBRUARY"))</f>
        <v>JANUARY</v>
      </c>
      <c r="G421">
        <v>12</v>
      </c>
      <c r="H421">
        <v>0</v>
      </c>
      <c r="I421">
        <v>3</v>
      </c>
      <c r="J4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1" t="str">
        <f>IF(final_data787[[#This Row],[DAY_CODE]]=0,"weekend",IF(final_data787[[#This Row],[DAY_CODE]]=1,"weekend","weekday"))</f>
        <v>weekday</v>
      </c>
      <c r="L421">
        <v>2</v>
      </c>
      <c r="M421" t="str">
        <f>IF(final_data787[[#This Row],[WEATHER_CODE]]=1,"clear",IF(final_data787[[#This Row],[WEATHER_CODE]]=2,"cloudy",IF(final_data787[[#This Row],[WEATHER_CODE]]=3,"light rain",IF(final_data787[[#This Row],[WEATHER_CODE]]=4,"heavy rain",0))))</f>
        <v>cloudy</v>
      </c>
      <c r="N421">
        <v>0.3</v>
      </c>
      <c r="O421">
        <v>0.31819999999999998</v>
      </c>
      <c r="P421">
        <v>0.81</v>
      </c>
      <c r="Q421">
        <v>8.9599999999999999E-2</v>
      </c>
      <c r="R421">
        <v>5</v>
      </c>
      <c r="S421">
        <v>65</v>
      </c>
      <c r="T421">
        <v>70</v>
      </c>
    </row>
    <row r="422" spans="1:20" x14ac:dyDescent="0.35">
      <c r="A422">
        <v>421</v>
      </c>
      <c r="B422" s="1">
        <v>40562</v>
      </c>
      <c r="C422">
        <v>1</v>
      </c>
      <c r="D422">
        <v>0</v>
      </c>
      <c r="E422">
        <v>1</v>
      </c>
      <c r="F422" t="str">
        <f>IF(final_data787[[#This Row],[MONTH_CODE]]=1,"JANUARY",IF(final_data787[[#This Row],[MONTH_CODE]]=2,"FEBRUARY"))</f>
        <v>JANUARY</v>
      </c>
      <c r="G422">
        <v>13</v>
      </c>
      <c r="H422">
        <v>0</v>
      </c>
      <c r="I422">
        <v>3</v>
      </c>
      <c r="J4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2" t="str">
        <f>IF(final_data787[[#This Row],[DAY_CODE]]=0,"weekend",IF(final_data787[[#This Row],[DAY_CODE]]=1,"weekend","weekday"))</f>
        <v>weekday</v>
      </c>
      <c r="L422">
        <v>1</v>
      </c>
      <c r="M422" t="str">
        <f>IF(final_data787[[#This Row],[WEATHER_CODE]]=1,"clear",IF(final_data787[[#This Row],[WEATHER_CODE]]=2,"cloudy",IF(final_data787[[#This Row],[WEATHER_CODE]]=3,"light rain",IF(final_data787[[#This Row],[WEATHER_CODE]]=4,"heavy rain",0))))</f>
        <v>clear</v>
      </c>
      <c r="N422">
        <v>0.4</v>
      </c>
      <c r="O422">
        <v>0.40910000000000002</v>
      </c>
      <c r="P422">
        <v>0.62</v>
      </c>
      <c r="Q422">
        <v>0.28360000000000002</v>
      </c>
      <c r="R422">
        <v>11</v>
      </c>
      <c r="S422">
        <v>67</v>
      </c>
      <c r="T422">
        <v>78</v>
      </c>
    </row>
    <row r="423" spans="1:20" x14ac:dyDescent="0.35">
      <c r="A423">
        <v>422</v>
      </c>
      <c r="B423" s="1">
        <v>40562</v>
      </c>
      <c r="C423">
        <v>1</v>
      </c>
      <c r="D423">
        <v>0</v>
      </c>
      <c r="E423">
        <v>1</v>
      </c>
      <c r="F423" t="str">
        <f>IF(final_data787[[#This Row],[MONTH_CODE]]=1,"JANUARY",IF(final_data787[[#This Row],[MONTH_CODE]]=2,"FEBRUARY"))</f>
        <v>JANUARY</v>
      </c>
      <c r="G423">
        <v>14</v>
      </c>
      <c r="H423">
        <v>0</v>
      </c>
      <c r="I423">
        <v>3</v>
      </c>
      <c r="J4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3" t="str">
        <f>IF(final_data787[[#This Row],[DAY_CODE]]=0,"weekend",IF(final_data787[[#This Row],[DAY_CODE]]=1,"weekend","weekday"))</f>
        <v>weekday</v>
      </c>
      <c r="L423">
        <v>1</v>
      </c>
      <c r="M423" t="str">
        <f>IF(final_data787[[#This Row],[WEATHER_CODE]]=1,"clear",IF(final_data787[[#This Row],[WEATHER_CODE]]=2,"cloudy",IF(final_data787[[#This Row],[WEATHER_CODE]]=3,"light rain",IF(final_data787[[#This Row],[WEATHER_CODE]]=4,"heavy rain",0))))</f>
        <v>clear</v>
      </c>
      <c r="N423">
        <v>0.4</v>
      </c>
      <c r="O423">
        <v>0.40910000000000002</v>
      </c>
      <c r="P423">
        <v>0.57999999999999996</v>
      </c>
      <c r="Q423">
        <v>0.25369999999999998</v>
      </c>
      <c r="R423">
        <v>7</v>
      </c>
      <c r="S423">
        <v>68</v>
      </c>
      <c r="T423">
        <v>75</v>
      </c>
    </row>
    <row r="424" spans="1:20" x14ac:dyDescent="0.35">
      <c r="A424">
        <v>423</v>
      </c>
      <c r="B424" s="1">
        <v>40562</v>
      </c>
      <c r="C424">
        <v>1</v>
      </c>
      <c r="D424">
        <v>0</v>
      </c>
      <c r="E424">
        <v>1</v>
      </c>
      <c r="F424" t="str">
        <f>IF(final_data787[[#This Row],[MONTH_CODE]]=1,"JANUARY",IF(final_data787[[#This Row],[MONTH_CODE]]=2,"FEBRUARY"))</f>
        <v>JANUARY</v>
      </c>
      <c r="G424">
        <v>15</v>
      </c>
      <c r="H424">
        <v>0</v>
      </c>
      <c r="I424">
        <v>3</v>
      </c>
      <c r="J4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4" t="str">
        <f>IF(final_data787[[#This Row],[DAY_CODE]]=0,"weekend",IF(final_data787[[#This Row],[DAY_CODE]]=1,"weekend","weekday"))</f>
        <v>weekday</v>
      </c>
      <c r="L424">
        <v>1</v>
      </c>
      <c r="M424" t="str">
        <f>IF(final_data787[[#This Row],[WEATHER_CODE]]=1,"clear",IF(final_data787[[#This Row],[WEATHER_CODE]]=2,"cloudy",IF(final_data787[[#This Row],[WEATHER_CODE]]=3,"light rain",IF(final_data787[[#This Row],[WEATHER_CODE]]=4,"heavy rain",0))))</f>
        <v>clear</v>
      </c>
      <c r="N424">
        <v>0.4</v>
      </c>
      <c r="O424">
        <v>0.40910000000000002</v>
      </c>
      <c r="P424">
        <v>0.54</v>
      </c>
      <c r="Q424">
        <v>0.28360000000000002</v>
      </c>
      <c r="R424">
        <v>4</v>
      </c>
      <c r="S424">
        <v>78</v>
      </c>
      <c r="T424">
        <v>82</v>
      </c>
    </row>
    <row r="425" spans="1:20" x14ac:dyDescent="0.35">
      <c r="A425">
        <v>424</v>
      </c>
      <c r="B425" s="1">
        <v>40562</v>
      </c>
      <c r="C425">
        <v>1</v>
      </c>
      <c r="D425">
        <v>0</v>
      </c>
      <c r="E425">
        <v>1</v>
      </c>
      <c r="F425" t="str">
        <f>IF(final_data787[[#This Row],[MONTH_CODE]]=1,"JANUARY",IF(final_data787[[#This Row],[MONTH_CODE]]=2,"FEBRUARY"))</f>
        <v>JANUARY</v>
      </c>
      <c r="G425">
        <v>16</v>
      </c>
      <c r="H425">
        <v>0</v>
      </c>
      <c r="I425">
        <v>3</v>
      </c>
      <c r="J4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5" t="str">
        <f>IF(final_data787[[#This Row],[DAY_CODE]]=0,"weekend",IF(final_data787[[#This Row],[DAY_CODE]]=1,"weekend","weekday"))</f>
        <v>weekday</v>
      </c>
      <c r="L425">
        <v>1</v>
      </c>
      <c r="M425" t="str">
        <f>IF(final_data787[[#This Row],[WEATHER_CODE]]=1,"clear",IF(final_data787[[#This Row],[WEATHER_CODE]]=2,"cloudy",IF(final_data787[[#This Row],[WEATHER_CODE]]=3,"light rain",IF(final_data787[[#This Row],[WEATHER_CODE]]=4,"heavy rain",0))))</f>
        <v>clear</v>
      </c>
      <c r="N425">
        <v>0.38</v>
      </c>
      <c r="O425">
        <v>0.39389999999999997</v>
      </c>
      <c r="P425">
        <v>0.57999999999999996</v>
      </c>
      <c r="Q425">
        <v>0.3881</v>
      </c>
      <c r="R425">
        <v>10</v>
      </c>
      <c r="S425">
        <v>94</v>
      </c>
      <c r="T425">
        <v>104</v>
      </c>
    </row>
    <row r="426" spans="1:20" x14ac:dyDescent="0.35">
      <c r="A426">
        <v>425</v>
      </c>
      <c r="B426" s="1">
        <v>40562</v>
      </c>
      <c r="C426">
        <v>1</v>
      </c>
      <c r="D426">
        <v>0</v>
      </c>
      <c r="E426">
        <v>1</v>
      </c>
      <c r="F426" t="str">
        <f>IF(final_data787[[#This Row],[MONTH_CODE]]=1,"JANUARY",IF(final_data787[[#This Row],[MONTH_CODE]]=2,"FEBRUARY"))</f>
        <v>JANUARY</v>
      </c>
      <c r="G426">
        <v>17</v>
      </c>
      <c r="H426">
        <v>0</v>
      </c>
      <c r="I426">
        <v>3</v>
      </c>
      <c r="J4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6" t="str">
        <f>IF(final_data787[[#This Row],[DAY_CODE]]=0,"weekend",IF(final_data787[[#This Row],[DAY_CODE]]=1,"weekend","weekday"))</f>
        <v>weekday</v>
      </c>
      <c r="L426">
        <v>1</v>
      </c>
      <c r="M426" t="str">
        <f>IF(final_data787[[#This Row],[WEATHER_CODE]]=1,"clear",IF(final_data787[[#This Row],[WEATHER_CODE]]=2,"cloudy",IF(final_data787[[#This Row],[WEATHER_CODE]]=3,"light rain",IF(final_data787[[#This Row],[WEATHER_CODE]]=4,"heavy rain",0))))</f>
        <v>clear</v>
      </c>
      <c r="N426">
        <v>0.36</v>
      </c>
      <c r="O426">
        <v>0.33329999999999999</v>
      </c>
      <c r="P426">
        <v>0.56999999999999995</v>
      </c>
      <c r="Q426">
        <v>0.32840000000000003</v>
      </c>
      <c r="R426">
        <v>7</v>
      </c>
      <c r="S426">
        <v>190</v>
      </c>
      <c r="T426">
        <v>197</v>
      </c>
    </row>
    <row r="427" spans="1:20" x14ac:dyDescent="0.35">
      <c r="A427">
        <v>426</v>
      </c>
      <c r="B427" s="1">
        <v>40562</v>
      </c>
      <c r="C427">
        <v>1</v>
      </c>
      <c r="D427">
        <v>0</v>
      </c>
      <c r="E427">
        <v>1</v>
      </c>
      <c r="F427" t="str">
        <f>IF(final_data787[[#This Row],[MONTH_CODE]]=1,"JANUARY",IF(final_data787[[#This Row],[MONTH_CODE]]=2,"FEBRUARY"))</f>
        <v>JANUARY</v>
      </c>
      <c r="G427">
        <v>18</v>
      </c>
      <c r="H427">
        <v>0</v>
      </c>
      <c r="I427">
        <v>3</v>
      </c>
      <c r="J4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7" t="str">
        <f>IF(final_data787[[#This Row],[DAY_CODE]]=0,"weekend",IF(final_data787[[#This Row],[DAY_CODE]]=1,"weekend","weekday"))</f>
        <v>weekday</v>
      </c>
      <c r="L427">
        <v>1</v>
      </c>
      <c r="M427" t="str">
        <f>IF(final_data787[[#This Row],[WEATHER_CODE]]=1,"clear",IF(final_data787[[#This Row],[WEATHER_CODE]]=2,"cloudy",IF(final_data787[[#This Row],[WEATHER_CODE]]=3,"light rain",IF(final_data787[[#This Row],[WEATHER_CODE]]=4,"heavy rain",0))))</f>
        <v>clear</v>
      </c>
      <c r="N427">
        <v>0.34</v>
      </c>
      <c r="O427">
        <v>0.31819999999999998</v>
      </c>
      <c r="P427">
        <v>0.61</v>
      </c>
      <c r="Q427">
        <v>0.28360000000000002</v>
      </c>
      <c r="R427">
        <v>5</v>
      </c>
      <c r="S427">
        <v>156</v>
      </c>
      <c r="T427">
        <v>161</v>
      </c>
    </row>
    <row r="428" spans="1:20" x14ac:dyDescent="0.35">
      <c r="A428">
        <v>427</v>
      </c>
      <c r="B428" s="1">
        <v>40562</v>
      </c>
      <c r="C428">
        <v>1</v>
      </c>
      <c r="D428">
        <v>0</v>
      </c>
      <c r="E428">
        <v>1</v>
      </c>
      <c r="F428" t="str">
        <f>IF(final_data787[[#This Row],[MONTH_CODE]]=1,"JANUARY",IF(final_data787[[#This Row],[MONTH_CODE]]=2,"FEBRUARY"))</f>
        <v>JANUARY</v>
      </c>
      <c r="G428">
        <v>19</v>
      </c>
      <c r="H428">
        <v>0</v>
      </c>
      <c r="I428">
        <v>3</v>
      </c>
      <c r="J4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8" t="str">
        <f>IF(final_data787[[#This Row],[DAY_CODE]]=0,"weekend",IF(final_data787[[#This Row],[DAY_CODE]]=1,"weekend","weekday"))</f>
        <v>weekday</v>
      </c>
      <c r="L428">
        <v>1</v>
      </c>
      <c r="M428" t="str">
        <f>IF(final_data787[[#This Row],[WEATHER_CODE]]=1,"clear",IF(final_data787[[#This Row],[WEATHER_CODE]]=2,"cloudy",IF(final_data787[[#This Row],[WEATHER_CODE]]=3,"light rain",IF(final_data787[[#This Row],[WEATHER_CODE]]=4,"heavy rain",0))))</f>
        <v>clear</v>
      </c>
      <c r="N428">
        <v>0.32</v>
      </c>
      <c r="O428">
        <v>0.28789999999999999</v>
      </c>
      <c r="P428">
        <v>0.56999999999999995</v>
      </c>
      <c r="Q428">
        <v>0.41789999999999999</v>
      </c>
      <c r="R428">
        <v>4</v>
      </c>
      <c r="S428">
        <v>108</v>
      </c>
      <c r="T428">
        <v>112</v>
      </c>
    </row>
    <row r="429" spans="1:20" x14ac:dyDescent="0.35">
      <c r="A429">
        <v>428</v>
      </c>
      <c r="B429" s="1">
        <v>40562</v>
      </c>
      <c r="C429">
        <v>1</v>
      </c>
      <c r="D429">
        <v>0</v>
      </c>
      <c r="E429">
        <v>1</v>
      </c>
      <c r="F429" t="str">
        <f>IF(final_data787[[#This Row],[MONTH_CODE]]=1,"JANUARY",IF(final_data787[[#This Row],[MONTH_CODE]]=2,"FEBRUARY"))</f>
        <v>JANUARY</v>
      </c>
      <c r="G429">
        <v>20</v>
      </c>
      <c r="H429">
        <v>0</v>
      </c>
      <c r="I429">
        <v>3</v>
      </c>
      <c r="J4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29" t="str">
        <f>IF(final_data787[[#This Row],[DAY_CODE]]=0,"weekend",IF(final_data787[[#This Row],[DAY_CODE]]=1,"weekend","weekday"))</f>
        <v>weekday</v>
      </c>
      <c r="L429">
        <v>1</v>
      </c>
      <c r="M429" t="str">
        <f>IF(final_data787[[#This Row],[WEATHER_CODE]]=1,"clear",IF(final_data787[[#This Row],[WEATHER_CODE]]=2,"cloudy",IF(final_data787[[#This Row],[WEATHER_CODE]]=3,"light rain",IF(final_data787[[#This Row],[WEATHER_CODE]]=4,"heavy rain",0))))</f>
        <v>clear</v>
      </c>
      <c r="N429">
        <v>0.32</v>
      </c>
      <c r="O429">
        <v>0.30299999999999999</v>
      </c>
      <c r="P429">
        <v>0.49</v>
      </c>
      <c r="Q429">
        <v>0.29849999999999999</v>
      </c>
      <c r="R429">
        <v>2</v>
      </c>
      <c r="S429">
        <v>74</v>
      </c>
      <c r="T429">
        <v>76</v>
      </c>
    </row>
    <row r="430" spans="1:20" x14ac:dyDescent="0.35">
      <c r="A430">
        <v>429</v>
      </c>
      <c r="B430" s="1">
        <v>40562</v>
      </c>
      <c r="C430">
        <v>1</v>
      </c>
      <c r="D430">
        <v>0</v>
      </c>
      <c r="E430">
        <v>1</v>
      </c>
      <c r="F430" t="str">
        <f>IF(final_data787[[#This Row],[MONTH_CODE]]=1,"JANUARY",IF(final_data787[[#This Row],[MONTH_CODE]]=2,"FEBRUARY"))</f>
        <v>JANUARY</v>
      </c>
      <c r="G430">
        <v>21</v>
      </c>
      <c r="H430">
        <v>0</v>
      </c>
      <c r="I430">
        <v>3</v>
      </c>
      <c r="J4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30" t="str">
        <f>IF(final_data787[[#This Row],[DAY_CODE]]=0,"weekend",IF(final_data787[[#This Row],[DAY_CODE]]=1,"weekend","weekday"))</f>
        <v>weekday</v>
      </c>
      <c r="L430">
        <v>1</v>
      </c>
      <c r="M430" t="str">
        <f>IF(final_data787[[#This Row],[WEATHER_CODE]]=1,"clear",IF(final_data787[[#This Row],[WEATHER_CODE]]=2,"cloudy",IF(final_data787[[#This Row],[WEATHER_CODE]]=3,"light rain",IF(final_data787[[#This Row],[WEATHER_CODE]]=4,"heavy rain",0))))</f>
        <v>clear</v>
      </c>
      <c r="N430">
        <v>0.32</v>
      </c>
      <c r="O430">
        <v>0.28789999999999999</v>
      </c>
      <c r="P430">
        <v>0.49</v>
      </c>
      <c r="Q430">
        <v>0.41789999999999999</v>
      </c>
      <c r="R430">
        <v>4</v>
      </c>
      <c r="S430">
        <v>55</v>
      </c>
      <c r="T430">
        <v>59</v>
      </c>
    </row>
    <row r="431" spans="1:20" x14ac:dyDescent="0.35">
      <c r="A431">
        <v>430</v>
      </c>
      <c r="B431" s="1">
        <v>40562</v>
      </c>
      <c r="C431">
        <v>1</v>
      </c>
      <c r="D431">
        <v>0</v>
      </c>
      <c r="E431">
        <v>1</v>
      </c>
      <c r="F431" t="str">
        <f>IF(final_data787[[#This Row],[MONTH_CODE]]=1,"JANUARY",IF(final_data787[[#This Row],[MONTH_CODE]]=2,"FEBRUARY"))</f>
        <v>JANUARY</v>
      </c>
      <c r="G431">
        <v>22</v>
      </c>
      <c r="H431">
        <v>0</v>
      </c>
      <c r="I431">
        <v>3</v>
      </c>
      <c r="J4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31" t="str">
        <f>IF(final_data787[[#This Row],[DAY_CODE]]=0,"weekend",IF(final_data787[[#This Row],[DAY_CODE]]=1,"weekend","weekday"))</f>
        <v>weekday</v>
      </c>
      <c r="L431">
        <v>1</v>
      </c>
      <c r="M431" t="str">
        <f>IF(final_data787[[#This Row],[WEATHER_CODE]]=1,"clear",IF(final_data787[[#This Row],[WEATHER_CODE]]=2,"cloudy",IF(final_data787[[#This Row],[WEATHER_CODE]]=3,"light rain",IF(final_data787[[#This Row],[WEATHER_CODE]]=4,"heavy rain",0))))</f>
        <v>clear</v>
      </c>
      <c r="N431">
        <v>0.3</v>
      </c>
      <c r="O431">
        <v>0.30299999999999999</v>
      </c>
      <c r="P431">
        <v>0.52</v>
      </c>
      <c r="Q431">
        <v>0.16420000000000001</v>
      </c>
      <c r="R431">
        <v>6</v>
      </c>
      <c r="S431">
        <v>53</v>
      </c>
      <c r="T431">
        <v>59</v>
      </c>
    </row>
    <row r="432" spans="1:20" x14ac:dyDescent="0.35">
      <c r="A432">
        <v>431</v>
      </c>
      <c r="B432" s="1">
        <v>40562</v>
      </c>
      <c r="C432">
        <v>1</v>
      </c>
      <c r="D432">
        <v>0</v>
      </c>
      <c r="E432">
        <v>1</v>
      </c>
      <c r="F432" t="str">
        <f>IF(final_data787[[#This Row],[MONTH_CODE]]=1,"JANUARY",IF(final_data787[[#This Row],[MONTH_CODE]]=2,"FEBRUARY"))</f>
        <v>JANUARY</v>
      </c>
      <c r="G432">
        <v>23</v>
      </c>
      <c r="H432">
        <v>0</v>
      </c>
      <c r="I432">
        <v>3</v>
      </c>
      <c r="J4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432" t="str">
        <f>IF(final_data787[[#This Row],[DAY_CODE]]=0,"weekend",IF(final_data787[[#This Row],[DAY_CODE]]=1,"weekend","weekday"))</f>
        <v>weekday</v>
      </c>
      <c r="L432">
        <v>1</v>
      </c>
      <c r="M432" t="str">
        <f>IF(final_data787[[#This Row],[WEATHER_CODE]]=1,"clear",IF(final_data787[[#This Row],[WEATHER_CODE]]=2,"cloudy",IF(final_data787[[#This Row],[WEATHER_CODE]]=3,"light rain",IF(final_data787[[#This Row],[WEATHER_CODE]]=4,"heavy rain",0))))</f>
        <v>clear</v>
      </c>
      <c r="N432">
        <v>0.3</v>
      </c>
      <c r="O432">
        <v>0.2727</v>
      </c>
      <c r="P432">
        <v>0.52</v>
      </c>
      <c r="Q432">
        <v>0.4627</v>
      </c>
      <c r="R432">
        <v>1</v>
      </c>
      <c r="S432">
        <v>27</v>
      </c>
      <c r="T432">
        <v>28</v>
      </c>
    </row>
    <row r="433" spans="1:20" x14ac:dyDescent="0.35">
      <c r="A433">
        <v>432</v>
      </c>
      <c r="B433" s="1">
        <v>40563</v>
      </c>
      <c r="C433">
        <v>1</v>
      </c>
      <c r="D433">
        <v>0</v>
      </c>
      <c r="E433">
        <v>1</v>
      </c>
      <c r="F433" t="str">
        <f>IF(final_data787[[#This Row],[MONTH_CODE]]=1,"JANUARY",IF(final_data787[[#This Row],[MONTH_CODE]]=2,"FEBRUARY"))</f>
        <v>JANUARY</v>
      </c>
      <c r="G433">
        <v>0</v>
      </c>
      <c r="H433">
        <v>0</v>
      </c>
      <c r="I433">
        <v>4</v>
      </c>
      <c r="J4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3" t="str">
        <f>IF(final_data787[[#This Row],[DAY_CODE]]=0,"weekend",IF(final_data787[[#This Row],[DAY_CODE]]=1,"weekend","weekday"))</f>
        <v>weekday</v>
      </c>
      <c r="L433">
        <v>1</v>
      </c>
      <c r="M433" t="str">
        <f>IF(final_data787[[#This Row],[WEATHER_CODE]]=1,"clear",IF(final_data787[[#This Row],[WEATHER_CODE]]=2,"cloudy",IF(final_data787[[#This Row],[WEATHER_CODE]]=3,"light rain",IF(final_data787[[#This Row],[WEATHER_CODE]]=4,"heavy rain",0))))</f>
        <v>clear</v>
      </c>
      <c r="N433">
        <v>0.26</v>
      </c>
      <c r="O433">
        <v>0.2273</v>
      </c>
      <c r="P433">
        <v>0.56000000000000005</v>
      </c>
      <c r="Q433">
        <v>0.3881</v>
      </c>
      <c r="R433">
        <v>5</v>
      </c>
      <c r="S433">
        <v>8</v>
      </c>
      <c r="T433">
        <v>13</v>
      </c>
    </row>
    <row r="434" spans="1:20" x14ac:dyDescent="0.35">
      <c r="A434">
        <v>433</v>
      </c>
      <c r="B434" s="1">
        <v>40563</v>
      </c>
      <c r="C434">
        <v>1</v>
      </c>
      <c r="D434">
        <v>0</v>
      </c>
      <c r="E434">
        <v>1</v>
      </c>
      <c r="F434" t="str">
        <f>IF(final_data787[[#This Row],[MONTH_CODE]]=1,"JANUARY",IF(final_data787[[#This Row],[MONTH_CODE]]=2,"FEBRUARY"))</f>
        <v>JANUARY</v>
      </c>
      <c r="G434">
        <v>1</v>
      </c>
      <c r="H434">
        <v>0</v>
      </c>
      <c r="I434">
        <v>4</v>
      </c>
      <c r="J4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4" t="str">
        <f>IF(final_data787[[#This Row],[DAY_CODE]]=0,"weekend",IF(final_data787[[#This Row],[DAY_CODE]]=1,"weekend","weekday"))</f>
        <v>weekday</v>
      </c>
      <c r="L434">
        <v>1</v>
      </c>
      <c r="M434" t="str">
        <f>IF(final_data787[[#This Row],[WEATHER_CODE]]=1,"clear",IF(final_data787[[#This Row],[WEATHER_CODE]]=2,"cloudy",IF(final_data787[[#This Row],[WEATHER_CODE]]=3,"light rain",IF(final_data787[[#This Row],[WEATHER_CODE]]=4,"heavy rain",0))))</f>
        <v>clear</v>
      </c>
      <c r="N434">
        <v>0.26</v>
      </c>
      <c r="O434">
        <v>0.2727</v>
      </c>
      <c r="P434">
        <v>0.56000000000000005</v>
      </c>
      <c r="Q434">
        <v>0</v>
      </c>
      <c r="R434">
        <v>2</v>
      </c>
      <c r="S434">
        <v>3</v>
      </c>
      <c r="T434">
        <v>5</v>
      </c>
    </row>
    <row r="435" spans="1:20" x14ac:dyDescent="0.35">
      <c r="A435">
        <v>434</v>
      </c>
      <c r="B435" s="1">
        <v>40563</v>
      </c>
      <c r="C435">
        <v>1</v>
      </c>
      <c r="D435">
        <v>0</v>
      </c>
      <c r="E435">
        <v>1</v>
      </c>
      <c r="F435" t="str">
        <f>IF(final_data787[[#This Row],[MONTH_CODE]]=1,"JANUARY",IF(final_data787[[#This Row],[MONTH_CODE]]=2,"FEBRUARY"))</f>
        <v>JANUARY</v>
      </c>
      <c r="G435">
        <v>2</v>
      </c>
      <c r="H435">
        <v>0</v>
      </c>
      <c r="I435">
        <v>4</v>
      </c>
      <c r="J4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5" t="str">
        <f>IF(final_data787[[#This Row],[DAY_CODE]]=0,"weekend",IF(final_data787[[#This Row],[DAY_CODE]]=1,"weekend","weekday"))</f>
        <v>weekday</v>
      </c>
      <c r="L435">
        <v>1</v>
      </c>
      <c r="M435" t="str">
        <f>IF(final_data787[[#This Row],[WEATHER_CODE]]=1,"clear",IF(final_data787[[#This Row],[WEATHER_CODE]]=2,"cloudy",IF(final_data787[[#This Row],[WEATHER_CODE]]=3,"light rain",IF(final_data787[[#This Row],[WEATHER_CODE]]=4,"heavy rain",0))))</f>
        <v>clear</v>
      </c>
      <c r="N435">
        <v>0.26</v>
      </c>
      <c r="O435">
        <v>0.2727</v>
      </c>
      <c r="P435">
        <v>0.56000000000000005</v>
      </c>
      <c r="Q435">
        <v>0</v>
      </c>
      <c r="R435">
        <v>0</v>
      </c>
      <c r="S435">
        <v>2</v>
      </c>
      <c r="T435">
        <v>2</v>
      </c>
    </row>
    <row r="436" spans="1:20" x14ac:dyDescent="0.35">
      <c r="A436">
        <v>435</v>
      </c>
      <c r="B436" s="1">
        <v>40563</v>
      </c>
      <c r="C436">
        <v>1</v>
      </c>
      <c r="D436">
        <v>0</v>
      </c>
      <c r="E436">
        <v>1</v>
      </c>
      <c r="F436" t="str">
        <f>IF(final_data787[[#This Row],[MONTH_CODE]]=1,"JANUARY",IF(final_data787[[#This Row],[MONTH_CODE]]=2,"FEBRUARY"))</f>
        <v>JANUARY</v>
      </c>
      <c r="G436">
        <v>3</v>
      </c>
      <c r="H436">
        <v>0</v>
      </c>
      <c r="I436">
        <v>4</v>
      </c>
      <c r="J4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6" t="str">
        <f>IF(final_data787[[#This Row],[DAY_CODE]]=0,"weekend",IF(final_data787[[#This Row],[DAY_CODE]]=1,"weekend","weekday"))</f>
        <v>weekday</v>
      </c>
      <c r="L436">
        <v>1</v>
      </c>
      <c r="M436" t="str">
        <f>IF(final_data787[[#This Row],[WEATHER_CODE]]=1,"clear",IF(final_data787[[#This Row],[WEATHER_CODE]]=2,"cloudy",IF(final_data787[[#This Row],[WEATHER_CODE]]=3,"light rain",IF(final_data787[[#This Row],[WEATHER_CODE]]=4,"heavy rain",0))))</f>
        <v>clear</v>
      </c>
      <c r="N436">
        <v>0.26</v>
      </c>
      <c r="O436">
        <v>0.2576</v>
      </c>
      <c r="P436">
        <v>0.56000000000000005</v>
      </c>
      <c r="Q436">
        <v>0.16420000000000001</v>
      </c>
      <c r="R436">
        <v>0</v>
      </c>
      <c r="S436">
        <v>1</v>
      </c>
      <c r="T436">
        <v>1</v>
      </c>
    </row>
    <row r="437" spans="1:20" x14ac:dyDescent="0.35">
      <c r="A437">
        <v>436</v>
      </c>
      <c r="B437" s="1">
        <v>40563</v>
      </c>
      <c r="C437">
        <v>1</v>
      </c>
      <c r="D437">
        <v>0</v>
      </c>
      <c r="E437">
        <v>1</v>
      </c>
      <c r="F437" t="str">
        <f>IF(final_data787[[#This Row],[MONTH_CODE]]=1,"JANUARY",IF(final_data787[[#This Row],[MONTH_CODE]]=2,"FEBRUARY"))</f>
        <v>JANUARY</v>
      </c>
      <c r="G437">
        <v>4</v>
      </c>
      <c r="H437">
        <v>0</v>
      </c>
      <c r="I437">
        <v>4</v>
      </c>
      <c r="J4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7" t="str">
        <f>IF(final_data787[[#This Row],[DAY_CODE]]=0,"weekend",IF(final_data787[[#This Row],[DAY_CODE]]=1,"weekend","weekday"))</f>
        <v>weekday</v>
      </c>
      <c r="L437">
        <v>1</v>
      </c>
      <c r="M437" t="str">
        <f>IF(final_data787[[#This Row],[WEATHER_CODE]]=1,"clear",IF(final_data787[[#This Row],[WEATHER_CODE]]=2,"cloudy",IF(final_data787[[#This Row],[WEATHER_CODE]]=3,"light rain",IF(final_data787[[#This Row],[WEATHER_CODE]]=4,"heavy rain",0))))</f>
        <v>clear</v>
      </c>
      <c r="N437">
        <v>0.26</v>
      </c>
      <c r="O437">
        <v>0.2576</v>
      </c>
      <c r="P437">
        <v>0.56000000000000005</v>
      </c>
      <c r="Q437">
        <v>0.16420000000000001</v>
      </c>
      <c r="R437">
        <v>0</v>
      </c>
      <c r="S437">
        <v>1</v>
      </c>
      <c r="T437">
        <v>1</v>
      </c>
    </row>
    <row r="438" spans="1:20" x14ac:dyDescent="0.35">
      <c r="A438">
        <v>437</v>
      </c>
      <c r="B438" s="1">
        <v>40563</v>
      </c>
      <c r="C438">
        <v>1</v>
      </c>
      <c r="D438">
        <v>0</v>
      </c>
      <c r="E438">
        <v>1</v>
      </c>
      <c r="F438" t="str">
        <f>IF(final_data787[[#This Row],[MONTH_CODE]]=1,"JANUARY",IF(final_data787[[#This Row],[MONTH_CODE]]=2,"FEBRUARY"))</f>
        <v>JANUARY</v>
      </c>
      <c r="G438">
        <v>5</v>
      </c>
      <c r="H438">
        <v>0</v>
      </c>
      <c r="I438">
        <v>4</v>
      </c>
      <c r="J4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8" t="str">
        <f>IF(final_data787[[#This Row],[DAY_CODE]]=0,"weekend",IF(final_data787[[#This Row],[DAY_CODE]]=1,"weekend","weekday"))</f>
        <v>weekday</v>
      </c>
      <c r="L438">
        <v>1</v>
      </c>
      <c r="M438" t="str">
        <f>IF(final_data787[[#This Row],[WEATHER_CODE]]=1,"clear",IF(final_data787[[#This Row],[WEATHER_CODE]]=2,"cloudy",IF(final_data787[[#This Row],[WEATHER_CODE]]=3,"light rain",IF(final_data787[[#This Row],[WEATHER_CODE]]=4,"heavy rain",0))))</f>
        <v>clear</v>
      </c>
      <c r="N438">
        <v>0.24</v>
      </c>
      <c r="O438">
        <v>0.2273</v>
      </c>
      <c r="P438">
        <v>0.6</v>
      </c>
      <c r="Q438">
        <v>0.22389999999999999</v>
      </c>
      <c r="R438">
        <v>0</v>
      </c>
      <c r="S438">
        <v>6</v>
      </c>
      <c r="T438">
        <v>6</v>
      </c>
    </row>
    <row r="439" spans="1:20" x14ac:dyDescent="0.35">
      <c r="A439">
        <v>438</v>
      </c>
      <c r="B439" s="1">
        <v>40563</v>
      </c>
      <c r="C439">
        <v>1</v>
      </c>
      <c r="D439">
        <v>0</v>
      </c>
      <c r="E439">
        <v>1</v>
      </c>
      <c r="F439" t="str">
        <f>IF(final_data787[[#This Row],[MONTH_CODE]]=1,"JANUARY",IF(final_data787[[#This Row],[MONTH_CODE]]=2,"FEBRUARY"))</f>
        <v>JANUARY</v>
      </c>
      <c r="G439">
        <v>6</v>
      </c>
      <c r="H439">
        <v>0</v>
      </c>
      <c r="I439">
        <v>4</v>
      </c>
      <c r="J4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39" t="str">
        <f>IF(final_data787[[#This Row],[DAY_CODE]]=0,"weekend",IF(final_data787[[#This Row],[DAY_CODE]]=1,"weekend","weekday"))</f>
        <v>weekday</v>
      </c>
      <c r="L439">
        <v>1</v>
      </c>
      <c r="M439" t="str">
        <f>IF(final_data787[[#This Row],[WEATHER_CODE]]=1,"clear",IF(final_data787[[#This Row],[WEATHER_CODE]]=2,"cloudy",IF(final_data787[[#This Row],[WEATHER_CODE]]=3,"light rain",IF(final_data787[[#This Row],[WEATHER_CODE]]=4,"heavy rain",0))))</f>
        <v>clear</v>
      </c>
      <c r="N439">
        <v>0.22</v>
      </c>
      <c r="O439">
        <v>0.21210000000000001</v>
      </c>
      <c r="P439">
        <v>0.6</v>
      </c>
      <c r="Q439">
        <v>0.22389999999999999</v>
      </c>
      <c r="R439">
        <v>0</v>
      </c>
      <c r="S439">
        <v>35</v>
      </c>
      <c r="T439">
        <v>35</v>
      </c>
    </row>
    <row r="440" spans="1:20" x14ac:dyDescent="0.35">
      <c r="A440">
        <v>439</v>
      </c>
      <c r="B440" s="1">
        <v>40563</v>
      </c>
      <c r="C440">
        <v>1</v>
      </c>
      <c r="D440">
        <v>0</v>
      </c>
      <c r="E440">
        <v>1</v>
      </c>
      <c r="F440" t="str">
        <f>IF(final_data787[[#This Row],[MONTH_CODE]]=1,"JANUARY",IF(final_data787[[#This Row],[MONTH_CODE]]=2,"FEBRUARY"))</f>
        <v>JANUARY</v>
      </c>
      <c r="G440">
        <v>7</v>
      </c>
      <c r="H440">
        <v>0</v>
      </c>
      <c r="I440">
        <v>4</v>
      </c>
      <c r="J4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0" t="str">
        <f>IF(final_data787[[#This Row],[DAY_CODE]]=0,"weekend",IF(final_data787[[#This Row],[DAY_CODE]]=1,"weekend","weekday"))</f>
        <v>weekday</v>
      </c>
      <c r="L440">
        <v>1</v>
      </c>
      <c r="M440" t="str">
        <f>IF(final_data787[[#This Row],[WEATHER_CODE]]=1,"clear",IF(final_data787[[#This Row],[WEATHER_CODE]]=2,"cloudy",IF(final_data787[[#This Row],[WEATHER_CODE]]=3,"light rain",IF(final_data787[[#This Row],[WEATHER_CODE]]=4,"heavy rain",0))))</f>
        <v>clear</v>
      </c>
      <c r="N440">
        <v>0.22</v>
      </c>
      <c r="O440">
        <v>0.21210000000000001</v>
      </c>
      <c r="P440">
        <v>0.55000000000000004</v>
      </c>
      <c r="Q440">
        <v>0.22389999999999999</v>
      </c>
      <c r="R440">
        <v>1</v>
      </c>
      <c r="S440">
        <v>100</v>
      </c>
      <c r="T440">
        <v>101</v>
      </c>
    </row>
    <row r="441" spans="1:20" x14ac:dyDescent="0.35">
      <c r="A441">
        <v>440</v>
      </c>
      <c r="B441" s="1">
        <v>40563</v>
      </c>
      <c r="C441">
        <v>1</v>
      </c>
      <c r="D441">
        <v>0</v>
      </c>
      <c r="E441">
        <v>1</v>
      </c>
      <c r="F441" t="str">
        <f>IF(final_data787[[#This Row],[MONTH_CODE]]=1,"JANUARY",IF(final_data787[[#This Row],[MONTH_CODE]]=2,"FEBRUARY"))</f>
        <v>JANUARY</v>
      </c>
      <c r="G441">
        <v>8</v>
      </c>
      <c r="H441">
        <v>0</v>
      </c>
      <c r="I441">
        <v>4</v>
      </c>
      <c r="J4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1" t="str">
        <f>IF(final_data787[[#This Row],[DAY_CODE]]=0,"weekend",IF(final_data787[[#This Row],[DAY_CODE]]=1,"weekend","weekday"))</f>
        <v>weekday</v>
      </c>
      <c r="L441">
        <v>1</v>
      </c>
      <c r="M441" t="str">
        <f>IF(final_data787[[#This Row],[WEATHER_CODE]]=1,"clear",IF(final_data787[[#This Row],[WEATHER_CODE]]=2,"cloudy",IF(final_data787[[#This Row],[WEATHER_CODE]]=3,"light rain",IF(final_data787[[#This Row],[WEATHER_CODE]]=4,"heavy rain",0))))</f>
        <v>clear</v>
      </c>
      <c r="N441">
        <v>0.22</v>
      </c>
      <c r="O441">
        <v>0.21210000000000001</v>
      </c>
      <c r="P441">
        <v>0.55000000000000004</v>
      </c>
      <c r="Q441">
        <v>0.28360000000000002</v>
      </c>
      <c r="R441">
        <v>2</v>
      </c>
      <c r="S441">
        <v>247</v>
      </c>
      <c r="T441">
        <v>249</v>
      </c>
    </row>
    <row r="442" spans="1:20" x14ac:dyDescent="0.35">
      <c r="A442">
        <v>441</v>
      </c>
      <c r="B442" s="1">
        <v>40563</v>
      </c>
      <c r="C442">
        <v>1</v>
      </c>
      <c r="D442">
        <v>0</v>
      </c>
      <c r="E442">
        <v>1</v>
      </c>
      <c r="F442" t="str">
        <f>IF(final_data787[[#This Row],[MONTH_CODE]]=1,"JANUARY",IF(final_data787[[#This Row],[MONTH_CODE]]=2,"FEBRUARY"))</f>
        <v>JANUARY</v>
      </c>
      <c r="G442">
        <v>9</v>
      </c>
      <c r="H442">
        <v>0</v>
      </c>
      <c r="I442">
        <v>4</v>
      </c>
      <c r="J4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2" t="str">
        <f>IF(final_data787[[#This Row],[DAY_CODE]]=0,"weekend",IF(final_data787[[#This Row],[DAY_CODE]]=1,"weekend","weekday"))</f>
        <v>weekday</v>
      </c>
      <c r="L442">
        <v>2</v>
      </c>
      <c r="M442" t="str">
        <f>IF(final_data787[[#This Row],[WEATHER_CODE]]=1,"clear",IF(final_data787[[#This Row],[WEATHER_CODE]]=2,"cloudy",IF(final_data787[[#This Row],[WEATHER_CODE]]=3,"light rain",IF(final_data787[[#This Row],[WEATHER_CODE]]=4,"heavy rain",0))))</f>
        <v>cloudy</v>
      </c>
      <c r="N442">
        <v>0.24</v>
      </c>
      <c r="O442">
        <v>0.2273</v>
      </c>
      <c r="P442">
        <v>0.52</v>
      </c>
      <c r="Q442">
        <v>0.22389999999999999</v>
      </c>
      <c r="R442">
        <v>3</v>
      </c>
      <c r="S442">
        <v>140</v>
      </c>
      <c r="T442">
        <v>143</v>
      </c>
    </row>
    <row r="443" spans="1:20" x14ac:dyDescent="0.35">
      <c r="A443">
        <v>442</v>
      </c>
      <c r="B443" s="1">
        <v>40563</v>
      </c>
      <c r="C443">
        <v>1</v>
      </c>
      <c r="D443">
        <v>0</v>
      </c>
      <c r="E443">
        <v>1</v>
      </c>
      <c r="F443" t="str">
        <f>IF(final_data787[[#This Row],[MONTH_CODE]]=1,"JANUARY",IF(final_data787[[#This Row],[MONTH_CODE]]=2,"FEBRUARY"))</f>
        <v>JANUARY</v>
      </c>
      <c r="G443">
        <v>10</v>
      </c>
      <c r="H443">
        <v>0</v>
      </c>
      <c r="I443">
        <v>4</v>
      </c>
      <c r="J4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3" t="str">
        <f>IF(final_data787[[#This Row],[DAY_CODE]]=0,"weekend",IF(final_data787[[#This Row],[DAY_CODE]]=1,"weekend","weekday"))</f>
        <v>weekday</v>
      </c>
      <c r="L443">
        <v>1</v>
      </c>
      <c r="M443" t="str">
        <f>IF(final_data787[[#This Row],[WEATHER_CODE]]=1,"clear",IF(final_data787[[#This Row],[WEATHER_CODE]]=2,"cloudy",IF(final_data787[[#This Row],[WEATHER_CODE]]=3,"light rain",IF(final_data787[[#This Row],[WEATHER_CODE]]=4,"heavy rain",0))))</f>
        <v>clear</v>
      </c>
      <c r="N443">
        <v>0.26</v>
      </c>
      <c r="O443">
        <v>0.2273</v>
      </c>
      <c r="P443">
        <v>0.48</v>
      </c>
      <c r="Q443">
        <v>0.29849999999999999</v>
      </c>
      <c r="R443">
        <v>1</v>
      </c>
      <c r="S443">
        <v>56</v>
      </c>
      <c r="T443">
        <v>57</v>
      </c>
    </row>
    <row r="444" spans="1:20" x14ac:dyDescent="0.35">
      <c r="A444">
        <v>443</v>
      </c>
      <c r="B444" s="1">
        <v>40563</v>
      </c>
      <c r="C444">
        <v>1</v>
      </c>
      <c r="D444">
        <v>0</v>
      </c>
      <c r="E444">
        <v>1</v>
      </c>
      <c r="F444" t="str">
        <f>IF(final_data787[[#This Row],[MONTH_CODE]]=1,"JANUARY",IF(final_data787[[#This Row],[MONTH_CODE]]=2,"FEBRUARY"))</f>
        <v>JANUARY</v>
      </c>
      <c r="G444">
        <v>11</v>
      </c>
      <c r="H444">
        <v>0</v>
      </c>
      <c r="I444">
        <v>4</v>
      </c>
      <c r="J4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4" t="str">
        <f>IF(final_data787[[#This Row],[DAY_CODE]]=0,"weekend",IF(final_data787[[#This Row],[DAY_CODE]]=1,"weekend","weekday"))</f>
        <v>weekday</v>
      </c>
      <c r="L444">
        <v>2</v>
      </c>
      <c r="M444" t="str">
        <f>IF(final_data787[[#This Row],[WEATHER_CODE]]=1,"clear",IF(final_data787[[#This Row],[WEATHER_CODE]]=2,"cloudy",IF(final_data787[[#This Row],[WEATHER_CODE]]=3,"light rain",IF(final_data787[[#This Row],[WEATHER_CODE]]=4,"heavy rain",0))))</f>
        <v>cloudy</v>
      </c>
      <c r="N444">
        <v>0.28000000000000003</v>
      </c>
      <c r="O444">
        <v>0.2727</v>
      </c>
      <c r="P444">
        <v>0.45</v>
      </c>
      <c r="Q444">
        <v>0.16420000000000001</v>
      </c>
      <c r="R444">
        <v>5</v>
      </c>
      <c r="S444">
        <v>63</v>
      </c>
      <c r="T444">
        <v>68</v>
      </c>
    </row>
    <row r="445" spans="1:20" x14ac:dyDescent="0.35">
      <c r="A445">
        <v>444</v>
      </c>
      <c r="B445" s="1">
        <v>40563</v>
      </c>
      <c r="C445">
        <v>1</v>
      </c>
      <c r="D445">
        <v>0</v>
      </c>
      <c r="E445">
        <v>1</v>
      </c>
      <c r="F445" t="str">
        <f>IF(final_data787[[#This Row],[MONTH_CODE]]=1,"JANUARY",IF(final_data787[[#This Row],[MONTH_CODE]]=2,"FEBRUARY"))</f>
        <v>JANUARY</v>
      </c>
      <c r="G445">
        <v>12</v>
      </c>
      <c r="H445">
        <v>0</v>
      </c>
      <c r="I445">
        <v>4</v>
      </c>
      <c r="J4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5" t="str">
        <f>IF(final_data787[[#This Row],[DAY_CODE]]=0,"weekend",IF(final_data787[[#This Row],[DAY_CODE]]=1,"weekend","weekday"))</f>
        <v>weekday</v>
      </c>
      <c r="L445">
        <v>2</v>
      </c>
      <c r="M445" t="str">
        <f>IF(final_data787[[#This Row],[WEATHER_CODE]]=1,"clear",IF(final_data787[[#This Row],[WEATHER_CODE]]=2,"cloudy",IF(final_data787[[#This Row],[WEATHER_CODE]]=3,"light rain",IF(final_data787[[#This Row],[WEATHER_CODE]]=4,"heavy rain",0))))</f>
        <v>cloudy</v>
      </c>
      <c r="N445">
        <v>0.3</v>
      </c>
      <c r="O445">
        <v>0.33329999999999999</v>
      </c>
      <c r="P445">
        <v>0.42</v>
      </c>
      <c r="Q445">
        <v>0</v>
      </c>
      <c r="R445">
        <v>7</v>
      </c>
      <c r="S445">
        <v>77</v>
      </c>
      <c r="T445">
        <v>84</v>
      </c>
    </row>
    <row r="446" spans="1:20" x14ac:dyDescent="0.35">
      <c r="A446">
        <v>445</v>
      </c>
      <c r="B446" s="1">
        <v>40563</v>
      </c>
      <c r="C446">
        <v>1</v>
      </c>
      <c r="D446">
        <v>0</v>
      </c>
      <c r="E446">
        <v>1</v>
      </c>
      <c r="F446" t="str">
        <f>IF(final_data787[[#This Row],[MONTH_CODE]]=1,"JANUARY",IF(final_data787[[#This Row],[MONTH_CODE]]=2,"FEBRUARY"))</f>
        <v>JANUARY</v>
      </c>
      <c r="G446">
        <v>13</v>
      </c>
      <c r="H446">
        <v>0</v>
      </c>
      <c r="I446">
        <v>4</v>
      </c>
      <c r="J4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6" t="str">
        <f>IF(final_data787[[#This Row],[DAY_CODE]]=0,"weekend",IF(final_data787[[#This Row],[DAY_CODE]]=1,"weekend","weekday"))</f>
        <v>weekday</v>
      </c>
      <c r="L446">
        <v>2</v>
      </c>
      <c r="M446" t="str">
        <f>IF(final_data787[[#This Row],[WEATHER_CODE]]=1,"clear",IF(final_data787[[#This Row],[WEATHER_CODE]]=2,"cloudy",IF(final_data787[[#This Row],[WEATHER_CODE]]=3,"light rain",IF(final_data787[[#This Row],[WEATHER_CODE]]=4,"heavy rain",0))))</f>
        <v>cloudy</v>
      </c>
      <c r="N446">
        <v>0.28000000000000003</v>
      </c>
      <c r="O446">
        <v>0.28789999999999999</v>
      </c>
      <c r="P446">
        <v>0.45</v>
      </c>
      <c r="Q446">
        <v>0.1045</v>
      </c>
      <c r="R446">
        <v>12</v>
      </c>
      <c r="S446">
        <v>86</v>
      </c>
      <c r="T446">
        <v>98</v>
      </c>
    </row>
    <row r="447" spans="1:20" x14ac:dyDescent="0.35">
      <c r="A447">
        <v>446</v>
      </c>
      <c r="B447" s="1">
        <v>40563</v>
      </c>
      <c r="C447">
        <v>1</v>
      </c>
      <c r="D447">
        <v>0</v>
      </c>
      <c r="E447">
        <v>1</v>
      </c>
      <c r="F447" t="str">
        <f>IF(final_data787[[#This Row],[MONTH_CODE]]=1,"JANUARY",IF(final_data787[[#This Row],[MONTH_CODE]]=2,"FEBRUARY"))</f>
        <v>JANUARY</v>
      </c>
      <c r="G447">
        <v>14</v>
      </c>
      <c r="H447">
        <v>0</v>
      </c>
      <c r="I447">
        <v>4</v>
      </c>
      <c r="J4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7" t="str">
        <f>IF(final_data787[[#This Row],[DAY_CODE]]=0,"weekend",IF(final_data787[[#This Row],[DAY_CODE]]=1,"weekend","weekday"))</f>
        <v>weekday</v>
      </c>
      <c r="L447">
        <v>2</v>
      </c>
      <c r="M447" t="str">
        <f>IF(final_data787[[#This Row],[WEATHER_CODE]]=1,"clear",IF(final_data787[[#This Row],[WEATHER_CODE]]=2,"cloudy",IF(final_data787[[#This Row],[WEATHER_CODE]]=3,"light rain",IF(final_data787[[#This Row],[WEATHER_CODE]]=4,"heavy rain",0))))</f>
        <v>cloudy</v>
      </c>
      <c r="N447">
        <v>0.3</v>
      </c>
      <c r="O447">
        <v>0.30299999999999999</v>
      </c>
      <c r="P447">
        <v>0.45</v>
      </c>
      <c r="Q447">
        <v>0.1343</v>
      </c>
      <c r="R447">
        <v>6</v>
      </c>
      <c r="S447">
        <v>75</v>
      </c>
      <c r="T447">
        <v>81</v>
      </c>
    </row>
    <row r="448" spans="1:20" x14ac:dyDescent="0.35">
      <c r="A448">
        <v>447</v>
      </c>
      <c r="B448" s="1">
        <v>40563</v>
      </c>
      <c r="C448">
        <v>1</v>
      </c>
      <c r="D448">
        <v>0</v>
      </c>
      <c r="E448">
        <v>1</v>
      </c>
      <c r="F448" t="str">
        <f>IF(final_data787[[#This Row],[MONTH_CODE]]=1,"JANUARY",IF(final_data787[[#This Row],[MONTH_CODE]]=2,"FEBRUARY"))</f>
        <v>JANUARY</v>
      </c>
      <c r="G448">
        <v>15</v>
      </c>
      <c r="H448">
        <v>0</v>
      </c>
      <c r="I448">
        <v>4</v>
      </c>
      <c r="J4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8" t="str">
        <f>IF(final_data787[[#This Row],[DAY_CODE]]=0,"weekend",IF(final_data787[[#This Row],[DAY_CODE]]=1,"weekend","weekday"))</f>
        <v>weekday</v>
      </c>
      <c r="L448">
        <v>2</v>
      </c>
      <c r="M448" t="str">
        <f>IF(final_data787[[#This Row],[WEATHER_CODE]]=1,"clear",IF(final_data787[[#This Row],[WEATHER_CODE]]=2,"cloudy",IF(final_data787[[#This Row],[WEATHER_CODE]]=3,"light rain",IF(final_data787[[#This Row],[WEATHER_CODE]]=4,"heavy rain",0))))</f>
        <v>cloudy</v>
      </c>
      <c r="N448">
        <v>0.32</v>
      </c>
      <c r="O448">
        <v>0.31819999999999998</v>
      </c>
      <c r="P448">
        <v>0.45</v>
      </c>
      <c r="Q448">
        <v>0.19400000000000001</v>
      </c>
      <c r="R448">
        <v>8</v>
      </c>
      <c r="S448">
        <v>62</v>
      </c>
      <c r="T448">
        <v>70</v>
      </c>
    </row>
    <row r="449" spans="1:20" x14ac:dyDescent="0.35">
      <c r="A449">
        <v>448</v>
      </c>
      <c r="B449" s="1">
        <v>40563</v>
      </c>
      <c r="C449">
        <v>1</v>
      </c>
      <c r="D449">
        <v>0</v>
      </c>
      <c r="E449">
        <v>1</v>
      </c>
      <c r="F449" t="str">
        <f>IF(final_data787[[#This Row],[MONTH_CODE]]=1,"JANUARY",IF(final_data787[[#This Row],[MONTH_CODE]]=2,"FEBRUARY"))</f>
        <v>JANUARY</v>
      </c>
      <c r="G449">
        <v>16</v>
      </c>
      <c r="H449">
        <v>0</v>
      </c>
      <c r="I449">
        <v>4</v>
      </c>
      <c r="J4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49" t="str">
        <f>IF(final_data787[[#This Row],[DAY_CODE]]=0,"weekend",IF(final_data787[[#This Row],[DAY_CODE]]=1,"weekend","weekday"))</f>
        <v>weekday</v>
      </c>
      <c r="L449">
        <v>2</v>
      </c>
      <c r="M449" t="str">
        <f>IF(final_data787[[#This Row],[WEATHER_CODE]]=1,"clear",IF(final_data787[[#This Row],[WEATHER_CODE]]=2,"cloudy",IF(final_data787[[#This Row],[WEATHER_CODE]]=3,"light rain",IF(final_data787[[#This Row],[WEATHER_CODE]]=4,"heavy rain",0))))</f>
        <v>cloudy</v>
      </c>
      <c r="N449">
        <v>0.3</v>
      </c>
      <c r="O449">
        <v>0.30299999999999999</v>
      </c>
      <c r="P449">
        <v>0.49</v>
      </c>
      <c r="Q449">
        <v>0.1343</v>
      </c>
      <c r="R449">
        <v>8</v>
      </c>
      <c r="S449">
        <v>83</v>
      </c>
      <c r="T449">
        <v>91</v>
      </c>
    </row>
    <row r="450" spans="1:20" x14ac:dyDescent="0.35">
      <c r="A450">
        <v>449</v>
      </c>
      <c r="B450" s="1">
        <v>40563</v>
      </c>
      <c r="C450">
        <v>1</v>
      </c>
      <c r="D450">
        <v>0</v>
      </c>
      <c r="E450">
        <v>1</v>
      </c>
      <c r="F450" t="str">
        <f>IF(final_data787[[#This Row],[MONTH_CODE]]=1,"JANUARY",IF(final_data787[[#This Row],[MONTH_CODE]]=2,"FEBRUARY"))</f>
        <v>JANUARY</v>
      </c>
      <c r="G450">
        <v>17</v>
      </c>
      <c r="H450">
        <v>0</v>
      </c>
      <c r="I450">
        <v>4</v>
      </c>
      <c r="J4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0" t="str">
        <f>IF(final_data787[[#This Row],[DAY_CODE]]=0,"weekend",IF(final_data787[[#This Row],[DAY_CODE]]=1,"weekend","weekday"))</f>
        <v>weekday</v>
      </c>
      <c r="L450">
        <v>2</v>
      </c>
      <c r="M450" t="str">
        <f>IF(final_data787[[#This Row],[WEATHER_CODE]]=1,"clear",IF(final_data787[[#This Row],[WEATHER_CODE]]=2,"cloudy",IF(final_data787[[#This Row],[WEATHER_CODE]]=3,"light rain",IF(final_data787[[#This Row],[WEATHER_CODE]]=4,"heavy rain",0))))</f>
        <v>cloudy</v>
      </c>
      <c r="N450">
        <v>0.3</v>
      </c>
      <c r="O450">
        <v>0.31819999999999998</v>
      </c>
      <c r="P450">
        <v>0.49</v>
      </c>
      <c r="Q450">
        <v>0.1045</v>
      </c>
      <c r="R450">
        <v>8</v>
      </c>
      <c r="S450">
        <v>207</v>
      </c>
      <c r="T450">
        <v>215</v>
      </c>
    </row>
    <row r="451" spans="1:20" x14ac:dyDescent="0.35">
      <c r="A451">
        <v>450</v>
      </c>
      <c r="B451" s="1">
        <v>40563</v>
      </c>
      <c r="C451">
        <v>1</v>
      </c>
      <c r="D451">
        <v>0</v>
      </c>
      <c r="E451">
        <v>1</v>
      </c>
      <c r="F451" t="str">
        <f>IF(final_data787[[#This Row],[MONTH_CODE]]=1,"JANUARY",IF(final_data787[[#This Row],[MONTH_CODE]]=2,"FEBRUARY"))</f>
        <v>JANUARY</v>
      </c>
      <c r="G451">
        <v>18</v>
      </c>
      <c r="H451">
        <v>0</v>
      </c>
      <c r="I451">
        <v>4</v>
      </c>
      <c r="J4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1" t="str">
        <f>IF(final_data787[[#This Row],[DAY_CODE]]=0,"weekend",IF(final_data787[[#This Row],[DAY_CODE]]=1,"weekend","weekday"))</f>
        <v>weekday</v>
      </c>
      <c r="L451">
        <v>2</v>
      </c>
      <c r="M451" t="str">
        <f>IF(final_data787[[#This Row],[WEATHER_CODE]]=1,"clear",IF(final_data787[[#This Row],[WEATHER_CODE]]=2,"cloudy",IF(final_data787[[#This Row],[WEATHER_CODE]]=3,"light rain",IF(final_data787[[#This Row],[WEATHER_CODE]]=4,"heavy rain",0))))</f>
        <v>cloudy</v>
      </c>
      <c r="N451">
        <v>0.26</v>
      </c>
      <c r="O451">
        <v>0.2576</v>
      </c>
      <c r="P451">
        <v>0.56000000000000005</v>
      </c>
      <c r="Q451">
        <v>0.19400000000000001</v>
      </c>
      <c r="R451">
        <v>1</v>
      </c>
      <c r="S451">
        <v>184</v>
      </c>
      <c r="T451">
        <v>185</v>
      </c>
    </row>
    <row r="452" spans="1:20" x14ac:dyDescent="0.35">
      <c r="A452">
        <v>451</v>
      </c>
      <c r="B452" s="1">
        <v>40563</v>
      </c>
      <c r="C452">
        <v>1</v>
      </c>
      <c r="D452">
        <v>0</v>
      </c>
      <c r="E452">
        <v>1</v>
      </c>
      <c r="F452" t="str">
        <f>IF(final_data787[[#This Row],[MONTH_CODE]]=1,"JANUARY",IF(final_data787[[#This Row],[MONTH_CODE]]=2,"FEBRUARY"))</f>
        <v>JANUARY</v>
      </c>
      <c r="G452">
        <v>19</v>
      </c>
      <c r="H452">
        <v>0</v>
      </c>
      <c r="I452">
        <v>4</v>
      </c>
      <c r="J4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2" t="str">
        <f>IF(final_data787[[#This Row],[DAY_CODE]]=0,"weekend",IF(final_data787[[#This Row],[DAY_CODE]]=1,"weekend","weekday"))</f>
        <v>weekday</v>
      </c>
      <c r="L452">
        <v>1</v>
      </c>
      <c r="M452" t="str">
        <f>IF(final_data787[[#This Row],[WEATHER_CODE]]=1,"clear",IF(final_data787[[#This Row],[WEATHER_CODE]]=2,"cloudy",IF(final_data787[[#This Row],[WEATHER_CODE]]=3,"light rain",IF(final_data787[[#This Row],[WEATHER_CODE]]=4,"heavy rain",0))))</f>
        <v>clear</v>
      </c>
      <c r="N452">
        <v>0.26</v>
      </c>
      <c r="O452">
        <v>0.2273</v>
      </c>
      <c r="P452">
        <v>0.56000000000000005</v>
      </c>
      <c r="Q452">
        <v>0.32840000000000003</v>
      </c>
      <c r="R452">
        <v>6</v>
      </c>
      <c r="S452">
        <v>146</v>
      </c>
      <c r="T452">
        <v>152</v>
      </c>
    </row>
    <row r="453" spans="1:20" x14ac:dyDescent="0.35">
      <c r="A453">
        <v>452</v>
      </c>
      <c r="B453" s="1">
        <v>40563</v>
      </c>
      <c r="C453">
        <v>1</v>
      </c>
      <c r="D453">
        <v>0</v>
      </c>
      <c r="E453">
        <v>1</v>
      </c>
      <c r="F453" t="str">
        <f>IF(final_data787[[#This Row],[MONTH_CODE]]=1,"JANUARY",IF(final_data787[[#This Row],[MONTH_CODE]]=2,"FEBRUARY"))</f>
        <v>JANUARY</v>
      </c>
      <c r="G453">
        <v>20</v>
      </c>
      <c r="H453">
        <v>0</v>
      </c>
      <c r="I453">
        <v>4</v>
      </c>
      <c r="J4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3" t="str">
        <f>IF(final_data787[[#This Row],[DAY_CODE]]=0,"weekend",IF(final_data787[[#This Row],[DAY_CODE]]=1,"weekend","weekday"))</f>
        <v>weekday</v>
      </c>
      <c r="L453">
        <v>2</v>
      </c>
      <c r="M453" t="str">
        <f>IF(final_data787[[#This Row],[WEATHER_CODE]]=1,"clear",IF(final_data787[[#This Row],[WEATHER_CODE]]=2,"cloudy",IF(final_data787[[#This Row],[WEATHER_CODE]]=3,"light rain",IF(final_data787[[#This Row],[WEATHER_CODE]]=4,"heavy rain",0))))</f>
        <v>cloudy</v>
      </c>
      <c r="N453">
        <v>0.26</v>
      </c>
      <c r="O453">
        <v>0.2424</v>
      </c>
      <c r="P453">
        <v>0.6</v>
      </c>
      <c r="Q453">
        <v>0.28360000000000002</v>
      </c>
      <c r="R453">
        <v>2</v>
      </c>
      <c r="S453">
        <v>124</v>
      </c>
      <c r="T453">
        <v>126</v>
      </c>
    </row>
    <row r="454" spans="1:20" x14ac:dyDescent="0.35">
      <c r="A454">
        <v>453</v>
      </c>
      <c r="B454" s="1">
        <v>40563</v>
      </c>
      <c r="C454">
        <v>1</v>
      </c>
      <c r="D454">
        <v>0</v>
      </c>
      <c r="E454">
        <v>1</v>
      </c>
      <c r="F454" t="str">
        <f>IF(final_data787[[#This Row],[MONTH_CODE]]=1,"JANUARY",IF(final_data787[[#This Row],[MONTH_CODE]]=2,"FEBRUARY"))</f>
        <v>JANUARY</v>
      </c>
      <c r="G454">
        <v>21</v>
      </c>
      <c r="H454">
        <v>0</v>
      </c>
      <c r="I454">
        <v>4</v>
      </c>
      <c r="J4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4" t="str">
        <f>IF(final_data787[[#This Row],[DAY_CODE]]=0,"weekend",IF(final_data787[[#This Row],[DAY_CODE]]=1,"weekend","weekday"))</f>
        <v>weekday</v>
      </c>
      <c r="L454">
        <v>2</v>
      </c>
      <c r="M454" t="str">
        <f>IF(final_data787[[#This Row],[WEATHER_CODE]]=1,"clear",IF(final_data787[[#This Row],[WEATHER_CODE]]=2,"cloudy",IF(final_data787[[#This Row],[WEATHER_CODE]]=3,"light rain",IF(final_data787[[#This Row],[WEATHER_CODE]]=4,"heavy rain",0))))</f>
        <v>cloudy</v>
      </c>
      <c r="N454">
        <v>0.24</v>
      </c>
      <c r="O454">
        <v>0.2273</v>
      </c>
      <c r="P454">
        <v>0.6</v>
      </c>
      <c r="Q454">
        <v>0.25369999999999998</v>
      </c>
      <c r="R454">
        <v>3</v>
      </c>
      <c r="S454">
        <v>54</v>
      </c>
      <c r="T454">
        <v>57</v>
      </c>
    </row>
    <row r="455" spans="1:20" x14ac:dyDescent="0.35">
      <c r="A455">
        <v>454</v>
      </c>
      <c r="B455" s="1">
        <v>40563</v>
      </c>
      <c r="C455">
        <v>1</v>
      </c>
      <c r="D455">
        <v>0</v>
      </c>
      <c r="E455">
        <v>1</v>
      </c>
      <c r="F455" t="str">
        <f>IF(final_data787[[#This Row],[MONTH_CODE]]=1,"JANUARY",IF(final_data787[[#This Row],[MONTH_CODE]]=2,"FEBRUARY"))</f>
        <v>JANUARY</v>
      </c>
      <c r="G455">
        <v>22</v>
      </c>
      <c r="H455">
        <v>0</v>
      </c>
      <c r="I455">
        <v>4</v>
      </c>
      <c r="J4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5" t="str">
        <f>IF(final_data787[[#This Row],[DAY_CODE]]=0,"weekend",IF(final_data787[[#This Row],[DAY_CODE]]=1,"weekend","weekday"))</f>
        <v>weekday</v>
      </c>
      <c r="L455">
        <v>2</v>
      </c>
      <c r="M455" t="str">
        <f>IF(final_data787[[#This Row],[WEATHER_CODE]]=1,"clear",IF(final_data787[[#This Row],[WEATHER_CODE]]=2,"cloudy",IF(final_data787[[#This Row],[WEATHER_CODE]]=3,"light rain",IF(final_data787[[#This Row],[WEATHER_CODE]]=4,"heavy rain",0))))</f>
        <v>cloudy</v>
      </c>
      <c r="N455">
        <v>0.24</v>
      </c>
      <c r="O455">
        <v>0.21210000000000001</v>
      </c>
      <c r="P455">
        <v>0.65</v>
      </c>
      <c r="Q455">
        <v>0.28360000000000002</v>
      </c>
      <c r="R455">
        <v>0</v>
      </c>
      <c r="S455">
        <v>56</v>
      </c>
      <c r="T455">
        <v>56</v>
      </c>
    </row>
    <row r="456" spans="1:20" x14ac:dyDescent="0.35">
      <c r="A456">
        <v>455</v>
      </c>
      <c r="B456" s="1">
        <v>40563</v>
      </c>
      <c r="C456">
        <v>1</v>
      </c>
      <c r="D456">
        <v>0</v>
      </c>
      <c r="E456">
        <v>1</v>
      </c>
      <c r="F456" t="str">
        <f>IF(final_data787[[#This Row],[MONTH_CODE]]=1,"JANUARY",IF(final_data787[[#This Row],[MONTH_CODE]]=2,"FEBRUARY"))</f>
        <v>JANUARY</v>
      </c>
      <c r="G456">
        <v>23</v>
      </c>
      <c r="H456">
        <v>0</v>
      </c>
      <c r="I456">
        <v>4</v>
      </c>
      <c r="J4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456" t="str">
        <f>IF(final_data787[[#This Row],[DAY_CODE]]=0,"weekend",IF(final_data787[[#This Row],[DAY_CODE]]=1,"weekend","weekday"))</f>
        <v>weekday</v>
      </c>
      <c r="L456">
        <v>2</v>
      </c>
      <c r="M456" t="str">
        <f>IF(final_data787[[#This Row],[WEATHER_CODE]]=1,"clear",IF(final_data787[[#This Row],[WEATHER_CODE]]=2,"cloudy",IF(final_data787[[#This Row],[WEATHER_CODE]]=3,"light rain",IF(final_data787[[#This Row],[WEATHER_CODE]]=4,"heavy rain",0))))</f>
        <v>cloudy</v>
      </c>
      <c r="N456">
        <v>0.24</v>
      </c>
      <c r="O456">
        <v>0.21210000000000001</v>
      </c>
      <c r="P456">
        <v>0.65</v>
      </c>
      <c r="Q456">
        <v>0.32840000000000003</v>
      </c>
      <c r="R456">
        <v>3</v>
      </c>
      <c r="S456">
        <v>28</v>
      </c>
      <c r="T456">
        <v>31</v>
      </c>
    </row>
    <row r="457" spans="1:20" x14ac:dyDescent="0.35">
      <c r="A457">
        <v>456</v>
      </c>
      <c r="B457" s="1">
        <v>40564</v>
      </c>
      <c r="C457">
        <v>1</v>
      </c>
      <c r="D457">
        <v>0</v>
      </c>
      <c r="E457">
        <v>1</v>
      </c>
      <c r="F457" t="str">
        <f>IF(final_data787[[#This Row],[MONTH_CODE]]=1,"JANUARY",IF(final_data787[[#This Row],[MONTH_CODE]]=2,"FEBRUARY"))</f>
        <v>JANUARY</v>
      </c>
      <c r="G457">
        <v>0</v>
      </c>
      <c r="H457">
        <v>0</v>
      </c>
      <c r="I457">
        <v>5</v>
      </c>
      <c r="J4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57" t="str">
        <f>IF(final_data787[[#This Row],[DAY_CODE]]=0,"weekend",IF(final_data787[[#This Row],[DAY_CODE]]=1,"weekend","weekday"))</f>
        <v>weekday</v>
      </c>
      <c r="L457">
        <v>2</v>
      </c>
      <c r="M457" t="str">
        <f>IF(final_data787[[#This Row],[WEATHER_CODE]]=1,"clear",IF(final_data787[[#This Row],[WEATHER_CODE]]=2,"cloudy",IF(final_data787[[#This Row],[WEATHER_CODE]]=3,"light rain",IF(final_data787[[#This Row],[WEATHER_CODE]]=4,"heavy rain",0))))</f>
        <v>cloudy</v>
      </c>
      <c r="N457">
        <v>0.24</v>
      </c>
      <c r="O457">
        <v>0.2273</v>
      </c>
      <c r="P457">
        <v>0.7</v>
      </c>
      <c r="Q457">
        <v>0.25369999999999998</v>
      </c>
      <c r="R457">
        <v>1</v>
      </c>
      <c r="S457">
        <v>20</v>
      </c>
      <c r="T457">
        <v>21</v>
      </c>
    </row>
    <row r="458" spans="1:20" x14ac:dyDescent="0.35">
      <c r="A458">
        <v>457</v>
      </c>
      <c r="B458" s="1">
        <v>40564</v>
      </c>
      <c r="C458">
        <v>1</v>
      </c>
      <c r="D458">
        <v>0</v>
      </c>
      <c r="E458">
        <v>1</v>
      </c>
      <c r="F458" t="str">
        <f>IF(final_data787[[#This Row],[MONTH_CODE]]=1,"JANUARY",IF(final_data787[[#This Row],[MONTH_CODE]]=2,"FEBRUARY"))</f>
        <v>JANUARY</v>
      </c>
      <c r="G458">
        <v>1</v>
      </c>
      <c r="H458">
        <v>0</v>
      </c>
      <c r="I458">
        <v>5</v>
      </c>
      <c r="J4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58" t="str">
        <f>IF(final_data787[[#This Row],[DAY_CODE]]=0,"weekend",IF(final_data787[[#This Row],[DAY_CODE]]=1,"weekend","weekday"))</f>
        <v>weekday</v>
      </c>
      <c r="L458">
        <v>2</v>
      </c>
      <c r="M458" t="str">
        <f>IF(final_data787[[#This Row],[WEATHER_CODE]]=1,"clear",IF(final_data787[[#This Row],[WEATHER_CODE]]=2,"cloudy",IF(final_data787[[#This Row],[WEATHER_CODE]]=3,"light rain",IF(final_data787[[#This Row],[WEATHER_CODE]]=4,"heavy rain",0))))</f>
        <v>cloudy</v>
      </c>
      <c r="N458">
        <v>0.24</v>
      </c>
      <c r="O458">
        <v>0.2273</v>
      </c>
      <c r="P458">
        <v>0.7</v>
      </c>
      <c r="Q458">
        <v>0.25369999999999998</v>
      </c>
      <c r="R458">
        <v>0</v>
      </c>
      <c r="S458">
        <v>6</v>
      </c>
      <c r="T458">
        <v>6</v>
      </c>
    </row>
    <row r="459" spans="1:20" x14ac:dyDescent="0.35">
      <c r="A459">
        <v>458</v>
      </c>
      <c r="B459" s="1">
        <v>40564</v>
      </c>
      <c r="C459">
        <v>1</v>
      </c>
      <c r="D459">
        <v>0</v>
      </c>
      <c r="E459">
        <v>1</v>
      </c>
      <c r="F459" t="str">
        <f>IF(final_data787[[#This Row],[MONTH_CODE]]=1,"JANUARY",IF(final_data787[[#This Row],[MONTH_CODE]]=2,"FEBRUARY"))</f>
        <v>JANUARY</v>
      </c>
      <c r="G459">
        <v>2</v>
      </c>
      <c r="H459">
        <v>0</v>
      </c>
      <c r="I459">
        <v>5</v>
      </c>
      <c r="J4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59" t="str">
        <f>IF(final_data787[[#This Row],[DAY_CODE]]=0,"weekend",IF(final_data787[[#This Row],[DAY_CODE]]=1,"weekend","weekday"))</f>
        <v>weekday</v>
      </c>
      <c r="L459">
        <v>3</v>
      </c>
      <c r="M459" t="str">
        <f>IF(final_data787[[#This Row],[WEATHER_CODE]]=1,"clear",IF(final_data787[[#This Row],[WEATHER_CODE]]=2,"cloudy",IF(final_data787[[#This Row],[WEATHER_CODE]]=3,"light rain",IF(final_data787[[#This Row],[WEATHER_CODE]]=4,"heavy rain",0))))</f>
        <v>light rain</v>
      </c>
      <c r="N459">
        <v>0.24</v>
      </c>
      <c r="O459">
        <v>0.2424</v>
      </c>
      <c r="P459">
        <v>0.75</v>
      </c>
      <c r="Q459">
        <v>0.16420000000000001</v>
      </c>
      <c r="R459">
        <v>0</v>
      </c>
      <c r="S459">
        <v>2</v>
      </c>
      <c r="T459">
        <v>2</v>
      </c>
    </row>
    <row r="460" spans="1:20" x14ac:dyDescent="0.35">
      <c r="A460">
        <v>459</v>
      </c>
      <c r="B460" s="1">
        <v>40564</v>
      </c>
      <c r="C460">
        <v>1</v>
      </c>
      <c r="D460">
        <v>0</v>
      </c>
      <c r="E460">
        <v>1</v>
      </c>
      <c r="F460" t="str">
        <f>IF(final_data787[[#This Row],[MONTH_CODE]]=1,"JANUARY",IF(final_data787[[#This Row],[MONTH_CODE]]=2,"FEBRUARY"))</f>
        <v>JANUARY</v>
      </c>
      <c r="G460">
        <v>3</v>
      </c>
      <c r="H460">
        <v>0</v>
      </c>
      <c r="I460">
        <v>5</v>
      </c>
      <c r="J4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0" t="str">
        <f>IF(final_data787[[#This Row],[DAY_CODE]]=0,"weekend",IF(final_data787[[#This Row],[DAY_CODE]]=1,"weekend","weekday"))</f>
        <v>weekday</v>
      </c>
      <c r="L460">
        <v>3</v>
      </c>
      <c r="M460" t="str">
        <f>IF(final_data787[[#This Row],[WEATHER_CODE]]=1,"clear",IF(final_data787[[#This Row],[WEATHER_CODE]]=2,"cloudy",IF(final_data787[[#This Row],[WEATHER_CODE]]=3,"light rain",IF(final_data787[[#This Row],[WEATHER_CODE]]=4,"heavy rain",0))))</f>
        <v>light rain</v>
      </c>
      <c r="N460">
        <v>0.22</v>
      </c>
      <c r="O460">
        <v>0.21210000000000001</v>
      </c>
      <c r="P460">
        <v>0.8</v>
      </c>
      <c r="Q460">
        <v>0.29849999999999999</v>
      </c>
      <c r="R460">
        <v>0</v>
      </c>
      <c r="S460">
        <v>1</v>
      </c>
      <c r="T460">
        <v>1</v>
      </c>
    </row>
    <row r="461" spans="1:20" x14ac:dyDescent="0.35">
      <c r="A461">
        <v>460</v>
      </c>
      <c r="B461" s="1">
        <v>40564</v>
      </c>
      <c r="C461">
        <v>1</v>
      </c>
      <c r="D461">
        <v>0</v>
      </c>
      <c r="E461">
        <v>1</v>
      </c>
      <c r="F461" t="str">
        <f>IF(final_data787[[#This Row],[MONTH_CODE]]=1,"JANUARY",IF(final_data787[[#This Row],[MONTH_CODE]]=2,"FEBRUARY"))</f>
        <v>JANUARY</v>
      </c>
      <c r="G461">
        <v>4</v>
      </c>
      <c r="H461">
        <v>0</v>
      </c>
      <c r="I461">
        <v>5</v>
      </c>
      <c r="J4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1" t="str">
        <f>IF(final_data787[[#This Row],[DAY_CODE]]=0,"weekend",IF(final_data787[[#This Row],[DAY_CODE]]=1,"weekend","weekday"))</f>
        <v>weekday</v>
      </c>
      <c r="L461">
        <v>2</v>
      </c>
      <c r="M461" t="str">
        <f>IF(final_data787[[#This Row],[WEATHER_CODE]]=1,"clear",IF(final_data787[[#This Row],[WEATHER_CODE]]=2,"cloudy",IF(final_data787[[#This Row],[WEATHER_CODE]]=3,"light rain",IF(final_data787[[#This Row],[WEATHER_CODE]]=4,"heavy rain",0))))</f>
        <v>cloudy</v>
      </c>
      <c r="N461">
        <v>0.22</v>
      </c>
      <c r="O461">
        <v>0.2576</v>
      </c>
      <c r="P461">
        <v>0.87</v>
      </c>
      <c r="Q461">
        <v>8.9599999999999999E-2</v>
      </c>
      <c r="R461">
        <v>0</v>
      </c>
      <c r="S461">
        <v>1</v>
      </c>
      <c r="T461">
        <v>1</v>
      </c>
    </row>
    <row r="462" spans="1:20" x14ac:dyDescent="0.35">
      <c r="A462">
        <v>461</v>
      </c>
      <c r="B462" s="1">
        <v>40564</v>
      </c>
      <c r="C462">
        <v>1</v>
      </c>
      <c r="D462">
        <v>0</v>
      </c>
      <c r="E462">
        <v>1</v>
      </c>
      <c r="F462" t="str">
        <f>IF(final_data787[[#This Row],[MONTH_CODE]]=1,"JANUARY",IF(final_data787[[#This Row],[MONTH_CODE]]=2,"FEBRUARY"))</f>
        <v>JANUARY</v>
      </c>
      <c r="G462">
        <v>5</v>
      </c>
      <c r="H462">
        <v>0</v>
      </c>
      <c r="I462">
        <v>5</v>
      </c>
      <c r="J4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2" t="str">
        <f>IF(final_data787[[#This Row],[DAY_CODE]]=0,"weekend",IF(final_data787[[#This Row],[DAY_CODE]]=1,"weekend","weekday"))</f>
        <v>weekday</v>
      </c>
      <c r="L462">
        <v>1</v>
      </c>
      <c r="M462" t="str">
        <f>IF(final_data787[[#This Row],[WEATHER_CODE]]=1,"clear",IF(final_data787[[#This Row],[WEATHER_CODE]]=2,"cloudy",IF(final_data787[[#This Row],[WEATHER_CODE]]=3,"light rain",IF(final_data787[[#This Row],[WEATHER_CODE]]=4,"heavy rain",0))))</f>
        <v>clear</v>
      </c>
      <c r="N462">
        <v>0.24</v>
      </c>
      <c r="O462">
        <v>0.19700000000000001</v>
      </c>
      <c r="P462">
        <v>0.6</v>
      </c>
      <c r="Q462">
        <v>0.41789999999999999</v>
      </c>
      <c r="R462">
        <v>1</v>
      </c>
      <c r="S462">
        <v>4</v>
      </c>
      <c r="T462">
        <v>5</v>
      </c>
    </row>
    <row r="463" spans="1:20" x14ac:dyDescent="0.35">
      <c r="A463">
        <v>462</v>
      </c>
      <c r="B463" s="1">
        <v>40564</v>
      </c>
      <c r="C463">
        <v>1</v>
      </c>
      <c r="D463">
        <v>0</v>
      </c>
      <c r="E463">
        <v>1</v>
      </c>
      <c r="F463" t="str">
        <f>IF(final_data787[[#This Row],[MONTH_CODE]]=1,"JANUARY",IF(final_data787[[#This Row],[MONTH_CODE]]=2,"FEBRUARY"))</f>
        <v>JANUARY</v>
      </c>
      <c r="G463">
        <v>6</v>
      </c>
      <c r="H463">
        <v>0</v>
      </c>
      <c r="I463">
        <v>5</v>
      </c>
      <c r="J4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3" t="str">
        <f>IF(final_data787[[#This Row],[DAY_CODE]]=0,"weekend",IF(final_data787[[#This Row],[DAY_CODE]]=1,"weekend","weekday"))</f>
        <v>weekday</v>
      </c>
      <c r="L463">
        <v>1</v>
      </c>
      <c r="M463" t="str">
        <f>IF(final_data787[[#This Row],[WEATHER_CODE]]=1,"clear",IF(final_data787[[#This Row],[WEATHER_CODE]]=2,"cloudy",IF(final_data787[[#This Row],[WEATHER_CODE]]=3,"light rain",IF(final_data787[[#This Row],[WEATHER_CODE]]=4,"heavy rain",0))))</f>
        <v>clear</v>
      </c>
      <c r="N463">
        <v>0.22</v>
      </c>
      <c r="O463">
        <v>0.21210000000000001</v>
      </c>
      <c r="P463">
        <v>0.55000000000000004</v>
      </c>
      <c r="Q463">
        <v>0.25369999999999998</v>
      </c>
      <c r="R463">
        <v>0</v>
      </c>
      <c r="S463">
        <v>27</v>
      </c>
      <c r="T463">
        <v>27</v>
      </c>
    </row>
    <row r="464" spans="1:20" x14ac:dyDescent="0.35">
      <c r="A464">
        <v>463</v>
      </c>
      <c r="B464" s="1">
        <v>40564</v>
      </c>
      <c r="C464">
        <v>1</v>
      </c>
      <c r="D464">
        <v>0</v>
      </c>
      <c r="E464">
        <v>1</v>
      </c>
      <c r="F464" t="str">
        <f>IF(final_data787[[#This Row],[MONTH_CODE]]=1,"JANUARY",IF(final_data787[[#This Row],[MONTH_CODE]]=2,"FEBRUARY"))</f>
        <v>JANUARY</v>
      </c>
      <c r="G464">
        <v>7</v>
      </c>
      <c r="H464">
        <v>0</v>
      </c>
      <c r="I464">
        <v>5</v>
      </c>
      <c r="J4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4" t="str">
        <f>IF(final_data787[[#This Row],[DAY_CODE]]=0,"weekend",IF(final_data787[[#This Row],[DAY_CODE]]=1,"weekend","weekday"))</f>
        <v>weekday</v>
      </c>
      <c r="L464">
        <v>1</v>
      </c>
      <c r="M464" t="str">
        <f>IF(final_data787[[#This Row],[WEATHER_CODE]]=1,"clear",IF(final_data787[[#This Row],[WEATHER_CODE]]=2,"cloudy",IF(final_data787[[#This Row],[WEATHER_CODE]]=3,"light rain",IF(final_data787[[#This Row],[WEATHER_CODE]]=4,"heavy rain",0))))</f>
        <v>clear</v>
      </c>
      <c r="N464">
        <v>0.2</v>
      </c>
      <c r="O464">
        <v>0.18179999999999999</v>
      </c>
      <c r="P464">
        <v>0.51</v>
      </c>
      <c r="Q464">
        <v>0.28360000000000002</v>
      </c>
      <c r="R464">
        <v>2</v>
      </c>
      <c r="S464">
        <v>66</v>
      </c>
      <c r="T464">
        <v>68</v>
      </c>
    </row>
    <row r="465" spans="1:20" x14ac:dyDescent="0.35">
      <c r="A465">
        <v>464</v>
      </c>
      <c r="B465" s="1">
        <v>40564</v>
      </c>
      <c r="C465">
        <v>1</v>
      </c>
      <c r="D465">
        <v>0</v>
      </c>
      <c r="E465">
        <v>1</v>
      </c>
      <c r="F465" t="str">
        <f>IF(final_data787[[#This Row],[MONTH_CODE]]=1,"JANUARY",IF(final_data787[[#This Row],[MONTH_CODE]]=2,"FEBRUARY"))</f>
        <v>JANUARY</v>
      </c>
      <c r="G465">
        <v>8</v>
      </c>
      <c r="H465">
        <v>0</v>
      </c>
      <c r="I465">
        <v>5</v>
      </c>
      <c r="J4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5" t="str">
        <f>IF(final_data787[[#This Row],[DAY_CODE]]=0,"weekend",IF(final_data787[[#This Row],[DAY_CODE]]=1,"weekend","weekday"))</f>
        <v>weekday</v>
      </c>
      <c r="L465">
        <v>1</v>
      </c>
      <c r="M465" t="str">
        <f>IF(final_data787[[#This Row],[WEATHER_CODE]]=1,"clear",IF(final_data787[[#This Row],[WEATHER_CODE]]=2,"cloudy",IF(final_data787[[#This Row],[WEATHER_CODE]]=3,"light rain",IF(final_data787[[#This Row],[WEATHER_CODE]]=4,"heavy rain",0))))</f>
        <v>clear</v>
      </c>
      <c r="N465">
        <v>0.2</v>
      </c>
      <c r="O465">
        <v>0.18179999999999999</v>
      </c>
      <c r="P465">
        <v>0.47</v>
      </c>
      <c r="Q465">
        <v>0.32840000000000003</v>
      </c>
      <c r="R465">
        <v>7</v>
      </c>
      <c r="S465">
        <v>210</v>
      </c>
      <c r="T465">
        <v>217</v>
      </c>
    </row>
    <row r="466" spans="1:20" x14ac:dyDescent="0.35">
      <c r="A466">
        <v>465</v>
      </c>
      <c r="B466" s="1">
        <v>40564</v>
      </c>
      <c r="C466">
        <v>1</v>
      </c>
      <c r="D466">
        <v>0</v>
      </c>
      <c r="E466">
        <v>1</v>
      </c>
      <c r="F466" t="str">
        <f>IF(final_data787[[#This Row],[MONTH_CODE]]=1,"JANUARY",IF(final_data787[[#This Row],[MONTH_CODE]]=2,"FEBRUARY"))</f>
        <v>JANUARY</v>
      </c>
      <c r="G466">
        <v>9</v>
      </c>
      <c r="H466">
        <v>0</v>
      </c>
      <c r="I466">
        <v>5</v>
      </c>
      <c r="J4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6" t="str">
        <f>IF(final_data787[[#This Row],[DAY_CODE]]=0,"weekend",IF(final_data787[[#This Row],[DAY_CODE]]=1,"weekend","weekday"))</f>
        <v>weekday</v>
      </c>
      <c r="L466">
        <v>1</v>
      </c>
      <c r="M466" t="str">
        <f>IF(final_data787[[#This Row],[WEATHER_CODE]]=1,"clear",IF(final_data787[[#This Row],[WEATHER_CODE]]=2,"cloudy",IF(final_data787[[#This Row],[WEATHER_CODE]]=3,"light rain",IF(final_data787[[#This Row],[WEATHER_CODE]]=4,"heavy rain",0))))</f>
        <v>clear</v>
      </c>
      <c r="N466">
        <v>0.2</v>
      </c>
      <c r="O466">
        <v>0.18179999999999999</v>
      </c>
      <c r="P466">
        <v>0.51</v>
      </c>
      <c r="Q466">
        <v>0.35820000000000002</v>
      </c>
      <c r="R466">
        <v>7</v>
      </c>
      <c r="S466">
        <v>159</v>
      </c>
      <c r="T466">
        <v>166</v>
      </c>
    </row>
    <row r="467" spans="1:20" x14ac:dyDescent="0.35">
      <c r="A467">
        <v>466</v>
      </c>
      <c r="B467" s="1">
        <v>40564</v>
      </c>
      <c r="C467">
        <v>1</v>
      </c>
      <c r="D467">
        <v>0</v>
      </c>
      <c r="E467">
        <v>1</v>
      </c>
      <c r="F467" t="str">
        <f>IF(final_data787[[#This Row],[MONTH_CODE]]=1,"JANUARY",IF(final_data787[[#This Row],[MONTH_CODE]]=2,"FEBRUARY"))</f>
        <v>JANUARY</v>
      </c>
      <c r="G467">
        <v>10</v>
      </c>
      <c r="H467">
        <v>0</v>
      </c>
      <c r="I467">
        <v>5</v>
      </c>
      <c r="J4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7" t="str">
        <f>IF(final_data787[[#This Row],[DAY_CODE]]=0,"weekend",IF(final_data787[[#This Row],[DAY_CODE]]=1,"weekend","weekday"))</f>
        <v>weekday</v>
      </c>
      <c r="L467">
        <v>1</v>
      </c>
      <c r="M467" t="str">
        <f>IF(final_data787[[#This Row],[WEATHER_CODE]]=1,"clear",IF(final_data787[[#This Row],[WEATHER_CODE]]=2,"cloudy",IF(final_data787[[#This Row],[WEATHER_CODE]]=3,"light rain",IF(final_data787[[#This Row],[WEATHER_CODE]]=4,"heavy rain",0))))</f>
        <v>clear</v>
      </c>
      <c r="N467">
        <v>0.2</v>
      </c>
      <c r="O467">
        <v>0.16669999999999999</v>
      </c>
      <c r="P467">
        <v>0.47</v>
      </c>
      <c r="Q467">
        <v>0.4627</v>
      </c>
      <c r="R467">
        <v>6</v>
      </c>
      <c r="S467">
        <v>57</v>
      </c>
      <c r="T467">
        <v>63</v>
      </c>
    </row>
    <row r="468" spans="1:20" x14ac:dyDescent="0.35">
      <c r="A468">
        <v>467</v>
      </c>
      <c r="B468" s="1">
        <v>40564</v>
      </c>
      <c r="C468">
        <v>1</v>
      </c>
      <c r="D468">
        <v>0</v>
      </c>
      <c r="E468">
        <v>1</v>
      </c>
      <c r="F468" t="str">
        <f>IF(final_data787[[#This Row],[MONTH_CODE]]=1,"JANUARY",IF(final_data787[[#This Row],[MONTH_CODE]]=2,"FEBRUARY"))</f>
        <v>JANUARY</v>
      </c>
      <c r="G468">
        <v>11</v>
      </c>
      <c r="H468">
        <v>0</v>
      </c>
      <c r="I468">
        <v>5</v>
      </c>
      <c r="J4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8" t="str">
        <f>IF(final_data787[[#This Row],[DAY_CODE]]=0,"weekend",IF(final_data787[[#This Row],[DAY_CODE]]=1,"weekend","weekday"))</f>
        <v>weekday</v>
      </c>
      <c r="L468">
        <v>1</v>
      </c>
      <c r="M468" t="str">
        <f>IF(final_data787[[#This Row],[WEATHER_CODE]]=1,"clear",IF(final_data787[[#This Row],[WEATHER_CODE]]=2,"cloudy",IF(final_data787[[#This Row],[WEATHER_CODE]]=3,"light rain",IF(final_data787[[#This Row],[WEATHER_CODE]]=4,"heavy rain",0))))</f>
        <v>clear</v>
      </c>
      <c r="N468">
        <v>0.22</v>
      </c>
      <c r="O468">
        <v>0.18179999999999999</v>
      </c>
      <c r="P468">
        <v>0.41</v>
      </c>
      <c r="Q468">
        <v>0.4627</v>
      </c>
      <c r="R468">
        <v>6</v>
      </c>
      <c r="S468">
        <v>53</v>
      </c>
      <c r="T468">
        <v>59</v>
      </c>
    </row>
    <row r="469" spans="1:20" x14ac:dyDescent="0.35">
      <c r="A469">
        <v>468</v>
      </c>
      <c r="B469" s="1">
        <v>40564</v>
      </c>
      <c r="C469">
        <v>1</v>
      </c>
      <c r="D469">
        <v>0</v>
      </c>
      <c r="E469">
        <v>1</v>
      </c>
      <c r="F469" t="str">
        <f>IF(final_data787[[#This Row],[MONTH_CODE]]=1,"JANUARY",IF(final_data787[[#This Row],[MONTH_CODE]]=2,"FEBRUARY"))</f>
        <v>JANUARY</v>
      </c>
      <c r="G469">
        <v>12</v>
      </c>
      <c r="H469">
        <v>0</v>
      </c>
      <c r="I469">
        <v>5</v>
      </c>
      <c r="J4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69" t="str">
        <f>IF(final_data787[[#This Row],[DAY_CODE]]=0,"weekend",IF(final_data787[[#This Row],[DAY_CODE]]=1,"weekend","weekday"))</f>
        <v>weekday</v>
      </c>
      <c r="L469">
        <v>1</v>
      </c>
      <c r="M469" t="str">
        <f>IF(final_data787[[#This Row],[WEATHER_CODE]]=1,"clear",IF(final_data787[[#This Row],[WEATHER_CODE]]=2,"cloudy",IF(final_data787[[#This Row],[WEATHER_CODE]]=3,"light rain",IF(final_data787[[#This Row],[WEATHER_CODE]]=4,"heavy rain",0))))</f>
        <v>clear</v>
      </c>
      <c r="N469">
        <v>0.22</v>
      </c>
      <c r="O469">
        <v>0.18179999999999999</v>
      </c>
      <c r="P469">
        <v>0.27</v>
      </c>
      <c r="Q469">
        <v>0.58209999999999995</v>
      </c>
      <c r="R469">
        <v>11</v>
      </c>
      <c r="S469">
        <v>67</v>
      </c>
      <c r="T469">
        <v>78</v>
      </c>
    </row>
    <row r="470" spans="1:20" x14ac:dyDescent="0.35">
      <c r="A470">
        <v>469</v>
      </c>
      <c r="B470" s="1">
        <v>40564</v>
      </c>
      <c r="C470">
        <v>1</v>
      </c>
      <c r="D470">
        <v>0</v>
      </c>
      <c r="E470">
        <v>1</v>
      </c>
      <c r="F470" t="str">
        <f>IF(final_data787[[#This Row],[MONTH_CODE]]=1,"JANUARY",IF(final_data787[[#This Row],[MONTH_CODE]]=2,"FEBRUARY"))</f>
        <v>JANUARY</v>
      </c>
      <c r="G470">
        <v>13</v>
      </c>
      <c r="H470">
        <v>0</v>
      </c>
      <c r="I470">
        <v>5</v>
      </c>
      <c r="J4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0" t="str">
        <f>IF(final_data787[[#This Row],[DAY_CODE]]=0,"weekend",IF(final_data787[[#This Row],[DAY_CODE]]=1,"weekend","weekday"))</f>
        <v>weekday</v>
      </c>
      <c r="L470">
        <v>1</v>
      </c>
      <c r="M470" t="str">
        <f>IF(final_data787[[#This Row],[WEATHER_CODE]]=1,"clear",IF(final_data787[[#This Row],[WEATHER_CODE]]=2,"cloudy",IF(final_data787[[#This Row],[WEATHER_CODE]]=3,"light rain",IF(final_data787[[#This Row],[WEATHER_CODE]]=4,"heavy rain",0))))</f>
        <v>clear</v>
      </c>
      <c r="N470">
        <v>0.2</v>
      </c>
      <c r="O470">
        <v>0.1515</v>
      </c>
      <c r="P470">
        <v>0.21</v>
      </c>
      <c r="Q470">
        <v>0.58209999999999995</v>
      </c>
      <c r="R470">
        <v>8</v>
      </c>
      <c r="S470">
        <v>65</v>
      </c>
      <c r="T470">
        <v>73</v>
      </c>
    </row>
    <row r="471" spans="1:20" x14ac:dyDescent="0.35">
      <c r="A471">
        <v>470</v>
      </c>
      <c r="B471" s="1">
        <v>40564</v>
      </c>
      <c r="C471">
        <v>1</v>
      </c>
      <c r="D471">
        <v>0</v>
      </c>
      <c r="E471">
        <v>1</v>
      </c>
      <c r="F471" t="str">
        <f>IF(final_data787[[#This Row],[MONTH_CODE]]=1,"JANUARY",IF(final_data787[[#This Row],[MONTH_CODE]]=2,"FEBRUARY"))</f>
        <v>JANUARY</v>
      </c>
      <c r="G471">
        <v>14</v>
      </c>
      <c r="H471">
        <v>0</v>
      </c>
      <c r="I471">
        <v>5</v>
      </c>
      <c r="J4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1" t="str">
        <f>IF(final_data787[[#This Row],[DAY_CODE]]=0,"weekend",IF(final_data787[[#This Row],[DAY_CODE]]=1,"weekend","weekday"))</f>
        <v>weekday</v>
      </c>
      <c r="L471">
        <v>1</v>
      </c>
      <c r="M471" t="str">
        <f>IF(final_data787[[#This Row],[WEATHER_CODE]]=1,"clear",IF(final_data787[[#This Row],[WEATHER_CODE]]=2,"cloudy",IF(final_data787[[#This Row],[WEATHER_CODE]]=3,"light rain",IF(final_data787[[#This Row],[WEATHER_CODE]]=4,"heavy rain",0))))</f>
        <v>clear</v>
      </c>
      <c r="N471">
        <v>0.2</v>
      </c>
      <c r="O471">
        <v>0.1515</v>
      </c>
      <c r="P471">
        <v>0.25</v>
      </c>
      <c r="Q471">
        <v>0.52239999999999998</v>
      </c>
      <c r="R471">
        <v>6</v>
      </c>
      <c r="S471">
        <v>56</v>
      </c>
      <c r="T471">
        <v>62</v>
      </c>
    </row>
    <row r="472" spans="1:20" x14ac:dyDescent="0.35">
      <c r="A472">
        <v>471</v>
      </c>
      <c r="B472" s="1">
        <v>40564</v>
      </c>
      <c r="C472">
        <v>1</v>
      </c>
      <c r="D472">
        <v>0</v>
      </c>
      <c r="E472">
        <v>1</v>
      </c>
      <c r="F472" t="str">
        <f>IF(final_data787[[#This Row],[MONTH_CODE]]=1,"JANUARY",IF(final_data787[[#This Row],[MONTH_CODE]]=2,"FEBRUARY"))</f>
        <v>JANUARY</v>
      </c>
      <c r="G472">
        <v>15</v>
      </c>
      <c r="H472">
        <v>0</v>
      </c>
      <c r="I472">
        <v>5</v>
      </c>
      <c r="J4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2" t="str">
        <f>IF(final_data787[[#This Row],[DAY_CODE]]=0,"weekend",IF(final_data787[[#This Row],[DAY_CODE]]=1,"weekend","weekday"))</f>
        <v>weekday</v>
      </c>
      <c r="L472">
        <v>1</v>
      </c>
      <c r="M472" t="str">
        <f>IF(final_data787[[#This Row],[WEATHER_CODE]]=1,"clear",IF(final_data787[[#This Row],[WEATHER_CODE]]=2,"cloudy",IF(final_data787[[#This Row],[WEATHER_CODE]]=3,"light rain",IF(final_data787[[#This Row],[WEATHER_CODE]]=4,"heavy rain",0))))</f>
        <v>clear</v>
      </c>
      <c r="N472">
        <v>0.16</v>
      </c>
      <c r="O472">
        <v>0.1212</v>
      </c>
      <c r="P472">
        <v>0.26</v>
      </c>
      <c r="Q472">
        <v>0.44779999999999998</v>
      </c>
      <c r="R472">
        <v>4</v>
      </c>
      <c r="S472">
        <v>61</v>
      </c>
      <c r="T472">
        <v>65</v>
      </c>
    </row>
    <row r="473" spans="1:20" x14ac:dyDescent="0.35">
      <c r="A473">
        <v>472</v>
      </c>
      <c r="B473" s="1">
        <v>40564</v>
      </c>
      <c r="C473">
        <v>1</v>
      </c>
      <c r="D473">
        <v>0</v>
      </c>
      <c r="E473">
        <v>1</v>
      </c>
      <c r="F473" t="str">
        <f>IF(final_data787[[#This Row],[MONTH_CODE]]=1,"JANUARY",IF(final_data787[[#This Row],[MONTH_CODE]]=2,"FEBRUARY"))</f>
        <v>JANUARY</v>
      </c>
      <c r="G473">
        <v>16</v>
      </c>
      <c r="H473">
        <v>0</v>
      </c>
      <c r="I473">
        <v>5</v>
      </c>
      <c r="J4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3" t="str">
        <f>IF(final_data787[[#This Row],[DAY_CODE]]=0,"weekend",IF(final_data787[[#This Row],[DAY_CODE]]=1,"weekend","weekday"))</f>
        <v>weekday</v>
      </c>
      <c r="L473">
        <v>1</v>
      </c>
      <c r="M473" t="str">
        <f>IF(final_data787[[#This Row],[WEATHER_CODE]]=1,"clear",IF(final_data787[[#This Row],[WEATHER_CODE]]=2,"cloudy",IF(final_data787[[#This Row],[WEATHER_CODE]]=3,"light rain",IF(final_data787[[#This Row],[WEATHER_CODE]]=4,"heavy rain",0))))</f>
        <v>clear</v>
      </c>
      <c r="N473">
        <v>0.16</v>
      </c>
      <c r="O473">
        <v>0.13639999999999999</v>
      </c>
      <c r="P473">
        <v>0.26</v>
      </c>
      <c r="Q473">
        <v>0.35820000000000002</v>
      </c>
      <c r="R473">
        <v>0</v>
      </c>
      <c r="S473">
        <v>97</v>
      </c>
      <c r="T473">
        <v>97</v>
      </c>
    </row>
    <row r="474" spans="1:20" x14ac:dyDescent="0.35">
      <c r="A474">
        <v>473</v>
      </c>
      <c r="B474" s="1">
        <v>40564</v>
      </c>
      <c r="C474">
        <v>1</v>
      </c>
      <c r="D474">
        <v>0</v>
      </c>
      <c r="E474">
        <v>1</v>
      </c>
      <c r="F474" t="str">
        <f>IF(final_data787[[#This Row],[MONTH_CODE]]=1,"JANUARY",IF(final_data787[[#This Row],[MONTH_CODE]]=2,"FEBRUARY"))</f>
        <v>JANUARY</v>
      </c>
      <c r="G474">
        <v>17</v>
      </c>
      <c r="H474">
        <v>0</v>
      </c>
      <c r="I474">
        <v>5</v>
      </c>
      <c r="J4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4" t="str">
        <f>IF(final_data787[[#This Row],[DAY_CODE]]=0,"weekend",IF(final_data787[[#This Row],[DAY_CODE]]=1,"weekend","weekday"))</f>
        <v>weekday</v>
      </c>
      <c r="L474">
        <v>1</v>
      </c>
      <c r="M474" t="str">
        <f>IF(final_data787[[#This Row],[WEATHER_CODE]]=1,"clear",IF(final_data787[[#This Row],[WEATHER_CODE]]=2,"cloudy",IF(final_data787[[#This Row],[WEATHER_CODE]]=3,"light rain",IF(final_data787[[#This Row],[WEATHER_CODE]]=4,"heavy rain",0))))</f>
        <v>clear</v>
      </c>
      <c r="N474">
        <v>0.14000000000000001</v>
      </c>
      <c r="O474">
        <v>0.1212</v>
      </c>
      <c r="P474">
        <v>0.28000000000000003</v>
      </c>
      <c r="Q474">
        <v>0.35820000000000002</v>
      </c>
      <c r="R474">
        <v>10</v>
      </c>
      <c r="S474">
        <v>151</v>
      </c>
      <c r="T474">
        <v>161</v>
      </c>
    </row>
    <row r="475" spans="1:20" x14ac:dyDescent="0.35">
      <c r="A475">
        <v>474</v>
      </c>
      <c r="B475" s="1">
        <v>40564</v>
      </c>
      <c r="C475">
        <v>1</v>
      </c>
      <c r="D475">
        <v>0</v>
      </c>
      <c r="E475">
        <v>1</v>
      </c>
      <c r="F475" t="str">
        <f>IF(final_data787[[#This Row],[MONTH_CODE]]=1,"JANUARY",IF(final_data787[[#This Row],[MONTH_CODE]]=2,"FEBRUARY"))</f>
        <v>JANUARY</v>
      </c>
      <c r="G475">
        <v>18</v>
      </c>
      <c r="H475">
        <v>0</v>
      </c>
      <c r="I475">
        <v>5</v>
      </c>
      <c r="J4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5" t="str">
        <f>IF(final_data787[[#This Row],[DAY_CODE]]=0,"weekend",IF(final_data787[[#This Row],[DAY_CODE]]=1,"weekend","weekday"))</f>
        <v>weekday</v>
      </c>
      <c r="L475">
        <v>1</v>
      </c>
      <c r="M475" t="str">
        <f>IF(final_data787[[#This Row],[WEATHER_CODE]]=1,"clear",IF(final_data787[[#This Row],[WEATHER_CODE]]=2,"cloudy",IF(final_data787[[#This Row],[WEATHER_CODE]]=3,"light rain",IF(final_data787[[#This Row],[WEATHER_CODE]]=4,"heavy rain",0))))</f>
        <v>clear</v>
      </c>
      <c r="N475">
        <v>0.12</v>
      </c>
      <c r="O475">
        <v>0.1212</v>
      </c>
      <c r="P475">
        <v>0.3</v>
      </c>
      <c r="Q475">
        <v>0.25369999999999998</v>
      </c>
      <c r="R475">
        <v>1</v>
      </c>
      <c r="S475">
        <v>119</v>
      </c>
      <c r="T475">
        <v>120</v>
      </c>
    </row>
    <row r="476" spans="1:20" x14ac:dyDescent="0.35">
      <c r="A476">
        <v>475</v>
      </c>
      <c r="B476" s="1">
        <v>40564</v>
      </c>
      <c r="C476">
        <v>1</v>
      </c>
      <c r="D476">
        <v>0</v>
      </c>
      <c r="E476">
        <v>1</v>
      </c>
      <c r="F476" t="str">
        <f>IF(final_data787[[#This Row],[MONTH_CODE]]=1,"JANUARY",IF(final_data787[[#This Row],[MONTH_CODE]]=2,"FEBRUARY"))</f>
        <v>JANUARY</v>
      </c>
      <c r="G476">
        <v>19</v>
      </c>
      <c r="H476">
        <v>0</v>
      </c>
      <c r="I476">
        <v>5</v>
      </c>
      <c r="J4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6" t="str">
        <f>IF(final_data787[[#This Row],[DAY_CODE]]=0,"weekend",IF(final_data787[[#This Row],[DAY_CODE]]=1,"weekend","weekday"))</f>
        <v>weekday</v>
      </c>
      <c r="L476">
        <v>1</v>
      </c>
      <c r="M476" t="str">
        <f>IF(final_data787[[#This Row],[WEATHER_CODE]]=1,"clear",IF(final_data787[[#This Row],[WEATHER_CODE]]=2,"cloudy",IF(final_data787[[#This Row],[WEATHER_CODE]]=3,"light rain",IF(final_data787[[#This Row],[WEATHER_CODE]]=4,"heavy rain",0))))</f>
        <v>clear</v>
      </c>
      <c r="N476">
        <v>0.12</v>
      </c>
      <c r="O476">
        <v>0.1061</v>
      </c>
      <c r="P476">
        <v>0.3</v>
      </c>
      <c r="Q476">
        <v>0.32840000000000003</v>
      </c>
      <c r="R476">
        <v>3</v>
      </c>
      <c r="S476">
        <v>93</v>
      </c>
      <c r="T476">
        <v>96</v>
      </c>
    </row>
    <row r="477" spans="1:20" x14ac:dyDescent="0.35">
      <c r="A477">
        <v>476</v>
      </c>
      <c r="B477" s="1">
        <v>40564</v>
      </c>
      <c r="C477">
        <v>1</v>
      </c>
      <c r="D477">
        <v>0</v>
      </c>
      <c r="E477">
        <v>1</v>
      </c>
      <c r="F477" t="str">
        <f>IF(final_data787[[#This Row],[MONTH_CODE]]=1,"JANUARY",IF(final_data787[[#This Row],[MONTH_CODE]]=2,"FEBRUARY"))</f>
        <v>JANUARY</v>
      </c>
      <c r="G477">
        <v>20</v>
      </c>
      <c r="H477">
        <v>0</v>
      </c>
      <c r="I477">
        <v>5</v>
      </c>
      <c r="J4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7" t="str">
        <f>IF(final_data787[[#This Row],[DAY_CODE]]=0,"weekend",IF(final_data787[[#This Row],[DAY_CODE]]=1,"weekend","weekday"))</f>
        <v>weekday</v>
      </c>
      <c r="L477">
        <v>1</v>
      </c>
      <c r="M477" t="str">
        <f>IF(final_data787[[#This Row],[WEATHER_CODE]]=1,"clear",IF(final_data787[[#This Row],[WEATHER_CODE]]=2,"cloudy",IF(final_data787[[#This Row],[WEATHER_CODE]]=3,"light rain",IF(final_data787[[#This Row],[WEATHER_CODE]]=4,"heavy rain",0))))</f>
        <v>clear</v>
      </c>
      <c r="N477">
        <v>0.1</v>
      </c>
      <c r="O477">
        <v>7.5800000000000006E-2</v>
      </c>
      <c r="P477">
        <v>0.33</v>
      </c>
      <c r="Q477">
        <v>0.41789999999999999</v>
      </c>
      <c r="R477">
        <v>1</v>
      </c>
      <c r="S477">
        <v>52</v>
      </c>
      <c r="T477">
        <v>53</v>
      </c>
    </row>
    <row r="478" spans="1:20" x14ac:dyDescent="0.35">
      <c r="A478">
        <v>477</v>
      </c>
      <c r="B478" s="1">
        <v>40564</v>
      </c>
      <c r="C478">
        <v>1</v>
      </c>
      <c r="D478">
        <v>0</v>
      </c>
      <c r="E478">
        <v>1</v>
      </c>
      <c r="F478" t="str">
        <f>IF(final_data787[[#This Row],[MONTH_CODE]]=1,"JANUARY",IF(final_data787[[#This Row],[MONTH_CODE]]=2,"FEBRUARY"))</f>
        <v>JANUARY</v>
      </c>
      <c r="G478">
        <v>21</v>
      </c>
      <c r="H478">
        <v>0</v>
      </c>
      <c r="I478">
        <v>5</v>
      </c>
      <c r="J4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8" t="str">
        <f>IF(final_data787[[#This Row],[DAY_CODE]]=0,"weekend",IF(final_data787[[#This Row],[DAY_CODE]]=1,"weekend","weekday"))</f>
        <v>weekday</v>
      </c>
      <c r="L478">
        <v>1</v>
      </c>
      <c r="M478" t="str">
        <f>IF(final_data787[[#This Row],[WEATHER_CODE]]=1,"clear",IF(final_data787[[#This Row],[WEATHER_CODE]]=2,"cloudy",IF(final_data787[[#This Row],[WEATHER_CODE]]=3,"light rain",IF(final_data787[[#This Row],[WEATHER_CODE]]=4,"heavy rain",0))))</f>
        <v>clear</v>
      </c>
      <c r="N478">
        <v>0.08</v>
      </c>
      <c r="O478">
        <v>7.5800000000000006E-2</v>
      </c>
      <c r="P478">
        <v>0.38</v>
      </c>
      <c r="Q478">
        <v>0.28360000000000002</v>
      </c>
      <c r="R478">
        <v>0</v>
      </c>
      <c r="S478">
        <v>41</v>
      </c>
      <c r="T478">
        <v>41</v>
      </c>
    </row>
    <row r="479" spans="1:20" x14ac:dyDescent="0.35">
      <c r="A479">
        <v>478</v>
      </c>
      <c r="B479" s="1">
        <v>40564</v>
      </c>
      <c r="C479">
        <v>1</v>
      </c>
      <c r="D479">
        <v>0</v>
      </c>
      <c r="E479">
        <v>1</v>
      </c>
      <c r="F479" t="str">
        <f>IF(final_data787[[#This Row],[MONTH_CODE]]=1,"JANUARY",IF(final_data787[[#This Row],[MONTH_CODE]]=2,"FEBRUARY"))</f>
        <v>JANUARY</v>
      </c>
      <c r="G479">
        <v>22</v>
      </c>
      <c r="H479">
        <v>0</v>
      </c>
      <c r="I479">
        <v>5</v>
      </c>
      <c r="J4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79" t="str">
        <f>IF(final_data787[[#This Row],[DAY_CODE]]=0,"weekend",IF(final_data787[[#This Row],[DAY_CODE]]=1,"weekend","weekday"))</f>
        <v>weekday</v>
      </c>
      <c r="L479">
        <v>1</v>
      </c>
      <c r="M479" t="str">
        <f>IF(final_data787[[#This Row],[WEATHER_CODE]]=1,"clear",IF(final_data787[[#This Row],[WEATHER_CODE]]=2,"cloudy",IF(final_data787[[#This Row],[WEATHER_CODE]]=3,"light rain",IF(final_data787[[#This Row],[WEATHER_CODE]]=4,"heavy rain",0))))</f>
        <v>clear</v>
      </c>
      <c r="N479">
        <v>0.06</v>
      </c>
      <c r="O479">
        <v>3.0300000000000001E-2</v>
      </c>
      <c r="P479">
        <v>0.41</v>
      </c>
      <c r="Q479">
        <v>0.3881</v>
      </c>
      <c r="R479">
        <v>1</v>
      </c>
      <c r="S479">
        <v>33</v>
      </c>
      <c r="T479">
        <v>34</v>
      </c>
    </row>
    <row r="480" spans="1:20" x14ac:dyDescent="0.35">
      <c r="A480">
        <v>479</v>
      </c>
      <c r="B480" s="1">
        <v>40564</v>
      </c>
      <c r="C480">
        <v>1</v>
      </c>
      <c r="D480">
        <v>0</v>
      </c>
      <c r="E480">
        <v>1</v>
      </c>
      <c r="F480" t="str">
        <f>IF(final_data787[[#This Row],[MONTH_CODE]]=1,"JANUARY",IF(final_data787[[#This Row],[MONTH_CODE]]=2,"FEBRUARY"))</f>
        <v>JANUARY</v>
      </c>
      <c r="G480">
        <v>23</v>
      </c>
      <c r="H480">
        <v>0</v>
      </c>
      <c r="I480">
        <v>5</v>
      </c>
      <c r="J4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480" t="str">
        <f>IF(final_data787[[#This Row],[DAY_CODE]]=0,"weekend",IF(final_data787[[#This Row],[DAY_CODE]]=1,"weekend","weekday"))</f>
        <v>weekday</v>
      </c>
      <c r="L480">
        <v>1</v>
      </c>
      <c r="M480" t="str">
        <f>IF(final_data787[[#This Row],[WEATHER_CODE]]=1,"clear",IF(final_data787[[#This Row],[WEATHER_CODE]]=2,"cloudy",IF(final_data787[[#This Row],[WEATHER_CODE]]=3,"light rain",IF(final_data787[[#This Row],[WEATHER_CODE]]=4,"heavy rain",0))))</f>
        <v>clear</v>
      </c>
      <c r="N480">
        <v>0.06</v>
      </c>
      <c r="O480">
        <v>4.5499999999999999E-2</v>
      </c>
      <c r="P480">
        <v>0.38</v>
      </c>
      <c r="Q480">
        <v>0.32840000000000003</v>
      </c>
      <c r="R480">
        <v>0</v>
      </c>
      <c r="S480">
        <v>27</v>
      </c>
      <c r="T480">
        <v>27</v>
      </c>
    </row>
    <row r="481" spans="1:20" x14ac:dyDescent="0.35">
      <c r="A481">
        <v>480</v>
      </c>
      <c r="B481" s="1">
        <v>40565</v>
      </c>
      <c r="C481">
        <v>1</v>
      </c>
      <c r="D481">
        <v>0</v>
      </c>
      <c r="E481">
        <v>1</v>
      </c>
      <c r="F481" t="str">
        <f>IF(final_data787[[#This Row],[MONTH_CODE]]=1,"JANUARY",IF(final_data787[[#This Row],[MONTH_CODE]]=2,"FEBRUARY"))</f>
        <v>JANUARY</v>
      </c>
      <c r="G481">
        <v>0</v>
      </c>
      <c r="H481">
        <v>0</v>
      </c>
      <c r="I481">
        <v>6</v>
      </c>
      <c r="J4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1" t="str">
        <f>IF(final_data787[[#This Row],[DAY_CODE]]=0,"weekend",IF(final_data787[[#This Row],[DAY_CODE]]=1,"weekend","weekday"))</f>
        <v>weekday</v>
      </c>
      <c r="L481">
        <v>1</v>
      </c>
      <c r="M481" t="str">
        <f>IF(final_data787[[#This Row],[WEATHER_CODE]]=1,"clear",IF(final_data787[[#This Row],[WEATHER_CODE]]=2,"cloudy",IF(final_data787[[#This Row],[WEATHER_CODE]]=3,"light rain",IF(final_data787[[#This Row],[WEATHER_CODE]]=4,"heavy rain",0))))</f>
        <v>clear</v>
      </c>
      <c r="N481">
        <v>0.04</v>
      </c>
      <c r="O481">
        <v>3.0300000000000001E-2</v>
      </c>
      <c r="P481">
        <v>0.45</v>
      </c>
      <c r="Q481">
        <v>0.25369999999999998</v>
      </c>
      <c r="R481">
        <v>0</v>
      </c>
      <c r="S481">
        <v>13</v>
      </c>
      <c r="T481">
        <v>13</v>
      </c>
    </row>
    <row r="482" spans="1:20" x14ac:dyDescent="0.35">
      <c r="A482">
        <v>481</v>
      </c>
      <c r="B482" s="1">
        <v>40565</v>
      </c>
      <c r="C482">
        <v>1</v>
      </c>
      <c r="D482">
        <v>0</v>
      </c>
      <c r="E482">
        <v>1</v>
      </c>
      <c r="F482" t="str">
        <f>IF(final_data787[[#This Row],[MONTH_CODE]]=1,"JANUARY",IF(final_data787[[#This Row],[MONTH_CODE]]=2,"FEBRUARY"))</f>
        <v>JANUARY</v>
      </c>
      <c r="G482">
        <v>1</v>
      </c>
      <c r="H482">
        <v>0</v>
      </c>
      <c r="I482">
        <v>6</v>
      </c>
      <c r="J4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2" t="str">
        <f>IF(final_data787[[#This Row],[DAY_CODE]]=0,"weekend",IF(final_data787[[#This Row],[DAY_CODE]]=1,"weekend","weekday"))</f>
        <v>weekday</v>
      </c>
      <c r="L482">
        <v>2</v>
      </c>
      <c r="M482" t="str">
        <f>IF(final_data787[[#This Row],[WEATHER_CODE]]=1,"clear",IF(final_data787[[#This Row],[WEATHER_CODE]]=2,"cloudy",IF(final_data787[[#This Row],[WEATHER_CODE]]=3,"light rain",IF(final_data787[[#This Row],[WEATHER_CODE]]=4,"heavy rain",0))))</f>
        <v>cloudy</v>
      </c>
      <c r="N482">
        <v>0.04</v>
      </c>
      <c r="O482">
        <v>0</v>
      </c>
      <c r="P482">
        <v>0.41</v>
      </c>
      <c r="Q482">
        <v>0.3881</v>
      </c>
      <c r="R482">
        <v>3</v>
      </c>
      <c r="S482">
        <v>9</v>
      </c>
      <c r="T482">
        <v>12</v>
      </c>
    </row>
    <row r="483" spans="1:20" x14ac:dyDescent="0.35">
      <c r="A483">
        <v>482</v>
      </c>
      <c r="B483" s="1">
        <v>40565</v>
      </c>
      <c r="C483">
        <v>1</v>
      </c>
      <c r="D483">
        <v>0</v>
      </c>
      <c r="E483">
        <v>1</v>
      </c>
      <c r="F483" t="str">
        <f>IF(final_data787[[#This Row],[MONTH_CODE]]=1,"JANUARY",IF(final_data787[[#This Row],[MONTH_CODE]]=2,"FEBRUARY"))</f>
        <v>JANUARY</v>
      </c>
      <c r="G483">
        <v>2</v>
      </c>
      <c r="H483">
        <v>0</v>
      </c>
      <c r="I483">
        <v>6</v>
      </c>
      <c r="J4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3" t="str">
        <f>IF(final_data787[[#This Row],[DAY_CODE]]=0,"weekend",IF(final_data787[[#This Row],[DAY_CODE]]=1,"weekend","weekday"))</f>
        <v>weekday</v>
      </c>
      <c r="L483">
        <v>2</v>
      </c>
      <c r="M483" t="str">
        <f>IF(final_data787[[#This Row],[WEATHER_CODE]]=1,"clear",IF(final_data787[[#This Row],[WEATHER_CODE]]=2,"cloudy",IF(final_data787[[#This Row],[WEATHER_CODE]]=3,"light rain",IF(final_data787[[#This Row],[WEATHER_CODE]]=4,"heavy rain",0))))</f>
        <v>cloudy</v>
      </c>
      <c r="N483">
        <v>0.04</v>
      </c>
      <c r="O483">
        <v>3.0300000000000001E-2</v>
      </c>
      <c r="P483">
        <v>0.41</v>
      </c>
      <c r="Q483">
        <v>0.25369999999999998</v>
      </c>
      <c r="R483">
        <v>0</v>
      </c>
      <c r="S483">
        <v>11</v>
      </c>
      <c r="T483">
        <v>11</v>
      </c>
    </row>
    <row r="484" spans="1:20" x14ac:dyDescent="0.35">
      <c r="A484">
        <v>483</v>
      </c>
      <c r="B484" s="1">
        <v>40565</v>
      </c>
      <c r="C484">
        <v>1</v>
      </c>
      <c r="D484">
        <v>0</v>
      </c>
      <c r="E484">
        <v>1</v>
      </c>
      <c r="F484" t="str">
        <f>IF(final_data787[[#This Row],[MONTH_CODE]]=1,"JANUARY",IF(final_data787[[#This Row],[MONTH_CODE]]=2,"FEBRUARY"))</f>
        <v>JANUARY</v>
      </c>
      <c r="G484">
        <v>3</v>
      </c>
      <c r="H484">
        <v>0</v>
      </c>
      <c r="I484">
        <v>6</v>
      </c>
      <c r="J4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4" t="str">
        <f>IF(final_data787[[#This Row],[DAY_CODE]]=0,"weekend",IF(final_data787[[#This Row],[DAY_CODE]]=1,"weekend","weekday"))</f>
        <v>weekday</v>
      </c>
      <c r="L484">
        <v>2</v>
      </c>
      <c r="M484" t="str">
        <f>IF(final_data787[[#This Row],[WEATHER_CODE]]=1,"clear",IF(final_data787[[#This Row],[WEATHER_CODE]]=2,"cloudy",IF(final_data787[[#This Row],[WEATHER_CODE]]=3,"light rain",IF(final_data787[[#This Row],[WEATHER_CODE]]=4,"heavy rain",0))))</f>
        <v>cloudy</v>
      </c>
      <c r="N484">
        <v>0.04</v>
      </c>
      <c r="O484">
        <v>3.0300000000000001E-2</v>
      </c>
      <c r="P484">
        <v>0.41</v>
      </c>
      <c r="Q484">
        <v>0.28360000000000002</v>
      </c>
      <c r="R484">
        <v>1</v>
      </c>
      <c r="S484">
        <v>6</v>
      </c>
      <c r="T484">
        <v>7</v>
      </c>
    </row>
    <row r="485" spans="1:20" x14ac:dyDescent="0.35">
      <c r="A485">
        <v>484</v>
      </c>
      <c r="B485" s="1">
        <v>40565</v>
      </c>
      <c r="C485">
        <v>1</v>
      </c>
      <c r="D485">
        <v>0</v>
      </c>
      <c r="E485">
        <v>1</v>
      </c>
      <c r="F485" t="str">
        <f>IF(final_data787[[#This Row],[MONTH_CODE]]=1,"JANUARY",IF(final_data787[[#This Row],[MONTH_CODE]]=2,"FEBRUARY"))</f>
        <v>JANUARY</v>
      </c>
      <c r="G485">
        <v>4</v>
      </c>
      <c r="H485">
        <v>0</v>
      </c>
      <c r="I485">
        <v>6</v>
      </c>
      <c r="J4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5" t="str">
        <f>IF(final_data787[[#This Row],[DAY_CODE]]=0,"weekend",IF(final_data787[[#This Row],[DAY_CODE]]=1,"weekend","weekday"))</f>
        <v>weekday</v>
      </c>
      <c r="L485">
        <v>2</v>
      </c>
      <c r="M485" t="str">
        <f>IF(final_data787[[#This Row],[WEATHER_CODE]]=1,"clear",IF(final_data787[[#This Row],[WEATHER_CODE]]=2,"cloudy",IF(final_data787[[#This Row],[WEATHER_CODE]]=3,"light rain",IF(final_data787[[#This Row],[WEATHER_CODE]]=4,"heavy rain",0))))</f>
        <v>cloudy</v>
      </c>
      <c r="N485">
        <v>0.02</v>
      </c>
      <c r="O485">
        <v>1.52E-2</v>
      </c>
      <c r="P485">
        <v>0.48</v>
      </c>
      <c r="Q485">
        <v>0.29849999999999999</v>
      </c>
      <c r="R485">
        <v>0</v>
      </c>
      <c r="S485">
        <v>3</v>
      </c>
      <c r="T485">
        <v>3</v>
      </c>
    </row>
    <row r="486" spans="1:20" x14ac:dyDescent="0.35">
      <c r="A486">
        <v>485</v>
      </c>
      <c r="B486" s="1">
        <v>40565</v>
      </c>
      <c r="C486">
        <v>1</v>
      </c>
      <c r="D486">
        <v>0</v>
      </c>
      <c r="E486">
        <v>1</v>
      </c>
      <c r="F486" t="str">
        <f>IF(final_data787[[#This Row],[MONTH_CODE]]=1,"JANUARY",IF(final_data787[[#This Row],[MONTH_CODE]]=2,"FEBRUARY"))</f>
        <v>JANUARY</v>
      </c>
      <c r="G486">
        <v>6</v>
      </c>
      <c r="H486">
        <v>0</v>
      </c>
      <c r="I486">
        <v>6</v>
      </c>
      <c r="J4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6" t="str">
        <f>IF(final_data787[[#This Row],[DAY_CODE]]=0,"weekend",IF(final_data787[[#This Row],[DAY_CODE]]=1,"weekend","weekday"))</f>
        <v>weekday</v>
      </c>
      <c r="L486">
        <v>2</v>
      </c>
      <c r="M486" t="str">
        <f>IF(final_data787[[#This Row],[WEATHER_CODE]]=1,"clear",IF(final_data787[[#This Row],[WEATHER_CODE]]=2,"cloudy",IF(final_data787[[#This Row],[WEATHER_CODE]]=3,"light rain",IF(final_data787[[#This Row],[WEATHER_CODE]]=4,"heavy rain",0))))</f>
        <v>cloudy</v>
      </c>
      <c r="N486">
        <v>0.02</v>
      </c>
      <c r="O486">
        <v>3.0300000000000001E-2</v>
      </c>
      <c r="P486">
        <v>0.44</v>
      </c>
      <c r="Q486">
        <v>0.22389999999999999</v>
      </c>
      <c r="R486">
        <v>0</v>
      </c>
      <c r="S486">
        <v>2</v>
      </c>
      <c r="T486">
        <v>2</v>
      </c>
    </row>
    <row r="487" spans="1:20" x14ac:dyDescent="0.35">
      <c r="A487">
        <v>486</v>
      </c>
      <c r="B487" s="1">
        <v>40565</v>
      </c>
      <c r="C487">
        <v>1</v>
      </c>
      <c r="D487">
        <v>0</v>
      </c>
      <c r="E487">
        <v>1</v>
      </c>
      <c r="F487" t="str">
        <f>IF(final_data787[[#This Row],[MONTH_CODE]]=1,"JANUARY",IF(final_data787[[#This Row],[MONTH_CODE]]=2,"FEBRUARY"))</f>
        <v>JANUARY</v>
      </c>
      <c r="G487">
        <v>7</v>
      </c>
      <c r="H487">
        <v>0</v>
      </c>
      <c r="I487">
        <v>6</v>
      </c>
      <c r="J4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7" t="str">
        <f>IF(final_data787[[#This Row],[DAY_CODE]]=0,"weekend",IF(final_data787[[#This Row],[DAY_CODE]]=1,"weekend","weekday"))</f>
        <v>weekday</v>
      </c>
      <c r="L487">
        <v>1</v>
      </c>
      <c r="M487" t="str">
        <f>IF(final_data787[[#This Row],[WEATHER_CODE]]=1,"clear",IF(final_data787[[#This Row],[WEATHER_CODE]]=2,"cloudy",IF(final_data787[[#This Row],[WEATHER_CODE]]=3,"light rain",IF(final_data787[[#This Row],[WEATHER_CODE]]=4,"heavy rain",0))))</f>
        <v>clear</v>
      </c>
      <c r="N487">
        <v>0.02</v>
      </c>
      <c r="O487">
        <v>1.52E-2</v>
      </c>
      <c r="P487">
        <v>0.44</v>
      </c>
      <c r="Q487">
        <v>0.28360000000000002</v>
      </c>
      <c r="R487">
        <v>0</v>
      </c>
      <c r="S487">
        <v>8</v>
      </c>
      <c r="T487">
        <v>8</v>
      </c>
    </row>
    <row r="488" spans="1:20" x14ac:dyDescent="0.35">
      <c r="A488">
        <v>487</v>
      </c>
      <c r="B488" s="1">
        <v>40565</v>
      </c>
      <c r="C488">
        <v>1</v>
      </c>
      <c r="D488">
        <v>0</v>
      </c>
      <c r="E488">
        <v>1</v>
      </c>
      <c r="F488" t="str">
        <f>IF(final_data787[[#This Row],[MONTH_CODE]]=1,"JANUARY",IF(final_data787[[#This Row],[MONTH_CODE]]=2,"FEBRUARY"))</f>
        <v>JANUARY</v>
      </c>
      <c r="G488">
        <v>8</v>
      </c>
      <c r="H488">
        <v>0</v>
      </c>
      <c r="I488">
        <v>6</v>
      </c>
      <c r="J4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8" t="str">
        <f>IF(final_data787[[#This Row],[DAY_CODE]]=0,"weekend",IF(final_data787[[#This Row],[DAY_CODE]]=1,"weekend","weekday"))</f>
        <v>weekday</v>
      </c>
      <c r="L488">
        <v>1</v>
      </c>
      <c r="M488" t="str">
        <f>IF(final_data787[[#This Row],[WEATHER_CODE]]=1,"clear",IF(final_data787[[#This Row],[WEATHER_CODE]]=2,"cloudy",IF(final_data787[[#This Row],[WEATHER_CODE]]=3,"light rain",IF(final_data787[[#This Row],[WEATHER_CODE]]=4,"heavy rain",0))))</f>
        <v>clear</v>
      </c>
      <c r="N488">
        <v>0.02</v>
      </c>
      <c r="O488">
        <v>0</v>
      </c>
      <c r="P488">
        <v>0.44</v>
      </c>
      <c r="Q488">
        <v>0.32840000000000003</v>
      </c>
      <c r="R488">
        <v>1</v>
      </c>
      <c r="S488">
        <v>26</v>
      </c>
      <c r="T488">
        <v>27</v>
      </c>
    </row>
    <row r="489" spans="1:20" x14ac:dyDescent="0.35">
      <c r="A489">
        <v>488</v>
      </c>
      <c r="B489" s="1">
        <v>40565</v>
      </c>
      <c r="C489">
        <v>1</v>
      </c>
      <c r="D489">
        <v>0</v>
      </c>
      <c r="E489">
        <v>1</v>
      </c>
      <c r="F489" t="str">
        <f>IF(final_data787[[#This Row],[MONTH_CODE]]=1,"JANUARY",IF(final_data787[[#This Row],[MONTH_CODE]]=2,"FEBRUARY"))</f>
        <v>JANUARY</v>
      </c>
      <c r="G489">
        <v>9</v>
      </c>
      <c r="H489">
        <v>0</v>
      </c>
      <c r="I489">
        <v>6</v>
      </c>
      <c r="J4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89" t="str">
        <f>IF(final_data787[[#This Row],[DAY_CODE]]=0,"weekend",IF(final_data787[[#This Row],[DAY_CODE]]=1,"weekend","weekday"))</f>
        <v>weekday</v>
      </c>
      <c r="L489">
        <v>1</v>
      </c>
      <c r="M489" t="str">
        <f>IF(final_data787[[#This Row],[WEATHER_CODE]]=1,"clear",IF(final_data787[[#This Row],[WEATHER_CODE]]=2,"cloudy",IF(final_data787[[#This Row],[WEATHER_CODE]]=3,"light rain",IF(final_data787[[#This Row],[WEATHER_CODE]]=4,"heavy rain",0))))</f>
        <v>clear</v>
      </c>
      <c r="N489">
        <v>0.04</v>
      </c>
      <c r="O489">
        <v>3.0300000000000001E-2</v>
      </c>
      <c r="P489">
        <v>0.41</v>
      </c>
      <c r="Q489">
        <v>0.25369999999999998</v>
      </c>
      <c r="R489">
        <v>3</v>
      </c>
      <c r="S489">
        <v>37</v>
      </c>
      <c r="T489">
        <v>40</v>
      </c>
    </row>
    <row r="490" spans="1:20" x14ac:dyDescent="0.35">
      <c r="A490">
        <v>489</v>
      </c>
      <c r="B490" s="1">
        <v>40565</v>
      </c>
      <c r="C490">
        <v>1</v>
      </c>
      <c r="D490">
        <v>0</v>
      </c>
      <c r="E490">
        <v>1</v>
      </c>
      <c r="F490" t="str">
        <f>IF(final_data787[[#This Row],[MONTH_CODE]]=1,"JANUARY",IF(final_data787[[#This Row],[MONTH_CODE]]=2,"FEBRUARY"))</f>
        <v>JANUARY</v>
      </c>
      <c r="G490">
        <v>10</v>
      </c>
      <c r="H490">
        <v>0</v>
      </c>
      <c r="I490">
        <v>6</v>
      </c>
      <c r="J4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0" t="str">
        <f>IF(final_data787[[#This Row],[DAY_CODE]]=0,"weekend",IF(final_data787[[#This Row],[DAY_CODE]]=1,"weekend","weekday"))</f>
        <v>weekday</v>
      </c>
      <c r="L490">
        <v>2</v>
      </c>
      <c r="M490" t="str">
        <f>IF(final_data787[[#This Row],[WEATHER_CODE]]=1,"clear",IF(final_data787[[#This Row],[WEATHER_CODE]]=2,"cloudy",IF(final_data787[[#This Row],[WEATHER_CODE]]=3,"light rain",IF(final_data787[[#This Row],[WEATHER_CODE]]=4,"heavy rain",0))))</f>
        <v>cloudy</v>
      </c>
      <c r="N490">
        <v>0.04</v>
      </c>
      <c r="O490">
        <v>6.0600000000000001E-2</v>
      </c>
      <c r="P490">
        <v>0.41</v>
      </c>
      <c r="Q490">
        <v>0.16420000000000001</v>
      </c>
      <c r="R490">
        <v>3</v>
      </c>
      <c r="S490">
        <v>50</v>
      </c>
      <c r="T490">
        <v>53</v>
      </c>
    </row>
    <row r="491" spans="1:20" x14ac:dyDescent="0.35">
      <c r="A491">
        <v>490</v>
      </c>
      <c r="B491" s="1">
        <v>40565</v>
      </c>
      <c r="C491">
        <v>1</v>
      </c>
      <c r="D491">
        <v>0</v>
      </c>
      <c r="E491">
        <v>1</v>
      </c>
      <c r="F491" t="str">
        <f>IF(final_data787[[#This Row],[MONTH_CODE]]=1,"JANUARY",IF(final_data787[[#This Row],[MONTH_CODE]]=2,"FEBRUARY"))</f>
        <v>JANUARY</v>
      </c>
      <c r="G491">
        <v>11</v>
      </c>
      <c r="H491">
        <v>0</v>
      </c>
      <c r="I491">
        <v>6</v>
      </c>
      <c r="J4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1" t="str">
        <f>IF(final_data787[[#This Row],[DAY_CODE]]=0,"weekend",IF(final_data787[[#This Row],[DAY_CODE]]=1,"weekend","weekday"))</f>
        <v>weekday</v>
      </c>
      <c r="L491">
        <v>2</v>
      </c>
      <c r="M491" t="str">
        <f>IF(final_data787[[#This Row],[WEATHER_CODE]]=1,"clear",IF(final_data787[[#This Row],[WEATHER_CODE]]=2,"cloudy",IF(final_data787[[#This Row],[WEATHER_CODE]]=3,"light rain",IF(final_data787[[#This Row],[WEATHER_CODE]]=4,"heavy rain",0))))</f>
        <v>cloudy</v>
      </c>
      <c r="N491">
        <v>0.06</v>
      </c>
      <c r="O491">
        <v>7.5800000000000006E-2</v>
      </c>
      <c r="P491">
        <v>0.38</v>
      </c>
      <c r="Q491">
        <v>0.1343</v>
      </c>
      <c r="R491">
        <v>4</v>
      </c>
      <c r="S491">
        <v>59</v>
      </c>
      <c r="T491">
        <v>63</v>
      </c>
    </row>
    <row r="492" spans="1:20" x14ac:dyDescent="0.35">
      <c r="A492">
        <v>491</v>
      </c>
      <c r="B492" s="1">
        <v>40565</v>
      </c>
      <c r="C492">
        <v>1</v>
      </c>
      <c r="D492">
        <v>0</v>
      </c>
      <c r="E492">
        <v>1</v>
      </c>
      <c r="F492" t="str">
        <f>IF(final_data787[[#This Row],[MONTH_CODE]]=1,"JANUARY",IF(final_data787[[#This Row],[MONTH_CODE]]=2,"FEBRUARY"))</f>
        <v>JANUARY</v>
      </c>
      <c r="G492">
        <v>12</v>
      </c>
      <c r="H492">
        <v>0</v>
      </c>
      <c r="I492">
        <v>6</v>
      </c>
      <c r="J4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2" t="str">
        <f>IF(final_data787[[#This Row],[DAY_CODE]]=0,"weekend",IF(final_data787[[#This Row],[DAY_CODE]]=1,"weekend","weekday"))</f>
        <v>weekday</v>
      </c>
      <c r="L492">
        <v>2</v>
      </c>
      <c r="M492" t="str">
        <f>IF(final_data787[[#This Row],[WEATHER_CODE]]=1,"clear",IF(final_data787[[#This Row],[WEATHER_CODE]]=2,"cloudy",IF(final_data787[[#This Row],[WEATHER_CODE]]=3,"light rain",IF(final_data787[[#This Row],[WEATHER_CODE]]=4,"heavy rain",0))))</f>
        <v>cloudy</v>
      </c>
      <c r="N492">
        <v>0.06</v>
      </c>
      <c r="O492">
        <v>0.1061</v>
      </c>
      <c r="P492">
        <v>0.38</v>
      </c>
      <c r="Q492">
        <v>0.1045</v>
      </c>
      <c r="R492">
        <v>10</v>
      </c>
      <c r="S492">
        <v>60</v>
      </c>
      <c r="T492">
        <v>70</v>
      </c>
    </row>
    <row r="493" spans="1:20" x14ac:dyDescent="0.35">
      <c r="A493">
        <v>492</v>
      </c>
      <c r="B493" s="1">
        <v>40565</v>
      </c>
      <c r="C493">
        <v>1</v>
      </c>
      <c r="D493">
        <v>0</v>
      </c>
      <c r="E493">
        <v>1</v>
      </c>
      <c r="F493" t="str">
        <f>IF(final_data787[[#This Row],[MONTH_CODE]]=1,"JANUARY",IF(final_data787[[#This Row],[MONTH_CODE]]=2,"FEBRUARY"))</f>
        <v>JANUARY</v>
      </c>
      <c r="G493">
        <v>13</v>
      </c>
      <c r="H493">
        <v>0</v>
      </c>
      <c r="I493">
        <v>6</v>
      </c>
      <c r="J4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3" t="str">
        <f>IF(final_data787[[#This Row],[DAY_CODE]]=0,"weekend",IF(final_data787[[#This Row],[DAY_CODE]]=1,"weekend","weekday"))</f>
        <v>weekday</v>
      </c>
      <c r="L493">
        <v>1</v>
      </c>
      <c r="M493" t="str">
        <f>IF(final_data787[[#This Row],[WEATHER_CODE]]=1,"clear",IF(final_data787[[#This Row],[WEATHER_CODE]]=2,"cloudy",IF(final_data787[[#This Row],[WEATHER_CODE]]=3,"light rain",IF(final_data787[[#This Row],[WEATHER_CODE]]=4,"heavy rain",0))))</f>
        <v>clear</v>
      </c>
      <c r="N493">
        <v>0.08</v>
      </c>
      <c r="O493">
        <v>0.16669999999999999</v>
      </c>
      <c r="P493">
        <v>0.35</v>
      </c>
      <c r="Q493">
        <v>0</v>
      </c>
      <c r="R493">
        <v>12</v>
      </c>
      <c r="S493">
        <v>72</v>
      </c>
      <c r="T493">
        <v>84</v>
      </c>
    </row>
    <row r="494" spans="1:20" x14ac:dyDescent="0.35">
      <c r="A494">
        <v>493</v>
      </c>
      <c r="B494" s="1">
        <v>40565</v>
      </c>
      <c r="C494">
        <v>1</v>
      </c>
      <c r="D494">
        <v>0</v>
      </c>
      <c r="E494">
        <v>1</v>
      </c>
      <c r="F494" t="str">
        <f>IF(final_data787[[#This Row],[MONTH_CODE]]=1,"JANUARY",IF(final_data787[[#This Row],[MONTH_CODE]]=2,"FEBRUARY"))</f>
        <v>JANUARY</v>
      </c>
      <c r="G494">
        <v>14</v>
      </c>
      <c r="H494">
        <v>0</v>
      </c>
      <c r="I494">
        <v>6</v>
      </c>
      <c r="J4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4" t="str">
        <f>IF(final_data787[[#This Row],[DAY_CODE]]=0,"weekend",IF(final_data787[[#This Row],[DAY_CODE]]=1,"weekend","weekday"))</f>
        <v>weekday</v>
      </c>
      <c r="L494">
        <v>1</v>
      </c>
      <c r="M494" t="str">
        <f>IF(final_data787[[#This Row],[WEATHER_CODE]]=1,"clear",IF(final_data787[[#This Row],[WEATHER_CODE]]=2,"cloudy",IF(final_data787[[#This Row],[WEATHER_CODE]]=3,"light rain",IF(final_data787[[#This Row],[WEATHER_CODE]]=4,"heavy rain",0))))</f>
        <v>clear</v>
      </c>
      <c r="N494">
        <v>0.1</v>
      </c>
      <c r="O494">
        <v>0.13639999999999999</v>
      </c>
      <c r="P494">
        <v>0.33</v>
      </c>
      <c r="Q494">
        <v>0.1045</v>
      </c>
      <c r="R494">
        <v>11</v>
      </c>
      <c r="S494">
        <v>64</v>
      </c>
      <c r="T494">
        <v>75</v>
      </c>
    </row>
    <row r="495" spans="1:20" x14ac:dyDescent="0.35">
      <c r="A495">
        <v>494</v>
      </c>
      <c r="B495" s="1">
        <v>40565</v>
      </c>
      <c r="C495">
        <v>1</v>
      </c>
      <c r="D495">
        <v>0</v>
      </c>
      <c r="E495">
        <v>1</v>
      </c>
      <c r="F495" t="str">
        <f>IF(final_data787[[#This Row],[MONTH_CODE]]=1,"JANUARY",IF(final_data787[[#This Row],[MONTH_CODE]]=2,"FEBRUARY"))</f>
        <v>JANUARY</v>
      </c>
      <c r="G495">
        <v>15</v>
      </c>
      <c r="H495">
        <v>0</v>
      </c>
      <c r="I495">
        <v>6</v>
      </c>
      <c r="J4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5" t="str">
        <f>IF(final_data787[[#This Row],[DAY_CODE]]=0,"weekend",IF(final_data787[[#This Row],[DAY_CODE]]=1,"weekend","weekday"))</f>
        <v>weekday</v>
      </c>
      <c r="L495">
        <v>1</v>
      </c>
      <c r="M495" t="str">
        <f>IF(final_data787[[#This Row],[WEATHER_CODE]]=1,"clear",IF(final_data787[[#This Row],[WEATHER_CODE]]=2,"cloudy",IF(final_data787[[#This Row],[WEATHER_CODE]]=3,"light rain",IF(final_data787[[#This Row],[WEATHER_CODE]]=4,"heavy rain",0))))</f>
        <v>clear</v>
      </c>
      <c r="N495">
        <v>0.12</v>
      </c>
      <c r="O495">
        <v>0.1515</v>
      </c>
      <c r="P495">
        <v>0.28000000000000003</v>
      </c>
      <c r="Q495">
        <v>0</v>
      </c>
      <c r="R495">
        <v>10</v>
      </c>
      <c r="S495">
        <v>93</v>
      </c>
      <c r="T495">
        <v>103</v>
      </c>
    </row>
    <row r="496" spans="1:20" x14ac:dyDescent="0.35">
      <c r="A496">
        <v>495</v>
      </c>
      <c r="B496" s="1">
        <v>40565</v>
      </c>
      <c r="C496">
        <v>1</v>
      </c>
      <c r="D496">
        <v>0</v>
      </c>
      <c r="E496">
        <v>1</v>
      </c>
      <c r="F496" t="str">
        <f>IF(final_data787[[#This Row],[MONTH_CODE]]=1,"JANUARY",IF(final_data787[[#This Row],[MONTH_CODE]]=2,"FEBRUARY"))</f>
        <v>JANUARY</v>
      </c>
      <c r="G496">
        <v>16</v>
      </c>
      <c r="H496">
        <v>0</v>
      </c>
      <c r="I496">
        <v>6</v>
      </c>
      <c r="J4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6" t="str">
        <f>IF(final_data787[[#This Row],[DAY_CODE]]=0,"weekend",IF(final_data787[[#This Row],[DAY_CODE]]=1,"weekend","weekday"))</f>
        <v>weekday</v>
      </c>
      <c r="L496">
        <v>1</v>
      </c>
      <c r="M496" t="str">
        <f>IF(final_data787[[#This Row],[WEATHER_CODE]]=1,"clear",IF(final_data787[[#This Row],[WEATHER_CODE]]=2,"cloudy",IF(final_data787[[#This Row],[WEATHER_CODE]]=3,"light rain",IF(final_data787[[#This Row],[WEATHER_CODE]]=4,"heavy rain",0))))</f>
        <v>clear</v>
      </c>
      <c r="N496">
        <v>0.12</v>
      </c>
      <c r="O496">
        <v>0.13639999999999999</v>
      </c>
      <c r="P496">
        <v>0.28000000000000003</v>
      </c>
      <c r="Q496">
        <v>0.19400000000000001</v>
      </c>
      <c r="R496">
        <v>11</v>
      </c>
      <c r="S496">
        <v>72</v>
      </c>
      <c r="T496">
        <v>83</v>
      </c>
    </row>
    <row r="497" spans="1:20" x14ac:dyDescent="0.35">
      <c r="A497">
        <v>496</v>
      </c>
      <c r="B497" s="1">
        <v>40565</v>
      </c>
      <c r="C497">
        <v>1</v>
      </c>
      <c r="D497">
        <v>0</v>
      </c>
      <c r="E497">
        <v>1</v>
      </c>
      <c r="F497" t="str">
        <f>IF(final_data787[[#This Row],[MONTH_CODE]]=1,"JANUARY",IF(final_data787[[#This Row],[MONTH_CODE]]=2,"FEBRUARY"))</f>
        <v>JANUARY</v>
      </c>
      <c r="G497">
        <v>17</v>
      </c>
      <c r="H497">
        <v>0</v>
      </c>
      <c r="I497">
        <v>6</v>
      </c>
      <c r="J4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7" t="str">
        <f>IF(final_data787[[#This Row],[DAY_CODE]]=0,"weekend",IF(final_data787[[#This Row],[DAY_CODE]]=1,"weekend","weekday"))</f>
        <v>weekday</v>
      </c>
      <c r="L497">
        <v>1</v>
      </c>
      <c r="M497" t="str">
        <f>IF(final_data787[[#This Row],[WEATHER_CODE]]=1,"clear",IF(final_data787[[#This Row],[WEATHER_CODE]]=2,"cloudy",IF(final_data787[[#This Row],[WEATHER_CODE]]=3,"light rain",IF(final_data787[[#This Row],[WEATHER_CODE]]=4,"heavy rain",0))))</f>
        <v>clear</v>
      </c>
      <c r="N497">
        <v>0.12</v>
      </c>
      <c r="O497">
        <v>0.19700000000000001</v>
      </c>
      <c r="P497">
        <v>0.28000000000000003</v>
      </c>
      <c r="Q497">
        <v>0</v>
      </c>
      <c r="R497">
        <v>8</v>
      </c>
      <c r="S497">
        <v>59</v>
      </c>
      <c r="T497">
        <v>67</v>
      </c>
    </row>
    <row r="498" spans="1:20" x14ac:dyDescent="0.35">
      <c r="A498">
        <v>497</v>
      </c>
      <c r="B498" s="1">
        <v>40565</v>
      </c>
      <c r="C498">
        <v>1</v>
      </c>
      <c r="D498">
        <v>0</v>
      </c>
      <c r="E498">
        <v>1</v>
      </c>
      <c r="F498" t="str">
        <f>IF(final_data787[[#This Row],[MONTH_CODE]]=1,"JANUARY",IF(final_data787[[#This Row],[MONTH_CODE]]=2,"FEBRUARY"))</f>
        <v>JANUARY</v>
      </c>
      <c r="G498">
        <v>18</v>
      </c>
      <c r="H498">
        <v>0</v>
      </c>
      <c r="I498">
        <v>6</v>
      </c>
      <c r="J4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8" t="str">
        <f>IF(final_data787[[#This Row],[DAY_CODE]]=0,"weekend",IF(final_data787[[#This Row],[DAY_CODE]]=1,"weekend","weekday"))</f>
        <v>weekday</v>
      </c>
      <c r="L498">
        <v>1</v>
      </c>
      <c r="M498" t="str">
        <f>IF(final_data787[[#This Row],[WEATHER_CODE]]=1,"clear",IF(final_data787[[#This Row],[WEATHER_CODE]]=2,"cloudy",IF(final_data787[[#This Row],[WEATHER_CODE]]=3,"light rain",IF(final_data787[[#This Row],[WEATHER_CODE]]=4,"heavy rain",0))))</f>
        <v>clear</v>
      </c>
      <c r="N498">
        <v>0.08</v>
      </c>
      <c r="O498">
        <v>9.0899999999999995E-2</v>
      </c>
      <c r="P498">
        <v>0.35</v>
      </c>
      <c r="Q498">
        <v>0.19400000000000001</v>
      </c>
      <c r="R498">
        <v>0</v>
      </c>
      <c r="S498">
        <v>54</v>
      </c>
      <c r="T498">
        <v>54</v>
      </c>
    </row>
    <row r="499" spans="1:20" x14ac:dyDescent="0.35">
      <c r="A499">
        <v>498</v>
      </c>
      <c r="B499" s="1">
        <v>40565</v>
      </c>
      <c r="C499">
        <v>1</v>
      </c>
      <c r="D499">
        <v>0</v>
      </c>
      <c r="E499">
        <v>1</v>
      </c>
      <c r="F499" t="str">
        <f>IF(final_data787[[#This Row],[MONTH_CODE]]=1,"JANUARY",IF(final_data787[[#This Row],[MONTH_CODE]]=2,"FEBRUARY"))</f>
        <v>JANUARY</v>
      </c>
      <c r="G499">
        <v>19</v>
      </c>
      <c r="H499">
        <v>0</v>
      </c>
      <c r="I499">
        <v>6</v>
      </c>
      <c r="J4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499" t="str">
        <f>IF(final_data787[[#This Row],[DAY_CODE]]=0,"weekend",IF(final_data787[[#This Row],[DAY_CODE]]=1,"weekend","weekday"))</f>
        <v>weekday</v>
      </c>
      <c r="L499">
        <v>1</v>
      </c>
      <c r="M499" t="str">
        <f>IF(final_data787[[#This Row],[WEATHER_CODE]]=1,"clear",IF(final_data787[[#This Row],[WEATHER_CODE]]=2,"cloudy",IF(final_data787[[#This Row],[WEATHER_CODE]]=3,"light rain",IF(final_data787[[#This Row],[WEATHER_CODE]]=4,"heavy rain",0))))</f>
        <v>clear</v>
      </c>
      <c r="N499">
        <v>0.08</v>
      </c>
      <c r="O499">
        <v>0.1061</v>
      </c>
      <c r="P499">
        <v>0.35</v>
      </c>
      <c r="Q499">
        <v>0.1343</v>
      </c>
      <c r="R499">
        <v>6</v>
      </c>
      <c r="S499">
        <v>53</v>
      </c>
      <c r="T499">
        <v>59</v>
      </c>
    </row>
    <row r="500" spans="1:20" x14ac:dyDescent="0.35">
      <c r="A500">
        <v>499</v>
      </c>
      <c r="B500" s="1">
        <v>40565</v>
      </c>
      <c r="C500">
        <v>1</v>
      </c>
      <c r="D500">
        <v>0</v>
      </c>
      <c r="E500">
        <v>1</v>
      </c>
      <c r="F500" t="str">
        <f>IF(final_data787[[#This Row],[MONTH_CODE]]=1,"JANUARY",IF(final_data787[[#This Row],[MONTH_CODE]]=2,"FEBRUARY"))</f>
        <v>JANUARY</v>
      </c>
      <c r="G500">
        <v>20</v>
      </c>
      <c r="H500">
        <v>0</v>
      </c>
      <c r="I500">
        <v>6</v>
      </c>
      <c r="J5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500" t="str">
        <f>IF(final_data787[[#This Row],[DAY_CODE]]=0,"weekend",IF(final_data787[[#This Row],[DAY_CODE]]=1,"weekend","weekday"))</f>
        <v>weekday</v>
      </c>
      <c r="L500">
        <v>1</v>
      </c>
      <c r="M500" t="str">
        <f>IF(final_data787[[#This Row],[WEATHER_CODE]]=1,"clear",IF(final_data787[[#This Row],[WEATHER_CODE]]=2,"cloudy",IF(final_data787[[#This Row],[WEATHER_CODE]]=3,"light rain",IF(final_data787[[#This Row],[WEATHER_CODE]]=4,"heavy rain",0))))</f>
        <v>clear</v>
      </c>
      <c r="N500">
        <v>0.06</v>
      </c>
      <c r="O500">
        <v>7.5800000000000006E-2</v>
      </c>
      <c r="P500">
        <v>0.45</v>
      </c>
      <c r="Q500">
        <v>0.16420000000000001</v>
      </c>
      <c r="R500">
        <v>1</v>
      </c>
      <c r="S500">
        <v>44</v>
      </c>
      <c r="T500">
        <v>45</v>
      </c>
    </row>
    <row r="501" spans="1:20" x14ac:dyDescent="0.35">
      <c r="A501">
        <v>500</v>
      </c>
      <c r="B501" s="1">
        <v>40565</v>
      </c>
      <c r="C501">
        <v>1</v>
      </c>
      <c r="D501">
        <v>0</v>
      </c>
      <c r="E501">
        <v>1</v>
      </c>
      <c r="F501" t="str">
        <f>IF(final_data787[[#This Row],[MONTH_CODE]]=1,"JANUARY",IF(final_data787[[#This Row],[MONTH_CODE]]=2,"FEBRUARY"))</f>
        <v>JANUARY</v>
      </c>
      <c r="G501">
        <v>21</v>
      </c>
      <c r="H501">
        <v>0</v>
      </c>
      <c r="I501">
        <v>6</v>
      </c>
      <c r="J5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501" t="str">
        <f>IF(final_data787[[#This Row],[DAY_CODE]]=0,"weekend",IF(final_data787[[#This Row],[DAY_CODE]]=1,"weekend","weekday"))</f>
        <v>weekday</v>
      </c>
      <c r="L501">
        <v>1</v>
      </c>
      <c r="M501" t="str">
        <f>IF(final_data787[[#This Row],[WEATHER_CODE]]=1,"clear",IF(final_data787[[#This Row],[WEATHER_CODE]]=2,"cloudy",IF(final_data787[[#This Row],[WEATHER_CODE]]=3,"light rain",IF(final_data787[[#This Row],[WEATHER_CODE]]=4,"heavy rain",0))))</f>
        <v>clear</v>
      </c>
      <c r="N501">
        <v>0.06</v>
      </c>
      <c r="O501">
        <v>0.1061</v>
      </c>
      <c r="P501">
        <v>0.41</v>
      </c>
      <c r="Q501">
        <v>8.9599999999999999E-2</v>
      </c>
      <c r="R501">
        <v>0</v>
      </c>
      <c r="S501">
        <v>39</v>
      </c>
      <c r="T501">
        <v>39</v>
      </c>
    </row>
    <row r="502" spans="1:20" x14ac:dyDescent="0.35">
      <c r="A502">
        <v>501</v>
      </c>
      <c r="B502" s="1">
        <v>40565</v>
      </c>
      <c r="C502">
        <v>1</v>
      </c>
      <c r="D502">
        <v>0</v>
      </c>
      <c r="E502">
        <v>1</v>
      </c>
      <c r="F502" t="str">
        <f>IF(final_data787[[#This Row],[MONTH_CODE]]=1,"JANUARY",IF(final_data787[[#This Row],[MONTH_CODE]]=2,"FEBRUARY"))</f>
        <v>JANUARY</v>
      </c>
      <c r="G502">
        <v>22</v>
      </c>
      <c r="H502">
        <v>0</v>
      </c>
      <c r="I502">
        <v>6</v>
      </c>
      <c r="J5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502" t="str">
        <f>IF(final_data787[[#This Row],[DAY_CODE]]=0,"weekend",IF(final_data787[[#This Row],[DAY_CODE]]=1,"weekend","weekday"))</f>
        <v>weekday</v>
      </c>
      <c r="L502">
        <v>1</v>
      </c>
      <c r="M502" t="str">
        <f>IF(final_data787[[#This Row],[WEATHER_CODE]]=1,"clear",IF(final_data787[[#This Row],[WEATHER_CODE]]=2,"cloudy",IF(final_data787[[#This Row],[WEATHER_CODE]]=3,"light rain",IF(final_data787[[#This Row],[WEATHER_CODE]]=4,"heavy rain",0))))</f>
        <v>clear</v>
      </c>
      <c r="N502">
        <v>0.06</v>
      </c>
      <c r="O502">
        <v>0.1515</v>
      </c>
      <c r="P502">
        <v>0.49</v>
      </c>
      <c r="Q502">
        <v>0</v>
      </c>
      <c r="R502">
        <v>7</v>
      </c>
      <c r="S502">
        <v>23</v>
      </c>
      <c r="T502">
        <v>30</v>
      </c>
    </row>
    <row r="503" spans="1:20" x14ac:dyDescent="0.35">
      <c r="A503">
        <v>502</v>
      </c>
      <c r="B503" s="1">
        <v>40565</v>
      </c>
      <c r="C503">
        <v>1</v>
      </c>
      <c r="D503">
        <v>0</v>
      </c>
      <c r="E503">
        <v>1</v>
      </c>
      <c r="F503" t="str">
        <f>IF(final_data787[[#This Row],[MONTH_CODE]]=1,"JANUARY",IF(final_data787[[#This Row],[MONTH_CODE]]=2,"FEBRUARY"))</f>
        <v>JANUARY</v>
      </c>
      <c r="G503">
        <v>23</v>
      </c>
      <c r="H503">
        <v>0</v>
      </c>
      <c r="I503">
        <v>6</v>
      </c>
      <c r="J5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503" t="str">
        <f>IF(final_data787[[#This Row],[DAY_CODE]]=0,"weekend",IF(final_data787[[#This Row],[DAY_CODE]]=1,"weekend","weekday"))</f>
        <v>weekday</v>
      </c>
      <c r="L503">
        <v>1</v>
      </c>
      <c r="M503" t="str">
        <f>IF(final_data787[[#This Row],[WEATHER_CODE]]=1,"clear",IF(final_data787[[#This Row],[WEATHER_CODE]]=2,"cloudy",IF(final_data787[[#This Row],[WEATHER_CODE]]=3,"light rain",IF(final_data787[[#This Row],[WEATHER_CODE]]=4,"heavy rain",0))))</f>
        <v>clear</v>
      </c>
      <c r="N503">
        <v>0.04</v>
      </c>
      <c r="O503">
        <v>7.5800000000000006E-2</v>
      </c>
      <c r="P503">
        <v>0.56999999999999995</v>
      </c>
      <c r="Q503">
        <v>0.1045</v>
      </c>
      <c r="R503">
        <v>2</v>
      </c>
      <c r="S503">
        <v>31</v>
      </c>
      <c r="T503">
        <v>33</v>
      </c>
    </row>
    <row r="504" spans="1:20" x14ac:dyDescent="0.35">
      <c r="A504">
        <v>503</v>
      </c>
      <c r="B504" s="1">
        <v>40566</v>
      </c>
      <c r="C504">
        <v>1</v>
      </c>
      <c r="D504">
        <v>0</v>
      </c>
      <c r="E504">
        <v>1</v>
      </c>
      <c r="F504" t="str">
        <f>IF(final_data787[[#This Row],[MONTH_CODE]]=1,"JANUARY",IF(final_data787[[#This Row],[MONTH_CODE]]=2,"FEBRUARY"))</f>
        <v>JANUARY</v>
      </c>
      <c r="G504">
        <v>0</v>
      </c>
      <c r="H504">
        <v>0</v>
      </c>
      <c r="I504">
        <v>0</v>
      </c>
      <c r="J5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4" t="str">
        <f>IF(final_data787[[#This Row],[DAY_CODE]]=0,"weekend",IF(final_data787[[#This Row],[DAY_CODE]]=1,"weekend","weekday"))</f>
        <v>weekend</v>
      </c>
      <c r="L504">
        <v>1</v>
      </c>
      <c r="M504" t="str">
        <f>IF(final_data787[[#This Row],[WEATHER_CODE]]=1,"clear",IF(final_data787[[#This Row],[WEATHER_CODE]]=2,"cloudy",IF(final_data787[[#This Row],[WEATHER_CODE]]=3,"light rain",IF(final_data787[[#This Row],[WEATHER_CODE]]=4,"heavy rain",0))))</f>
        <v>clear</v>
      </c>
      <c r="N504">
        <v>0.04</v>
      </c>
      <c r="O504">
        <v>7.5800000000000006E-2</v>
      </c>
      <c r="P504">
        <v>0.56999999999999995</v>
      </c>
      <c r="Q504">
        <v>0.1045</v>
      </c>
      <c r="R504">
        <v>2</v>
      </c>
      <c r="S504">
        <v>20</v>
      </c>
      <c r="T504">
        <v>22</v>
      </c>
    </row>
    <row r="505" spans="1:20" x14ac:dyDescent="0.35">
      <c r="A505">
        <v>504</v>
      </c>
      <c r="B505" s="1">
        <v>40566</v>
      </c>
      <c r="C505">
        <v>1</v>
      </c>
      <c r="D505">
        <v>0</v>
      </c>
      <c r="E505">
        <v>1</v>
      </c>
      <c r="F505" t="str">
        <f>IF(final_data787[[#This Row],[MONTH_CODE]]=1,"JANUARY",IF(final_data787[[#This Row],[MONTH_CODE]]=2,"FEBRUARY"))</f>
        <v>JANUARY</v>
      </c>
      <c r="G505">
        <v>1</v>
      </c>
      <c r="H505">
        <v>0</v>
      </c>
      <c r="I505">
        <v>0</v>
      </c>
      <c r="J5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5" t="str">
        <f>IF(final_data787[[#This Row],[DAY_CODE]]=0,"weekend",IF(final_data787[[#This Row],[DAY_CODE]]=1,"weekend","weekday"))</f>
        <v>weekend</v>
      </c>
      <c r="L505">
        <v>1</v>
      </c>
      <c r="M505" t="str">
        <f>IF(final_data787[[#This Row],[WEATHER_CODE]]=1,"clear",IF(final_data787[[#This Row],[WEATHER_CODE]]=2,"cloudy",IF(final_data787[[#This Row],[WEATHER_CODE]]=3,"light rain",IF(final_data787[[#This Row],[WEATHER_CODE]]=4,"heavy rain",0))))</f>
        <v>clear</v>
      </c>
      <c r="N505">
        <v>0.04</v>
      </c>
      <c r="O505">
        <v>7.5800000000000006E-2</v>
      </c>
      <c r="P505">
        <v>0.56999999999999995</v>
      </c>
      <c r="Q505">
        <v>0.1045</v>
      </c>
      <c r="R505">
        <v>1</v>
      </c>
      <c r="S505">
        <v>12</v>
      </c>
      <c r="T505">
        <v>13</v>
      </c>
    </row>
    <row r="506" spans="1:20" x14ac:dyDescent="0.35">
      <c r="A506">
        <v>505</v>
      </c>
      <c r="B506" s="1">
        <v>40566</v>
      </c>
      <c r="C506">
        <v>1</v>
      </c>
      <c r="D506">
        <v>0</v>
      </c>
      <c r="E506">
        <v>1</v>
      </c>
      <c r="F506" t="str">
        <f>IF(final_data787[[#This Row],[MONTH_CODE]]=1,"JANUARY",IF(final_data787[[#This Row],[MONTH_CODE]]=2,"FEBRUARY"))</f>
        <v>JANUARY</v>
      </c>
      <c r="G506">
        <v>2</v>
      </c>
      <c r="H506">
        <v>0</v>
      </c>
      <c r="I506">
        <v>0</v>
      </c>
      <c r="J5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6" t="str">
        <f>IF(final_data787[[#This Row],[DAY_CODE]]=0,"weekend",IF(final_data787[[#This Row],[DAY_CODE]]=1,"weekend","weekday"))</f>
        <v>weekend</v>
      </c>
      <c r="L506">
        <v>1</v>
      </c>
      <c r="M506" t="str">
        <f>IF(final_data787[[#This Row],[WEATHER_CODE]]=1,"clear",IF(final_data787[[#This Row],[WEATHER_CODE]]=2,"cloudy",IF(final_data787[[#This Row],[WEATHER_CODE]]=3,"light rain",IF(final_data787[[#This Row],[WEATHER_CODE]]=4,"heavy rain",0))))</f>
        <v>clear</v>
      </c>
      <c r="N506">
        <v>0.02</v>
      </c>
      <c r="O506">
        <v>6.0600000000000001E-2</v>
      </c>
      <c r="P506">
        <v>0.62</v>
      </c>
      <c r="Q506">
        <v>0.1343</v>
      </c>
      <c r="R506">
        <v>3</v>
      </c>
      <c r="S506">
        <v>15</v>
      </c>
      <c r="T506">
        <v>18</v>
      </c>
    </row>
    <row r="507" spans="1:20" x14ac:dyDescent="0.35">
      <c r="A507">
        <v>506</v>
      </c>
      <c r="B507" s="1">
        <v>40566</v>
      </c>
      <c r="C507">
        <v>1</v>
      </c>
      <c r="D507">
        <v>0</v>
      </c>
      <c r="E507">
        <v>1</v>
      </c>
      <c r="F507" t="str">
        <f>IF(final_data787[[#This Row],[MONTH_CODE]]=1,"JANUARY",IF(final_data787[[#This Row],[MONTH_CODE]]=2,"FEBRUARY"))</f>
        <v>JANUARY</v>
      </c>
      <c r="G507">
        <v>3</v>
      </c>
      <c r="H507">
        <v>0</v>
      </c>
      <c r="I507">
        <v>0</v>
      </c>
      <c r="J5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7" t="str">
        <f>IF(final_data787[[#This Row],[DAY_CODE]]=0,"weekend",IF(final_data787[[#This Row],[DAY_CODE]]=1,"weekend","weekday"))</f>
        <v>weekend</v>
      </c>
      <c r="L507">
        <v>1</v>
      </c>
      <c r="M507" t="str">
        <f>IF(final_data787[[#This Row],[WEATHER_CODE]]=1,"clear",IF(final_data787[[#This Row],[WEATHER_CODE]]=2,"cloudy",IF(final_data787[[#This Row],[WEATHER_CODE]]=3,"light rain",IF(final_data787[[#This Row],[WEATHER_CODE]]=4,"heavy rain",0))))</f>
        <v>clear</v>
      </c>
      <c r="N507">
        <v>0.02</v>
      </c>
      <c r="O507">
        <v>6.0600000000000001E-2</v>
      </c>
      <c r="P507">
        <v>0.62</v>
      </c>
      <c r="Q507">
        <v>0.1343</v>
      </c>
      <c r="R507">
        <v>1</v>
      </c>
      <c r="S507">
        <v>4</v>
      </c>
      <c r="T507">
        <v>5</v>
      </c>
    </row>
    <row r="508" spans="1:20" x14ac:dyDescent="0.35">
      <c r="A508">
        <v>507</v>
      </c>
      <c r="B508" s="1">
        <v>40566</v>
      </c>
      <c r="C508">
        <v>1</v>
      </c>
      <c r="D508">
        <v>0</v>
      </c>
      <c r="E508">
        <v>1</v>
      </c>
      <c r="F508" t="str">
        <f>IF(final_data787[[#This Row],[MONTH_CODE]]=1,"JANUARY",IF(final_data787[[#This Row],[MONTH_CODE]]=2,"FEBRUARY"))</f>
        <v>JANUARY</v>
      </c>
      <c r="G508">
        <v>5</v>
      </c>
      <c r="H508">
        <v>0</v>
      </c>
      <c r="I508">
        <v>0</v>
      </c>
      <c r="J5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8" t="str">
        <f>IF(final_data787[[#This Row],[DAY_CODE]]=0,"weekend",IF(final_data787[[#This Row],[DAY_CODE]]=1,"weekend","weekday"))</f>
        <v>weekend</v>
      </c>
      <c r="L508">
        <v>2</v>
      </c>
      <c r="M508" t="str">
        <f>IF(final_data787[[#This Row],[WEATHER_CODE]]=1,"clear",IF(final_data787[[#This Row],[WEATHER_CODE]]=2,"cloudy",IF(final_data787[[#This Row],[WEATHER_CODE]]=3,"light rain",IF(final_data787[[#This Row],[WEATHER_CODE]]=4,"heavy rain",0))))</f>
        <v>cloudy</v>
      </c>
      <c r="N508">
        <v>0.04</v>
      </c>
      <c r="O508">
        <v>7.5800000000000006E-2</v>
      </c>
      <c r="P508">
        <v>0.56999999999999995</v>
      </c>
      <c r="Q508">
        <v>0.1045</v>
      </c>
      <c r="R508">
        <v>0</v>
      </c>
      <c r="S508">
        <v>3</v>
      </c>
      <c r="T508">
        <v>3</v>
      </c>
    </row>
    <row r="509" spans="1:20" x14ac:dyDescent="0.35">
      <c r="A509">
        <v>508</v>
      </c>
      <c r="B509" s="1">
        <v>40566</v>
      </c>
      <c r="C509">
        <v>1</v>
      </c>
      <c r="D509">
        <v>0</v>
      </c>
      <c r="E509">
        <v>1</v>
      </c>
      <c r="F509" t="str">
        <f>IF(final_data787[[#This Row],[MONTH_CODE]]=1,"JANUARY",IF(final_data787[[#This Row],[MONTH_CODE]]=2,"FEBRUARY"))</f>
        <v>JANUARY</v>
      </c>
      <c r="G509">
        <v>6</v>
      </c>
      <c r="H509">
        <v>0</v>
      </c>
      <c r="I509">
        <v>0</v>
      </c>
      <c r="J5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09" t="str">
        <f>IF(final_data787[[#This Row],[DAY_CODE]]=0,"weekend",IF(final_data787[[#This Row],[DAY_CODE]]=1,"weekend","weekday"))</f>
        <v>weekend</v>
      </c>
      <c r="L509">
        <v>2</v>
      </c>
      <c r="M509" t="str">
        <f>IF(final_data787[[#This Row],[WEATHER_CODE]]=1,"clear",IF(final_data787[[#This Row],[WEATHER_CODE]]=2,"cloudy",IF(final_data787[[#This Row],[WEATHER_CODE]]=3,"light rain",IF(final_data787[[#This Row],[WEATHER_CODE]]=4,"heavy rain",0))))</f>
        <v>cloudy</v>
      </c>
      <c r="N509">
        <v>0.04</v>
      </c>
      <c r="O509">
        <v>7.5800000000000006E-2</v>
      </c>
      <c r="P509">
        <v>0.56999999999999995</v>
      </c>
      <c r="Q509">
        <v>0.1045</v>
      </c>
      <c r="R509">
        <v>0</v>
      </c>
      <c r="S509">
        <v>1</v>
      </c>
      <c r="T509">
        <v>1</v>
      </c>
    </row>
    <row r="510" spans="1:20" x14ac:dyDescent="0.35">
      <c r="A510">
        <v>509</v>
      </c>
      <c r="B510" s="1">
        <v>40566</v>
      </c>
      <c r="C510">
        <v>1</v>
      </c>
      <c r="D510">
        <v>0</v>
      </c>
      <c r="E510">
        <v>1</v>
      </c>
      <c r="F510" t="str">
        <f>IF(final_data787[[#This Row],[MONTH_CODE]]=1,"JANUARY",IF(final_data787[[#This Row],[MONTH_CODE]]=2,"FEBRUARY"))</f>
        <v>JANUARY</v>
      </c>
      <c r="G510">
        <v>7</v>
      </c>
      <c r="H510">
        <v>0</v>
      </c>
      <c r="I510">
        <v>0</v>
      </c>
      <c r="J5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0" t="str">
        <f>IF(final_data787[[#This Row],[DAY_CODE]]=0,"weekend",IF(final_data787[[#This Row],[DAY_CODE]]=1,"weekend","weekday"))</f>
        <v>weekend</v>
      </c>
      <c r="L510">
        <v>1</v>
      </c>
      <c r="M510" t="str">
        <f>IF(final_data787[[#This Row],[WEATHER_CODE]]=1,"clear",IF(final_data787[[#This Row],[WEATHER_CODE]]=2,"cloudy",IF(final_data787[[#This Row],[WEATHER_CODE]]=3,"light rain",IF(final_data787[[#This Row],[WEATHER_CODE]]=4,"heavy rain",0))))</f>
        <v>clear</v>
      </c>
      <c r="N510">
        <v>0.08</v>
      </c>
      <c r="O510">
        <v>0.1061</v>
      </c>
      <c r="P510">
        <v>0.57999999999999996</v>
      </c>
      <c r="Q510">
        <v>0.16420000000000001</v>
      </c>
      <c r="R510">
        <v>1</v>
      </c>
      <c r="S510">
        <v>1</v>
      </c>
      <c r="T510">
        <v>2</v>
      </c>
    </row>
    <row r="511" spans="1:20" x14ac:dyDescent="0.35">
      <c r="A511">
        <v>510</v>
      </c>
      <c r="B511" s="1">
        <v>40566</v>
      </c>
      <c r="C511">
        <v>1</v>
      </c>
      <c r="D511">
        <v>0</v>
      </c>
      <c r="E511">
        <v>1</v>
      </c>
      <c r="F511" t="str">
        <f>IF(final_data787[[#This Row],[MONTH_CODE]]=1,"JANUARY",IF(final_data787[[#This Row],[MONTH_CODE]]=2,"FEBRUARY"))</f>
        <v>JANUARY</v>
      </c>
      <c r="G511">
        <v>8</v>
      </c>
      <c r="H511">
        <v>0</v>
      </c>
      <c r="I511">
        <v>0</v>
      </c>
      <c r="J5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1" t="str">
        <f>IF(final_data787[[#This Row],[DAY_CODE]]=0,"weekend",IF(final_data787[[#This Row],[DAY_CODE]]=1,"weekend","weekday"))</f>
        <v>weekend</v>
      </c>
      <c r="L511">
        <v>1</v>
      </c>
      <c r="M511" t="str">
        <f>IF(final_data787[[#This Row],[WEATHER_CODE]]=1,"clear",IF(final_data787[[#This Row],[WEATHER_CODE]]=2,"cloudy",IF(final_data787[[#This Row],[WEATHER_CODE]]=3,"light rain",IF(final_data787[[#This Row],[WEATHER_CODE]]=4,"heavy rain",0))))</f>
        <v>clear</v>
      </c>
      <c r="N511">
        <v>0.06</v>
      </c>
      <c r="O511">
        <v>7.5800000000000006E-2</v>
      </c>
      <c r="P511">
        <v>0.62</v>
      </c>
      <c r="Q511">
        <v>0.16420000000000001</v>
      </c>
      <c r="R511">
        <v>2</v>
      </c>
      <c r="S511">
        <v>17</v>
      </c>
      <c r="T511">
        <v>19</v>
      </c>
    </row>
    <row r="512" spans="1:20" x14ac:dyDescent="0.35">
      <c r="A512">
        <v>511</v>
      </c>
      <c r="B512" s="1">
        <v>40566</v>
      </c>
      <c r="C512">
        <v>1</v>
      </c>
      <c r="D512">
        <v>0</v>
      </c>
      <c r="E512">
        <v>1</v>
      </c>
      <c r="F512" t="str">
        <f>IF(final_data787[[#This Row],[MONTH_CODE]]=1,"JANUARY",IF(final_data787[[#This Row],[MONTH_CODE]]=2,"FEBRUARY"))</f>
        <v>JANUARY</v>
      </c>
      <c r="G512">
        <v>9</v>
      </c>
      <c r="H512">
        <v>0</v>
      </c>
      <c r="I512">
        <v>0</v>
      </c>
      <c r="J5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2" t="str">
        <f>IF(final_data787[[#This Row],[DAY_CODE]]=0,"weekend",IF(final_data787[[#This Row],[DAY_CODE]]=1,"weekend","weekday"))</f>
        <v>weekend</v>
      </c>
      <c r="L512">
        <v>1</v>
      </c>
      <c r="M512" t="str">
        <f>IF(final_data787[[#This Row],[WEATHER_CODE]]=1,"clear",IF(final_data787[[#This Row],[WEATHER_CODE]]=2,"cloudy",IF(final_data787[[#This Row],[WEATHER_CODE]]=3,"light rain",IF(final_data787[[#This Row],[WEATHER_CODE]]=4,"heavy rain",0))))</f>
        <v>clear</v>
      </c>
      <c r="N512">
        <v>0.1</v>
      </c>
      <c r="O512">
        <v>7.5800000000000006E-2</v>
      </c>
      <c r="P512">
        <v>0.54</v>
      </c>
      <c r="Q512">
        <v>0.35820000000000002</v>
      </c>
      <c r="R512">
        <v>3</v>
      </c>
      <c r="S512">
        <v>25</v>
      </c>
      <c r="T512">
        <v>28</v>
      </c>
    </row>
    <row r="513" spans="1:20" x14ac:dyDescent="0.35">
      <c r="A513">
        <v>512</v>
      </c>
      <c r="B513" s="1">
        <v>40566</v>
      </c>
      <c r="C513">
        <v>1</v>
      </c>
      <c r="D513">
        <v>0</v>
      </c>
      <c r="E513">
        <v>1</v>
      </c>
      <c r="F513" t="str">
        <f>IF(final_data787[[#This Row],[MONTH_CODE]]=1,"JANUARY",IF(final_data787[[#This Row],[MONTH_CODE]]=2,"FEBRUARY"))</f>
        <v>JANUARY</v>
      </c>
      <c r="G513">
        <v>10</v>
      </c>
      <c r="H513">
        <v>0</v>
      </c>
      <c r="I513">
        <v>0</v>
      </c>
      <c r="J5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3" t="str">
        <f>IF(final_data787[[#This Row],[DAY_CODE]]=0,"weekend",IF(final_data787[[#This Row],[DAY_CODE]]=1,"weekend","weekday"))</f>
        <v>weekend</v>
      </c>
      <c r="L513">
        <v>1</v>
      </c>
      <c r="M513" t="str">
        <f>IF(final_data787[[#This Row],[WEATHER_CODE]]=1,"clear",IF(final_data787[[#This Row],[WEATHER_CODE]]=2,"cloudy",IF(final_data787[[#This Row],[WEATHER_CODE]]=3,"light rain",IF(final_data787[[#This Row],[WEATHER_CODE]]=4,"heavy rain",0))))</f>
        <v>clear</v>
      </c>
      <c r="N513">
        <v>0.14000000000000001</v>
      </c>
      <c r="O513">
        <v>0.1061</v>
      </c>
      <c r="P513">
        <v>0.46</v>
      </c>
      <c r="Q513">
        <v>0.3881</v>
      </c>
      <c r="R513">
        <v>7</v>
      </c>
      <c r="S513">
        <v>51</v>
      </c>
      <c r="T513">
        <v>58</v>
      </c>
    </row>
    <row r="514" spans="1:20" x14ac:dyDescent="0.35">
      <c r="A514">
        <v>513</v>
      </c>
      <c r="B514" s="1">
        <v>40566</v>
      </c>
      <c r="C514">
        <v>1</v>
      </c>
      <c r="D514">
        <v>0</v>
      </c>
      <c r="E514">
        <v>1</v>
      </c>
      <c r="F514" t="str">
        <f>IF(final_data787[[#This Row],[MONTH_CODE]]=1,"JANUARY",IF(final_data787[[#This Row],[MONTH_CODE]]=2,"FEBRUARY"))</f>
        <v>JANUARY</v>
      </c>
      <c r="G514">
        <v>11</v>
      </c>
      <c r="H514">
        <v>0</v>
      </c>
      <c r="I514">
        <v>0</v>
      </c>
      <c r="J5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4" t="str">
        <f>IF(final_data787[[#This Row],[DAY_CODE]]=0,"weekend",IF(final_data787[[#This Row],[DAY_CODE]]=1,"weekend","weekday"))</f>
        <v>weekend</v>
      </c>
      <c r="L514">
        <v>1</v>
      </c>
      <c r="M514" t="str">
        <f>IF(final_data787[[#This Row],[WEATHER_CODE]]=1,"clear",IF(final_data787[[#This Row],[WEATHER_CODE]]=2,"cloudy",IF(final_data787[[#This Row],[WEATHER_CODE]]=3,"light rain",IF(final_data787[[#This Row],[WEATHER_CODE]]=4,"heavy rain",0))))</f>
        <v>clear</v>
      </c>
      <c r="N514">
        <v>0.14000000000000001</v>
      </c>
      <c r="O514">
        <v>0.13639999999999999</v>
      </c>
      <c r="P514">
        <v>0.43</v>
      </c>
      <c r="Q514">
        <v>0.22389999999999999</v>
      </c>
      <c r="R514">
        <v>22</v>
      </c>
      <c r="S514">
        <v>77</v>
      </c>
      <c r="T514">
        <v>99</v>
      </c>
    </row>
    <row r="515" spans="1:20" x14ac:dyDescent="0.35">
      <c r="A515">
        <v>514</v>
      </c>
      <c r="B515" s="1">
        <v>40566</v>
      </c>
      <c r="C515">
        <v>1</v>
      </c>
      <c r="D515">
        <v>0</v>
      </c>
      <c r="E515">
        <v>1</v>
      </c>
      <c r="F515" t="str">
        <f>IF(final_data787[[#This Row],[MONTH_CODE]]=1,"JANUARY",IF(final_data787[[#This Row],[MONTH_CODE]]=2,"FEBRUARY"))</f>
        <v>JANUARY</v>
      </c>
      <c r="G515">
        <v>12</v>
      </c>
      <c r="H515">
        <v>0</v>
      </c>
      <c r="I515">
        <v>0</v>
      </c>
      <c r="J5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5" t="str">
        <f>IF(final_data787[[#This Row],[DAY_CODE]]=0,"weekend",IF(final_data787[[#This Row],[DAY_CODE]]=1,"weekend","weekday"))</f>
        <v>weekend</v>
      </c>
      <c r="L515">
        <v>1</v>
      </c>
      <c r="M515" t="str">
        <f>IF(final_data787[[#This Row],[WEATHER_CODE]]=1,"clear",IF(final_data787[[#This Row],[WEATHER_CODE]]=2,"cloudy",IF(final_data787[[#This Row],[WEATHER_CODE]]=3,"light rain",IF(final_data787[[#This Row],[WEATHER_CODE]]=4,"heavy rain",0))))</f>
        <v>clear</v>
      </c>
      <c r="N515">
        <v>0.16</v>
      </c>
      <c r="O515">
        <v>0.1212</v>
      </c>
      <c r="P515">
        <v>0.37</v>
      </c>
      <c r="Q515">
        <v>0.4627</v>
      </c>
      <c r="R515">
        <v>24</v>
      </c>
      <c r="S515">
        <v>92</v>
      </c>
      <c r="T515">
        <v>116</v>
      </c>
    </row>
    <row r="516" spans="1:20" x14ac:dyDescent="0.35">
      <c r="A516">
        <v>515</v>
      </c>
      <c r="B516" s="1">
        <v>40566</v>
      </c>
      <c r="C516">
        <v>1</v>
      </c>
      <c r="D516">
        <v>0</v>
      </c>
      <c r="E516">
        <v>1</v>
      </c>
      <c r="F516" t="str">
        <f>IF(final_data787[[#This Row],[MONTH_CODE]]=1,"JANUARY",IF(final_data787[[#This Row],[MONTH_CODE]]=2,"FEBRUARY"))</f>
        <v>JANUARY</v>
      </c>
      <c r="G516">
        <v>13</v>
      </c>
      <c r="H516">
        <v>0</v>
      </c>
      <c r="I516">
        <v>0</v>
      </c>
      <c r="J5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6" t="str">
        <f>IF(final_data787[[#This Row],[DAY_CODE]]=0,"weekend",IF(final_data787[[#This Row],[DAY_CODE]]=1,"weekend","weekday"))</f>
        <v>weekend</v>
      </c>
      <c r="L516">
        <v>1</v>
      </c>
      <c r="M516" t="str">
        <f>IF(final_data787[[#This Row],[WEATHER_CODE]]=1,"clear",IF(final_data787[[#This Row],[WEATHER_CODE]]=2,"cloudy",IF(final_data787[[#This Row],[WEATHER_CODE]]=3,"light rain",IF(final_data787[[#This Row],[WEATHER_CODE]]=4,"heavy rain",0))))</f>
        <v>clear</v>
      </c>
      <c r="N516">
        <v>0.14000000000000001</v>
      </c>
      <c r="O516">
        <v>0.1061</v>
      </c>
      <c r="P516">
        <v>0.33</v>
      </c>
      <c r="Q516">
        <v>0.3881</v>
      </c>
      <c r="R516">
        <v>12</v>
      </c>
      <c r="S516">
        <v>75</v>
      </c>
      <c r="T516">
        <v>87</v>
      </c>
    </row>
    <row r="517" spans="1:20" x14ac:dyDescent="0.35">
      <c r="A517">
        <v>516</v>
      </c>
      <c r="B517" s="1">
        <v>40566</v>
      </c>
      <c r="C517">
        <v>1</v>
      </c>
      <c r="D517">
        <v>0</v>
      </c>
      <c r="E517">
        <v>1</v>
      </c>
      <c r="F517" t="str">
        <f>IF(final_data787[[#This Row],[MONTH_CODE]]=1,"JANUARY",IF(final_data787[[#This Row],[MONTH_CODE]]=2,"FEBRUARY"))</f>
        <v>JANUARY</v>
      </c>
      <c r="G517">
        <v>14</v>
      </c>
      <c r="H517">
        <v>0</v>
      </c>
      <c r="I517">
        <v>0</v>
      </c>
      <c r="J5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7" t="str">
        <f>IF(final_data787[[#This Row],[DAY_CODE]]=0,"weekend",IF(final_data787[[#This Row],[DAY_CODE]]=1,"weekend","weekday"))</f>
        <v>weekend</v>
      </c>
      <c r="L517">
        <v>1</v>
      </c>
      <c r="M517" t="str">
        <f>IF(final_data787[[#This Row],[WEATHER_CODE]]=1,"clear",IF(final_data787[[#This Row],[WEATHER_CODE]]=2,"cloudy",IF(final_data787[[#This Row],[WEATHER_CODE]]=3,"light rain",IF(final_data787[[#This Row],[WEATHER_CODE]]=4,"heavy rain",0))))</f>
        <v>clear</v>
      </c>
      <c r="N517">
        <v>0.16</v>
      </c>
      <c r="O517">
        <v>0.13639999999999999</v>
      </c>
      <c r="P517">
        <v>0.28000000000000003</v>
      </c>
      <c r="Q517">
        <v>0.35820000000000002</v>
      </c>
      <c r="R517">
        <v>17</v>
      </c>
      <c r="S517">
        <v>93</v>
      </c>
      <c r="T517">
        <v>110</v>
      </c>
    </row>
    <row r="518" spans="1:20" x14ac:dyDescent="0.35">
      <c r="A518">
        <v>517</v>
      </c>
      <c r="B518" s="1">
        <v>40566</v>
      </c>
      <c r="C518">
        <v>1</v>
      </c>
      <c r="D518">
        <v>0</v>
      </c>
      <c r="E518">
        <v>1</v>
      </c>
      <c r="F518" t="str">
        <f>IF(final_data787[[#This Row],[MONTH_CODE]]=1,"JANUARY",IF(final_data787[[#This Row],[MONTH_CODE]]=2,"FEBRUARY"))</f>
        <v>JANUARY</v>
      </c>
      <c r="G518">
        <v>15</v>
      </c>
      <c r="H518">
        <v>0</v>
      </c>
      <c r="I518">
        <v>0</v>
      </c>
      <c r="J5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8" t="str">
        <f>IF(final_data787[[#This Row],[DAY_CODE]]=0,"weekend",IF(final_data787[[#This Row],[DAY_CODE]]=1,"weekend","weekday"))</f>
        <v>weekend</v>
      </c>
      <c r="L518">
        <v>1</v>
      </c>
      <c r="M518" t="str">
        <f>IF(final_data787[[#This Row],[WEATHER_CODE]]=1,"clear",IF(final_data787[[#This Row],[WEATHER_CODE]]=2,"cloudy",IF(final_data787[[#This Row],[WEATHER_CODE]]=3,"light rain",IF(final_data787[[#This Row],[WEATHER_CODE]]=4,"heavy rain",0))))</f>
        <v>clear</v>
      </c>
      <c r="N518">
        <v>0.16</v>
      </c>
      <c r="O518">
        <v>0.13639999999999999</v>
      </c>
      <c r="P518">
        <v>0.28000000000000003</v>
      </c>
      <c r="Q518">
        <v>0.35820000000000002</v>
      </c>
      <c r="R518">
        <v>13</v>
      </c>
      <c r="S518">
        <v>64</v>
      </c>
      <c r="T518">
        <v>77</v>
      </c>
    </row>
    <row r="519" spans="1:20" x14ac:dyDescent="0.35">
      <c r="A519">
        <v>518</v>
      </c>
      <c r="B519" s="1">
        <v>40566</v>
      </c>
      <c r="C519">
        <v>1</v>
      </c>
      <c r="D519">
        <v>0</v>
      </c>
      <c r="E519">
        <v>1</v>
      </c>
      <c r="F519" t="str">
        <f>IF(final_data787[[#This Row],[MONTH_CODE]]=1,"JANUARY",IF(final_data787[[#This Row],[MONTH_CODE]]=2,"FEBRUARY"))</f>
        <v>JANUARY</v>
      </c>
      <c r="G519">
        <v>16</v>
      </c>
      <c r="H519">
        <v>0</v>
      </c>
      <c r="I519">
        <v>0</v>
      </c>
      <c r="J5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19" t="str">
        <f>IF(final_data787[[#This Row],[DAY_CODE]]=0,"weekend",IF(final_data787[[#This Row],[DAY_CODE]]=1,"weekend","weekday"))</f>
        <v>weekend</v>
      </c>
      <c r="L519">
        <v>1</v>
      </c>
      <c r="M519" t="str">
        <f>IF(final_data787[[#This Row],[WEATHER_CODE]]=1,"clear",IF(final_data787[[#This Row],[WEATHER_CODE]]=2,"cloudy",IF(final_data787[[#This Row],[WEATHER_CODE]]=3,"light rain",IF(final_data787[[#This Row],[WEATHER_CODE]]=4,"heavy rain",0))))</f>
        <v>clear</v>
      </c>
      <c r="N519">
        <v>0.16</v>
      </c>
      <c r="O519">
        <v>0.13639999999999999</v>
      </c>
      <c r="P519">
        <v>0.26</v>
      </c>
      <c r="Q519">
        <v>0.32840000000000003</v>
      </c>
      <c r="R519">
        <v>9</v>
      </c>
      <c r="S519">
        <v>56</v>
      </c>
      <c r="T519">
        <v>65</v>
      </c>
    </row>
    <row r="520" spans="1:20" x14ac:dyDescent="0.35">
      <c r="A520">
        <v>519</v>
      </c>
      <c r="B520" s="1">
        <v>40566</v>
      </c>
      <c r="C520">
        <v>1</v>
      </c>
      <c r="D520">
        <v>0</v>
      </c>
      <c r="E520">
        <v>1</v>
      </c>
      <c r="F520" t="str">
        <f>IF(final_data787[[#This Row],[MONTH_CODE]]=1,"JANUARY",IF(final_data787[[#This Row],[MONTH_CODE]]=2,"FEBRUARY"))</f>
        <v>JANUARY</v>
      </c>
      <c r="G520">
        <v>17</v>
      </c>
      <c r="H520">
        <v>0</v>
      </c>
      <c r="I520">
        <v>0</v>
      </c>
      <c r="J5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0" t="str">
        <f>IF(final_data787[[#This Row],[DAY_CODE]]=0,"weekend",IF(final_data787[[#This Row],[DAY_CODE]]=1,"weekend","weekday"))</f>
        <v>weekend</v>
      </c>
      <c r="L520">
        <v>1</v>
      </c>
      <c r="M520" t="str">
        <f>IF(final_data787[[#This Row],[WEATHER_CODE]]=1,"clear",IF(final_data787[[#This Row],[WEATHER_CODE]]=2,"cloudy",IF(final_data787[[#This Row],[WEATHER_CODE]]=3,"light rain",IF(final_data787[[#This Row],[WEATHER_CODE]]=4,"heavy rain",0))))</f>
        <v>clear</v>
      </c>
      <c r="N520">
        <v>0.14000000000000001</v>
      </c>
      <c r="O520">
        <v>0.1061</v>
      </c>
      <c r="P520">
        <v>0.26</v>
      </c>
      <c r="Q520">
        <v>0.3881</v>
      </c>
      <c r="R520">
        <v>5</v>
      </c>
      <c r="S520">
        <v>50</v>
      </c>
      <c r="T520">
        <v>55</v>
      </c>
    </row>
    <row r="521" spans="1:20" x14ac:dyDescent="0.35">
      <c r="A521">
        <v>520</v>
      </c>
      <c r="B521" s="1">
        <v>40566</v>
      </c>
      <c r="C521">
        <v>1</v>
      </c>
      <c r="D521">
        <v>0</v>
      </c>
      <c r="E521">
        <v>1</v>
      </c>
      <c r="F521" t="str">
        <f>IF(final_data787[[#This Row],[MONTH_CODE]]=1,"JANUARY",IF(final_data787[[#This Row],[MONTH_CODE]]=2,"FEBRUARY"))</f>
        <v>JANUARY</v>
      </c>
      <c r="G521">
        <v>18</v>
      </c>
      <c r="H521">
        <v>0</v>
      </c>
      <c r="I521">
        <v>0</v>
      </c>
      <c r="J5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1" t="str">
        <f>IF(final_data787[[#This Row],[DAY_CODE]]=0,"weekend",IF(final_data787[[#This Row],[DAY_CODE]]=1,"weekend","weekday"))</f>
        <v>weekend</v>
      </c>
      <c r="L521">
        <v>1</v>
      </c>
      <c r="M521" t="str">
        <f>IF(final_data787[[#This Row],[WEATHER_CODE]]=1,"clear",IF(final_data787[[#This Row],[WEATHER_CODE]]=2,"cloudy",IF(final_data787[[#This Row],[WEATHER_CODE]]=3,"light rain",IF(final_data787[[#This Row],[WEATHER_CODE]]=4,"heavy rain",0))))</f>
        <v>clear</v>
      </c>
      <c r="N521">
        <v>0.12</v>
      </c>
      <c r="O521">
        <v>0.1212</v>
      </c>
      <c r="P521">
        <v>0.3</v>
      </c>
      <c r="Q521">
        <v>0.25369999999999998</v>
      </c>
      <c r="R521">
        <v>5</v>
      </c>
      <c r="S521">
        <v>44</v>
      </c>
      <c r="T521">
        <v>49</v>
      </c>
    </row>
    <row r="522" spans="1:20" x14ac:dyDescent="0.35">
      <c r="A522">
        <v>521</v>
      </c>
      <c r="B522" s="1">
        <v>40566</v>
      </c>
      <c r="C522">
        <v>1</v>
      </c>
      <c r="D522">
        <v>0</v>
      </c>
      <c r="E522">
        <v>1</v>
      </c>
      <c r="F522" t="str">
        <f>IF(final_data787[[#This Row],[MONTH_CODE]]=1,"JANUARY",IF(final_data787[[#This Row],[MONTH_CODE]]=2,"FEBRUARY"))</f>
        <v>JANUARY</v>
      </c>
      <c r="G522">
        <v>19</v>
      </c>
      <c r="H522">
        <v>0</v>
      </c>
      <c r="I522">
        <v>0</v>
      </c>
      <c r="J5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2" t="str">
        <f>IF(final_data787[[#This Row],[DAY_CODE]]=0,"weekend",IF(final_data787[[#This Row],[DAY_CODE]]=1,"weekend","weekday"))</f>
        <v>weekend</v>
      </c>
      <c r="L522">
        <v>1</v>
      </c>
      <c r="M522" t="str">
        <f>IF(final_data787[[#This Row],[WEATHER_CODE]]=1,"clear",IF(final_data787[[#This Row],[WEATHER_CODE]]=2,"cloudy",IF(final_data787[[#This Row],[WEATHER_CODE]]=3,"light rain",IF(final_data787[[#This Row],[WEATHER_CODE]]=4,"heavy rain",0))))</f>
        <v>clear</v>
      </c>
      <c r="N522">
        <v>0.12</v>
      </c>
      <c r="O522">
        <v>0.1212</v>
      </c>
      <c r="P522">
        <v>0.3</v>
      </c>
      <c r="Q522">
        <v>0.28360000000000002</v>
      </c>
      <c r="R522">
        <v>5</v>
      </c>
      <c r="S522">
        <v>45</v>
      </c>
      <c r="T522">
        <v>50</v>
      </c>
    </row>
    <row r="523" spans="1:20" x14ac:dyDescent="0.35">
      <c r="A523">
        <v>522</v>
      </c>
      <c r="B523" s="1">
        <v>40566</v>
      </c>
      <c r="C523">
        <v>1</v>
      </c>
      <c r="D523">
        <v>0</v>
      </c>
      <c r="E523">
        <v>1</v>
      </c>
      <c r="F523" t="str">
        <f>IF(final_data787[[#This Row],[MONTH_CODE]]=1,"JANUARY",IF(final_data787[[#This Row],[MONTH_CODE]]=2,"FEBRUARY"))</f>
        <v>JANUARY</v>
      </c>
      <c r="G523">
        <v>20</v>
      </c>
      <c r="H523">
        <v>0</v>
      </c>
      <c r="I523">
        <v>0</v>
      </c>
      <c r="J5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3" t="str">
        <f>IF(final_data787[[#This Row],[DAY_CODE]]=0,"weekend",IF(final_data787[[#This Row],[DAY_CODE]]=1,"weekend","weekday"))</f>
        <v>weekend</v>
      </c>
      <c r="L523">
        <v>1</v>
      </c>
      <c r="M523" t="str">
        <f>IF(final_data787[[#This Row],[WEATHER_CODE]]=1,"clear",IF(final_data787[[#This Row],[WEATHER_CODE]]=2,"cloudy",IF(final_data787[[#This Row],[WEATHER_CODE]]=3,"light rain",IF(final_data787[[#This Row],[WEATHER_CODE]]=4,"heavy rain",0))))</f>
        <v>clear</v>
      </c>
      <c r="N523">
        <v>0.1</v>
      </c>
      <c r="O523">
        <v>0.1061</v>
      </c>
      <c r="P523">
        <v>0.36</v>
      </c>
      <c r="Q523">
        <v>0.25369999999999998</v>
      </c>
      <c r="R523">
        <v>4</v>
      </c>
      <c r="S523">
        <v>31</v>
      </c>
      <c r="T523">
        <v>35</v>
      </c>
    </row>
    <row r="524" spans="1:20" x14ac:dyDescent="0.35">
      <c r="A524">
        <v>523</v>
      </c>
      <c r="B524" s="1">
        <v>40566</v>
      </c>
      <c r="C524">
        <v>1</v>
      </c>
      <c r="D524">
        <v>0</v>
      </c>
      <c r="E524">
        <v>1</v>
      </c>
      <c r="F524" t="str">
        <f>IF(final_data787[[#This Row],[MONTH_CODE]]=1,"JANUARY",IF(final_data787[[#This Row],[MONTH_CODE]]=2,"FEBRUARY"))</f>
        <v>JANUARY</v>
      </c>
      <c r="G524">
        <v>21</v>
      </c>
      <c r="H524">
        <v>0</v>
      </c>
      <c r="I524">
        <v>0</v>
      </c>
      <c r="J5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4" t="str">
        <f>IF(final_data787[[#This Row],[DAY_CODE]]=0,"weekend",IF(final_data787[[#This Row],[DAY_CODE]]=1,"weekend","weekday"))</f>
        <v>weekend</v>
      </c>
      <c r="L524">
        <v>1</v>
      </c>
      <c r="M524" t="str">
        <f>IF(final_data787[[#This Row],[WEATHER_CODE]]=1,"clear",IF(final_data787[[#This Row],[WEATHER_CODE]]=2,"cloudy",IF(final_data787[[#This Row],[WEATHER_CODE]]=3,"light rain",IF(final_data787[[#This Row],[WEATHER_CODE]]=4,"heavy rain",0))))</f>
        <v>clear</v>
      </c>
      <c r="N524">
        <v>0.1</v>
      </c>
      <c r="O524">
        <v>0.1061</v>
      </c>
      <c r="P524">
        <v>0.36</v>
      </c>
      <c r="Q524">
        <v>0.19400000000000001</v>
      </c>
      <c r="R524">
        <v>5</v>
      </c>
      <c r="S524">
        <v>20</v>
      </c>
      <c r="T524">
        <v>25</v>
      </c>
    </row>
    <row r="525" spans="1:20" x14ac:dyDescent="0.35">
      <c r="A525">
        <v>524</v>
      </c>
      <c r="B525" s="1">
        <v>40566</v>
      </c>
      <c r="C525">
        <v>1</v>
      </c>
      <c r="D525">
        <v>0</v>
      </c>
      <c r="E525">
        <v>1</v>
      </c>
      <c r="F525" t="str">
        <f>IF(final_data787[[#This Row],[MONTH_CODE]]=1,"JANUARY",IF(final_data787[[#This Row],[MONTH_CODE]]=2,"FEBRUARY"))</f>
        <v>JANUARY</v>
      </c>
      <c r="G525">
        <v>22</v>
      </c>
      <c r="H525">
        <v>0</v>
      </c>
      <c r="I525">
        <v>0</v>
      </c>
      <c r="J5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5" t="str">
        <f>IF(final_data787[[#This Row],[DAY_CODE]]=0,"weekend",IF(final_data787[[#This Row],[DAY_CODE]]=1,"weekend","weekday"))</f>
        <v>weekend</v>
      </c>
      <c r="L525">
        <v>1</v>
      </c>
      <c r="M525" t="str">
        <f>IF(final_data787[[#This Row],[WEATHER_CODE]]=1,"clear",IF(final_data787[[#This Row],[WEATHER_CODE]]=2,"cloudy",IF(final_data787[[#This Row],[WEATHER_CODE]]=3,"light rain",IF(final_data787[[#This Row],[WEATHER_CODE]]=4,"heavy rain",0))))</f>
        <v>clear</v>
      </c>
      <c r="N525">
        <v>0.08</v>
      </c>
      <c r="O525">
        <v>9.0899999999999995E-2</v>
      </c>
      <c r="P525">
        <v>0.38</v>
      </c>
      <c r="Q525">
        <v>0.19400000000000001</v>
      </c>
      <c r="R525">
        <v>5</v>
      </c>
      <c r="S525">
        <v>23</v>
      </c>
      <c r="T525">
        <v>28</v>
      </c>
    </row>
    <row r="526" spans="1:20" x14ac:dyDescent="0.35">
      <c r="A526">
        <v>525</v>
      </c>
      <c r="B526" s="1">
        <v>40566</v>
      </c>
      <c r="C526">
        <v>1</v>
      </c>
      <c r="D526">
        <v>0</v>
      </c>
      <c r="E526">
        <v>1</v>
      </c>
      <c r="F526" t="str">
        <f>IF(final_data787[[#This Row],[MONTH_CODE]]=1,"JANUARY",IF(final_data787[[#This Row],[MONTH_CODE]]=2,"FEBRUARY"))</f>
        <v>JANUARY</v>
      </c>
      <c r="G526">
        <v>23</v>
      </c>
      <c r="H526">
        <v>0</v>
      </c>
      <c r="I526">
        <v>0</v>
      </c>
      <c r="J5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526" t="str">
        <f>IF(final_data787[[#This Row],[DAY_CODE]]=0,"weekend",IF(final_data787[[#This Row],[DAY_CODE]]=1,"weekend","weekday"))</f>
        <v>weekend</v>
      </c>
      <c r="L526">
        <v>1</v>
      </c>
      <c r="M526" t="str">
        <f>IF(final_data787[[#This Row],[WEATHER_CODE]]=1,"clear",IF(final_data787[[#This Row],[WEATHER_CODE]]=2,"cloudy",IF(final_data787[[#This Row],[WEATHER_CODE]]=3,"light rain",IF(final_data787[[#This Row],[WEATHER_CODE]]=4,"heavy rain",0))))</f>
        <v>clear</v>
      </c>
      <c r="N526">
        <v>0.06</v>
      </c>
      <c r="O526">
        <v>6.0600000000000001E-2</v>
      </c>
      <c r="P526">
        <v>0.41</v>
      </c>
      <c r="Q526">
        <v>0.22389999999999999</v>
      </c>
      <c r="R526">
        <v>4</v>
      </c>
      <c r="S526">
        <v>17</v>
      </c>
      <c r="T526">
        <v>21</v>
      </c>
    </row>
    <row r="527" spans="1:20" x14ac:dyDescent="0.35">
      <c r="A527">
        <v>526</v>
      </c>
      <c r="B527" s="1">
        <v>40567</v>
      </c>
      <c r="C527">
        <v>1</v>
      </c>
      <c r="D527">
        <v>0</v>
      </c>
      <c r="E527">
        <v>1</v>
      </c>
      <c r="F527" t="str">
        <f>IF(final_data787[[#This Row],[MONTH_CODE]]=1,"JANUARY",IF(final_data787[[#This Row],[MONTH_CODE]]=2,"FEBRUARY"))</f>
        <v>JANUARY</v>
      </c>
      <c r="G527">
        <v>0</v>
      </c>
      <c r="H527">
        <v>0</v>
      </c>
      <c r="I527">
        <v>1</v>
      </c>
      <c r="J5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27" t="str">
        <f>IF(final_data787[[#This Row],[DAY_CODE]]=0,"weekend",IF(final_data787[[#This Row],[DAY_CODE]]=1,"weekend","weekday"))</f>
        <v>weekend</v>
      </c>
      <c r="L527">
        <v>1</v>
      </c>
      <c r="M527" t="str">
        <f>IF(final_data787[[#This Row],[WEATHER_CODE]]=1,"clear",IF(final_data787[[#This Row],[WEATHER_CODE]]=2,"cloudy",IF(final_data787[[#This Row],[WEATHER_CODE]]=3,"light rain",IF(final_data787[[#This Row],[WEATHER_CODE]]=4,"heavy rain",0))))</f>
        <v>clear</v>
      </c>
      <c r="N527">
        <v>0.06</v>
      </c>
      <c r="O527">
        <v>6.0600000000000001E-2</v>
      </c>
      <c r="P527">
        <v>0.41</v>
      </c>
      <c r="Q527">
        <v>0.19400000000000001</v>
      </c>
      <c r="R527">
        <v>0</v>
      </c>
      <c r="S527">
        <v>7</v>
      </c>
      <c r="T527">
        <v>7</v>
      </c>
    </row>
    <row r="528" spans="1:20" x14ac:dyDescent="0.35">
      <c r="A528">
        <v>527</v>
      </c>
      <c r="B528" s="1">
        <v>40567</v>
      </c>
      <c r="C528">
        <v>1</v>
      </c>
      <c r="D528">
        <v>0</v>
      </c>
      <c r="E528">
        <v>1</v>
      </c>
      <c r="F528" t="str">
        <f>IF(final_data787[[#This Row],[MONTH_CODE]]=1,"JANUARY",IF(final_data787[[#This Row],[MONTH_CODE]]=2,"FEBRUARY"))</f>
        <v>JANUARY</v>
      </c>
      <c r="G528">
        <v>1</v>
      </c>
      <c r="H528">
        <v>0</v>
      </c>
      <c r="I528">
        <v>1</v>
      </c>
      <c r="J5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28" t="str">
        <f>IF(final_data787[[#This Row],[DAY_CODE]]=0,"weekend",IF(final_data787[[#This Row],[DAY_CODE]]=1,"weekend","weekday"))</f>
        <v>weekend</v>
      </c>
      <c r="L528">
        <v>1</v>
      </c>
      <c r="M528" t="str">
        <f>IF(final_data787[[#This Row],[WEATHER_CODE]]=1,"clear",IF(final_data787[[#This Row],[WEATHER_CODE]]=2,"cloudy",IF(final_data787[[#This Row],[WEATHER_CODE]]=3,"light rain",IF(final_data787[[#This Row],[WEATHER_CODE]]=4,"heavy rain",0))))</f>
        <v>clear</v>
      </c>
      <c r="N528">
        <v>0.04</v>
      </c>
      <c r="O528">
        <v>4.5499999999999999E-2</v>
      </c>
      <c r="P528">
        <v>0.45</v>
      </c>
      <c r="Q528">
        <v>0.19400000000000001</v>
      </c>
      <c r="R528">
        <v>0</v>
      </c>
      <c r="S528">
        <v>1</v>
      </c>
      <c r="T528">
        <v>1</v>
      </c>
    </row>
    <row r="529" spans="1:20" x14ac:dyDescent="0.35">
      <c r="A529">
        <v>528</v>
      </c>
      <c r="B529" s="1">
        <v>40567</v>
      </c>
      <c r="C529">
        <v>1</v>
      </c>
      <c r="D529">
        <v>0</v>
      </c>
      <c r="E529">
        <v>1</v>
      </c>
      <c r="F529" t="str">
        <f>IF(final_data787[[#This Row],[MONTH_CODE]]=1,"JANUARY",IF(final_data787[[#This Row],[MONTH_CODE]]=2,"FEBRUARY"))</f>
        <v>JANUARY</v>
      </c>
      <c r="G529">
        <v>3</v>
      </c>
      <c r="H529">
        <v>0</v>
      </c>
      <c r="I529">
        <v>1</v>
      </c>
      <c r="J5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29" t="str">
        <f>IF(final_data787[[#This Row],[DAY_CODE]]=0,"weekend",IF(final_data787[[#This Row],[DAY_CODE]]=1,"weekend","weekday"))</f>
        <v>weekend</v>
      </c>
      <c r="L529">
        <v>1</v>
      </c>
      <c r="M529" t="str">
        <f>IF(final_data787[[#This Row],[WEATHER_CODE]]=1,"clear",IF(final_data787[[#This Row],[WEATHER_CODE]]=2,"cloudy",IF(final_data787[[#This Row],[WEATHER_CODE]]=3,"light rain",IF(final_data787[[#This Row],[WEATHER_CODE]]=4,"heavy rain",0))))</f>
        <v>clear</v>
      </c>
      <c r="N529">
        <v>0.04</v>
      </c>
      <c r="O529">
        <v>3.0300000000000001E-2</v>
      </c>
      <c r="P529">
        <v>0.45</v>
      </c>
      <c r="Q529">
        <v>0.25369999999999998</v>
      </c>
      <c r="R529">
        <v>0</v>
      </c>
      <c r="S529">
        <v>1</v>
      </c>
      <c r="T529">
        <v>1</v>
      </c>
    </row>
    <row r="530" spans="1:20" x14ac:dyDescent="0.35">
      <c r="A530">
        <v>529</v>
      </c>
      <c r="B530" s="1">
        <v>40567</v>
      </c>
      <c r="C530">
        <v>1</v>
      </c>
      <c r="D530">
        <v>0</v>
      </c>
      <c r="E530">
        <v>1</v>
      </c>
      <c r="F530" t="str">
        <f>IF(final_data787[[#This Row],[MONTH_CODE]]=1,"JANUARY",IF(final_data787[[#This Row],[MONTH_CODE]]=2,"FEBRUARY"))</f>
        <v>JANUARY</v>
      </c>
      <c r="G530">
        <v>4</v>
      </c>
      <c r="H530">
        <v>0</v>
      </c>
      <c r="I530">
        <v>1</v>
      </c>
      <c r="J5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0" t="str">
        <f>IF(final_data787[[#This Row],[DAY_CODE]]=0,"weekend",IF(final_data787[[#This Row],[DAY_CODE]]=1,"weekend","weekday"))</f>
        <v>weekend</v>
      </c>
      <c r="L530">
        <v>1</v>
      </c>
      <c r="M530" t="str">
        <f>IF(final_data787[[#This Row],[WEATHER_CODE]]=1,"clear",IF(final_data787[[#This Row],[WEATHER_CODE]]=2,"cloudy",IF(final_data787[[#This Row],[WEATHER_CODE]]=3,"light rain",IF(final_data787[[#This Row],[WEATHER_CODE]]=4,"heavy rain",0))))</f>
        <v>clear</v>
      </c>
      <c r="N530">
        <v>0.02</v>
      </c>
      <c r="O530">
        <v>6.0600000000000001E-2</v>
      </c>
      <c r="P530">
        <v>0.48</v>
      </c>
      <c r="Q530">
        <v>0.1343</v>
      </c>
      <c r="R530">
        <v>0</v>
      </c>
      <c r="S530">
        <v>1</v>
      </c>
      <c r="T530">
        <v>1</v>
      </c>
    </row>
    <row r="531" spans="1:20" x14ac:dyDescent="0.35">
      <c r="A531">
        <v>530</v>
      </c>
      <c r="B531" s="1">
        <v>40567</v>
      </c>
      <c r="C531">
        <v>1</v>
      </c>
      <c r="D531">
        <v>0</v>
      </c>
      <c r="E531">
        <v>1</v>
      </c>
      <c r="F531" t="str">
        <f>IF(final_data787[[#This Row],[MONTH_CODE]]=1,"JANUARY",IF(final_data787[[#This Row],[MONTH_CODE]]=2,"FEBRUARY"))</f>
        <v>JANUARY</v>
      </c>
      <c r="G531">
        <v>5</v>
      </c>
      <c r="H531">
        <v>0</v>
      </c>
      <c r="I531">
        <v>1</v>
      </c>
      <c r="J5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1" t="str">
        <f>IF(final_data787[[#This Row],[DAY_CODE]]=0,"weekend",IF(final_data787[[#This Row],[DAY_CODE]]=1,"weekend","weekday"))</f>
        <v>weekend</v>
      </c>
      <c r="L531">
        <v>1</v>
      </c>
      <c r="M531" t="str">
        <f>IF(final_data787[[#This Row],[WEATHER_CODE]]=1,"clear",IF(final_data787[[#This Row],[WEATHER_CODE]]=2,"cloudy",IF(final_data787[[#This Row],[WEATHER_CODE]]=3,"light rain",IF(final_data787[[#This Row],[WEATHER_CODE]]=4,"heavy rain",0))))</f>
        <v>clear</v>
      </c>
      <c r="N531">
        <v>0.02</v>
      </c>
      <c r="O531">
        <v>6.0600000000000001E-2</v>
      </c>
      <c r="P531">
        <v>0.48</v>
      </c>
      <c r="Q531">
        <v>0.1343</v>
      </c>
      <c r="R531">
        <v>0</v>
      </c>
      <c r="S531">
        <v>5</v>
      </c>
      <c r="T531">
        <v>5</v>
      </c>
    </row>
    <row r="532" spans="1:20" x14ac:dyDescent="0.35">
      <c r="A532">
        <v>531</v>
      </c>
      <c r="B532" s="1">
        <v>40567</v>
      </c>
      <c r="C532">
        <v>1</v>
      </c>
      <c r="D532">
        <v>0</v>
      </c>
      <c r="E532">
        <v>1</v>
      </c>
      <c r="F532" t="str">
        <f>IF(final_data787[[#This Row],[MONTH_CODE]]=1,"JANUARY",IF(final_data787[[#This Row],[MONTH_CODE]]=2,"FEBRUARY"))</f>
        <v>JANUARY</v>
      </c>
      <c r="G532">
        <v>6</v>
      </c>
      <c r="H532">
        <v>0</v>
      </c>
      <c r="I532">
        <v>1</v>
      </c>
      <c r="J5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2" t="str">
        <f>IF(final_data787[[#This Row],[DAY_CODE]]=0,"weekend",IF(final_data787[[#This Row],[DAY_CODE]]=1,"weekend","weekday"))</f>
        <v>weekend</v>
      </c>
      <c r="L532">
        <v>1</v>
      </c>
      <c r="M532" t="str">
        <f>IF(final_data787[[#This Row],[WEATHER_CODE]]=1,"clear",IF(final_data787[[#This Row],[WEATHER_CODE]]=2,"cloudy",IF(final_data787[[#This Row],[WEATHER_CODE]]=3,"light rain",IF(final_data787[[#This Row],[WEATHER_CODE]]=4,"heavy rain",0))))</f>
        <v>clear</v>
      </c>
      <c r="N532">
        <v>0.02</v>
      </c>
      <c r="O532">
        <v>7.5800000000000006E-2</v>
      </c>
      <c r="P532">
        <v>0.48</v>
      </c>
      <c r="Q532">
        <v>8.9599999999999999E-2</v>
      </c>
      <c r="R532">
        <v>0</v>
      </c>
      <c r="S532">
        <v>15</v>
      </c>
      <c r="T532">
        <v>15</v>
      </c>
    </row>
    <row r="533" spans="1:20" x14ac:dyDescent="0.35">
      <c r="A533">
        <v>532</v>
      </c>
      <c r="B533" s="1">
        <v>40567</v>
      </c>
      <c r="C533">
        <v>1</v>
      </c>
      <c r="D533">
        <v>0</v>
      </c>
      <c r="E533">
        <v>1</v>
      </c>
      <c r="F533" t="str">
        <f>IF(final_data787[[#This Row],[MONTH_CODE]]=1,"JANUARY",IF(final_data787[[#This Row],[MONTH_CODE]]=2,"FEBRUARY"))</f>
        <v>JANUARY</v>
      </c>
      <c r="G533">
        <v>7</v>
      </c>
      <c r="H533">
        <v>0</v>
      </c>
      <c r="I533">
        <v>1</v>
      </c>
      <c r="J5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3" t="str">
        <f>IF(final_data787[[#This Row],[DAY_CODE]]=0,"weekend",IF(final_data787[[#This Row],[DAY_CODE]]=1,"weekend","weekday"))</f>
        <v>weekend</v>
      </c>
      <c r="L533">
        <v>1</v>
      </c>
      <c r="M533" t="str">
        <f>IF(final_data787[[#This Row],[WEATHER_CODE]]=1,"clear",IF(final_data787[[#This Row],[WEATHER_CODE]]=2,"cloudy",IF(final_data787[[#This Row],[WEATHER_CODE]]=3,"light rain",IF(final_data787[[#This Row],[WEATHER_CODE]]=4,"heavy rain",0))))</f>
        <v>clear</v>
      </c>
      <c r="N533">
        <v>0.02</v>
      </c>
      <c r="O533">
        <v>0.1212</v>
      </c>
      <c r="P533">
        <v>0.48</v>
      </c>
      <c r="Q533">
        <v>0</v>
      </c>
      <c r="R533">
        <v>5</v>
      </c>
      <c r="S533">
        <v>79</v>
      </c>
      <c r="T533">
        <v>84</v>
      </c>
    </row>
    <row r="534" spans="1:20" x14ac:dyDescent="0.35">
      <c r="A534">
        <v>533</v>
      </c>
      <c r="B534" s="1">
        <v>40567</v>
      </c>
      <c r="C534">
        <v>1</v>
      </c>
      <c r="D534">
        <v>0</v>
      </c>
      <c r="E534">
        <v>1</v>
      </c>
      <c r="F534" t="str">
        <f>IF(final_data787[[#This Row],[MONTH_CODE]]=1,"JANUARY",IF(final_data787[[#This Row],[MONTH_CODE]]=2,"FEBRUARY"))</f>
        <v>JANUARY</v>
      </c>
      <c r="G534">
        <v>8</v>
      </c>
      <c r="H534">
        <v>0</v>
      </c>
      <c r="I534">
        <v>1</v>
      </c>
      <c r="J5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4" t="str">
        <f>IF(final_data787[[#This Row],[DAY_CODE]]=0,"weekend",IF(final_data787[[#This Row],[DAY_CODE]]=1,"weekend","weekday"))</f>
        <v>weekend</v>
      </c>
      <c r="L534">
        <v>1</v>
      </c>
      <c r="M534" t="str">
        <f>IF(final_data787[[#This Row],[WEATHER_CODE]]=1,"clear",IF(final_data787[[#This Row],[WEATHER_CODE]]=2,"cloudy",IF(final_data787[[#This Row],[WEATHER_CODE]]=3,"light rain",IF(final_data787[[#This Row],[WEATHER_CODE]]=4,"heavy rain",0))))</f>
        <v>clear</v>
      </c>
      <c r="N534">
        <v>0.04</v>
      </c>
      <c r="O534">
        <v>0.13639999999999999</v>
      </c>
      <c r="P534">
        <v>0.49</v>
      </c>
      <c r="Q534">
        <v>0</v>
      </c>
      <c r="R534">
        <v>6</v>
      </c>
      <c r="S534">
        <v>171</v>
      </c>
      <c r="T534">
        <v>177</v>
      </c>
    </row>
    <row r="535" spans="1:20" x14ac:dyDescent="0.35">
      <c r="A535">
        <v>534</v>
      </c>
      <c r="B535" s="1">
        <v>40567</v>
      </c>
      <c r="C535">
        <v>1</v>
      </c>
      <c r="D535">
        <v>0</v>
      </c>
      <c r="E535">
        <v>1</v>
      </c>
      <c r="F535" t="str">
        <f>IF(final_data787[[#This Row],[MONTH_CODE]]=1,"JANUARY",IF(final_data787[[#This Row],[MONTH_CODE]]=2,"FEBRUARY"))</f>
        <v>JANUARY</v>
      </c>
      <c r="G535">
        <v>9</v>
      </c>
      <c r="H535">
        <v>0</v>
      </c>
      <c r="I535">
        <v>1</v>
      </c>
      <c r="J5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5" t="str">
        <f>IF(final_data787[[#This Row],[DAY_CODE]]=0,"weekend",IF(final_data787[[#This Row],[DAY_CODE]]=1,"weekend","weekday"))</f>
        <v>weekend</v>
      </c>
      <c r="L535">
        <v>1</v>
      </c>
      <c r="M535" t="str">
        <f>IF(final_data787[[#This Row],[WEATHER_CODE]]=1,"clear",IF(final_data787[[#This Row],[WEATHER_CODE]]=2,"cloudy",IF(final_data787[[#This Row],[WEATHER_CODE]]=3,"light rain",IF(final_data787[[#This Row],[WEATHER_CODE]]=4,"heavy rain",0))))</f>
        <v>clear</v>
      </c>
      <c r="N535">
        <v>0.06</v>
      </c>
      <c r="O535">
        <v>0.1515</v>
      </c>
      <c r="P535">
        <v>0.41</v>
      </c>
      <c r="Q535">
        <v>0</v>
      </c>
      <c r="R535">
        <v>4</v>
      </c>
      <c r="S535">
        <v>98</v>
      </c>
      <c r="T535">
        <v>102</v>
      </c>
    </row>
    <row r="536" spans="1:20" x14ac:dyDescent="0.35">
      <c r="A536">
        <v>535</v>
      </c>
      <c r="B536" s="1">
        <v>40567</v>
      </c>
      <c r="C536">
        <v>1</v>
      </c>
      <c r="D536">
        <v>0</v>
      </c>
      <c r="E536">
        <v>1</v>
      </c>
      <c r="F536" t="str">
        <f>IF(final_data787[[#This Row],[MONTH_CODE]]=1,"JANUARY",IF(final_data787[[#This Row],[MONTH_CODE]]=2,"FEBRUARY"))</f>
        <v>JANUARY</v>
      </c>
      <c r="G536">
        <v>10</v>
      </c>
      <c r="H536">
        <v>0</v>
      </c>
      <c r="I536">
        <v>1</v>
      </c>
      <c r="J5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6" t="str">
        <f>IF(final_data787[[#This Row],[DAY_CODE]]=0,"weekend",IF(final_data787[[#This Row],[DAY_CODE]]=1,"weekend","weekday"))</f>
        <v>weekend</v>
      </c>
      <c r="L536">
        <v>1</v>
      </c>
      <c r="M536" t="str">
        <f>IF(final_data787[[#This Row],[WEATHER_CODE]]=1,"clear",IF(final_data787[[#This Row],[WEATHER_CODE]]=2,"cloudy",IF(final_data787[[#This Row],[WEATHER_CODE]]=3,"light rain",IF(final_data787[[#This Row],[WEATHER_CODE]]=4,"heavy rain",0))))</f>
        <v>clear</v>
      </c>
      <c r="N536">
        <v>0.1</v>
      </c>
      <c r="O536">
        <v>0.13639999999999999</v>
      </c>
      <c r="P536">
        <v>0.42</v>
      </c>
      <c r="Q536">
        <v>0</v>
      </c>
      <c r="R536">
        <v>6</v>
      </c>
      <c r="S536">
        <v>34</v>
      </c>
      <c r="T536">
        <v>40</v>
      </c>
    </row>
    <row r="537" spans="1:20" x14ac:dyDescent="0.35">
      <c r="A537">
        <v>536</v>
      </c>
      <c r="B537" s="1">
        <v>40567</v>
      </c>
      <c r="C537">
        <v>1</v>
      </c>
      <c r="D537">
        <v>0</v>
      </c>
      <c r="E537">
        <v>1</v>
      </c>
      <c r="F537" t="str">
        <f>IF(final_data787[[#This Row],[MONTH_CODE]]=1,"JANUARY",IF(final_data787[[#This Row],[MONTH_CODE]]=2,"FEBRUARY"))</f>
        <v>JANUARY</v>
      </c>
      <c r="G537">
        <v>11</v>
      </c>
      <c r="H537">
        <v>0</v>
      </c>
      <c r="I537">
        <v>1</v>
      </c>
      <c r="J5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7" t="str">
        <f>IF(final_data787[[#This Row],[DAY_CODE]]=0,"weekend",IF(final_data787[[#This Row],[DAY_CODE]]=1,"weekend","weekday"))</f>
        <v>weekend</v>
      </c>
      <c r="L537">
        <v>1</v>
      </c>
      <c r="M537" t="str">
        <f>IF(final_data787[[#This Row],[WEATHER_CODE]]=1,"clear",IF(final_data787[[#This Row],[WEATHER_CODE]]=2,"cloudy",IF(final_data787[[#This Row],[WEATHER_CODE]]=3,"light rain",IF(final_data787[[#This Row],[WEATHER_CODE]]=4,"heavy rain",0))))</f>
        <v>clear</v>
      </c>
      <c r="N537">
        <v>0.1</v>
      </c>
      <c r="O537">
        <v>0.1212</v>
      </c>
      <c r="P537">
        <v>0.46</v>
      </c>
      <c r="Q537">
        <v>0.1343</v>
      </c>
      <c r="R537">
        <v>3</v>
      </c>
      <c r="S537">
        <v>43</v>
      </c>
      <c r="T537">
        <v>46</v>
      </c>
    </row>
    <row r="538" spans="1:20" x14ac:dyDescent="0.35">
      <c r="A538">
        <v>537</v>
      </c>
      <c r="B538" s="1">
        <v>40567</v>
      </c>
      <c r="C538">
        <v>1</v>
      </c>
      <c r="D538">
        <v>0</v>
      </c>
      <c r="E538">
        <v>1</v>
      </c>
      <c r="F538" t="str">
        <f>IF(final_data787[[#This Row],[MONTH_CODE]]=1,"JANUARY",IF(final_data787[[#This Row],[MONTH_CODE]]=2,"FEBRUARY"))</f>
        <v>JANUARY</v>
      </c>
      <c r="G538">
        <v>12</v>
      </c>
      <c r="H538">
        <v>0</v>
      </c>
      <c r="I538">
        <v>1</v>
      </c>
      <c r="J5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8" t="str">
        <f>IF(final_data787[[#This Row],[DAY_CODE]]=0,"weekend",IF(final_data787[[#This Row],[DAY_CODE]]=1,"weekend","weekday"))</f>
        <v>weekend</v>
      </c>
      <c r="L538">
        <v>2</v>
      </c>
      <c r="M538" t="str">
        <f>IF(final_data787[[#This Row],[WEATHER_CODE]]=1,"clear",IF(final_data787[[#This Row],[WEATHER_CODE]]=2,"cloudy",IF(final_data787[[#This Row],[WEATHER_CODE]]=3,"light rain",IF(final_data787[[#This Row],[WEATHER_CODE]]=4,"heavy rain",0))))</f>
        <v>cloudy</v>
      </c>
      <c r="N538">
        <v>0.12</v>
      </c>
      <c r="O538">
        <v>0.13639999999999999</v>
      </c>
      <c r="P538">
        <v>0.42</v>
      </c>
      <c r="Q538">
        <v>0.19400000000000001</v>
      </c>
      <c r="R538">
        <v>11</v>
      </c>
      <c r="S538">
        <v>52</v>
      </c>
      <c r="T538">
        <v>63</v>
      </c>
    </row>
    <row r="539" spans="1:20" x14ac:dyDescent="0.35">
      <c r="A539">
        <v>538</v>
      </c>
      <c r="B539" s="1">
        <v>40567</v>
      </c>
      <c r="C539">
        <v>1</v>
      </c>
      <c r="D539">
        <v>0</v>
      </c>
      <c r="E539">
        <v>1</v>
      </c>
      <c r="F539" t="str">
        <f>IF(final_data787[[#This Row],[MONTH_CODE]]=1,"JANUARY",IF(final_data787[[#This Row],[MONTH_CODE]]=2,"FEBRUARY"))</f>
        <v>JANUARY</v>
      </c>
      <c r="G539">
        <v>13</v>
      </c>
      <c r="H539">
        <v>0</v>
      </c>
      <c r="I539">
        <v>1</v>
      </c>
      <c r="J5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39" t="str">
        <f>IF(final_data787[[#This Row],[DAY_CODE]]=0,"weekend",IF(final_data787[[#This Row],[DAY_CODE]]=1,"weekend","weekday"))</f>
        <v>weekend</v>
      </c>
      <c r="L539">
        <v>2</v>
      </c>
      <c r="M539" t="str">
        <f>IF(final_data787[[#This Row],[WEATHER_CODE]]=1,"clear",IF(final_data787[[#This Row],[WEATHER_CODE]]=2,"cloudy",IF(final_data787[[#This Row],[WEATHER_CODE]]=3,"light rain",IF(final_data787[[#This Row],[WEATHER_CODE]]=4,"heavy rain",0))))</f>
        <v>cloudy</v>
      </c>
      <c r="N539">
        <v>0.14000000000000001</v>
      </c>
      <c r="O539">
        <v>0.13639999999999999</v>
      </c>
      <c r="P539">
        <v>0.43</v>
      </c>
      <c r="Q539">
        <v>0.22389999999999999</v>
      </c>
      <c r="R539">
        <v>6</v>
      </c>
      <c r="S539">
        <v>54</v>
      </c>
      <c r="T539">
        <v>60</v>
      </c>
    </row>
    <row r="540" spans="1:20" x14ac:dyDescent="0.35">
      <c r="A540">
        <v>539</v>
      </c>
      <c r="B540" s="1">
        <v>40567</v>
      </c>
      <c r="C540">
        <v>1</v>
      </c>
      <c r="D540">
        <v>0</v>
      </c>
      <c r="E540">
        <v>1</v>
      </c>
      <c r="F540" t="str">
        <f>IF(final_data787[[#This Row],[MONTH_CODE]]=1,"JANUARY",IF(final_data787[[#This Row],[MONTH_CODE]]=2,"FEBRUARY"))</f>
        <v>JANUARY</v>
      </c>
      <c r="G540">
        <v>14</v>
      </c>
      <c r="H540">
        <v>0</v>
      </c>
      <c r="I540">
        <v>1</v>
      </c>
      <c r="J5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0" t="str">
        <f>IF(final_data787[[#This Row],[DAY_CODE]]=0,"weekend",IF(final_data787[[#This Row],[DAY_CODE]]=1,"weekend","weekday"))</f>
        <v>weekend</v>
      </c>
      <c r="L540">
        <v>2</v>
      </c>
      <c r="M540" t="str">
        <f>IF(final_data787[[#This Row],[WEATHER_CODE]]=1,"clear",IF(final_data787[[#This Row],[WEATHER_CODE]]=2,"cloudy",IF(final_data787[[#This Row],[WEATHER_CODE]]=3,"light rain",IF(final_data787[[#This Row],[WEATHER_CODE]]=4,"heavy rain",0))))</f>
        <v>cloudy</v>
      </c>
      <c r="N540">
        <v>0.14000000000000001</v>
      </c>
      <c r="O540">
        <v>0.13639999999999999</v>
      </c>
      <c r="P540">
        <v>0.46</v>
      </c>
      <c r="Q540">
        <v>0.22389999999999999</v>
      </c>
      <c r="R540">
        <v>2</v>
      </c>
      <c r="S540">
        <v>43</v>
      </c>
      <c r="T540">
        <v>45</v>
      </c>
    </row>
    <row r="541" spans="1:20" x14ac:dyDescent="0.35">
      <c r="A541">
        <v>540</v>
      </c>
      <c r="B541" s="1">
        <v>40567</v>
      </c>
      <c r="C541">
        <v>1</v>
      </c>
      <c r="D541">
        <v>0</v>
      </c>
      <c r="E541">
        <v>1</v>
      </c>
      <c r="F541" t="str">
        <f>IF(final_data787[[#This Row],[MONTH_CODE]]=1,"JANUARY",IF(final_data787[[#This Row],[MONTH_CODE]]=2,"FEBRUARY"))</f>
        <v>JANUARY</v>
      </c>
      <c r="G541">
        <v>15</v>
      </c>
      <c r="H541">
        <v>0</v>
      </c>
      <c r="I541">
        <v>1</v>
      </c>
      <c r="J5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1" t="str">
        <f>IF(final_data787[[#This Row],[DAY_CODE]]=0,"weekend",IF(final_data787[[#This Row],[DAY_CODE]]=1,"weekend","weekday"))</f>
        <v>weekend</v>
      </c>
      <c r="L541">
        <v>1</v>
      </c>
      <c r="M541" t="str">
        <f>IF(final_data787[[#This Row],[WEATHER_CODE]]=1,"clear",IF(final_data787[[#This Row],[WEATHER_CODE]]=2,"cloudy",IF(final_data787[[#This Row],[WEATHER_CODE]]=3,"light rain",IF(final_data787[[#This Row],[WEATHER_CODE]]=4,"heavy rain",0))))</f>
        <v>clear</v>
      </c>
      <c r="N541">
        <v>0.16</v>
      </c>
      <c r="O541">
        <v>0.16669999999999999</v>
      </c>
      <c r="P541">
        <v>0.4</v>
      </c>
      <c r="Q541">
        <v>0.16420000000000001</v>
      </c>
      <c r="R541">
        <v>7</v>
      </c>
      <c r="S541">
        <v>50</v>
      </c>
      <c r="T541">
        <v>57</v>
      </c>
    </row>
    <row r="542" spans="1:20" x14ac:dyDescent="0.35">
      <c r="A542">
        <v>541</v>
      </c>
      <c r="B542" s="1">
        <v>40567</v>
      </c>
      <c r="C542">
        <v>1</v>
      </c>
      <c r="D542">
        <v>0</v>
      </c>
      <c r="E542">
        <v>1</v>
      </c>
      <c r="F542" t="str">
        <f>IF(final_data787[[#This Row],[MONTH_CODE]]=1,"JANUARY",IF(final_data787[[#This Row],[MONTH_CODE]]=2,"FEBRUARY"))</f>
        <v>JANUARY</v>
      </c>
      <c r="G542">
        <v>16</v>
      </c>
      <c r="H542">
        <v>0</v>
      </c>
      <c r="I542">
        <v>1</v>
      </c>
      <c r="J5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2" t="str">
        <f>IF(final_data787[[#This Row],[DAY_CODE]]=0,"weekend",IF(final_data787[[#This Row],[DAY_CODE]]=1,"weekend","weekday"))</f>
        <v>weekend</v>
      </c>
      <c r="L542">
        <v>1</v>
      </c>
      <c r="M542" t="str">
        <f>IF(final_data787[[#This Row],[WEATHER_CODE]]=1,"clear",IF(final_data787[[#This Row],[WEATHER_CODE]]=2,"cloudy",IF(final_data787[[#This Row],[WEATHER_CODE]]=3,"light rain",IF(final_data787[[#This Row],[WEATHER_CODE]]=4,"heavy rain",0))))</f>
        <v>clear</v>
      </c>
      <c r="N542">
        <v>0.16</v>
      </c>
      <c r="O542">
        <v>0.1515</v>
      </c>
      <c r="P542">
        <v>0.47</v>
      </c>
      <c r="Q542">
        <v>0.25369999999999998</v>
      </c>
      <c r="R542">
        <v>4</v>
      </c>
      <c r="S542">
        <v>66</v>
      </c>
      <c r="T542">
        <v>70</v>
      </c>
    </row>
    <row r="543" spans="1:20" x14ac:dyDescent="0.35">
      <c r="A543">
        <v>542</v>
      </c>
      <c r="B543" s="1">
        <v>40567</v>
      </c>
      <c r="C543">
        <v>1</v>
      </c>
      <c r="D543">
        <v>0</v>
      </c>
      <c r="E543">
        <v>1</v>
      </c>
      <c r="F543" t="str">
        <f>IF(final_data787[[#This Row],[MONTH_CODE]]=1,"JANUARY",IF(final_data787[[#This Row],[MONTH_CODE]]=2,"FEBRUARY"))</f>
        <v>JANUARY</v>
      </c>
      <c r="G543">
        <v>17</v>
      </c>
      <c r="H543">
        <v>0</v>
      </c>
      <c r="I543">
        <v>1</v>
      </c>
      <c r="J5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3" t="str">
        <f>IF(final_data787[[#This Row],[DAY_CODE]]=0,"weekend",IF(final_data787[[#This Row],[DAY_CODE]]=1,"weekend","weekday"))</f>
        <v>weekend</v>
      </c>
      <c r="L543">
        <v>1</v>
      </c>
      <c r="M543" t="str">
        <f>IF(final_data787[[#This Row],[WEATHER_CODE]]=1,"clear",IF(final_data787[[#This Row],[WEATHER_CODE]]=2,"cloudy",IF(final_data787[[#This Row],[WEATHER_CODE]]=3,"light rain",IF(final_data787[[#This Row],[WEATHER_CODE]]=4,"heavy rain",0))))</f>
        <v>clear</v>
      </c>
      <c r="N543">
        <v>0.14000000000000001</v>
      </c>
      <c r="O543">
        <v>0.1212</v>
      </c>
      <c r="P543">
        <v>0.5</v>
      </c>
      <c r="Q543">
        <v>0.25369999999999998</v>
      </c>
      <c r="R543">
        <v>6</v>
      </c>
      <c r="S543">
        <v>178</v>
      </c>
      <c r="T543">
        <v>184</v>
      </c>
    </row>
    <row r="544" spans="1:20" x14ac:dyDescent="0.35">
      <c r="A544">
        <v>543</v>
      </c>
      <c r="B544" s="1">
        <v>40567</v>
      </c>
      <c r="C544">
        <v>1</v>
      </c>
      <c r="D544">
        <v>0</v>
      </c>
      <c r="E544">
        <v>1</v>
      </c>
      <c r="F544" t="str">
        <f>IF(final_data787[[#This Row],[MONTH_CODE]]=1,"JANUARY",IF(final_data787[[#This Row],[MONTH_CODE]]=2,"FEBRUARY"))</f>
        <v>JANUARY</v>
      </c>
      <c r="G544">
        <v>18</v>
      </c>
      <c r="H544">
        <v>0</v>
      </c>
      <c r="I544">
        <v>1</v>
      </c>
      <c r="J5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4" t="str">
        <f>IF(final_data787[[#This Row],[DAY_CODE]]=0,"weekend",IF(final_data787[[#This Row],[DAY_CODE]]=1,"weekend","weekday"))</f>
        <v>weekend</v>
      </c>
      <c r="L544">
        <v>1</v>
      </c>
      <c r="M544" t="str">
        <f>IF(final_data787[[#This Row],[WEATHER_CODE]]=1,"clear",IF(final_data787[[#This Row],[WEATHER_CODE]]=2,"cloudy",IF(final_data787[[#This Row],[WEATHER_CODE]]=3,"light rain",IF(final_data787[[#This Row],[WEATHER_CODE]]=4,"heavy rain",0))))</f>
        <v>clear</v>
      </c>
      <c r="N544">
        <v>0.14000000000000001</v>
      </c>
      <c r="O544">
        <v>0.13639999999999999</v>
      </c>
      <c r="P544">
        <v>0.59</v>
      </c>
      <c r="Q544">
        <v>0.19400000000000001</v>
      </c>
      <c r="R544">
        <v>8</v>
      </c>
      <c r="S544">
        <v>145</v>
      </c>
      <c r="T544">
        <v>153</v>
      </c>
    </row>
    <row r="545" spans="1:20" x14ac:dyDescent="0.35">
      <c r="A545">
        <v>544</v>
      </c>
      <c r="B545" s="1">
        <v>40567</v>
      </c>
      <c r="C545">
        <v>1</v>
      </c>
      <c r="D545">
        <v>0</v>
      </c>
      <c r="E545">
        <v>1</v>
      </c>
      <c r="F545" t="str">
        <f>IF(final_data787[[#This Row],[MONTH_CODE]]=1,"JANUARY",IF(final_data787[[#This Row],[MONTH_CODE]]=2,"FEBRUARY"))</f>
        <v>JANUARY</v>
      </c>
      <c r="G545">
        <v>19</v>
      </c>
      <c r="H545">
        <v>0</v>
      </c>
      <c r="I545">
        <v>1</v>
      </c>
      <c r="J5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5" t="str">
        <f>IF(final_data787[[#This Row],[DAY_CODE]]=0,"weekend",IF(final_data787[[#This Row],[DAY_CODE]]=1,"weekend","weekday"))</f>
        <v>weekend</v>
      </c>
      <c r="L545">
        <v>1</v>
      </c>
      <c r="M545" t="str">
        <f>IF(final_data787[[#This Row],[WEATHER_CODE]]=1,"clear",IF(final_data787[[#This Row],[WEATHER_CODE]]=2,"cloudy",IF(final_data787[[#This Row],[WEATHER_CODE]]=3,"light rain",IF(final_data787[[#This Row],[WEATHER_CODE]]=4,"heavy rain",0))))</f>
        <v>clear</v>
      </c>
      <c r="N545">
        <v>0.14000000000000001</v>
      </c>
      <c r="O545">
        <v>0.1515</v>
      </c>
      <c r="P545">
        <v>0.54</v>
      </c>
      <c r="Q545">
        <v>0.16420000000000001</v>
      </c>
      <c r="R545">
        <v>5</v>
      </c>
      <c r="S545">
        <v>101</v>
      </c>
      <c r="T545">
        <v>106</v>
      </c>
    </row>
    <row r="546" spans="1:20" x14ac:dyDescent="0.35">
      <c r="A546">
        <v>545</v>
      </c>
      <c r="B546" s="1">
        <v>40567</v>
      </c>
      <c r="C546">
        <v>1</v>
      </c>
      <c r="D546">
        <v>0</v>
      </c>
      <c r="E546">
        <v>1</v>
      </c>
      <c r="F546" t="str">
        <f>IF(final_data787[[#This Row],[MONTH_CODE]]=1,"JANUARY",IF(final_data787[[#This Row],[MONTH_CODE]]=2,"FEBRUARY"))</f>
        <v>JANUARY</v>
      </c>
      <c r="G546">
        <v>20</v>
      </c>
      <c r="H546">
        <v>0</v>
      </c>
      <c r="I546">
        <v>1</v>
      </c>
      <c r="J5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6" t="str">
        <f>IF(final_data787[[#This Row],[DAY_CODE]]=0,"weekend",IF(final_data787[[#This Row],[DAY_CODE]]=1,"weekend","weekday"))</f>
        <v>weekend</v>
      </c>
      <c r="L546">
        <v>1</v>
      </c>
      <c r="M546" t="str">
        <f>IF(final_data787[[#This Row],[WEATHER_CODE]]=1,"clear",IF(final_data787[[#This Row],[WEATHER_CODE]]=2,"cloudy",IF(final_data787[[#This Row],[WEATHER_CODE]]=3,"light rain",IF(final_data787[[#This Row],[WEATHER_CODE]]=4,"heavy rain",0))))</f>
        <v>clear</v>
      </c>
      <c r="N546">
        <v>0.14000000000000001</v>
      </c>
      <c r="O546">
        <v>0.13639999999999999</v>
      </c>
      <c r="P546">
        <v>0.59</v>
      </c>
      <c r="Q546">
        <v>0.19400000000000001</v>
      </c>
      <c r="R546">
        <v>1</v>
      </c>
      <c r="S546">
        <v>80</v>
      </c>
      <c r="T546">
        <v>81</v>
      </c>
    </row>
    <row r="547" spans="1:20" x14ac:dyDescent="0.35">
      <c r="A547">
        <v>546</v>
      </c>
      <c r="B547" s="1">
        <v>40567</v>
      </c>
      <c r="C547">
        <v>1</v>
      </c>
      <c r="D547">
        <v>0</v>
      </c>
      <c r="E547">
        <v>1</v>
      </c>
      <c r="F547" t="str">
        <f>IF(final_data787[[#This Row],[MONTH_CODE]]=1,"JANUARY",IF(final_data787[[#This Row],[MONTH_CODE]]=2,"FEBRUARY"))</f>
        <v>JANUARY</v>
      </c>
      <c r="G547">
        <v>21</v>
      </c>
      <c r="H547">
        <v>0</v>
      </c>
      <c r="I547">
        <v>1</v>
      </c>
      <c r="J5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7" t="str">
        <f>IF(final_data787[[#This Row],[DAY_CODE]]=0,"weekend",IF(final_data787[[#This Row],[DAY_CODE]]=1,"weekend","weekday"))</f>
        <v>weekend</v>
      </c>
      <c r="L547">
        <v>1</v>
      </c>
      <c r="M547" t="str">
        <f>IF(final_data787[[#This Row],[WEATHER_CODE]]=1,"clear",IF(final_data787[[#This Row],[WEATHER_CODE]]=2,"cloudy",IF(final_data787[[#This Row],[WEATHER_CODE]]=3,"light rain",IF(final_data787[[#This Row],[WEATHER_CODE]]=4,"heavy rain",0))))</f>
        <v>clear</v>
      </c>
      <c r="N547">
        <v>0.14000000000000001</v>
      </c>
      <c r="O547">
        <v>0.1515</v>
      </c>
      <c r="P547">
        <v>0.63</v>
      </c>
      <c r="Q547">
        <v>0.16420000000000001</v>
      </c>
      <c r="R547">
        <v>6</v>
      </c>
      <c r="S547">
        <v>53</v>
      </c>
      <c r="T547">
        <v>59</v>
      </c>
    </row>
    <row r="548" spans="1:20" x14ac:dyDescent="0.35">
      <c r="A548">
        <v>547</v>
      </c>
      <c r="B548" s="1">
        <v>40567</v>
      </c>
      <c r="C548">
        <v>1</v>
      </c>
      <c r="D548">
        <v>0</v>
      </c>
      <c r="E548">
        <v>1</v>
      </c>
      <c r="F548" t="str">
        <f>IF(final_data787[[#This Row],[MONTH_CODE]]=1,"JANUARY",IF(final_data787[[#This Row],[MONTH_CODE]]=2,"FEBRUARY"))</f>
        <v>JANUARY</v>
      </c>
      <c r="G548">
        <v>22</v>
      </c>
      <c r="H548">
        <v>0</v>
      </c>
      <c r="I548">
        <v>1</v>
      </c>
      <c r="J5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8" t="str">
        <f>IF(final_data787[[#This Row],[DAY_CODE]]=0,"weekend",IF(final_data787[[#This Row],[DAY_CODE]]=1,"weekend","weekday"))</f>
        <v>weekend</v>
      </c>
      <c r="L548">
        <v>2</v>
      </c>
      <c r="M548" t="str">
        <f>IF(final_data787[[#This Row],[WEATHER_CODE]]=1,"clear",IF(final_data787[[#This Row],[WEATHER_CODE]]=2,"cloudy",IF(final_data787[[#This Row],[WEATHER_CODE]]=3,"light rain",IF(final_data787[[#This Row],[WEATHER_CODE]]=4,"heavy rain",0))))</f>
        <v>cloudy</v>
      </c>
      <c r="N548">
        <v>0.14000000000000001</v>
      </c>
      <c r="O548">
        <v>0.13639999999999999</v>
      </c>
      <c r="P548">
        <v>0.63</v>
      </c>
      <c r="Q548">
        <v>0.22389999999999999</v>
      </c>
      <c r="R548">
        <v>3</v>
      </c>
      <c r="S548">
        <v>32</v>
      </c>
      <c r="T548">
        <v>35</v>
      </c>
    </row>
    <row r="549" spans="1:20" x14ac:dyDescent="0.35">
      <c r="A549">
        <v>548</v>
      </c>
      <c r="B549" s="1">
        <v>40567</v>
      </c>
      <c r="C549">
        <v>1</v>
      </c>
      <c r="D549">
        <v>0</v>
      </c>
      <c r="E549">
        <v>1</v>
      </c>
      <c r="F549" t="str">
        <f>IF(final_data787[[#This Row],[MONTH_CODE]]=1,"JANUARY",IF(final_data787[[#This Row],[MONTH_CODE]]=2,"FEBRUARY"))</f>
        <v>JANUARY</v>
      </c>
      <c r="G549">
        <v>23</v>
      </c>
      <c r="H549">
        <v>0</v>
      </c>
      <c r="I549">
        <v>1</v>
      </c>
      <c r="J5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549" t="str">
        <f>IF(final_data787[[#This Row],[DAY_CODE]]=0,"weekend",IF(final_data787[[#This Row],[DAY_CODE]]=1,"weekend","weekday"))</f>
        <v>weekend</v>
      </c>
      <c r="L549">
        <v>2</v>
      </c>
      <c r="M549" t="str">
        <f>IF(final_data787[[#This Row],[WEATHER_CODE]]=1,"clear",IF(final_data787[[#This Row],[WEATHER_CODE]]=2,"cloudy",IF(final_data787[[#This Row],[WEATHER_CODE]]=3,"light rain",IF(final_data787[[#This Row],[WEATHER_CODE]]=4,"heavy rain",0))))</f>
        <v>cloudy</v>
      </c>
      <c r="N549">
        <v>0.16</v>
      </c>
      <c r="O549">
        <v>0.1515</v>
      </c>
      <c r="P549">
        <v>0.64</v>
      </c>
      <c r="Q549">
        <v>0.25369999999999998</v>
      </c>
      <c r="R549">
        <v>3</v>
      </c>
      <c r="S549">
        <v>21</v>
      </c>
      <c r="T549">
        <v>24</v>
      </c>
    </row>
    <row r="550" spans="1:20" x14ac:dyDescent="0.35">
      <c r="A550">
        <v>549</v>
      </c>
      <c r="B550" s="1">
        <v>40568</v>
      </c>
      <c r="C550">
        <v>1</v>
      </c>
      <c r="D550">
        <v>0</v>
      </c>
      <c r="E550">
        <v>1</v>
      </c>
      <c r="F550" t="str">
        <f>IF(final_data787[[#This Row],[MONTH_CODE]]=1,"JANUARY",IF(final_data787[[#This Row],[MONTH_CODE]]=2,"FEBRUARY"))</f>
        <v>JANUARY</v>
      </c>
      <c r="G550">
        <v>0</v>
      </c>
      <c r="H550">
        <v>0</v>
      </c>
      <c r="I550">
        <v>2</v>
      </c>
      <c r="J5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0" t="str">
        <f>IF(final_data787[[#This Row],[DAY_CODE]]=0,"weekend",IF(final_data787[[#This Row],[DAY_CODE]]=1,"weekend","weekday"))</f>
        <v>weekday</v>
      </c>
      <c r="L550">
        <v>2</v>
      </c>
      <c r="M550" t="str">
        <f>IF(final_data787[[#This Row],[WEATHER_CODE]]=1,"clear",IF(final_data787[[#This Row],[WEATHER_CODE]]=2,"cloudy",IF(final_data787[[#This Row],[WEATHER_CODE]]=3,"light rain",IF(final_data787[[#This Row],[WEATHER_CODE]]=4,"heavy rain",0))))</f>
        <v>cloudy</v>
      </c>
      <c r="N550">
        <v>0.16</v>
      </c>
      <c r="O550">
        <v>0.13639999999999999</v>
      </c>
      <c r="P550">
        <v>0.69</v>
      </c>
      <c r="Q550">
        <v>0.28360000000000002</v>
      </c>
      <c r="R550">
        <v>3</v>
      </c>
      <c r="S550">
        <v>6</v>
      </c>
      <c r="T550">
        <v>9</v>
      </c>
    </row>
    <row r="551" spans="1:20" x14ac:dyDescent="0.35">
      <c r="A551">
        <v>550</v>
      </c>
      <c r="B551" s="1">
        <v>40568</v>
      </c>
      <c r="C551">
        <v>1</v>
      </c>
      <c r="D551">
        <v>0</v>
      </c>
      <c r="E551">
        <v>1</v>
      </c>
      <c r="F551" t="str">
        <f>IF(final_data787[[#This Row],[MONTH_CODE]]=1,"JANUARY",IF(final_data787[[#This Row],[MONTH_CODE]]=2,"FEBRUARY"))</f>
        <v>JANUARY</v>
      </c>
      <c r="G551">
        <v>1</v>
      </c>
      <c r="H551">
        <v>0</v>
      </c>
      <c r="I551">
        <v>2</v>
      </c>
      <c r="J5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1" t="str">
        <f>IF(final_data787[[#This Row],[DAY_CODE]]=0,"weekend",IF(final_data787[[#This Row],[DAY_CODE]]=1,"weekend","weekday"))</f>
        <v>weekday</v>
      </c>
      <c r="L551">
        <v>2</v>
      </c>
      <c r="M551" t="str">
        <f>IF(final_data787[[#This Row],[WEATHER_CODE]]=1,"clear",IF(final_data787[[#This Row],[WEATHER_CODE]]=2,"cloudy",IF(final_data787[[#This Row],[WEATHER_CODE]]=3,"light rain",IF(final_data787[[#This Row],[WEATHER_CODE]]=4,"heavy rain",0))))</f>
        <v>cloudy</v>
      </c>
      <c r="N551">
        <v>0.16</v>
      </c>
      <c r="O551">
        <v>0.16669999999999999</v>
      </c>
      <c r="P551">
        <v>0.69</v>
      </c>
      <c r="Q551">
        <v>0.16420000000000001</v>
      </c>
      <c r="R551">
        <v>0</v>
      </c>
      <c r="S551">
        <v>5</v>
      </c>
      <c r="T551">
        <v>5</v>
      </c>
    </row>
    <row r="552" spans="1:20" x14ac:dyDescent="0.35">
      <c r="A552">
        <v>551</v>
      </c>
      <c r="B552" s="1">
        <v>40568</v>
      </c>
      <c r="C552">
        <v>1</v>
      </c>
      <c r="D552">
        <v>0</v>
      </c>
      <c r="E552">
        <v>1</v>
      </c>
      <c r="F552" t="str">
        <f>IF(final_data787[[#This Row],[MONTH_CODE]]=1,"JANUARY",IF(final_data787[[#This Row],[MONTH_CODE]]=2,"FEBRUARY"))</f>
        <v>JANUARY</v>
      </c>
      <c r="G552">
        <v>2</v>
      </c>
      <c r="H552">
        <v>0</v>
      </c>
      <c r="I552">
        <v>2</v>
      </c>
      <c r="J5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2" t="str">
        <f>IF(final_data787[[#This Row],[DAY_CODE]]=0,"weekend",IF(final_data787[[#This Row],[DAY_CODE]]=1,"weekend","weekday"))</f>
        <v>weekday</v>
      </c>
      <c r="L552">
        <v>1</v>
      </c>
      <c r="M552" t="str">
        <f>IF(final_data787[[#This Row],[WEATHER_CODE]]=1,"clear",IF(final_data787[[#This Row],[WEATHER_CODE]]=2,"cloudy",IF(final_data787[[#This Row],[WEATHER_CODE]]=3,"light rain",IF(final_data787[[#This Row],[WEATHER_CODE]]=4,"heavy rain",0))))</f>
        <v>clear</v>
      </c>
      <c r="N552">
        <v>0.16</v>
      </c>
      <c r="O552">
        <v>0.1515</v>
      </c>
      <c r="P552">
        <v>0.69</v>
      </c>
      <c r="Q552">
        <v>0.22389999999999999</v>
      </c>
      <c r="R552">
        <v>0</v>
      </c>
      <c r="S552">
        <v>2</v>
      </c>
      <c r="T552">
        <v>2</v>
      </c>
    </row>
    <row r="553" spans="1:20" x14ac:dyDescent="0.35">
      <c r="A553">
        <v>552</v>
      </c>
      <c r="B553" s="1">
        <v>40568</v>
      </c>
      <c r="C553">
        <v>1</v>
      </c>
      <c r="D553">
        <v>0</v>
      </c>
      <c r="E553">
        <v>1</v>
      </c>
      <c r="F553" t="str">
        <f>IF(final_data787[[#This Row],[MONTH_CODE]]=1,"JANUARY",IF(final_data787[[#This Row],[MONTH_CODE]]=2,"FEBRUARY"))</f>
        <v>JANUARY</v>
      </c>
      <c r="G553">
        <v>4</v>
      </c>
      <c r="H553">
        <v>0</v>
      </c>
      <c r="I553">
        <v>2</v>
      </c>
      <c r="J5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3" t="str">
        <f>IF(final_data787[[#This Row],[DAY_CODE]]=0,"weekend",IF(final_data787[[#This Row],[DAY_CODE]]=1,"weekend","weekday"))</f>
        <v>weekday</v>
      </c>
      <c r="L553">
        <v>1</v>
      </c>
      <c r="M553" t="str">
        <f>IF(final_data787[[#This Row],[WEATHER_CODE]]=1,"clear",IF(final_data787[[#This Row],[WEATHER_CODE]]=2,"cloudy",IF(final_data787[[#This Row],[WEATHER_CODE]]=3,"light rain",IF(final_data787[[#This Row],[WEATHER_CODE]]=4,"heavy rain",0))))</f>
        <v>clear</v>
      </c>
      <c r="N553">
        <v>0.14000000000000001</v>
      </c>
      <c r="O553">
        <v>0.16669999999999999</v>
      </c>
      <c r="P553">
        <v>0.74</v>
      </c>
      <c r="Q553">
        <v>0.1045</v>
      </c>
      <c r="R553">
        <v>0</v>
      </c>
      <c r="S553">
        <v>1</v>
      </c>
      <c r="T553">
        <v>1</v>
      </c>
    </row>
    <row r="554" spans="1:20" x14ac:dyDescent="0.35">
      <c r="A554">
        <v>553</v>
      </c>
      <c r="B554" s="1">
        <v>40568</v>
      </c>
      <c r="C554">
        <v>1</v>
      </c>
      <c r="D554">
        <v>0</v>
      </c>
      <c r="E554">
        <v>1</v>
      </c>
      <c r="F554" t="str">
        <f>IF(final_data787[[#This Row],[MONTH_CODE]]=1,"JANUARY",IF(final_data787[[#This Row],[MONTH_CODE]]=2,"FEBRUARY"))</f>
        <v>JANUARY</v>
      </c>
      <c r="G554">
        <v>5</v>
      </c>
      <c r="H554">
        <v>0</v>
      </c>
      <c r="I554">
        <v>2</v>
      </c>
      <c r="J5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4" t="str">
        <f>IF(final_data787[[#This Row],[DAY_CODE]]=0,"weekend",IF(final_data787[[#This Row],[DAY_CODE]]=1,"weekend","weekday"))</f>
        <v>weekday</v>
      </c>
      <c r="L554">
        <v>1</v>
      </c>
      <c r="M554" t="str">
        <f>IF(final_data787[[#This Row],[WEATHER_CODE]]=1,"clear",IF(final_data787[[#This Row],[WEATHER_CODE]]=2,"cloudy",IF(final_data787[[#This Row],[WEATHER_CODE]]=3,"light rain",IF(final_data787[[#This Row],[WEATHER_CODE]]=4,"heavy rain",0))))</f>
        <v>clear</v>
      </c>
      <c r="N554">
        <v>0.14000000000000001</v>
      </c>
      <c r="O554">
        <v>0.13639999999999999</v>
      </c>
      <c r="P554">
        <v>0.74</v>
      </c>
      <c r="Q554">
        <v>0.22389999999999999</v>
      </c>
      <c r="R554">
        <v>0</v>
      </c>
      <c r="S554">
        <v>9</v>
      </c>
      <c r="T554">
        <v>9</v>
      </c>
    </row>
    <row r="555" spans="1:20" x14ac:dyDescent="0.35">
      <c r="A555">
        <v>554</v>
      </c>
      <c r="B555" s="1">
        <v>40568</v>
      </c>
      <c r="C555">
        <v>1</v>
      </c>
      <c r="D555">
        <v>0</v>
      </c>
      <c r="E555">
        <v>1</v>
      </c>
      <c r="F555" t="str">
        <f>IF(final_data787[[#This Row],[MONTH_CODE]]=1,"JANUARY",IF(final_data787[[#This Row],[MONTH_CODE]]=2,"FEBRUARY"))</f>
        <v>JANUARY</v>
      </c>
      <c r="G555">
        <v>6</v>
      </c>
      <c r="H555">
        <v>0</v>
      </c>
      <c r="I555">
        <v>2</v>
      </c>
      <c r="J5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5" t="str">
        <f>IF(final_data787[[#This Row],[DAY_CODE]]=0,"weekend",IF(final_data787[[#This Row],[DAY_CODE]]=1,"weekend","weekday"))</f>
        <v>weekday</v>
      </c>
      <c r="L555">
        <v>1</v>
      </c>
      <c r="M555" t="str">
        <f>IF(final_data787[[#This Row],[WEATHER_CODE]]=1,"clear",IF(final_data787[[#This Row],[WEATHER_CODE]]=2,"cloudy",IF(final_data787[[#This Row],[WEATHER_CODE]]=3,"light rain",IF(final_data787[[#This Row],[WEATHER_CODE]]=4,"heavy rain",0))))</f>
        <v>clear</v>
      </c>
      <c r="N555">
        <v>0.16</v>
      </c>
      <c r="O555">
        <v>0.18179999999999999</v>
      </c>
      <c r="P555">
        <v>0.74</v>
      </c>
      <c r="Q555">
        <v>0.1045</v>
      </c>
      <c r="R555">
        <v>1</v>
      </c>
      <c r="S555">
        <v>35</v>
      </c>
      <c r="T555">
        <v>36</v>
      </c>
    </row>
    <row r="556" spans="1:20" x14ac:dyDescent="0.35">
      <c r="A556">
        <v>555</v>
      </c>
      <c r="B556" s="1">
        <v>40568</v>
      </c>
      <c r="C556">
        <v>1</v>
      </c>
      <c r="D556">
        <v>0</v>
      </c>
      <c r="E556">
        <v>1</v>
      </c>
      <c r="F556" t="str">
        <f>IF(final_data787[[#This Row],[MONTH_CODE]]=1,"JANUARY",IF(final_data787[[#This Row],[MONTH_CODE]]=2,"FEBRUARY"))</f>
        <v>JANUARY</v>
      </c>
      <c r="G556">
        <v>7</v>
      </c>
      <c r="H556">
        <v>0</v>
      </c>
      <c r="I556">
        <v>2</v>
      </c>
      <c r="J5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6" t="str">
        <f>IF(final_data787[[#This Row],[DAY_CODE]]=0,"weekend",IF(final_data787[[#This Row],[DAY_CODE]]=1,"weekend","weekday"))</f>
        <v>weekday</v>
      </c>
      <c r="L556">
        <v>1</v>
      </c>
      <c r="M556" t="str">
        <f>IF(final_data787[[#This Row],[WEATHER_CODE]]=1,"clear",IF(final_data787[[#This Row],[WEATHER_CODE]]=2,"cloudy",IF(final_data787[[#This Row],[WEATHER_CODE]]=3,"light rain",IF(final_data787[[#This Row],[WEATHER_CODE]]=4,"heavy rain",0))))</f>
        <v>clear</v>
      </c>
      <c r="N556">
        <v>0.16</v>
      </c>
      <c r="O556">
        <v>0.1515</v>
      </c>
      <c r="P556">
        <v>0.74</v>
      </c>
      <c r="Q556">
        <v>0.22389999999999999</v>
      </c>
      <c r="R556">
        <v>5</v>
      </c>
      <c r="S556">
        <v>103</v>
      </c>
      <c r="T556">
        <v>108</v>
      </c>
    </row>
    <row r="557" spans="1:20" x14ac:dyDescent="0.35">
      <c r="A557">
        <v>556</v>
      </c>
      <c r="B557" s="1">
        <v>40568</v>
      </c>
      <c r="C557">
        <v>1</v>
      </c>
      <c r="D557">
        <v>0</v>
      </c>
      <c r="E557">
        <v>1</v>
      </c>
      <c r="F557" t="str">
        <f>IF(final_data787[[#This Row],[MONTH_CODE]]=1,"JANUARY",IF(final_data787[[#This Row],[MONTH_CODE]]=2,"FEBRUARY"))</f>
        <v>JANUARY</v>
      </c>
      <c r="G557">
        <v>8</v>
      </c>
      <c r="H557">
        <v>0</v>
      </c>
      <c r="I557">
        <v>2</v>
      </c>
      <c r="J5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7" t="str">
        <f>IF(final_data787[[#This Row],[DAY_CODE]]=0,"weekend",IF(final_data787[[#This Row],[DAY_CODE]]=1,"weekend","weekday"))</f>
        <v>weekday</v>
      </c>
      <c r="L557">
        <v>2</v>
      </c>
      <c r="M557" t="str">
        <f>IF(final_data787[[#This Row],[WEATHER_CODE]]=1,"clear",IF(final_data787[[#This Row],[WEATHER_CODE]]=2,"cloudy",IF(final_data787[[#This Row],[WEATHER_CODE]]=3,"light rain",IF(final_data787[[#This Row],[WEATHER_CODE]]=4,"heavy rain",0))))</f>
        <v>cloudy</v>
      </c>
      <c r="N557">
        <v>0.16</v>
      </c>
      <c r="O557">
        <v>0.18179999999999999</v>
      </c>
      <c r="P557">
        <v>0.74</v>
      </c>
      <c r="Q557">
        <v>0.1343</v>
      </c>
      <c r="R557">
        <v>5</v>
      </c>
      <c r="S557">
        <v>233</v>
      </c>
      <c r="T557">
        <v>238</v>
      </c>
    </row>
    <row r="558" spans="1:20" x14ac:dyDescent="0.35">
      <c r="A558">
        <v>557</v>
      </c>
      <c r="B558" s="1">
        <v>40568</v>
      </c>
      <c r="C558">
        <v>1</v>
      </c>
      <c r="D558">
        <v>0</v>
      </c>
      <c r="E558">
        <v>1</v>
      </c>
      <c r="F558" t="str">
        <f>IF(final_data787[[#This Row],[MONTH_CODE]]=1,"JANUARY",IF(final_data787[[#This Row],[MONTH_CODE]]=2,"FEBRUARY"))</f>
        <v>JANUARY</v>
      </c>
      <c r="G558">
        <v>9</v>
      </c>
      <c r="H558">
        <v>0</v>
      </c>
      <c r="I558">
        <v>2</v>
      </c>
      <c r="J5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8" t="str">
        <f>IF(final_data787[[#This Row],[DAY_CODE]]=0,"weekend",IF(final_data787[[#This Row],[DAY_CODE]]=1,"weekend","weekday"))</f>
        <v>weekday</v>
      </c>
      <c r="L558">
        <v>2</v>
      </c>
      <c r="M558" t="str">
        <f>IF(final_data787[[#This Row],[WEATHER_CODE]]=1,"clear",IF(final_data787[[#This Row],[WEATHER_CODE]]=2,"cloudy",IF(final_data787[[#This Row],[WEATHER_CODE]]=3,"light rain",IF(final_data787[[#This Row],[WEATHER_CODE]]=4,"heavy rain",0))))</f>
        <v>cloudy</v>
      </c>
      <c r="N558">
        <v>0.2</v>
      </c>
      <c r="O558">
        <v>0.2273</v>
      </c>
      <c r="P558">
        <v>0.64</v>
      </c>
      <c r="Q558">
        <v>8.9599999999999999E-2</v>
      </c>
      <c r="R558">
        <v>10</v>
      </c>
      <c r="S558">
        <v>134</v>
      </c>
      <c r="T558">
        <v>144</v>
      </c>
    </row>
    <row r="559" spans="1:20" x14ac:dyDescent="0.35">
      <c r="A559">
        <v>558</v>
      </c>
      <c r="B559" s="1">
        <v>40568</v>
      </c>
      <c r="C559">
        <v>1</v>
      </c>
      <c r="D559">
        <v>0</v>
      </c>
      <c r="E559">
        <v>1</v>
      </c>
      <c r="F559" t="str">
        <f>IF(final_data787[[#This Row],[MONTH_CODE]]=1,"JANUARY",IF(final_data787[[#This Row],[MONTH_CODE]]=2,"FEBRUARY"))</f>
        <v>JANUARY</v>
      </c>
      <c r="G559">
        <v>10</v>
      </c>
      <c r="H559">
        <v>0</v>
      </c>
      <c r="I559">
        <v>2</v>
      </c>
      <c r="J5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59" t="str">
        <f>IF(final_data787[[#This Row],[DAY_CODE]]=0,"weekend",IF(final_data787[[#This Row],[DAY_CODE]]=1,"weekend","weekday"))</f>
        <v>weekday</v>
      </c>
      <c r="L559">
        <v>2</v>
      </c>
      <c r="M559" t="str">
        <f>IF(final_data787[[#This Row],[WEATHER_CODE]]=1,"clear",IF(final_data787[[#This Row],[WEATHER_CODE]]=2,"cloudy",IF(final_data787[[#This Row],[WEATHER_CODE]]=3,"light rain",IF(final_data787[[#This Row],[WEATHER_CODE]]=4,"heavy rain",0))))</f>
        <v>cloudy</v>
      </c>
      <c r="N559">
        <v>0.22</v>
      </c>
      <c r="O559">
        <v>0.2424</v>
      </c>
      <c r="P559">
        <v>0.6</v>
      </c>
      <c r="Q559">
        <v>0.1045</v>
      </c>
      <c r="R559">
        <v>6</v>
      </c>
      <c r="S559">
        <v>49</v>
      </c>
      <c r="T559">
        <v>55</v>
      </c>
    </row>
    <row r="560" spans="1:20" x14ac:dyDescent="0.35">
      <c r="A560">
        <v>559</v>
      </c>
      <c r="B560" s="1">
        <v>40568</v>
      </c>
      <c r="C560">
        <v>1</v>
      </c>
      <c r="D560">
        <v>0</v>
      </c>
      <c r="E560">
        <v>1</v>
      </c>
      <c r="F560" t="str">
        <f>IF(final_data787[[#This Row],[MONTH_CODE]]=1,"JANUARY",IF(final_data787[[#This Row],[MONTH_CODE]]=2,"FEBRUARY"))</f>
        <v>JANUARY</v>
      </c>
      <c r="G560">
        <v>11</v>
      </c>
      <c r="H560">
        <v>0</v>
      </c>
      <c r="I560">
        <v>2</v>
      </c>
      <c r="J5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0" t="str">
        <f>IF(final_data787[[#This Row],[DAY_CODE]]=0,"weekend",IF(final_data787[[#This Row],[DAY_CODE]]=1,"weekend","weekday"))</f>
        <v>weekday</v>
      </c>
      <c r="L560">
        <v>2</v>
      </c>
      <c r="M560" t="str">
        <f>IF(final_data787[[#This Row],[WEATHER_CODE]]=1,"clear",IF(final_data787[[#This Row],[WEATHER_CODE]]=2,"cloudy",IF(final_data787[[#This Row],[WEATHER_CODE]]=3,"light rain",IF(final_data787[[#This Row],[WEATHER_CODE]]=4,"heavy rain",0))))</f>
        <v>cloudy</v>
      </c>
      <c r="N560">
        <v>0.24</v>
      </c>
      <c r="O560">
        <v>0.2424</v>
      </c>
      <c r="P560">
        <v>0.6</v>
      </c>
      <c r="Q560">
        <v>0.1343</v>
      </c>
      <c r="R560">
        <v>6</v>
      </c>
      <c r="S560">
        <v>55</v>
      </c>
      <c r="T560">
        <v>61</v>
      </c>
    </row>
    <row r="561" spans="1:20" x14ac:dyDescent="0.35">
      <c r="A561">
        <v>560</v>
      </c>
      <c r="B561" s="1">
        <v>40568</v>
      </c>
      <c r="C561">
        <v>1</v>
      </c>
      <c r="D561">
        <v>0</v>
      </c>
      <c r="E561">
        <v>1</v>
      </c>
      <c r="F561" t="str">
        <f>IF(final_data787[[#This Row],[MONTH_CODE]]=1,"JANUARY",IF(final_data787[[#This Row],[MONTH_CODE]]=2,"FEBRUARY"))</f>
        <v>JANUARY</v>
      </c>
      <c r="G561">
        <v>12</v>
      </c>
      <c r="H561">
        <v>0</v>
      </c>
      <c r="I561">
        <v>2</v>
      </c>
      <c r="J5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1" t="str">
        <f>IF(final_data787[[#This Row],[DAY_CODE]]=0,"weekend",IF(final_data787[[#This Row],[DAY_CODE]]=1,"weekend","weekday"))</f>
        <v>weekday</v>
      </c>
      <c r="L561">
        <v>2</v>
      </c>
      <c r="M561" t="str">
        <f>IF(final_data787[[#This Row],[WEATHER_CODE]]=1,"clear",IF(final_data787[[#This Row],[WEATHER_CODE]]=2,"cloudy",IF(final_data787[[#This Row],[WEATHER_CODE]]=3,"light rain",IF(final_data787[[#This Row],[WEATHER_CODE]]=4,"heavy rain",0))))</f>
        <v>cloudy</v>
      </c>
      <c r="N561">
        <v>0.26</v>
      </c>
      <c r="O561">
        <v>0.28789999999999999</v>
      </c>
      <c r="P561">
        <v>0.56000000000000005</v>
      </c>
      <c r="Q561">
        <v>8.9599999999999999E-2</v>
      </c>
      <c r="R561">
        <v>21</v>
      </c>
      <c r="S561">
        <v>85</v>
      </c>
      <c r="T561">
        <v>106</v>
      </c>
    </row>
    <row r="562" spans="1:20" x14ac:dyDescent="0.35">
      <c r="A562">
        <v>561</v>
      </c>
      <c r="B562" s="1">
        <v>40568</v>
      </c>
      <c r="C562">
        <v>1</v>
      </c>
      <c r="D562">
        <v>0</v>
      </c>
      <c r="E562">
        <v>1</v>
      </c>
      <c r="F562" t="str">
        <f>IF(final_data787[[#This Row],[MONTH_CODE]]=1,"JANUARY",IF(final_data787[[#This Row],[MONTH_CODE]]=2,"FEBRUARY"))</f>
        <v>JANUARY</v>
      </c>
      <c r="G562">
        <v>13</v>
      </c>
      <c r="H562">
        <v>0</v>
      </c>
      <c r="I562">
        <v>2</v>
      </c>
      <c r="J5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2" t="str">
        <f>IF(final_data787[[#This Row],[DAY_CODE]]=0,"weekend",IF(final_data787[[#This Row],[DAY_CODE]]=1,"weekend","weekday"))</f>
        <v>weekday</v>
      </c>
      <c r="L562">
        <v>2</v>
      </c>
      <c r="M562" t="str">
        <f>IF(final_data787[[#This Row],[WEATHER_CODE]]=1,"clear",IF(final_data787[[#This Row],[WEATHER_CODE]]=2,"cloudy",IF(final_data787[[#This Row],[WEATHER_CODE]]=3,"light rain",IF(final_data787[[#This Row],[WEATHER_CODE]]=4,"heavy rain",0))))</f>
        <v>cloudy</v>
      </c>
      <c r="N562">
        <v>0.26</v>
      </c>
      <c r="O562">
        <v>0.2727</v>
      </c>
      <c r="P562">
        <v>0.56000000000000005</v>
      </c>
      <c r="Q562">
        <v>0.1343</v>
      </c>
      <c r="R562">
        <v>21</v>
      </c>
      <c r="S562">
        <v>72</v>
      </c>
      <c r="T562">
        <v>93</v>
      </c>
    </row>
    <row r="563" spans="1:20" x14ac:dyDescent="0.35">
      <c r="A563">
        <v>562</v>
      </c>
      <c r="B563" s="1">
        <v>40568</v>
      </c>
      <c r="C563">
        <v>1</v>
      </c>
      <c r="D563">
        <v>0</v>
      </c>
      <c r="E563">
        <v>1</v>
      </c>
      <c r="F563" t="str">
        <f>IF(final_data787[[#This Row],[MONTH_CODE]]=1,"JANUARY",IF(final_data787[[#This Row],[MONTH_CODE]]=2,"FEBRUARY"))</f>
        <v>JANUARY</v>
      </c>
      <c r="G563">
        <v>14</v>
      </c>
      <c r="H563">
        <v>0</v>
      </c>
      <c r="I563">
        <v>2</v>
      </c>
      <c r="J5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3" t="str">
        <f>IF(final_data787[[#This Row],[DAY_CODE]]=0,"weekend",IF(final_data787[[#This Row],[DAY_CODE]]=1,"weekend","weekday"))</f>
        <v>weekday</v>
      </c>
      <c r="L563">
        <v>2</v>
      </c>
      <c r="M563" t="str">
        <f>IF(final_data787[[#This Row],[WEATHER_CODE]]=1,"clear",IF(final_data787[[#This Row],[WEATHER_CODE]]=2,"cloudy",IF(final_data787[[#This Row],[WEATHER_CODE]]=3,"light rain",IF(final_data787[[#This Row],[WEATHER_CODE]]=4,"heavy rain",0))))</f>
        <v>cloudy</v>
      </c>
      <c r="N563">
        <v>0.3</v>
      </c>
      <c r="O563">
        <v>0.33329999999999999</v>
      </c>
      <c r="P563">
        <v>0.45</v>
      </c>
      <c r="Q563">
        <v>0</v>
      </c>
      <c r="R563">
        <v>11</v>
      </c>
      <c r="S563">
        <v>57</v>
      </c>
      <c r="T563">
        <v>68</v>
      </c>
    </row>
    <row r="564" spans="1:20" x14ac:dyDescent="0.35">
      <c r="A564">
        <v>563</v>
      </c>
      <c r="B564" s="1">
        <v>40568</v>
      </c>
      <c r="C564">
        <v>1</v>
      </c>
      <c r="D564">
        <v>0</v>
      </c>
      <c r="E564">
        <v>1</v>
      </c>
      <c r="F564" t="str">
        <f>IF(final_data787[[#This Row],[MONTH_CODE]]=1,"JANUARY",IF(final_data787[[#This Row],[MONTH_CODE]]=2,"FEBRUARY"))</f>
        <v>JANUARY</v>
      </c>
      <c r="G564">
        <v>15</v>
      </c>
      <c r="H564">
        <v>0</v>
      </c>
      <c r="I564">
        <v>2</v>
      </c>
      <c r="J5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4" t="str">
        <f>IF(final_data787[[#This Row],[DAY_CODE]]=0,"weekend",IF(final_data787[[#This Row],[DAY_CODE]]=1,"weekend","weekday"))</f>
        <v>weekday</v>
      </c>
      <c r="L564">
        <v>2</v>
      </c>
      <c r="M564" t="str">
        <f>IF(final_data787[[#This Row],[WEATHER_CODE]]=1,"clear",IF(final_data787[[#This Row],[WEATHER_CODE]]=2,"cloudy",IF(final_data787[[#This Row],[WEATHER_CODE]]=3,"light rain",IF(final_data787[[#This Row],[WEATHER_CODE]]=4,"heavy rain",0))))</f>
        <v>cloudy</v>
      </c>
      <c r="N564">
        <v>0.32</v>
      </c>
      <c r="O564">
        <v>0.34849999999999998</v>
      </c>
      <c r="P564">
        <v>0.42</v>
      </c>
      <c r="Q564">
        <v>0</v>
      </c>
      <c r="R564">
        <v>21</v>
      </c>
      <c r="S564">
        <v>63</v>
      </c>
      <c r="T564">
        <v>84</v>
      </c>
    </row>
    <row r="565" spans="1:20" x14ac:dyDescent="0.35">
      <c r="A565">
        <v>564</v>
      </c>
      <c r="B565" s="1">
        <v>40568</v>
      </c>
      <c r="C565">
        <v>1</v>
      </c>
      <c r="D565">
        <v>0</v>
      </c>
      <c r="E565">
        <v>1</v>
      </c>
      <c r="F565" t="str">
        <f>IF(final_data787[[#This Row],[MONTH_CODE]]=1,"JANUARY",IF(final_data787[[#This Row],[MONTH_CODE]]=2,"FEBRUARY"))</f>
        <v>JANUARY</v>
      </c>
      <c r="G565">
        <v>16</v>
      </c>
      <c r="H565">
        <v>0</v>
      </c>
      <c r="I565">
        <v>2</v>
      </c>
      <c r="J5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5" t="str">
        <f>IF(final_data787[[#This Row],[DAY_CODE]]=0,"weekend",IF(final_data787[[#This Row],[DAY_CODE]]=1,"weekend","weekday"))</f>
        <v>weekday</v>
      </c>
      <c r="L565">
        <v>2</v>
      </c>
      <c r="M565" t="str">
        <f>IF(final_data787[[#This Row],[WEATHER_CODE]]=1,"clear",IF(final_data787[[#This Row],[WEATHER_CODE]]=2,"cloudy",IF(final_data787[[#This Row],[WEATHER_CODE]]=3,"light rain",IF(final_data787[[#This Row],[WEATHER_CODE]]=4,"heavy rain",0))))</f>
        <v>cloudy</v>
      </c>
      <c r="N565">
        <v>0.32</v>
      </c>
      <c r="O565">
        <v>0.34849999999999998</v>
      </c>
      <c r="P565">
        <v>0.42</v>
      </c>
      <c r="Q565">
        <v>0</v>
      </c>
      <c r="R565">
        <v>14</v>
      </c>
      <c r="S565">
        <v>102</v>
      </c>
      <c r="T565">
        <v>116</v>
      </c>
    </row>
    <row r="566" spans="1:20" x14ac:dyDescent="0.35">
      <c r="A566">
        <v>565</v>
      </c>
      <c r="B566" s="1">
        <v>40568</v>
      </c>
      <c r="C566">
        <v>1</v>
      </c>
      <c r="D566">
        <v>0</v>
      </c>
      <c r="E566">
        <v>1</v>
      </c>
      <c r="F566" t="str">
        <f>IF(final_data787[[#This Row],[MONTH_CODE]]=1,"JANUARY",IF(final_data787[[#This Row],[MONTH_CODE]]=2,"FEBRUARY"))</f>
        <v>JANUARY</v>
      </c>
      <c r="G566">
        <v>17</v>
      </c>
      <c r="H566">
        <v>0</v>
      </c>
      <c r="I566">
        <v>2</v>
      </c>
      <c r="J5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6" t="str">
        <f>IF(final_data787[[#This Row],[DAY_CODE]]=0,"weekend",IF(final_data787[[#This Row],[DAY_CODE]]=1,"weekend","weekday"))</f>
        <v>weekday</v>
      </c>
      <c r="L566">
        <v>1</v>
      </c>
      <c r="M566" t="str">
        <f>IF(final_data787[[#This Row],[WEATHER_CODE]]=1,"clear",IF(final_data787[[#This Row],[WEATHER_CODE]]=2,"cloudy",IF(final_data787[[#This Row],[WEATHER_CODE]]=3,"light rain",IF(final_data787[[#This Row],[WEATHER_CODE]]=4,"heavy rain",0))))</f>
        <v>clear</v>
      </c>
      <c r="N566">
        <v>0.3</v>
      </c>
      <c r="O566">
        <v>0.33329999999999999</v>
      </c>
      <c r="P566">
        <v>0.45</v>
      </c>
      <c r="Q566">
        <v>0</v>
      </c>
      <c r="R566">
        <v>14</v>
      </c>
      <c r="S566">
        <v>208</v>
      </c>
      <c r="T566">
        <v>222</v>
      </c>
    </row>
    <row r="567" spans="1:20" x14ac:dyDescent="0.35">
      <c r="A567">
        <v>566</v>
      </c>
      <c r="B567" s="1">
        <v>40568</v>
      </c>
      <c r="C567">
        <v>1</v>
      </c>
      <c r="D567">
        <v>0</v>
      </c>
      <c r="E567">
        <v>1</v>
      </c>
      <c r="F567" t="str">
        <f>IF(final_data787[[#This Row],[MONTH_CODE]]=1,"JANUARY",IF(final_data787[[#This Row],[MONTH_CODE]]=2,"FEBRUARY"))</f>
        <v>JANUARY</v>
      </c>
      <c r="G567">
        <v>18</v>
      </c>
      <c r="H567">
        <v>0</v>
      </c>
      <c r="I567">
        <v>2</v>
      </c>
      <c r="J5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7" t="str">
        <f>IF(final_data787[[#This Row],[DAY_CODE]]=0,"weekend",IF(final_data787[[#This Row],[DAY_CODE]]=1,"weekend","weekday"))</f>
        <v>weekday</v>
      </c>
      <c r="L567">
        <v>2</v>
      </c>
      <c r="M567" t="str">
        <f>IF(final_data787[[#This Row],[WEATHER_CODE]]=1,"clear",IF(final_data787[[#This Row],[WEATHER_CODE]]=2,"cloudy",IF(final_data787[[#This Row],[WEATHER_CODE]]=3,"light rain",IF(final_data787[[#This Row],[WEATHER_CODE]]=4,"heavy rain",0))))</f>
        <v>cloudy</v>
      </c>
      <c r="N567">
        <v>0.3</v>
      </c>
      <c r="O567">
        <v>0.31819999999999998</v>
      </c>
      <c r="P567">
        <v>0.49</v>
      </c>
      <c r="Q567">
        <v>8.9599999999999999E-2</v>
      </c>
      <c r="R567">
        <v>7</v>
      </c>
      <c r="S567">
        <v>218</v>
      </c>
      <c r="T567">
        <v>225</v>
      </c>
    </row>
    <row r="568" spans="1:20" x14ac:dyDescent="0.35">
      <c r="A568">
        <v>567</v>
      </c>
      <c r="B568" s="1">
        <v>40568</v>
      </c>
      <c r="C568">
        <v>1</v>
      </c>
      <c r="D568">
        <v>0</v>
      </c>
      <c r="E568">
        <v>1</v>
      </c>
      <c r="F568" t="str">
        <f>IF(final_data787[[#This Row],[MONTH_CODE]]=1,"JANUARY",IF(final_data787[[#This Row],[MONTH_CODE]]=2,"FEBRUARY"))</f>
        <v>JANUARY</v>
      </c>
      <c r="G568">
        <v>19</v>
      </c>
      <c r="H568">
        <v>0</v>
      </c>
      <c r="I568">
        <v>2</v>
      </c>
      <c r="J5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8" t="str">
        <f>IF(final_data787[[#This Row],[DAY_CODE]]=0,"weekend",IF(final_data787[[#This Row],[DAY_CODE]]=1,"weekend","weekday"))</f>
        <v>weekday</v>
      </c>
      <c r="L568">
        <v>2</v>
      </c>
      <c r="M568" t="str">
        <f>IF(final_data787[[#This Row],[WEATHER_CODE]]=1,"clear",IF(final_data787[[#This Row],[WEATHER_CODE]]=2,"cloudy",IF(final_data787[[#This Row],[WEATHER_CODE]]=3,"light rain",IF(final_data787[[#This Row],[WEATHER_CODE]]=4,"heavy rain",0))))</f>
        <v>cloudy</v>
      </c>
      <c r="N568">
        <v>0.26</v>
      </c>
      <c r="O568">
        <v>0.2576</v>
      </c>
      <c r="P568">
        <v>0.65</v>
      </c>
      <c r="Q568">
        <v>0.16420000000000001</v>
      </c>
      <c r="R568">
        <v>13</v>
      </c>
      <c r="S568">
        <v>133</v>
      </c>
      <c r="T568">
        <v>146</v>
      </c>
    </row>
    <row r="569" spans="1:20" x14ac:dyDescent="0.35">
      <c r="A569">
        <v>568</v>
      </c>
      <c r="B569" s="1">
        <v>40568</v>
      </c>
      <c r="C569">
        <v>1</v>
      </c>
      <c r="D569">
        <v>0</v>
      </c>
      <c r="E569">
        <v>1</v>
      </c>
      <c r="F569" t="str">
        <f>IF(final_data787[[#This Row],[MONTH_CODE]]=1,"JANUARY",IF(final_data787[[#This Row],[MONTH_CODE]]=2,"FEBRUARY"))</f>
        <v>JANUARY</v>
      </c>
      <c r="G569">
        <v>20</v>
      </c>
      <c r="H569">
        <v>0</v>
      </c>
      <c r="I569">
        <v>2</v>
      </c>
      <c r="J5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69" t="str">
        <f>IF(final_data787[[#This Row],[DAY_CODE]]=0,"weekend",IF(final_data787[[#This Row],[DAY_CODE]]=1,"weekend","weekday"))</f>
        <v>weekday</v>
      </c>
      <c r="L569">
        <v>1</v>
      </c>
      <c r="M569" t="str">
        <f>IF(final_data787[[#This Row],[WEATHER_CODE]]=1,"clear",IF(final_data787[[#This Row],[WEATHER_CODE]]=2,"cloudy",IF(final_data787[[#This Row],[WEATHER_CODE]]=3,"light rain",IF(final_data787[[#This Row],[WEATHER_CODE]]=4,"heavy rain",0))))</f>
        <v>clear</v>
      </c>
      <c r="N569">
        <v>0.24</v>
      </c>
      <c r="O569">
        <v>0.2273</v>
      </c>
      <c r="P569">
        <v>0.65</v>
      </c>
      <c r="Q569">
        <v>0.19400000000000001</v>
      </c>
      <c r="R569">
        <v>16</v>
      </c>
      <c r="S569">
        <v>103</v>
      </c>
      <c r="T569">
        <v>119</v>
      </c>
    </row>
    <row r="570" spans="1:20" x14ac:dyDescent="0.35">
      <c r="A570">
        <v>569</v>
      </c>
      <c r="B570" s="1">
        <v>40568</v>
      </c>
      <c r="C570">
        <v>1</v>
      </c>
      <c r="D570">
        <v>0</v>
      </c>
      <c r="E570">
        <v>1</v>
      </c>
      <c r="F570" t="str">
        <f>IF(final_data787[[#This Row],[MONTH_CODE]]=1,"JANUARY",IF(final_data787[[#This Row],[MONTH_CODE]]=2,"FEBRUARY"))</f>
        <v>JANUARY</v>
      </c>
      <c r="G570">
        <v>21</v>
      </c>
      <c r="H570">
        <v>0</v>
      </c>
      <c r="I570">
        <v>2</v>
      </c>
      <c r="J5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70" t="str">
        <f>IF(final_data787[[#This Row],[DAY_CODE]]=0,"weekend",IF(final_data787[[#This Row],[DAY_CODE]]=1,"weekend","weekday"))</f>
        <v>weekday</v>
      </c>
      <c r="L570">
        <v>1</v>
      </c>
      <c r="M570" t="str">
        <f>IF(final_data787[[#This Row],[WEATHER_CODE]]=1,"clear",IF(final_data787[[#This Row],[WEATHER_CODE]]=2,"cloudy",IF(final_data787[[#This Row],[WEATHER_CODE]]=3,"light rain",IF(final_data787[[#This Row],[WEATHER_CODE]]=4,"heavy rain",0))))</f>
        <v>clear</v>
      </c>
      <c r="N570">
        <v>0.24</v>
      </c>
      <c r="O570">
        <v>0.2273</v>
      </c>
      <c r="P570">
        <v>0.65</v>
      </c>
      <c r="Q570">
        <v>0.19400000000000001</v>
      </c>
      <c r="R570">
        <v>5</v>
      </c>
      <c r="S570">
        <v>40</v>
      </c>
      <c r="T570">
        <v>45</v>
      </c>
    </row>
    <row r="571" spans="1:20" x14ac:dyDescent="0.35">
      <c r="A571">
        <v>570</v>
      </c>
      <c r="B571" s="1">
        <v>40568</v>
      </c>
      <c r="C571">
        <v>1</v>
      </c>
      <c r="D571">
        <v>0</v>
      </c>
      <c r="E571">
        <v>1</v>
      </c>
      <c r="F571" t="str">
        <f>IF(final_data787[[#This Row],[MONTH_CODE]]=1,"JANUARY",IF(final_data787[[#This Row],[MONTH_CODE]]=2,"FEBRUARY"))</f>
        <v>JANUARY</v>
      </c>
      <c r="G571">
        <v>22</v>
      </c>
      <c r="H571">
        <v>0</v>
      </c>
      <c r="I571">
        <v>2</v>
      </c>
      <c r="J5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71" t="str">
        <f>IF(final_data787[[#This Row],[DAY_CODE]]=0,"weekend",IF(final_data787[[#This Row],[DAY_CODE]]=1,"weekend","weekday"))</f>
        <v>weekday</v>
      </c>
      <c r="L571">
        <v>1</v>
      </c>
      <c r="M571" t="str">
        <f>IF(final_data787[[#This Row],[WEATHER_CODE]]=1,"clear",IF(final_data787[[#This Row],[WEATHER_CODE]]=2,"cloudy",IF(final_data787[[#This Row],[WEATHER_CODE]]=3,"light rain",IF(final_data787[[#This Row],[WEATHER_CODE]]=4,"heavy rain",0))))</f>
        <v>clear</v>
      </c>
      <c r="N571">
        <v>0.22</v>
      </c>
      <c r="O571">
        <v>0.2273</v>
      </c>
      <c r="P571">
        <v>0.64</v>
      </c>
      <c r="Q571">
        <v>0.16420000000000001</v>
      </c>
      <c r="R571">
        <v>4</v>
      </c>
      <c r="S571">
        <v>49</v>
      </c>
      <c r="T571">
        <v>53</v>
      </c>
    </row>
    <row r="572" spans="1:20" x14ac:dyDescent="0.35">
      <c r="A572">
        <v>571</v>
      </c>
      <c r="B572" s="1">
        <v>40568</v>
      </c>
      <c r="C572">
        <v>1</v>
      </c>
      <c r="D572">
        <v>0</v>
      </c>
      <c r="E572">
        <v>1</v>
      </c>
      <c r="F572" t="str">
        <f>IF(final_data787[[#This Row],[MONTH_CODE]]=1,"JANUARY",IF(final_data787[[#This Row],[MONTH_CODE]]=2,"FEBRUARY"))</f>
        <v>JANUARY</v>
      </c>
      <c r="G572">
        <v>23</v>
      </c>
      <c r="H572">
        <v>0</v>
      </c>
      <c r="I572">
        <v>2</v>
      </c>
      <c r="J5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572" t="str">
        <f>IF(final_data787[[#This Row],[DAY_CODE]]=0,"weekend",IF(final_data787[[#This Row],[DAY_CODE]]=1,"weekend","weekday"))</f>
        <v>weekday</v>
      </c>
      <c r="L572">
        <v>2</v>
      </c>
      <c r="M572" t="str">
        <f>IF(final_data787[[#This Row],[WEATHER_CODE]]=1,"clear",IF(final_data787[[#This Row],[WEATHER_CODE]]=2,"cloudy",IF(final_data787[[#This Row],[WEATHER_CODE]]=3,"light rain",IF(final_data787[[#This Row],[WEATHER_CODE]]=4,"heavy rain",0))))</f>
        <v>cloudy</v>
      </c>
      <c r="N572">
        <v>0.22</v>
      </c>
      <c r="O572">
        <v>0.2273</v>
      </c>
      <c r="P572">
        <v>0.64</v>
      </c>
      <c r="Q572">
        <v>0.16420000000000001</v>
      </c>
      <c r="R572">
        <v>3</v>
      </c>
      <c r="S572">
        <v>37</v>
      </c>
      <c r="T572">
        <v>40</v>
      </c>
    </row>
    <row r="573" spans="1:20" x14ac:dyDescent="0.35">
      <c r="A573">
        <v>572</v>
      </c>
      <c r="B573" s="1">
        <v>40569</v>
      </c>
      <c r="C573">
        <v>1</v>
      </c>
      <c r="D573">
        <v>0</v>
      </c>
      <c r="E573">
        <v>1</v>
      </c>
      <c r="F573" t="str">
        <f>IF(final_data787[[#This Row],[MONTH_CODE]]=1,"JANUARY",IF(final_data787[[#This Row],[MONTH_CODE]]=2,"FEBRUARY"))</f>
        <v>JANUARY</v>
      </c>
      <c r="G573">
        <v>0</v>
      </c>
      <c r="H573">
        <v>0</v>
      </c>
      <c r="I573">
        <v>3</v>
      </c>
      <c r="J5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3" t="str">
        <f>IF(final_data787[[#This Row],[DAY_CODE]]=0,"weekend",IF(final_data787[[#This Row],[DAY_CODE]]=1,"weekend","weekday"))</f>
        <v>weekday</v>
      </c>
      <c r="L573">
        <v>2</v>
      </c>
      <c r="M573" t="str">
        <f>IF(final_data787[[#This Row],[WEATHER_CODE]]=1,"clear",IF(final_data787[[#This Row],[WEATHER_CODE]]=2,"cloudy",IF(final_data787[[#This Row],[WEATHER_CODE]]=3,"light rain",IF(final_data787[[#This Row],[WEATHER_CODE]]=4,"heavy rain",0))))</f>
        <v>cloudy</v>
      </c>
      <c r="N573">
        <v>0.22</v>
      </c>
      <c r="O573">
        <v>0.2273</v>
      </c>
      <c r="P573">
        <v>0.69</v>
      </c>
      <c r="Q573">
        <v>0.1343</v>
      </c>
      <c r="R573">
        <v>3</v>
      </c>
      <c r="S573">
        <v>14</v>
      </c>
      <c r="T573">
        <v>17</v>
      </c>
    </row>
    <row r="574" spans="1:20" x14ac:dyDescent="0.35">
      <c r="A574">
        <v>573</v>
      </c>
      <c r="B574" s="1">
        <v>40569</v>
      </c>
      <c r="C574">
        <v>1</v>
      </c>
      <c r="D574">
        <v>0</v>
      </c>
      <c r="E574">
        <v>1</v>
      </c>
      <c r="F574" t="str">
        <f>IF(final_data787[[#This Row],[MONTH_CODE]]=1,"JANUARY",IF(final_data787[[#This Row],[MONTH_CODE]]=2,"FEBRUARY"))</f>
        <v>JANUARY</v>
      </c>
      <c r="G574">
        <v>1</v>
      </c>
      <c r="H574">
        <v>0</v>
      </c>
      <c r="I574">
        <v>3</v>
      </c>
      <c r="J5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4" t="str">
        <f>IF(final_data787[[#This Row],[DAY_CODE]]=0,"weekend",IF(final_data787[[#This Row],[DAY_CODE]]=1,"weekend","weekday"))</f>
        <v>weekday</v>
      </c>
      <c r="L574">
        <v>2</v>
      </c>
      <c r="M574" t="str">
        <f>IF(final_data787[[#This Row],[WEATHER_CODE]]=1,"clear",IF(final_data787[[#This Row],[WEATHER_CODE]]=2,"cloudy",IF(final_data787[[#This Row],[WEATHER_CODE]]=3,"light rain",IF(final_data787[[#This Row],[WEATHER_CODE]]=4,"heavy rain",0))))</f>
        <v>cloudy</v>
      </c>
      <c r="N574">
        <v>0.24</v>
      </c>
      <c r="O574">
        <v>0.2424</v>
      </c>
      <c r="P574">
        <v>0.65</v>
      </c>
      <c r="Q574">
        <v>0.1343</v>
      </c>
      <c r="R574">
        <v>0</v>
      </c>
      <c r="S574">
        <v>5</v>
      </c>
      <c r="T574">
        <v>5</v>
      </c>
    </row>
    <row r="575" spans="1:20" x14ac:dyDescent="0.35">
      <c r="A575">
        <v>574</v>
      </c>
      <c r="B575" s="1">
        <v>40569</v>
      </c>
      <c r="C575">
        <v>1</v>
      </c>
      <c r="D575">
        <v>0</v>
      </c>
      <c r="E575">
        <v>1</v>
      </c>
      <c r="F575" t="str">
        <f>IF(final_data787[[#This Row],[MONTH_CODE]]=1,"JANUARY",IF(final_data787[[#This Row],[MONTH_CODE]]=2,"FEBRUARY"))</f>
        <v>JANUARY</v>
      </c>
      <c r="G575">
        <v>2</v>
      </c>
      <c r="H575">
        <v>0</v>
      </c>
      <c r="I575">
        <v>3</v>
      </c>
      <c r="J5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5" t="str">
        <f>IF(final_data787[[#This Row],[DAY_CODE]]=0,"weekend",IF(final_data787[[#This Row],[DAY_CODE]]=1,"weekend","weekday"))</f>
        <v>weekday</v>
      </c>
      <c r="L575">
        <v>3</v>
      </c>
      <c r="M575" t="str">
        <f>IF(final_data787[[#This Row],[WEATHER_CODE]]=1,"clear",IF(final_data787[[#This Row],[WEATHER_CODE]]=2,"cloudy",IF(final_data787[[#This Row],[WEATHER_CODE]]=3,"light rain",IF(final_data787[[#This Row],[WEATHER_CODE]]=4,"heavy rain",0))))</f>
        <v>light rain</v>
      </c>
      <c r="N575">
        <v>0.22</v>
      </c>
      <c r="O575">
        <v>0.2273</v>
      </c>
      <c r="P575">
        <v>0.69</v>
      </c>
      <c r="Q575">
        <v>0.19400000000000001</v>
      </c>
      <c r="R575">
        <v>3</v>
      </c>
      <c r="S575">
        <v>7</v>
      </c>
      <c r="T575">
        <v>10</v>
      </c>
    </row>
    <row r="576" spans="1:20" x14ac:dyDescent="0.35">
      <c r="A576">
        <v>575</v>
      </c>
      <c r="B576" s="1">
        <v>40569</v>
      </c>
      <c r="C576">
        <v>1</v>
      </c>
      <c r="D576">
        <v>0</v>
      </c>
      <c r="E576">
        <v>1</v>
      </c>
      <c r="F576" t="str">
        <f>IF(final_data787[[#This Row],[MONTH_CODE]]=1,"JANUARY",IF(final_data787[[#This Row],[MONTH_CODE]]=2,"FEBRUARY"))</f>
        <v>JANUARY</v>
      </c>
      <c r="G576">
        <v>5</v>
      </c>
      <c r="H576">
        <v>0</v>
      </c>
      <c r="I576">
        <v>3</v>
      </c>
      <c r="J5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6" t="str">
        <f>IF(final_data787[[#This Row],[DAY_CODE]]=0,"weekend",IF(final_data787[[#This Row],[DAY_CODE]]=1,"weekend","weekday"))</f>
        <v>weekday</v>
      </c>
      <c r="L576">
        <v>3</v>
      </c>
      <c r="M576" t="str">
        <f>IF(final_data787[[#This Row],[WEATHER_CODE]]=1,"clear",IF(final_data787[[#This Row],[WEATHER_CODE]]=2,"cloudy",IF(final_data787[[#This Row],[WEATHER_CODE]]=3,"light rain",IF(final_data787[[#This Row],[WEATHER_CODE]]=4,"heavy rain",0))))</f>
        <v>light rain</v>
      </c>
      <c r="N576">
        <v>0.2</v>
      </c>
      <c r="O576">
        <v>0.18179999999999999</v>
      </c>
      <c r="P576">
        <v>0.86</v>
      </c>
      <c r="Q576">
        <v>0.28360000000000002</v>
      </c>
      <c r="R576">
        <v>0</v>
      </c>
      <c r="S576">
        <v>1</v>
      </c>
      <c r="T576">
        <v>1</v>
      </c>
    </row>
    <row r="577" spans="1:20" x14ac:dyDescent="0.35">
      <c r="A577">
        <v>576</v>
      </c>
      <c r="B577" s="1">
        <v>40569</v>
      </c>
      <c r="C577">
        <v>1</v>
      </c>
      <c r="D577">
        <v>0</v>
      </c>
      <c r="E577">
        <v>1</v>
      </c>
      <c r="F577" t="str">
        <f>IF(final_data787[[#This Row],[MONTH_CODE]]=1,"JANUARY",IF(final_data787[[#This Row],[MONTH_CODE]]=2,"FEBRUARY"))</f>
        <v>JANUARY</v>
      </c>
      <c r="G577">
        <v>6</v>
      </c>
      <c r="H577">
        <v>0</v>
      </c>
      <c r="I577">
        <v>3</v>
      </c>
      <c r="J5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7" t="str">
        <f>IF(final_data787[[#This Row],[DAY_CODE]]=0,"weekend",IF(final_data787[[#This Row],[DAY_CODE]]=1,"weekend","weekday"))</f>
        <v>weekday</v>
      </c>
      <c r="L577">
        <v>3</v>
      </c>
      <c r="M577" t="str">
        <f>IF(final_data787[[#This Row],[WEATHER_CODE]]=1,"clear",IF(final_data787[[#This Row],[WEATHER_CODE]]=2,"cloudy",IF(final_data787[[#This Row],[WEATHER_CODE]]=3,"light rain",IF(final_data787[[#This Row],[WEATHER_CODE]]=4,"heavy rain",0))))</f>
        <v>light rain</v>
      </c>
      <c r="N577">
        <v>0.2</v>
      </c>
      <c r="O577">
        <v>0.18179999999999999</v>
      </c>
      <c r="P577">
        <v>0.86</v>
      </c>
      <c r="Q577">
        <v>0.28360000000000002</v>
      </c>
      <c r="R577">
        <v>0</v>
      </c>
      <c r="S577">
        <v>8</v>
      </c>
      <c r="T577">
        <v>8</v>
      </c>
    </row>
    <row r="578" spans="1:20" x14ac:dyDescent="0.35">
      <c r="A578">
        <v>577</v>
      </c>
      <c r="B578" s="1">
        <v>40569</v>
      </c>
      <c r="C578">
        <v>1</v>
      </c>
      <c r="D578">
        <v>0</v>
      </c>
      <c r="E578">
        <v>1</v>
      </c>
      <c r="F578" t="str">
        <f>IF(final_data787[[#This Row],[MONTH_CODE]]=1,"JANUARY",IF(final_data787[[#This Row],[MONTH_CODE]]=2,"FEBRUARY"))</f>
        <v>JANUARY</v>
      </c>
      <c r="G578">
        <v>7</v>
      </c>
      <c r="H578">
        <v>0</v>
      </c>
      <c r="I578">
        <v>3</v>
      </c>
      <c r="J5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8" t="str">
        <f>IF(final_data787[[#This Row],[DAY_CODE]]=0,"weekend",IF(final_data787[[#This Row],[DAY_CODE]]=1,"weekend","weekday"))</f>
        <v>weekday</v>
      </c>
      <c r="L578">
        <v>3</v>
      </c>
      <c r="M578" t="str">
        <f>IF(final_data787[[#This Row],[WEATHER_CODE]]=1,"clear",IF(final_data787[[#This Row],[WEATHER_CODE]]=2,"cloudy",IF(final_data787[[#This Row],[WEATHER_CODE]]=3,"light rain",IF(final_data787[[#This Row],[WEATHER_CODE]]=4,"heavy rain",0))))</f>
        <v>light rain</v>
      </c>
      <c r="N578">
        <v>0.22</v>
      </c>
      <c r="O578">
        <v>0.21210000000000001</v>
      </c>
      <c r="P578">
        <v>0.87</v>
      </c>
      <c r="Q578">
        <v>0.29849999999999999</v>
      </c>
      <c r="R578">
        <v>1</v>
      </c>
      <c r="S578">
        <v>29</v>
      </c>
      <c r="T578">
        <v>30</v>
      </c>
    </row>
    <row r="579" spans="1:20" x14ac:dyDescent="0.35">
      <c r="A579">
        <v>578</v>
      </c>
      <c r="B579" s="1">
        <v>40569</v>
      </c>
      <c r="C579">
        <v>1</v>
      </c>
      <c r="D579">
        <v>0</v>
      </c>
      <c r="E579">
        <v>1</v>
      </c>
      <c r="F579" t="str">
        <f>IF(final_data787[[#This Row],[MONTH_CODE]]=1,"JANUARY",IF(final_data787[[#This Row],[MONTH_CODE]]=2,"FEBRUARY"))</f>
        <v>JANUARY</v>
      </c>
      <c r="G579">
        <v>8</v>
      </c>
      <c r="H579">
        <v>0</v>
      </c>
      <c r="I579">
        <v>3</v>
      </c>
      <c r="J5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79" t="str">
        <f>IF(final_data787[[#This Row],[DAY_CODE]]=0,"weekend",IF(final_data787[[#This Row],[DAY_CODE]]=1,"weekend","weekday"))</f>
        <v>weekday</v>
      </c>
      <c r="L579">
        <v>3</v>
      </c>
      <c r="M579" t="str">
        <f>IF(final_data787[[#This Row],[WEATHER_CODE]]=1,"clear",IF(final_data787[[#This Row],[WEATHER_CODE]]=2,"cloudy",IF(final_data787[[#This Row],[WEATHER_CODE]]=3,"light rain",IF(final_data787[[#This Row],[WEATHER_CODE]]=4,"heavy rain",0))))</f>
        <v>light rain</v>
      </c>
      <c r="N579">
        <v>0.22</v>
      </c>
      <c r="O579">
        <v>0.21210000000000001</v>
      </c>
      <c r="P579">
        <v>0.87</v>
      </c>
      <c r="Q579">
        <v>0.29849999999999999</v>
      </c>
      <c r="R579">
        <v>3</v>
      </c>
      <c r="S579">
        <v>69</v>
      </c>
      <c r="T579">
        <v>72</v>
      </c>
    </row>
    <row r="580" spans="1:20" x14ac:dyDescent="0.35">
      <c r="A580">
        <v>579</v>
      </c>
      <c r="B580" s="1">
        <v>40569</v>
      </c>
      <c r="C580">
        <v>1</v>
      </c>
      <c r="D580">
        <v>0</v>
      </c>
      <c r="E580">
        <v>1</v>
      </c>
      <c r="F580" t="str">
        <f>IF(final_data787[[#This Row],[MONTH_CODE]]=1,"JANUARY",IF(final_data787[[#This Row],[MONTH_CODE]]=2,"FEBRUARY"))</f>
        <v>JANUARY</v>
      </c>
      <c r="G580">
        <v>9</v>
      </c>
      <c r="H580">
        <v>0</v>
      </c>
      <c r="I580">
        <v>3</v>
      </c>
      <c r="J5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0" t="str">
        <f>IF(final_data787[[#This Row],[DAY_CODE]]=0,"weekend",IF(final_data787[[#This Row],[DAY_CODE]]=1,"weekend","weekday"))</f>
        <v>weekday</v>
      </c>
      <c r="L580">
        <v>3</v>
      </c>
      <c r="M580" t="str">
        <f>IF(final_data787[[#This Row],[WEATHER_CODE]]=1,"clear",IF(final_data787[[#This Row],[WEATHER_CODE]]=2,"cloudy",IF(final_data787[[#This Row],[WEATHER_CODE]]=3,"light rain",IF(final_data787[[#This Row],[WEATHER_CODE]]=4,"heavy rain",0))))</f>
        <v>light rain</v>
      </c>
      <c r="N580">
        <v>0.22</v>
      </c>
      <c r="O580">
        <v>0.21210000000000001</v>
      </c>
      <c r="P580">
        <v>0.87</v>
      </c>
      <c r="Q580">
        <v>0.29849999999999999</v>
      </c>
      <c r="R580">
        <v>3</v>
      </c>
      <c r="S580">
        <v>55</v>
      </c>
      <c r="T580">
        <v>58</v>
      </c>
    </row>
    <row r="581" spans="1:20" x14ac:dyDescent="0.35">
      <c r="A581">
        <v>580</v>
      </c>
      <c r="B581" s="1">
        <v>40569</v>
      </c>
      <c r="C581">
        <v>1</v>
      </c>
      <c r="D581">
        <v>0</v>
      </c>
      <c r="E581">
        <v>1</v>
      </c>
      <c r="F581" t="str">
        <f>IF(final_data787[[#This Row],[MONTH_CODE]]=1,"JANUARY",IF(final_data787[[#This Row],[MONTH_CODE]]=2,"FEBRUARY"))</f>
        <v>JANUARY</v>
      </c>
      <c r="G581">
        <v>10</v>
      </c>
      <c r="H581">
        <v>0</v>
      </c>
      <c r="I581">
        <v>3</v>
      </c>
      <c r="J5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1" t="str">
        <f>IF(final_data787[[#This Row],[DAY_CODE]]=0,"weekend",IF(final_data787[[#This Row],[DAY_CODE]]=1,"weekend","weekday"))</f>
        <v>weekday</v>
      </c>
      <c r="L581">
        <v>3</v>
      </c>
      <c r="M581" t="str">
        <f>IF(final_data787[[#This Row],[WEATHER_CODE]]=1,"clear",IF(final_data787[[#This Row],[WEATHER_CODE]]=2,"cloudy",IF(final_data787[[#This Row],[WEATHER_CODE]]=3,"light rain",IF(final_data787[[#This Row],[WEATHER_CODE]]=4,"heavy rain",0))))</f>
        <v>light rain</v>
      </c>
      <c r="N581">
        <v>0.22</v>
      </c>
      <c r="O581">
        <v>0.21210000000000001</v>
      </c>
      <c r="P581">
        <v>0.93</v>
      </c>
      <c r="Q581">
        <v>0.28360000000000002</v>
      </c>
      <c r="R581">
        <v>2</v>
      </c>
      <c r="S581">
        <v>26</v>
      </c>
      <c r="T581">
        <v>28</v>
      </c>
    </row>
    <row r="582" spans="1:20" x14ac:dyDescent="0.35">
      <c r="A582">
        <v>581</v>
      </c>
      <c r="B582" s="1">
        <v>40569</v>
      </c>
      <c r="C582">
        <v>1</v>
      </c>
      <c r="D582">
        <v>0</v>
      </c>
      <c r="E582">
        <v>1</v>
      </c>
      <c r="F582" t="str">
        <f>IF(final_data787[[#This Row],[MONTH_CODE]]=1,"JANUARY",IF(final_data787[[#This Row],[MONTH_CODE]]=2,"FEBRUARY"))</f>
        <v>JANUARY</v>
      </c>
      <c r="G582">
        <v>11</v>
      </c>
      <c r="H582">
        <v>0</v>
      </c>
      <c r="I582">
        <v>3</v>
      </c>
      <c r="J5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2" t="str">
        <f>IF(final_data787[[#This Row],[DAY_CODE]]=0,"weekend",IF(final_data787[[#This Row],[DAY_CODE]]=1,"weekend","weekday"))</f>
        <v>weekday</v>
      </c>
      <c r="L582">
        <v>3</v>
      </c>
      <c r="M582" t="str">
        <f>IF(final_data787[[#This Row],[WEATHER_CODE]]=1,"clear",IF(final_data787[[#This Row],[WEATHER_CODE]]=2,"cloudy",IF(final_data787[[#This Row],[WEATHER_CODE]]=3,"light rain",IF(final_data787[[#This Row],[WEATHER_CODE]]=4,"heavy rain",0))))</f>
        <v>light rain</v>
      </c>
      <c r="N582">
        <v>0.22</v>
      </c>
      <c r="O582">
        <v>0.19700000000000001</v>
      </c>
      <c r="P582">
        <v>0.93</v>
      </c>
      <c r="Q582">
        <v>0.32840000000000003</v>
      </c>
      <c r="R582">
        <v>6</v>
      </c>
      <c r="S582">
        <v>35</v>
      </c>
      <c r="T582">
        <v>41</v>
      </c>
    </row>
    <row r="583" spans="1:20" x14ac:dyDescent="0.35">
      <c r="A583">
        <v>582</v>
      </c>
      <c r="B583" s="1">
        <v>40569</v>
      </c>
      <c r="C583">
        <v>1</v>
      </c>
      <c r="D583">
        <v>0</v>
      </c>
      <c r="E583">
        <v>1</v>
      </c>
      <c r="F583" t="str">
        <f>IF(final_data787[[#This Row],[MONTH_CODE]]=1,"JANUARY",IF(final_data787[[#This Row],[MONTH_CODE]]=2,"FEBRUARY"))</f>
        <v>JANUARY</v>
      </c>
      <c r="G583">
        <v>12</v>
      </c>
      <c r="H583">
        <v>0</v>
      </c>
      <c r="I583">
        <v>3</v>
      </c>
      <c r="J5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3" t="str">
        <f>IF(final_data787[[#This Row],[DAY_CODE]]=0,"weekend",IF(final_data787[[#This Row],[DAY_CODE]]=1,"weekend","weekday"))</f>
        <v>weekday</v>
      </c>
      <c r="L583">
        <v>3</v>
      </c>
      <c r="M583" t="str">
        <f>IF(final_data787[[#This Row],[WEATHER_CODE]]=1,"clear",IF(final_data787[[#This Row],[WEATHER_CODE]]=2,"cloudy",IF(final_data787[[#This Row],[WEATHER_CODE]]=3,"light rain",IF(final_data787[[#This Row],[WEATHER_CODE]]=4,"heavy rain",0))))</f>
        <v>light rain</v>
      </c>
      <c r="N583">
        <v>0.22</v>
      </c>
      <c r="O583">
        <v>0.19700000000000001</v>
      </c>
      <c r="P583">
        <v>0.93</v>
      </c>
      <c r="Q583">
        <v>0.32840000000000003</v>
      </c>
      <c r="R583">
        <v>7</v>
      </c>
      <c r="S583">
        <v>41</v>
      </c>
      <c r="T583">
        <v>48</v>
      </c>
    </row>
    <row r="584" spans="1:20" x14ac:dyDescent="0.35">
      <c r="A584">
        <v>583</v>
      </c>
      <c r="B584" s="1">
        <v>40569</v>
      </c>
      <c r="C584">
        <v>1</v>
      </c>
      <c r="D584">
        <v>0</v>
      </c>
      <c r="E584">
        <v>1</v>
      </c>
      <c r="F584" t="str">
        <f>IF(final_data787[[#This Row],[MONTH_CODE]]=1,"JANUARY",IF(final_data787[[#This Row],[MONTH_CODE]]=2,"FEBRUARY"))</f>
        <v>JANUARY</v>
      </c>
      <c r="G584">
        <v>13</v>
      </c>
      <c r="H584">
        <v>0</v>
      </c>
      <c r="I584">
        <v>3</v>
      </c>
      <c r="J5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4" t="str">
        <f>IF(final_data787[[#This Row],[DAY_CODE]]=0,"weekend",IF(final_data787[[#This Row],[DAY_CODE]]=1,"weekend","weekday"))</f>
        <v>weekday</v>
      </c>
      <c r="L584">
        <v>3</v>
      </c>
      <c r="M584" t="str">
        <f>IF(final_data787[[#This Row],[WEATHER_CODE]]=1,"clear",IF(final_data787[[#This Row],[WEATHER_CODE]]=2,"cloudy",IF(final_data787[[#This Row],[WEATHER_CODE]]=3,"light rain",IF(final_data787[[#This Row],[WEATHER_CODE]]=4,"heavy rain",0))))</f>
        <v>light rain</v>
      </c>
      <c r="N584">
        <v>0.22</v>
      </c>
      <c r="O584">
        <v>0.19700000000000001</v>
      </c>
      <c r="P584">
        <v>0.93</v>
      </c>
      <c r="Q584">
        <v>0.32840000000000003</v>
      </c>
      <c r="R584">
        <v>4</v>
      </c>
      <c r="S584">
        <v>43</v>
      </c>
      <c r="T584">
        <v>47</v>
      </c>
    </row>
    <row r="585" spans="1:20" x14ac:dyDescent="0.35">
      <c r="A585">
        <v>584</v>
      </c>
      <c r="B585" s="1">
        <v>40569</v>
      </c>
      <c r="C585">
        <v>1</v>
      </c>
      <c r="D585">
        <v>0</v>
      </c>
      <c r="E585">
        <v>1</v>
      </c>
      <c r="F585" t="str">
        <f>IF(final_data787[[#This Row],[MONTH_CODE]]=1,"JANUARY",IF(final_data787[[#This Row],[MONTH_CODE]]=2,"FEBRUARY"))</f>
        <v>JANUARY</v>
      </c>
      <c r="G585">
        <v>14</v>
      </c>
      <c r="H585">
        <v>0</v>
      </c>
      <c r="I585">
        <v>3</v>
      </c>
      <c r="J5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5" t="str">
        <f>IF(final_data787[[#This Row],[DAY_CODE]]=0,"weekend",IF(final_data787[[#This Row],[DAY_CODE]]=1,"weekend","weekday"))</f>
        <v>weekday</v>
      </c>
      <c r="L585">
        <v>3</v>
      </c>
      <c r="M585" t="str">
        <f>IF(final_data787[[#This Row],[WEATHER_CODE]]=1,"clear",IF(final_data787[[#This Row],[WEATHER_CODE]]=2,"cloudy",IF(final_data787[[#This Row],[WEATHER_CODE]]=3,"light rain",IF(final_data787[[#This Row],[WEATHER_CODE]]=4,"heavy rain",0))))</f>
        <v>light rain</v>
      </c>
      <c r="N585">
        <v>0.22</v>
      </c>
      <c r="O585">
        <v>0.19700000000000001</v>
      </c>
      <c r="P585">
        <v>0.93</v>
      </c>
      <c r="Q585">
        <v>0.35820000000000002</v>
      </c>
      <c r="R585">
        <v>0</v>
      </c>
      <c r="S585">
        <v>36</v>
      </c>
      <c r="T585">
        <v>36</v>
      </c>
    </row>
    <row r="586" spans="1:20" x14ac:dyDescent="0.35">
      <c r="A586">
        <v>585</v>
      </c>
      <c r="B586" s="1">
        <v>40569</v>
      </c>
      <c r="C586">
        <v>1</v>
      </c>
      <c r="D586">
        <v>0</v>
      </c>
      <c r="E586">
        <v>1</v>
      </c>
      <c r="F586" t="str">
        <f>IF(final_data787[[#This Row],[MONTH_CODE]]=1,"JANUARY",IF(final_data787[[#This Row],[MONTH_CODE]]=2,"FEBRUARY"))</f>
        <v>JANUARY</v>
      </c>
      <c r="G586">
        <v>15</v>
      </c>
      <c r="H586">
        <v>0</v>
      </c>
      <c r="I586">
        <v>3</v>
      </c>
      <c r="J5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6" t="str">
        <f>IF(final_data787[[#This Row],[DAY_CODE]]=0,"weekend",IF(final_data787[[#This Row],[DAY_CODE]]=1,"weekend","weekday"))</f>
        <v>weekday</v>
      </c>
      <c r="L586">
        <v>3</v>
      </c>
      <c r="M586" t="str">
        <f>IF(final_data787[[#This Row],[WEATHER_CODE]]=1,"clear",IF(final_data787[[#This Row],[WEATHER_CODE]]=2,"cloudy",IF(final_data787[[#This Row],[WEATHER_CODE]]=3,"light rain",IF(final_data787[[#This Row],[WEATHER_CODE]]=4,"heavy rain",0))))</f>
        <v>light rain</v>
      </c>
      <c r="N586">
        <v>0.22</v>
      </c>
      <c r="O586">
        <v>0.18179999999999999</v>
      </c>
      <c r="P586">
        <v>0.93</v>
      </c>
      <c r="Q586">
        <v>0.4627</v>
      </c>
      <c r="R586">
        <v>1</v>
      </c>
      <c r="S586">
        <v>42</v>
      </c>
      <c r="T586">
        <v>43</v>
      </c>
    </row>
    <row r="587" spans="1:20" x14ac:dyDescent="0.35">
      <c r="A587">
        <v>586</v>
      </c>
      <c r="B587" s="1">
        <v>40569</v>
      </c>
      <c r="C587">
        <v>1</v>
      </c>
      <c r="D587">
        <v>0</v>
      </c>
      <c r="E587">
        <v>1</v>
      </c>
      <c r="F587" t="str">
        <f>IF(final_data787[[#This Row],[MONTH_CODE]]=1,"JANUARY",IF(final_data787[[#This Row],[MONTH_CODE]]=2,"FEBRUARY"))</f>
        <v>JANUARY</v>
      </c>
      <c r="G587">
        <v>16</v>
      </c>
      <c r="H587">
        <v>0</v>
      </c>
      <c r="I587">
        <v>3</v>
      </c>
      <c r="J5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7" t="str">
        <f>IF(final_data787[[#This Row],[DAY_CODE]]=0,"weekend",IF(final_data787[[#This Row],[DAY_CODE]]=1,"weekend","weekday"))</f>
        <v>weekday</v>
      </c>
      <c r="L587">
        <v>4</v>
      </c>
      <c r="M587" t="str">
        <f>IF(final_data787[[#This Row],[WEATHER_CODE]]=1,"clear",IF(final_data787[[#This Row],[WEATHER_CODE]]=2,"cloudy",IF(final_data787[[#This Row],[WEATHER_CODE]]=3,"light rain",IF(final_data787[[#This Row],[WEATHER_CODE]]=4,"heavy rain",0))))</f>
        <v>heavy rain</v>
      </c>
      <c r="N587">
        <v>0.22</v>
      </c>
      <c r="O587">
        <v>0.19700000000000001</v>
      </c>
      <c r="P587">
        <v>0.93</v>
      </c>
      <c r="Q587">
        <v>0.32840000000000003</v>
      </c>
      <c r="R587">
        <v>1</v>
      </c>
      <c r="S587">
        <v>35</v>
      </c>
      <c r="T587">
        <v>36</v>
      </c>
    </row>
    <row r="588" spans="1:20" x14ac:dyDescent="0.35">
      <c r="A588">
        <v>587</v>
      </c>
      <c r="B588" s="1">
        <v>40569</v>
      </c>
      <c r="C588">
        <v>1</v>
      </c>
      <c r="D588">
        <v>0</v>
      </c>
      <c r="E588">
        <v>1</v>
      </c>
      <c r="F588" t="str">
        <f>IF(final_data787[[#This Row],[MONTH_CODE]]=1,"JANUARY",IF(final_data787[[#This Row],[MONTH_CODE]]=2,"FEBRUARY"))</f>
        <v>JANUARY</v>
      </c>
      <c r="G588">
        <v>17</v>
      </c>
      <c r="H588">
        <v>0</v>
      </c>
      <c r="I588">
        <v>3</v>
      </c>
      <c r="J5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588" t="str">
        <f>IF(final_data787[[#This Row],[DAY_CODE]]=0,"weekend",IF(final_data787[[#This Row],[DAY_CODE]]=1,"weekend","weekday"))</f>
        <v>weekday</v>
      </c>
      <c r="L588">
        <v>3</v>
      </c>
      <c r="M588" t="str">
        <f>IF(final_data787[[#This Row],[WEATHER_CODE]]=1,"clear",IF(final_data787[[#This Row],[WEATHER_CODE]]=2,"cloudy",IF(final_data787[[#This Row],[WEATHER_CODE]]=3,"light rain",IF(final_data787[[#This Row],[WEATHER_CODE]]=4,"heavy rain",0))))</f>
        <v>light rain</v>
      </c>
      <c r="N588">
        <v>0.2</v>
      </c>
      <c r="O588">
        <v>0.18179999999999999</v>
      </c>
      <c r="P588">
        <v>0.93</v>
      </c>
      <c r="Q588">
        <v>0.35820000000000002</v>
      </c>
      <c r="R588">
        <v>0</v>
      </c>
      <c r="S588">
        <v>26</v>
      </c>
      <c r="T588">
        <v>26</v>
      </c>
    </row>
    <row r="589" spans="1:20" x14ac:dyDescent="0.35">
      <c r="A589">
        <v>588</v>
      </c>
      <c r="B589" s="1">
        <v>40570</v>
      </c>
      <c r="C589">
        <v>1</v>
      </c>
      <c r="D589">
        <v>0</v>
      </c>
      <c r="E589">
        <v>1</v>
      </c>
      <c r="F589" t="str">
        <f>IF(final_data787[[#This Row],[MONTH_CODE]]=1,"JANUARY",IF(final_data787[[#This Row],[MONTH_CODE]]=2,"FEBRUARY"))</f>
        <v>JANUARY</v>
      </c>
      <c r="G589">
        <v>16</v>
      </c>
      <c r="H589">
        <v>0</v>
      </c>
      <c r="I589">
        <v>4</v>
      </c>
      <c r="J5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89" t="str">
        <f>IF(final_data787[[#This Row],[DAY_CODE]]=0,"weekend",IF(final_data787[[#This Row],[DAY_CODE]]=1,"weekend","weekday"))</f>
        <v>weekday</v>
      </c>
      <c r="L589">
        <v>1</v>
      </c>
      <c r="M589" t="str">
        <f>IF(final_data787[[#This Row],[WEATHER_CODE]]=1,"clear",IF(final_data787[[#This Row],[WEATHER_CODE]]=2,"cloudy",IF(final_data787[[#This Row],[WEATHER_CODE]]=3,"light rain",IF(final_data787[[#This Row],[WEATHER_CODE]]=4,"heavy rain",0))))</f>
        <v>clear</v>
      </c>
      <c r="N589">
        <v>0.22</v>
      </c>
      <c r="O589">
        <v>0.2273</v>
      </c>
      <c r="P589">
        <v>0.55000000000000004</v>
      </c>
      <c r="Q589">
        <v>0.19400000000000001</v>
      </c>
      <c r="R589">
        <v>1</v>
      </c>
      <c r="S589">
        <v>23</v>
      </c>
      <c r="T589">
        <v>24</v>
      </c>
    </row>
    <row r="590" spans="1:20" x14ac:dyDescent="0.35">
      <c r="A590">
        <v>589</v>
      </c>
      <c r="B590" s="1">
        <v>40570</v>
      </c>
      <c r="C590">
        <v>1</v>
      </c>
      <c r="D590">
        <v>0</v>
      </c>
      <c r="E590">
        <v>1</v>
      </c>
      <c r="F590" t="str">
        <f>IF(final_data787[[#This Row],[MONTH_CODE]]=1,"JANUARY",IF(final_data787[[#This Row],[MONTH_CODE]]=2,"FEBRUARY"))</f>
        <v>JANUARY</v>
      </c>
      <c r="G590">
        <v>17</v>
      </c>
      <c r="H590">
        <v>0</v>
      </c>
      <c r="I590">
        <v>4</v>
      </c>
      <c r="J5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0" t="str">
        <f>IF(final_data787[[#This Row],[DAY_CODE]]=0,"weekend",IF(final_data787[[#This Row],[DAY_CODE]]=1,"weekend","weekday"))</f>
        <v>weekday</v>
      </c>
      <c r="L590">
        <v>1</v>
      </c>
      <c r="M590" t="str">
        <f>IF(final_data787[[#This Row],[WEATHER_CODE]]=1,"clear",IF(final_data787[[#This Row],[WEATHER_CODE]]=2,"cloudy",IF(final_data787[[#This Row],[WEATHER_CODE]]=3,"light rain",IF(final_data787[[#This Row],[WEATHER_CODE]]=4,"heavy rain",0))))</f>
        <v>clear</v>
      </c>
      <c r="N590">
        <v>0.22</v>
      </c>
      <c r="O590">
        <v>0.2424</v>
      </c>
      <c r="P590">
        <v>0.55000000000000004</v>
      </c>
      <c r="Q590">
        <v>0.1045</v>
      </c>
      <c r="R590">
        <v>2</v>
      </c>
      <c r="S590">
        <v>82</v>
      </c>
      <c r="T590">
        <v>84</v>
      </c>
    </row>
    <row r="591" spans="1:20" x14ac:dyDescent="0.35">
      <c r="A591">
        <v>590</v>
      </c>
      <c r="B591" s="1">
        <v>40570</v>
      </c>
      <c r="C591">
        <v>1</v>
      </c>
      <c r="D591">
        <v>0</v>
      </c>
      <c r="E591">
        <v>1</v>
      </c>
      <c r="F591" t="str">
        <f>IF(final_data787[[#This Row],[MONTH_CODE]]=1,"JANUARY",IF(final_data787[[#This Row],[MONTH_CODE]]=2,"FEBRUARY"))</f>
        <v>JANUARY</v>
      </c>
      <c r="G591">
        <v>18</v>
      </c>
      <c r="H591">
        <v>0</v>
      </c>
      <c r="I591">
        <v>4</v>
      </c>
      <c r="J5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1" t="str">
        <f>IF(final_data787[[#This Row],[DAY_CODE]]=0,"weekend",IF(final_data787[[#This Row],[DAY_CODE]]=1,"weekend","weekday"))</f>
        <v>weekday</v>
      </c>
      <c r="L591">
        <v>1</v>
      </c>
      <c r="M591" t="str">
        <f>IF(final_data787[[#This Row],[WEATHER_CODE]]=1,"clear",IF(final_data787[[#This Row],[WEATHER_CODE]]=2,"cloudy",IF(final_data787[[#This Row],[WEATHER_CODE]]=3,"light rain",IF(final_data787[[#This Row],[WEATHER_CODE]]=4,"heavy rain",0))))</f>
        <v>clear</v>
      </c>
      <c r="N591">
        <v>0.2</v>
      </c>
      <c r="O591">
        <v>0.2273</v>
      </c>
      <c r="P591">
        <v>0.69</v>
      </c>
      <c r="Q591">
        <v>8.9599999999999999E-2</v>
      </c>
      <c r="R591">
        <v>3</v>
      </c>
      <c r="S591">
        <v>101</v>
      </c>
      <c r="T591">
        <v>104</v>
      </c>
    </row>
    <row r="592" spans="1:20" x14ac:dyDescent="0.35">
      <c r="A592">
        <v>591</v>
      </c>
      <c r="B592" s="1">
        <v>40570</v>
      </c>
      <c r="C592">
        <v>1</v>
      </c>
      <c r="D592">
        <v>0</v>
      </c>
      <c r="E592">
        <v>1</v>
      </c>
      <c r="F592" t="str">
        <f>IF(final_data787[[#This Row],[MONTH_CODE]]=1,"JANUARY",IF(final_data787[[#This Row],[MONTH_CODE]]=2,"FEBRUARY"))</f>
        <v>JANUARY</v>
      </c>
      <c r="G592">
        <v>19</v>
      </c>
      <c r="H592">
        <v>0</v>
      </c>
      <c r="I592">
        <v>4</v>
      </c>
      <c r="J5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2" t="str">
        <f>IF(final_data787[[#This Row],[DAY_CODE]]=0,"weekend",IF(final_data787[[#This Row],[DAY_CODE]]=1,"weekend","weekday"))</f>
        <v>weekday</v>
      </c>
      <c r="L592">
        <v>1</v>
      </c>
      <c r="M592" t="str">
        <f>IF(final_data787[[#This Row],[WEATHER_CODE]]=1,"clear",IF(final_data787[[#This Row],[WEATHER_CODE]]=2,"cloudy",IF(final_data787[[#This Row],[WEATHER_CODE]]=3,"light rain",IF(final_data787[[#This Row],[WEATHER_CODE]]=4,"heavy rain",0))))</f>
        <v>clear</v>
      </c>
      <c r="N592">
        <v>0.2</v>
      </c>
      <c r="O592">
        <v>0.2273</v>
      </c>
      <c r="P592">
        <v>0.69</v>
      </c>
      <c r="Q592">
        <v>8.9599999999999999E-2</v>
      </c>
      <c r="R592">
        <v>3</v>
      </c>
      <c r="S592">
        <v>76</v>
      </c>
      <c r="T592">
        <v>79</v>
      </c>
    </row>
    <row r="593" spans="1:20" x14ac:dyDescent="0.35">
      <c r="A593">
        <v>592</v>
      </c>
      <c r="B593" s="1">
        <v>40570</v>
      </c>
      <c r="C593">
        <v>1</v>
      </c>
      <c r="D593">
        <v>0</v>
      </c>
      <c r="E593">
        <v>1</v>
      </c>
      <c r="F593" t="str">
        <f>IF(final_data787[[#This Row],[MONTH_CODE]]=1,"JANUARY",IF(final_data787[[#This Row],[MONTH_CODE]]=2,"FEBRUARY"))</f>
        <v>JANUARY</v>
      </c>
      <c r="G593">
        <v>20</v>
      </c>
      <c r="H593">
        <v>0</v>
      </c>
      <c r="I593">
        <v>4</v>
      </c>
      <c r="J5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3" t="str">
        <f>IF(final_data787[[#This Row],[DAY_CODE]]=0,"weekend",IF(final_data787[[#This Row],[DAY_CODE]]=1,"weekend","weekday"))</f>
        <v>weekday</v>
      </c>
      <c r="L593">
        <v>1</v>
      </c>
      <c r="M593" t="str">
        <f>IF(final_data787[[#This Row],[WEATHER_CODE]]=1,"clear",IF(final_data787[[#This Row],[WEATHER_CODE]]=2,"cloudy",IF(final_data787[[#This Row],[WEATHER_CODE]]=3,"light rain",IF(final_data787[[#This Row],[WEATHER_CODE]]=4,"heavy rain",0))))</f>
        <v>clear</v>
      </c>
      <c r="N593">
        <v>0.18</v>
      </c>
      <c r="O593">
        <v>0.21210000000000001</v>
      </c>
      <c r="P593">
        <v>0.74</v>
      </c>
      <c r="Q593">
        <v>8.9599999999999999E-2</v>
      </c>
      <c r="R593">
        <v>4</v>
      </c>
      <c r="S593">
        <v>55</v>
      </c>
      <c r="T593">
        <v>59</v>
      </c>
    </row>
    <row r="594" spans="1:20" x14ac:dyDescent="0.35">
      <c r="A594">
        <v>593</v>
      </c>
      <c r="B594" s="1">
        <v>40570</v>
      </c>
      <c r="C594">
        <v>1</v>
      </c>
      <c r="D594">
        <v>0</v>
      </c>
      <c r="E594">
        <v>1</v>
      </c>
      <c r="F594" t="str">
        <f>IF(final_data787[[#This Row],[MONTH_CODE]]=1,"JANUARY",IF(final_data787[[#This Row],[MONTH_CODE]]=2,"FEBRUARY"))</f>
        <v>JANUARY</v>
      </c>
      <c r="G594">
        <v>21</v>
      </c>
      <c r="H594">
        <v>0</v>
      </c>
      <c r="I594">
        <v>4</v>
      </c>
      <c r="J5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4" t="str">
        <f>IF(final_data787[[#This Row],[DAY_CODE]]=0,"weekend",IF(final_data787[[#This Row],[DAY_CODE]]=1,"weekend","weekday"))</f>
        <v>weekday</v>
      </c>
      <c r="L594">
        <v>1</v>
      </c>
      <c r="M594" t="str">
        <f>IF(final_data787[[#This Row],[WEATHER_CODE]]=1,"clear",IF(final_data787[[#This Row],[WEATHER_CODE]]=2,"cloudy",IF(final_data787[[#This Row],[WEATHER_CODE]]=3,"light rain",IF(final_data787[[#This Row],[WEATHER_CODE]]=4,"heavy rain",0))))</f>
        <v>clear</v>
      </c>
      <c r="N594">
        <v>0.18</v>
      </c>
      <c r="O594">
        <v>0.21210000000000001</v>
      </c>
      <c r="P594">
        <v>0.74</v>
      </c>
      <c r="Q594">
        <v>8.9599999999999999E-2</v>
      </c>
      <c r="R594">
        <v>2</v>
      </c>
      <c r="S594">
        <v>36</v>
      </c>
      <c r="T594">
        <v>38</v>
      </c>
    </row>
    <row r="595" spans="1:20" x14ac:dyDescent="0.35">
      <c r="A595">
        <v>594</v>
      </c>
      <c r="B595" s="1">
        <v>40570</v>
      </c>
      <c r="C595">
        <v>1</v>
      </c>
      <c r="D595">
        <v>0</v>
      </c>
      <c r="E595">
        <v>1</v>
      </c>
      <c r="F595" t="str">
        <f>IF(final_data787[[#This Row],[MONTH_CODE]]=1,"JANUARY",IF(final_data787[[#This Row],[MONTH_CODE]]=2,"FEBRUARY"))</f>
        <v>JANUARY</v>
      </c>
      <c r="G595">
        <v>22</v>
      </c>
      <c r="H595">
        <v>0</v>
      </c>
      <c r="I595">
        <v>4</v>
      </c>
      <c r="J5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5" t="str">
        <f>IF(final_data787[[#This Row],[DAY_CODE]]=0,"weekend",IF(final_data787[[#This Row],[DAY_CODE]]=1,"weekend","weekday"))</f>
        <v>weekday</v>
      </c>
      <c r="L595">
        <v>1</v>
      </c>
      <c r="M595" t="str">
        <f>IF(final_data787[[#This Row],[WEATHER_CODE]]=1,"clear",IF(final_data787[[#This Row],[WEATHER_CODE]]=2,"cloudy",IF(final_data787[[#This Row],[WEATHER_CODE]]=3,"light rain",IF(final_data787[[#This Row],[WEATHER_CODE]]=4,"heavy rain",0))))</f>
        <v>clear</v>
      </c>
      <c r="N595">
        <v>0.18</v>
      </c>
      <c r="O595">
        <v>0.21210000000000001</v>
      </c>
      <c r="P595">
        <v>0.74</v>
      </c>
      <c r="Q595">
        <v>8.9599999999999999E-2</v>
      </c>
      <c r="R595">
        <v>0</v>
      </c>
      <c r="S595">
        <v>27</v>
      </c>
      <c r="T595">
        <v>27</v>
      </c>
    </row>
    <row r="596" spans="1:20" x14ac:dyDescent="0.35">
      <c r="A596">
        <v>595</v>
      </c>
      <c r="B596" s="1">
        <v>40570</v>
      </c>
      <c r="C596">
        <v>1</v>
      </c>
      <c r="D596">
        <v>0</v>
      </c>
      <c r="E596">
        <v>1</v>
      </c>
      <c r="F596" t="str">
        <f>IF(final_data787[[#This Row],[MONTH_CODE]]=1,"JANUARY",IF(final_data787[[#This Row],[MONTH_CODE]]=2,"FEBRUARY"))</f>
        <v>JANUARY</v>
      </c>
      <c r="G596">
        <v>23</v>
      </c>
      <c r="H596">
        <v>0</v>
      </c>
      <c r="I596">
        <v>4</v>
      </c>
      <c r="J5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596" t="str">
        <f>IF(final_data787[[#This Row],[DAY_CODE]]=0,"weekend",IF(final_data787[[#This Row],[DAY_CODE]]=1,"weekend","weekday"))</f>
        <v>weekday</v>
      </c>
      <c r="L596">
        <v>1</v>
      </c>
      <c r="M596" t="str">
        <f>IF(final_data787[[#This Row],[WEATHER_CODE]]=1,"clear",IF(final_data787[[#This Row],[WEATHER_CODE]]=2,"cloudy",IF(final_data787[[#This Row],[WEATHER_CODE]]=3,"light rain",IF(final_data787[[#This Row],[WEATHER_CODE]]=4,"heavy rain",0))))</f>
        <v>clear</v>
      </c>
      <c r="N596">
        <v>0.18</v>
      </c>
      <c r="O596">
        <v>0.19700000000000001</v>
      </c>
      <c r="P596">
        <v>0.8</v>
      </c>
      <c r="Q596">
        <v>0.16420000000000001</v>
      </c>
      <c r="R596">
        <v>0</v>
      </c>
      <c r="S596">
        <v>16</v>
      </c>
      <c r="T596">
        <v>16</v>
      </c>
    </row>
    <row r="597" spans="1:20" x14ac:dyDescent="0.35">
      <c r="A597">
        <v>596</v>
      </c>
      <c r="B597" s="1">
        <v>40571</v>
      </c>
      <c r="C597">
        <v>1</v>
      </c>
      <c r="D597">
        <v>0</v>
      </c>
      <c r="E597">
        <v>1</v>
      </c>
      <c r="F597" t="str">
        <f>IF(final_data787[[#This Row],[MONTH_CODE]]=1,"JANUARY",IF(final_data787[[#This Row],[MONTH_CODE]]=2,"FEBRUARY"))</f>
        <v>JANUARY</v>
      </c>
      <c r="G597">
        <v>0</v>
      </c>
      <c r="H597">
        <v>0</v>
      </c>
      <c r="I597">
        <v>5</v>
      </c>
      <c r="J5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597" t="str">
        <f>IF(final_data787[[#This Row],[DAY_CODE]]=0,"weekend",IF(final_data787[[#This Row],[DAY_CODE]]=1,"weekend","weekday"))</f>
        <v>weekday</v>
      </c>
      <c r="L597">
        <v>2</v>
      </c>
      <c r="M597" t="str">
        <f>IF(final_data787[[#This Row],[WEATHER_CODE]]=1,"clear",IF(final_data787[[#This Row],[WEATHER_CODE]]=2,"cloudy",IF(final_data787[[#This Row],[WEATHER_CODE]]=3,"light rain",IF(final_data787[[#This Row],[WEATHER_CODE]]=4,"heavy rain",0))))</f>
        <v>cloudy</v>
      </c>
      <c r="N597">
        <v>0.2</v>
      </c>
      <c r="O597">
        <v>0.21210000000000001</v>
      </c>
      <c r="P597">
        <v>0.75</v>
      </c>
      <c r="Q597">
        <v>0.1343</v>
      </c>
      <c r="R597">
        <v>0</v>
      </c>
      <c r="S597">
        <v>9</v>
      </c>
      <c r="T597">
        <v>9</v>
      </c>
    </row>
    <row r="598" spans="1:20" x14ac:dyDescent="0.35">
      <c r="A598">
        <v>597</v>
      </c>
      <c r="B598" s="1">
        <v>40571</v>
      </c>
      <c r="C598">
        <v>1</v>
      </c>
      <c r="D598">
        <v>0</v>
      </c>
      <c r="E598">
        <v>1</v>
      </c>
      <c r="F598" t="str">
        <f>IF(final_data787[[#This Row],[MONTH_CODE]]=1,"JANUARY",IF(final_data787[[#This Row],[MONTH_CODE]]=2,"FEBRUARY"))</f>
        <v>JANUARY</v>
      </c>
      <c r="G598">
        <v>1</v>
      </c>
      <c r="H598">
        <v>0</v>
      </c>
      <c r="I598">
        <v>5</v>
      </c>
      <c r="J5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598" t="str">
        <f>IF(final_data787[[#This Row],[DAY_CODE]]=0,"weekend",IF(final_data787[[#This Row],[DAY_CODE]]=1,"weekend","weekday"))</f>
        <v>weekday</v>
      </c>
      <c r="L598">
        <v>2</v>
      </c>
      <c r="M598" t="str">
        <f>IF(final_data787[[#This Row],[WEATHER_CODE]]=1,"clear",IF(final_data787[[#This Row],[WEATHER_CODE]]=2,"cloudy",IF(final_data787[[#This Row],[WEATHER_CODE]]=3,"light rain",IF(final_data787[[#This Row],[WEATHER_CODE]]=4,"heavy rain",0))))</f>
        <v>cloudy</v>
      </c>
      <c r="N598">
        <v>0.2</v>
      </c>
      <c r="O598">
        <v>0.21210000000000001</v>
      </c>
      <c r="P598">
        <v>0.75</v>
      </c>
      <c r="Q598">
        <v>0.1343</v>
      </c>
      <c r="R598">
        <v>1</v>
      </c>
      <c r="S598">
        <v>2</v>
      </c>
      <c r="T598">
        <v>3</v>
      </c>
    </row>
    <row r="599" spans="1:20" x14ac:dyDescent="0.35">
      <c r="A599">
        <v>598</v>
      </c>
      <c r="B599" s="1">
        <v>40571</v>
      </c>
      <c r="C599">
        <v>1</v>
      </c>
      <c r="D599">
        <v>0</v>
      </c>
      <c r="E599">
        <v>1</v>
      </c>
      <c r="F599" t="str">
        <f>IF(final_data787[[#This Row],[MONTH_CODE]]=1,"JANUARY",IF(final_data787[[#This Row],[MONTH_CODE]]=2,"FEBRUARY"))</f>
        <v>JANUARY</v>
      </c>
      <c r="G599">
        <v>2</v>
      </c>
      <c r="H599">
        <v>0</v>
      </c>
      <c r="I599">
        <v>5</v>
      </c>
      <c r="J5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599" t="str">
        <f>IF(final_data787[[#This Row],[DAY_CODE]]=0,"weekend",IF(final_data787[[#This Row],[DAY_CODE]]=1,"weekend","weekday"))</f>
        <v>weekday</v>
      </c>
      <c r="L599">
        <v>2</v>
      </c>
      <c r="M599" t="str">
        <f>IF(final_data787[[#This Row],[WEATHER_CODE]]=1,"clear",IF(final_data787[[#This Row],[WEATHER_CODE]]=2,"cloudy",IF(final_data787[[#This Row],[WEATHER_CODE]]=3,"light rain",IF(final_data787[[#This Row],[WEATHER_CODE]]=4,"heavy rain",0))))</f>
        <v>cloudy</v>
      </c>
      <c r="N599">
        <v>0.2</v>
      </c>
      <c r="O599">
        <v>0.21210000000000001</v>
      </c>
      <c r="P599">
        <v>0.75</v>
      </c>
      <c r="Q599">
        <v>0.16420000000000001</v>
      </c>
      <c r="R599">
        <v>0</v>
      </c>
      <c r="S599">
        <v>2</v>
      </c>
      <c r="T599">
        <v>2</v>
      </c>
    </row>
    <row r="600" spans="1:20" x14ac:dyDescent="0.35">
      <c r="A600">
        <v>599</v>
      </c>
      <c r="B600" s="1">
        <v>40571</v>
      </c>
      <c r="C600">
        <v>1</v>
      </c>
      <c r="D600">
        <v>0</v>
      </c>
      <c r="E600">
        <v>1</v>
      </c>
      <c r="F600" t="str">
        <f>IF(final_data787[[#This Row],[MONTH_CODE]]=1,"JANUARY",IF(final_data787[[#This Row],[MONTH_CODE]]=2,"FEBRUARY"))</f>
        <v>JANUARY</v>
      </c>
      <c r="G600">
        <v>3</v>
      </c>
      <c r="H600">
        <v>0</v>
      </c>
      <c r="I600">
        <v>5</v>
      </c>
      <c r="J6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0" t="str">
        <f>IF(final_data787[[#This Row],[DAY_CODE]]=0,"weekend",IF(final_data787[[#This Row],[DAY_CODE]]=1,"weekend","weekday"))</f>
        <v>weekday</v>
      </c>
      <c r="L600">
        <v>2</v>
      </c>
      <c r="M600" t="str">
        <f>IF(final_data787[[#This Row],[WEATHER_CODE]]=1,"clear",IF(final_data787[[#This Row],[WEATHER_CODE]]=2,"cloudy",IF(final_data787[[#This Row],[WEATHER_CODE]]=3,"light rain",IF(final_data787[[#This Row],[WEATHER_CODE]]=4,"heavy rain",0))))</f>
        <v>cloudy</v>
      </c>
      <c r="N600">
        <v>0.2</v>
      </c>
      <c r="O600">
        <v>0.2273</v>
      </c>
      <c r="P600">
        <v>0.75</v>
      </c>
      <c r="Q600">
        <v>0.1045</v>
      </c>
      <c r="R600">
        <v>1</v>
      </c>
      <c r="S600">
        <v>0</v>
      </c>
      <c r="T600">
        <v>1</v>
      </c>
    </row>
    <row r="601" spans="1:20" x14ac:dyDescent="0.35">
      <c r="A601">
        <v>600</v>
      </c>
      <c r="B601" s="1">
        <v>40571</v>
      </c>
      <c r="C601">
        <v>1</v>
      </c>
      <c r="D601">
        <v>0</v>
      </c>
      <c r="E601">
        <v>1</v>
      </c>
      <c r="F601" t="str">
        <f>IF(final_data787[[#This Row],[MONTH_CODE]]=1,"JANUARY",IF(final_data787[[#This Row],[MONTH_CODE]]=2,"FEBRUARY"))</f>
        <v>JANUARY</v>
      </c>
      <c r="G601">
        <v>5</v>
      </c>
      <c r="H601">
        <v>0</v>
      </c>
      <c r="I601">
        <v>5</v>
      </c>
      <c r="J6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1" t="str">
        <f>IF(final_data787[[#This Row],[DAY_CODE]]=0,"weekend",IF(final_data787[[#This Row],[DAY_CODE]]=1,"weekend","weekday"))</f>
        <v>weekday</v>
      </c>
      <c r="L601">
        <v>2</v>
      </c>
      <c r="M601" t="str">
        <f>IF(final_data787[[#This Row],[WEATHER_CODE]]=1,"clear",IF(final_data787[[#This Row],[WEATHER_CODE]]=2,"cloudy",IF(final_data787[[#This Row],[WEATHER_CODE]]=3,"light rain",IF(final_data787[[#This Row],[WEATHER_CODE]]=4,"heavy rain",0))))</f>
        <v>cloudy</v>
      </c>
      <c r="N601">
        <v>0.18</v>
      </c>
      <c r="O601">
        <v>0.21210000000000001</v>
      </c>
      <c r="P601">
        <v>0.8</v>
      </c>
      <c r="Q601">
        <v>0.1045</v>
      </c>
      <c r="R601">
        <v>0</v>
      </c>
      <c r="S601">
        <v>4</v>
      </c>
      <c r="T601">
        <v>4</v>
      </c>
    </row>
    <row r="602" spans="1:20" x14ac:dyDescent="0.35">
      <c r="A602">
        <v>601</v>
      </c>
      <c r="B602" s="1">
        <v>40571</v>
      </c>
      <c r="C602">
        <v>1</v>
      </c>
      <c r="D602">
        <v>0</v>
      </c>
      <c r="E602">
        <v>1</v>
      </c>
      <c r="F602" t="str">
        <f>IF(final_data787[[#This Row],[MONTH_CODE]]=1,"JANUARY",IF(final_data787[[#This Row],[MONTH_CODE]]=2,"FEBRUARY"))</f>
        <v>JANUARY</v>
      </c>
      <c r="G602">
        <v>6</v>
      </c>
      <c r="H602">
        <v>0</v>
      </c>
      <c r="I602">
        <v>5</v>
      </c>
      <c r="J6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2" t="str">
        <f>IF(final_data787[[#This Row],[DAY_CODE]]=0,"weekend",IF(final_data787[[#This Row],[DAY_CODE]]=1,"weekend","weekday"))</f>
        <v>weekday</v>
      </c>
      <c r="L602">
        <v>2</v>
      </c>
      <c r="M602" t="str">
        <f>IF(final_data787[[#This Row],[WEATHER_CODE]]=1,"clear",IF(final_data787[[#This Row],[WEATHER_CODE]]=2,"cloudy",IF(final_data787[[#This Row],[WEATHER_CODE]]=3,"light rain",IF(final_data787[[#This Row],[WEATHER_CODE]]=4,"heavy rain",0))))</f>
        <v>cloudy</v>
      </c>
      <c r="N602">
        <v>0.18</v>
      </c>
      <c r="O602">
        <v>0.19700000000000001</v>
      </c>
      <c r="P602">
        <v>0.8</v>
      </c>
      <c r="Q602">
        <v>0.1343</v>
      </c>
      <c r="R602">
        <v>0</v>
      </c>
      <c r="S602">
        <v>16</v>
      </c>
      <c r="T602">
        <v>16</v>
      </c>
    </row>
    <row r="603" spans="1:20" x14ac:dyDescent="0.35">
      <c r="A603">
        <v>602</v>
      </c>
      <c r="B603" s="1">
        <v>40571</v>
      </c>
      <c r="C603">
        <v>1</v>
      </c>
      <c r="D603">
        <v>0</v>
      </c>
      <c r="E603">
        <v>1</v>
      </c>
      <c r="F603" t="str">
        <f>IF(final_data787[[#This Row],[MONTH_CODE]]=1,"JANUARY",IF(final_data787[[#This Row],[MONTH_CODE]]=2,"FEBRUARY"))</f>
        <v>JANUARY</v>
      </c>
      <c r="G603">
        <v>7</v>
      </c>
      <c r="H603">
        <v>0</v>
      </c>
      <c r="I603">
        <v>5</v>
      </c>
      <c r="J6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3" t="str">
        <f>IF(final_data787[[#This Row],[DAY_CODE]]=0,"weekend",IF(final_data787[[#This Row],[DAY_CODE]]=1,"weekend","weekday"))</f>
        <v>weekday</v>
      </c>
      <c r="L603">
        <v>2</v>
      </c>
      <c r="M603" t="str">
        <f>IF(final_data787[[#This Row],[WEATHER_CODE]]=1,"clear",IF(final_data787[[#This Row],[WEATHER_CODE]]=2,"cloudy",IF(final_data787[[#This Row],[WEATHER_CODE]]=3,"light rain",IF(final_data787[[#This Row],[WEATHER_CODE]]=4,"heavy rain",0))))</f>
        <v>cloudy</v>
      </c>
      <c r="N603">
        <v>0.16</v>
      </c>
      <c r="O603">
        <v>0.19700000000000001</v>
      </c>
      <c r="P603">
        <v>0.86</v>
      </c>
      <c r="Q603">
        <v>8.9599999999999999E-2</v>
      </c>
      <c r="R603">
        <v>2</v>
      </c>
      <c r="S603">
        <v>58</v>
      </c>
      <c r="T603">
        <v>60</v>
      </c>
    </row>
    <row r="604" spans="1:20" x14ac:dyDescent="0.35">
      <c r="A604">
        <v>603</v>
      </c>
      <c r="B604" s="1">
        <v>40571</v>
      </c>
      <c r="C604">
        <v>1</v>
      </c>
      <c r="D604">
        <v>0</v>
      </c>
      <c r="E604">
        <v>1</v>
      </c>
      <c r="F604" t="str">
        <f>IF(final_data787[[#This Row],[MONTH_CODE]]=1,"JANUARY",IF(final_data787[[#This Row],[MONTH_CODE]]=2,"FEBRUARY"))</f>
        <v>JANUARY</v>
      </c>
      <c r="G604">
        <v>8</v>
      </c>
      <c r="H604">
        <v>0</v>
      </c>
      <c r="I604">
        <v>5</v>
      </c>
      <c r="J6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4" t="str">
        <f>IF(final_data787[[#This Row],[DAY_CODE]]=0,"weekend",IF(final_data787[[#This Row],[DAY_CODE]]=1,"weekend","weekday"))</f>
        <v>weekday</v>
      </c>
      <c r="L604">
        <v>2</v>
      </c>
      <c r="M604" t="str">
        <f>IF(final_data787[[#This Row],[WEATHER_CODE]]=1,"clear",IF(final_data787[[#This Row],[WEATHER_CODE]]=2,"cloudy",IF(final_data787[[#This Row],[WEATHER_CODE]]=3,"light rain",IF(final_data787[[#This Row],[WEATHER_CODE]]=4,"heavy rain",0))))</f>
        <v>cloudy</v>
      </c>
      <c r="N604">
        <v>0.16</v>
      </c>
      <c r="O604">
        <v>0.19700000000000001</v>
      </c>
      <c r="P604">
        <v>0.86</v>
      </c>
      <c r="Q604">
        <v>8.9599999999999999E-2</v>
      </c>
      <c r="R604">
        <v>2</v>
      </c>
      <c r="S604">
        <v>155</v>
      </c>
      <c r="T604">
        <v>157</v>
      </c>
    </row>
    <row r="605" spans="1:20" x14ac:dyDescent="0.35">
      <c r="A605">
        <v>604</v>
      </c>
      <c r="B605" s="1">
        <v>40571</v>
      </c>
      <c r="C605">
        <v>1</v>
      </c>
      <c r="D605">
        <v>0</v>
      </c>
      <c r="E605">
        <v>1</v>
      </c>
      <c r="F605" t="str">
        <f>IF(final_data787[[#This Row],[MONTH_CODE]]=1,"JANUARY",IF(final_data787[[#This Row],[MONTH_CODE]]=2,"FEBRUARY"))</f>
        <v>JANUARY</v>
      </c>
      <c r="G605">
        <v>9</v>
      </c>
      <c r="H605">
        <v>0</v>
      </c>
      <c r="I605">
        <v>5</v>
      </c>
      <c r="J6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5" t="str">
        <f>IF(final_data787[[#This Row],[DAY_CODE]]=0,"weekend",IF(final_data787[[#This Row],[DAY_CODE]]=1,"weekend","weekday"))</f>
        <v>weekday</v>
      </c>
      <c r="L605">
        <v>3</v>
      </c>
      <c r="M605" t="str">
        <f>IF(final_data787[[#This Row],[WEATHER_CODE]]=1,"clear",IF(final_data787[[#This Row],[WEATHER_CODE]]=2,"cloudy",IF(final_data787[[#This Row],[WEATHER_CODE]]=3,"light rain",IF(final_data787[[#This Row],[WEATHER_CODE]]=4,"heavy rain",0))))</f>
        <v>light rain</v>
      </c>
      <c r="N605">
        <v>0.18</v>
      </c>
      <c r="O605">
        <v>0.21210000000000001</v>
      </c>
      <c r="P605">
        <v>0.86</v>
      </c>
      <c r="Q605">
        <v>8.9599999999999999E-2</v>
      </c>
      <c r="R605">
        <v>6</v>
      </c>
      <c r="S605">
        <v>95</v>
      </c>
      <c r="T605">
        <v>101</v>
      </c>
    </row>
    <row r="606" spans="1:20" x14ac:dyDescent="0.35">
      <c r="A606">
        <v>605</v>
      </c>
      <c r="B606" s="1">
        <v>40571</v>
      </c>
      <c r="C606">
        <v>1</v>
      </c>
      <c r="D606">
        <v>0</v>
      </c>
      <c r="E606">
        <v>1</v>
      </c>
      <c r="F606" t="str">
        <f>IF(final_data787[[#This Row],[MONTH_CODE]]=1,"JANUARY",IF(final_data787[[#This Row],[MONTH_CODE]]=2,"FEBRUARY"))</f>
        <v>JANUARY</v>
      </c>
      <c r="G606">
        <v>10</v>
      </c>
      <c r="H606">
        <v>0</v>
      </c>
      <c r="I606">
        <v>5</v>
      </c>
      <c r="J6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6" t="str">
        <f>IF(final_data787[[#This Row],[DAY_CODE]]=0,"weekend",IF(final_data787[[#This Row],[DAY_CODE]]=1,"weekend","weekday"))</f>
        <v>weekday</v>
      </c>
      <c r="L606">
        <v>3</v>
      </c>
      <c r="M606" t="str">
        <f>IF(final_data787[[#This Row],[WEATHER_CODE]]=1,"clear",IF(final_data787[[#This Row],[WEATHER_CODE]]=2,"cloudy",IF(final_data787[[#This Row],[WEATHER_CODE]]=3,"light rain",IF(final_data787[[#This Row],[WEATHER_CODE]]=4,"heavy rain",0))))</f>
        <v>light rain</v>
      </c>
      <c r="N606">
        <v>0.18</v>
      </c>
      <c r="O606">
        <v>0.21210000000000001</v>
      </c>
      <c r="P606">
        <v>0.86</v>
      </c>
      <c r="Q606">
        <v>0.1045</v>
      </c>
      <c r="R606">
        <v>0</v>
      </c>
      <c r="S606">
        <v>49</v>
      </c>
      <c r="T606">
        <v>49</v>
      </c>
    </row>
    <row r="607" spans="1:20" x14ac:dyDescent="0.35">
      <c r="A607">
        <v>606</v>
      </c>
      <c r="B607" s="1">
        <v>40571</v>
      </c>
      <c r="C607">
        <v>1</v>
      </c>
      <c r="D607">
        <v>0</v>
      </c>
      <c r="E607">
        <v>1</v>
      </c>
      <c r="F607" t="str">
        <f>IF(final_data787[[#This Row],[MONTH_CODE]]=1,"JANUARY",IF(final_data787[[#This Row],[MONTH_CODE]]=2,"FEBRUARY"))</f>
        <v>JANUARY</v>
      </c>
      <c r="G607">
        <v>11</v>
      </c>
      <c r="H607">
        <v>0</v>
      </c>
      <c r="I607">
        <v>5</v>
      </c>
      <c r="J6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7" t="str">
        <f>IF(final_data787[[#This Row],[DAY_CODE]]=0,"weekend",IF(final_data787[[#This Row],[DAY_CODE]]=1,"weekend","weekday"))</f>
        <v>weekday</v>
      </c>
      <c r="L607">
        <v>3</v>
      </c>
      <c r="M607" t="str">
        <f>IF(final_data787[[#This Row],[WEATHER_CODE]]=1,"clear",IF(final_data787[[#This Row],[WEATHER_CODE]]=2,"cloudy",IF(final_data787[[#This Row],[WEATHER_CODE]]=3,"light rain",IF(final_data787[[#This Row],[WEATHER_CODE]]=4,"heavy rain",0))))</f>
        <v>light rain</v>
      </c>
      <c r="N607">
        <v>0.18</v>
      </c>
      <c r="O607">
        <v>0.21210000000000001</v>
      </c>
      <c r="P607">
        <v>0.93</v>
      </c>
      <c r="Q607">
        <v>0.1045</v>
      </c>
      <c r="R607">
        <v>0</v>
      </c>
      <c r="S607">
        <v>30</v>
      </c>
      <c r="T607">
        <v>30</v>
      </c>
    </row>
    <row r="608" spans="1:20" x14ac:dyDescent="0.35">
      <c r="A608">
        <v>607</v>
      </c>
      <c r="B608" s="1">
        <v>40571</v>
      </c>
      <c r="C608">
        <v>1</v>
      </c>
      <c r="D608">
        <v>0</v>
      </c>
      <c r="E608">
        <v>1</v>
      </c>
      <c r="F608" t="str">
        <f>IF(final_data787[[#This Row],[MONTH_CODE]]=1,"JANUARY",IF(final_data787[[#This Row],[MONTH_CODE]]=2,"FEBRUARY"))</f>
        <v>JANUARY</v>
      </c>
      <c r="G608">
        <v>12</v>
      </c>
      <c r="H608">
        <v>0</v>
      </c>
      <c r="I608">
        <v>5</v>
      </c>
      <c r="J6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8" t="str">
        <f>IF(final_data787[[#This Row],[DAY_CODE]]=0,"weekend",IF(final_data787[[#This Row],[DAY_CODE]]=1,"weekend","weekday"))</f>
        <v>weekday</v>
      </c>
      <c r="L608">
        <v>3</v>
      </c>
      <c r="M608" t="str">
        <f>IF(final_data787[[#This Row],[WEATHER_CODE]]=1,"clear",IF(final_data787[[#This Row],[WEATHER_CODE]]=2,"cloudy",IF(final_data787[[#This Row],[WEATHER_CODE]]=3,"light rain",IF(final_data787[[#This Row],[WEATHER_CODE]]=4,"heavy rain",0))))</f>
        <v>light rain</v>
      </c>
      <c r="N608">
        <v>0.18</v>
      </c>
      <c r="O608">
        <v>0.21210000000000001</v>
      </c>
      <c r="P608">
        <v>0.93</v>
      </c>
      <c r="Q608">
        <v>0.1045</v>
      </c>
      <c r="R608">
        <v>1</v>
      </c>
      <c r="S608">
        <v>28</v>
      </c>
      <c r="T608">
        <v>29</v>
      </c>
    </row>
    <row r="609" spans="1:20" x14ac:dyDescent="0.35">
      <c r="A609">
        <v>608</v>
      </c>
      <c r="B609" s="1">
        <v>40571</v>
      </c>
      <c r="C609">
        <v>1</v>
      </c>
      <c r="D609">
        <v>0</v>
      </c>
      <c r="E609">
        <v>1</v>
      </c>
      <c r="F609" t="str">
        <f>IF(final_data787[[#This Row],[MONTH_CODE]]=1,"JANUARY",IF(final_data787[[#This Row],[MONTH_CODE]]=2,"FEBRUARY"))</f>
        <v>JANUARY</v>
      </c>
      <c r="G609">
        <v>13</v>
      </c>
      <c r="H609">
        <v>0</v>
      </c>
      <c r="I609">
        <v>5</v>
      </c>
      <c r="J6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09" t="str">
        <f>IF(final_data787[[#This Row],[DAY_CODE]]=0,"weekend",IF(final_data787[[#This Row],[DAY_CODE]]=1,"weekend","weekday"))</f>
        <v>weekday</v>
      </c>
      <c r="L609">
        <v>3</v>
      </c>
      <c r="M609" t="str">
        <f>IF(final_data787[[#This Row],[WEATHER_CODE]]=1,"clear",IF(final_data787[[#This Row],[WEATHER_CODE]]=2,"cloudy",IF(final_data787[[#This Row],[WEATHER_CODE]]=3,"light rain",IF(final_data787[[#This Row],[WEATHER_CODE]]=4,"heavy rain",0))))</f>
        <v>light rain</v>
      </c>
      <c r="N609">
        <v>0.18</v>
      </c>
      <c r="O609">
        <v>0.21210000000000001</v>
      </c>
      <c r="P609">
        <v>0.93</v>
      </c>
      <c r="Q609">
        <v>0.1045</v>
      </c>
      <c r="R609">
        <v>0</v>
      </c>
      <c r="S609">
        <v>31</v>
      </c>
      <c r="T609">
        <v>31</v>
      </c>
    </row>
    <row r="610" spans="1:20" x14ac:dyDescent="0.35">
      <c r="A610">
        <v>609</v>
      </c>
      <c r="B610" s="1">
        <v>40571</v>
      </c>
      <c r="C610">
        <v>1</v>
      </c>
      <c r="D610">
        <v>0</v>
      </c>
      <c r="E610">
        <v>1</v>
      </c>
      <c r="F610" t="str">
        <f>IF(final_data787[[#This Row],[MONTH_CODE]]=1,"JANUARY",IF(final_data787[[#This Row],[MONTH_CODE]]=2,"FEBRUARY"))</f>
        <v>JANUARY</v>
      </c>
      <c r="G610">
        <v>14</v>
      </c>
      <c r="H610">
        <v>0</v>
      </c>
      <c r="I610">
        <v>5</v>
      </c>
      <c r="J6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0" t="str">
        <f>IF(final_data787[[#This Row],[DAY_CODE]]=0,"weekend",IF(final_data787[[#This Row],[DAY_CODE]]=1,"weekend","weekday"))</f>
        <v>weekday</v>
      </c>
      <c r="L610">
        <v>3</v>
      </c>
      <c r="M610" t="str">
        <f>IF(final_data787[[#This Row],[WEATHER_CODE]]=1,"clear",IF(final_data787[[#This Row],[WEATHER_CODE]]=2,"cloudy",IF(final_data787[[#This Row],[WEATHER_CODE]]=3,"light rain",IF(final_data787[[#This Row],[WEATHER_CODE]]=4,"heavy rain",0))))</f>
        <v>light rain</v>
      </c>
      <c r="N610">
        <v>0.22</v>
      </c>
      <c r="O610">
        <v>0.2727</v>
      </c>
      <c r="P610">
        <v>0.8</v>
      </c>
      <c r="Q610">
        <v>0</v>
      </c>
      <c r="R610">
        <v>2</v>
      </c>
      <c r="S610">
        <v>36</v>
      </c>
      <c r="T610">
        <v>38</v>
      </c>
    </row>
    <row r="611" spans="1:20" x14ac:dyDescent="0.35">
      <c r="A611">
        <v>610</v>
      </c>
      <c r="B611" s="1">
        <v>40571</v>
      </c>
      <c r="C611">
        <v>1</v>
      </c>
      <c r="D611">
        <v>0</v>
      </c>
      <c r="E611">
        <v>1</v>
      </c>
      <c r="F611" t="str">
        <f>IF(final_data787[[#This Row],[MONTH_CODE]]=1,"JANUARY",IF(final_data787[[#This Row],[MONTH_CODE]]=2,"FEBRUARY"))</f>
        <v>JANUARY</v>
      </c>
      <c r="G611">
        <v>15</v>
      </c>
      <c r="H611">
        <v>0</v>
      </c>
      <c r="I611">
        <v>5</v>
      </c>
      <c r="J6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1" t="str">
        <f>IF(final_data787[[#This Row],[DAY_CODE]]=0,"weekend",IF(final_data787[[#This Row],[DAY_CODE]]=1,"weekend","weekday"))</f>
        <v>weekday</v>
      </c>
      <c r="L611">
        <v>2</v>
      </c>
      <c r="M611" t="str">
        <f>IF(final_data787[[#This Row],[WEATHER_CODE]]=1,"clear",IF(final_data787[[#This Row],[WEATHER_CODE]]=2,"cloudy",IF(final_data787[[#This Row],[WEATHER_CODE]]=3,"light rain",IF(final_data787[[#This Row],[WEATHER_CODE]]=4,"heavy rain",0))))</f>
        <v>cloudy</v>
      </c>
      <c r="N611">
        <v>0.2</v>
      </c>
      <c r="O611">
        <v>0.2576</v>
      </c>
      <c r="P611">
        <v>0.86</v>
      </c>
      <c r="Q611">
        <v>0</v>
      </c>
      <c r="R611">
        <v>1</v>
      </c>
      <c r="S611">
        <v>40</v>
      </c>
      <c r="T611">
        <v>41</v>
      </c>
    </row>
    <row r="612" spans="1:20" x14ac:dyDescent="0.35">
      <c r="A612">
        <v>611</v>
      </c>
      <c r="B612" s="1">
        <v>40571</v>
      </c>
      <c r="C612">
        <v>1</v>
      </c>
      <c r="D612">
        <v>0</v>
      </c>
      <c r="E612">
        <v>1</v>
      </c>
      <c r="F612" t="str">
        <f>IF(final_data787[[#This Row],[MONTH_CODE]]=1,"JANUARY",IF(final_data787[[#This Row],[MONTH_CODE]]=2,"FEBRUARY"))</f>
        <v>JANUARY</v>
      </c>
      <c r="G612">
        <v>16</v>
      </c>
      <c r="H612">
        <v>0</v>
      </c>
      <c r="I612">
        <v>5</v>
      </c>
      <c r="J6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2" t="str">
        <f>IF(final_data787[[#This Row],[DAY_CODE]]=0,"weekend",IF(final_data787[[#This Row],[DAY_CODE]]=1,"weekend","weekday"))</f>
        <v>weekday</v>
      </c>
      <c r="L612">
        <v>1</v>
      </c>
      <c r="M612" t="str">
        <f>IF(final_data787[[#This Row],[WEATHER_CODE]]=1,"clear",IF(final_data787[[#This Row],[WEATHER_CODE]]=2,"cloudy",IF(final_data787[[#This Row],[WEATHER_CODE]]=3,"light rain",IF(final_data787[[#This Row],[WEATHER_CODE]]=4,"heavy rain",0))))</f>
        <v>clear</v>
      </c>
      <c r="N612">
        <v>0.22</v>
      </c>
      <c r="O612">
        <v>0.2727</v>
      </c>
      <c r="P612">
        <v>0.8</v>
      </c>
      <c r="Q612">
        <v>0</v>
      </c>
      <c r="R612">
        <v>10</v>
      </c>
      <c r="S612">
        <v>70</v>
      </c>
      <c r="T612">
        <v>80</v>
      </c>
    </row>
    <row r="613" spans="1:20" x14ac:dyDescent="0.35">
      <c r="A613">
        <v>612</v>
      </c>
      <c r="B613" s="1">
        <v>40571</v>
      </c>
      <c r="C613">
        <v>1</v>
      </c>
      <c r="D613">
        <v>0</v>
      </c>
      <c r="E613">
        <v>1</v>
      </c>
      <c r="F613" t="str">
        <f>IF(final_data787[[#This Row],[MONTH_CODE]]=1,"JANUARY",IF(final_data787[[#This Row],[MONTH_CODE]]=2,"FEBRUARY"))</f>
        <v>JANUARY</v>
      </c>
      <c r="G613">
        <v>17</v>
      </c>
      <c r="H613">
        <v>0</v>
      </c>
      <c r="I613">
        <v>5</v>
      </c>
      <c r="J6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3" t="str">
        <f>IF(final_data787[[#This Row],[DAY_CODE]]=0,"weekend",IF(final_data787[[#This Row],[DAY_CODE]]=1,"weekend","weekday"))</f>
        <v>weekday</v>
      </c>
      <c r="L613">
        <v>1</v>
      </c>
      <c r="M613" t="str">
        <f>IF(final_data787[[#This Row],[WEATHER_CODE]]=1,"clear",IF(final_data787[[#This Row],[WEATHER_CODE]]=2,"cloudy",IF(final_data787[[#This Row],[WEATHER_CODE]]=3,"light rain",IF(final_data787[[#This Row],[WEATHER_CODE]]=4,"heavy rain",0))))</f>
        <v>clear</v>
      </c>
      <c r="N613">
        <v>0.24</v>
      </c>
      <c r="O613">
        <v>0.2424</v>
      </c>
      <c r="P613">
        <v>0.75</v>
      </c>
      <c r="Q613">
        <v>0.1343</v>
      </c>
      <c r="R613">
        <v>2</v>
      </c>
      <c r="S613">
        <v>147</v>
      </c>
      <c r="T613">
        <v>149</v>
      </c>
    </row>
    <row r="614" spans="1:20" x14ac:dyDescent="0.35">
      <c r="A614">
        <v>613</v>
      </c>
      <c r="B614" s="1">
        <v>40571</v>
      </c>
      <c r="C614">
        <v>1</v>
      </c>
      <c r="D614">
        <v>0</v>
      </c>
      <c r="E614">
        <v>1</v>
      </c>
      <c r="F614" t="str">
        <f>IF(final_data787[[#This Row],[MONTH_CODE]]=1,"JANUARY",IF(final_data787[[#This Row],[MONTH_CODE]]=2,"FEBRUARY"))</f>
        <v>JANUARY</v>
      </c>
      <c r="G614">
        <v>18</v>
      </c>
      <c r="H614">
        <v>0</v>
      </c>
      <c r="I614">
        <v>5</v>
      </c>
      <c r="J6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4" t="str">
        <f>IF(final_data787[[#This Row],[DAY_CODE]]=0,"weekend",IF(final_data787[[#This Row],[DAY_CODE]]=1,"weekend","weekday"))</f>
        <v>weekday</v>
      </c>
      <c r="L614">
        <v>1</v>
      </c>
      <c r="M614" t="str">
        <f>IF(final_data787[[#This Row],[WEATHER_CODE]]=1,"clear",IF(final_data787[[#This Row],[WEATHER_CODE]]=2,"cloudy",IF(final_data787[[#This Row],[WEATHER_CODE]]=3,"light rain",IF(final_data787[[#This Row],[WEATHER_CODE]]=4,"heavy rain",0))))</f>
        <v>clear</v>
      </c>
      <c r="N614">
        <v>0.24</v>
      </c>
      <c r="O614">
        <v>0.2273</v>
      </c>
      <c r="P614">
        <v>0.75</v>
      </c>
      <c r="Q614">
        <v>0.19400000000000001</v>
      </c>
      <c r="R614">
        <v>2</v>
      </c>
      <c r="S614">
        <v>107</v>
      </c>
      <c r="T614">
        <v>109</v>
      </c>
    </row>
    <row r="615" spans="1:20" x14ac:dyDescent="0.35">
      <c r="A615">
        <v>614</v>
      </c>
      <c r="B615" s="1">
        <v>40571</v>
      </c>
      <c r="C615">
        <v>1</v>
      </c>
      <c r="D615">
        <v>0</v>
      </c>
      <c r="E615">
        <v>1</v>
      </c>
      <c r="F615" t="str">
        <f>IF(final_data787[[#This Row],[MONTH_CODE]]=1,"JANUARY",IF(final_data787[[#This Row],[MONTH_CODE]]=2,"FEBRUARY"))</f>
        <v>JANUARY</v>
      </c>
      <c r="G615">
        <v>19</v>
      </c>
      <c r="H615">
        <v>0</v>
      </c>
      <c r="I615">
        <v>5</v>
      </c>
      <c r="J6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5" t="str">
        <f>IF(final_data787[[#This Row],[DAY_CODE]]=0,"weekend",IF(final_data787[[#This Row],[DAY_CODE]]=1,"weekend","weekday"))</f>
        <v>weekday</v>
      </c>
      <c r="L615">
        <v>2</v>
      </c>
      <c r="M615" t="str">
        <f>IF(final_data787[[#This Row],[WEATHER_CODE]]=1,"clear",IF(final_data787[[#This Row],[WEATHER_CODE]]=2,"cloudy",IF(final_data787[[#This Row],[WEATHER_CODE]]=3,"light rain",IF(final_data787[[#This Row],[WEATHER_CODE]]=4,"heavy rain",0))))</f>
        <v>cloudy</v>
      </c>
      <c r="N615">
        <v>0.24</v>
      </c>
      <c r="O615">
        <v>0.2424</v>
      </c>
      <c r="P615">
        <v>0.75</v>
      </c>
      <c r="Q615">
        <v>0.1343</v>
      </c>
      <c r="R615">
        <v>5</v>
      </c>
      <c r="S615">
        <v>84</v>
      </c>
      <c r="T615">
        <v>89</v>
      </c>
    </row>
    <row r="616" spans="1:20" x14ac:dyDescent="0.35">
      <c r="A616">
        <v>615</v>
      </c>
      <c r="B616" s="1">
        <v>40571</v>
      </c>
      <c r="C616">
        <v>1</v>
      </c>
      <c r="D616">
        <v>0</v>
      </c>
      <c r="E616">
        <v>1</v>
      </c>
      <c r="F616" t="str">
        <f>IF(final_data787[[#This Row],[MONTH_CODE]]=1,"JANUARY",IF(final_data787[[#This Row],[MONTH_CODE]]=2,"FEBRUARY"))</f>
        <v>JANUARY</v>
      </c>
      <c r="G616">
        <v>20</v>
      </c>
      <c r="H616">
        <v>0</v>
      </c>
      <c r="I616">
        <v>5</v>
      </c>
      <c r="J6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6" t="str">
        <f>IF(final_data787[[#This Row],[DAY_CODE]]=0,"weekend",IF(final_data787[[#This Row],[DAY_CODE]]=1,"weekend","weekday"))</f>
        <v>weekday</v>
      </c>
      <c r="L616">
        <v>2</v>
      </c>
      <c r="M616" t="str">
        <f>IF(final_data787[[#This Row],[WEATHER_CODE]]=1,"clear",IF(final_data787[[#This Row],[WEATHER_CODE]]=2,"cloudy",IF(final_data787[[#This Row],[WEATHER_CODE]]=3,"light rain",IF(final_data787[[#This Row],[WEATHER_CODE]]=4,"heavy rain",0))))</f>
        <v>cloudy</v>
      </c>
      <c r="N616">
        <v>0.24</v>
      </c>
      <c r="O616">
        <v>0.2273</v>
      </c>
      <c r="P616">
        <v>0.7</v>
      </c>
      <c r="Q616">
        <v>0.19400000000000001</v>
      </c>
      <c r="R616">
        <v>1</v>
      </c>
      <c r="S616">
        <v>61</v>
      </c>
      <c r="T616">
        <v>62</v>
      </c>
    </row>
    <row r="617" spans="1:20" x14ac:dyDescent="0.35">
      <c r="A617">
        <v>616</v>
      </c>
      <c r="B617" s="1">
        <v>40571</v>
      </c>
      <c r="C617">
        <v>1</v>
      </c>
      <c r="D617">
        <v>0</v>
      </c>
      <c r="E617">
        <v>1</v>
      </c>
      <c r="F617" t="str">
        <f>IF(final_data787[[#This Row],[MONTH_CODE]]=1,"JANUARY",IF(final_data787[[#This Row],[MONTH_CODE]]=2,"FEBRUARY"))</f>
        <v>JANUARY</v>
      </c>
      <c r="G617">
        <v>21</v>
      </c>
      <c r="H617">
        <v>0</v>
      </c>
      <c r="I617">
        <v>5</v>
      </c>
      <c r="J6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7" t="str">
        <f>IF(final_data787[[#This Row],[DAY_CODE]]=0,"weekend",IF(final_data787[[#This Row],[DAY_CODE]]=1,"weekend","weekday"))</f>
        <v>weekday</v>
      </c>
      <c r="L617">
        <v>2</v>
      </c>
      <c r="M617" t="str">
        <f>IF(final_data787[[#This Row],[WEATHER_CODE]]=1,"clear",IF(final_data787[[#This Row],[WEATHER_CODE]]=2,"cloudy",IF(final_data787[[#This Row],[WEATHER_CODE]]=3,"light rain",IF(final_data787[[#This Row],[WEATHER_CODE]]=4,"heavy rain",0))))</f>
        <v>cloudy</v>
      </c>
      <c r="N617">
        <v>0.22</v>
      </c>
      <c r="O617">
        <v>0.2273</v>
      </c>
      <c r="P617">
        <v>0.75</v>
      </c>
      <c r="Q617">
        <v>0.1343</v>
      </c>
      <c r="R617">
        <v>1</v>
      </c>
      <c r="S617">
        <v>57</v>
      </c>
      <c r="T617">
        <v>58</v>
      </c>
    </row>
    <row r="618" spans="1:20" x14ac:dyDescent="0.35">
      <c r="A618">
        <v>617</v>
      </c>
      <c r="B618" s="1">
        <v>40571</v>
      </c>
      <c r="C618">
        <v>1</v>
      </c>
      <c r="D618">
        <v>0</v>
      </c>
      <c r="E618">
        <v>1</v>
      </c>
      <c r="F618" t="str">
        <f>IF(final_data787[[#This Row],[MONTH_CODE]]=1,"JANUARY",IF(final_data787[[#This Row],[MONTH_CODE]]=2,"FEBRUARY"))</f>
        <v>JANUARY</v>
      </c>
      <c r="G618">
        <v>22</v>
      </c>
      <c r="H618">
        <v>0</v>
      </c>
      <c r="I618">
        <v>5</v>
      </c>
      <c r="J6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8" t="str">
        <f>IF(final_data787[[#This Row],[DAY_CODE]]=0,"weekend",IF(final_data787[[#This Row],[DAY_CODE]]=1,"weekend","weekday"))</f>
        <v>weekday</v>
      </c>
      <c r="L618">
        <v>1</v>
      </c>
      <c r="M618" t="str">
        <f>IF(final_data787[[#This Row],[WEATHER_CODE]]=1,"clear",IF(final_data787[[#This Row],[WEATHER_CODE]]=2,"cloudy",IF(final_data787[[#This Row],[WEATHER_CODE]]=3,"light rain",IF(final_data787[[#This Row],[WEATHER_CODE]]=4,"heavy rain",0))))</f>
        <v>clear</v>
      </c>
      <c r="N618">
        <v>0.24</v>
      </c>
      <c r="O618">
        <v>0.21210000000000001</v>
      </c>
      <c r="P618">
        <v>0.65</v>
      </c>
      <c r="Q618">
        <v>0.35820000000000002</v>
      </c>
      <c r="R618">
        <v>0</v>
      </c>
      <c r="S618">
        <v>26</v>
      </c>
      <c r="T618">
        <v>26</v>
      </c>
    </row>
    <row r="619" spans="1:20" x14ac:dyDescent="0.35">
      <c r="A619">
        <v>618</v>
      </c>
      <c r="B619" s="1">
        <v>40571</v>
      </c>
      <c r="C619">
        <v>1</v>
      </c>
      <c r="D619">
        <v>0</v>
      </c>
      <c r="E619">
        <v>1</v>
      </c>
      <c r="F619" t="str">
        <f>IF(final_data787[[#This Row],[MONTH_CODE]]=1,"JANUARY",IF(final_data787[[#This Row],[MONTH_CODE]]=2,"FEBRUARY"))</f>
        <v>JANUARY</v>
      </c>
      <c r="G619">
        <v>23</v>
      </c>
      <c r="H619">
        <v>0</v>
      </c>
      <c r="I619">
        <v>5</v>
      </c>
      <c r="J6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619" t="str">
        <f>IF(final_data787[[#This Row],[DAY_CODE]]=0,"weekend",IF(final_data787[[#This Row],[DAY_CODE]]=1,"weekend","weekday"))</f>
        <v>weekday</v>
      </c>
      <c r="L619">
        <v>1</v>
      </c>
      <c r="M619" t="str">
        <f>IF(final_data787[[#This Row],[WEATHER_CODE]]=1,"clear",IF(final_data787[[#This Row],[WEATHER_CODE]]=2,"cloudy",IF(final_data787[[#This Row],[WEATHER_CODE]]=3,"light rain",IF(final_data787[[#This Row],[WEATHER_CODE]]=4,"heavy rain",0))))</f>
        <v>clear</v>
      </c>
      <c r="N619">
        <v>0.24</v>
      </c>
      <c r="O619">
        <v>0.2273</v>
      </c>
      <c r="P619">
        <v>0.6</v>
      </c>
      <c r="Q619">
        <v>0.22389999999999999</v>
      </c>
      <c r="R619">
        <v>1</v>
      </c>
      <c r="S619">
        <v>22</v>
      </c>
      <c r="T619">
        <v>23</v>
      </c>
    </row>
    <row r="620" spans="1:20" x14ac:dyDescent="0.35">
      <c r="A620">
        <v>619</v>
      </c>
      <c r="B620" s="1">
        <v>40572</v>
      </c>
      <c r="C620">
        <v>1</v>
      </c>
      <c r="D620">
        <v>0</v>
      </c>
      <c r="E620">
        <v>1</v>
      </c>
      <c r="F620" t="str">
        <f>IF(final_data787[[#This Row],[MONTH_CODE]]=1,"JANUARY",IF(final_data787[[#This Row],[MONTH_CODE]]=2,"FEBRUARY"))</f>
        <v>JANUARY</v>
      </c>
      <c r="G620">
        <v>0</v>
      </c>
      <c r="H620">
        <v>0</v>
      </c>
      <c r="I620">
        <v>6</v>
      </c>
      <c r="J6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0" t="str">
        <f>IF(final_data787[[#This Row],[DAY_CODE]]=0,"weekend",IF(final_data787[[#This Row],[DAY_CODE]]=1,"weekend","weekday"))</f>
        <v>weekday</v>
      </c>
      <c r="L620">
        <v>1</v>
      </c>
      <c r="M620" t="str">
        <f>IF(final_data787[[#This Row],[WEATHER_CODE]]=1,"clear",IF(final_data787[[#This Row],[WEATHER_CODE]]=2,"cloudy",IF(final_data787[[#This Row],[WEATHER_CODE]]=3,"light rain",IF(final_data787[[#This Row],[WEATHER_CODE]]=4,"heavy rain",0))))</f>
        <v>clear</v>
      </c>
      <c r="N620">
        <v>0.22</v>
      </c>
      <c r="O620">
        <v>0.19700000000000001</v>
      </c>
      <c r="P620">
        <v>0.64</v>
      </c>
      <c r="Q620">
        <v>0.35820000000000002</v>
      </c>
      <c r="R620">
        <v>2</v>
      </c>
      <c r="S620">
        <v>26</v>
      </c>
      <c r="T620">
        <v>28</v>
      </c>
    </row>
    <row r="621" spans="1:20" x14ac:dyDescent="0.35">
      <c r="A621">
        <v>620</v>
      </c>
      <c r="B621" s="1">
        <v>40572</v>
      </c>
      <c r="C621">
        <v>1</v>
      </c>
      <c r="D621">
        <v>0</v>
      </c>
      <c r="E621">
        <v>1</v>
      </c>
      <c r="F621" t="str">
        <f>IF(final_data787[[#This Row],[MONTH_CODE]]=1,"JANUARY",IF(final_data787[[#This Row],[MONTH_CODE]]=2,"FEBRUARY"))</f>
        <v>JANUARY</v>
      </c>
      <c r="G621">
        <v>1</v>
      </c>
      <c r="H621">
        <v>0</v>
      </c>
      <c r="I621">
        <v>6</v>
      </c>
      <c r="J6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1" t="str">
        <f>IF(final_data787[[#This Row],[DAY_CODE]]=0,"weekend",IF(final_data787[[#This Row],[DAY_CODE]]=1,"weekend","weekday"))</f>
        <v>weekday</v>
      </c>
      <c r="L621">
        <v>1</v>
      </c>
      <c r="M621" t="str">
        <f>IF(final_data787[[#This Row],[WEATHER_CODE]]=1,"clear",IF(final_data787[[#This Row],[WEATHER_CODE]]=2,"cloudy",IF(final_data787[[#This Row],[WEATHER_CODE]]=3,"light rain",IF(final_data787[[#This Row],[WEATHER_CODE]]=4,"heavy rain",0))))</f>
        <v>clear</v>
      </c>
      <c r="N621">
        <v>0.22</v>
      </c>
      <c r="O621">
        <v>0.2273</v>
      </c>
      <c r="P621">
        <v>0.64</v>
      </c>
      <c r="Q621">
        <v>0.19400000000000001</v>
      </c>
      <c r="R621">
        <v>0</v>
      </c>
      <c r="S621">
        <v>20</v>
      </c>
      <c r="T621">
        <v>20</v>
      </c>
    </row>
    <row r="622" spans="1:20" x14ac:dyDescent="0.35">
      <c r="A622">
        <v>621</v>
      </c>
      <c r="B622" s="1">
        <v>40572</v>
      </c>
      <c r="C622">
        <v>1</v>
      </c>
      <c r="D622">
        <v>0</v>
      </c>
      <c r="E622">
        <v>1</v>
      </c>
      <c r="F622" t="str">
        <f>IF(final_data787[[#This Row],[MONTH_CODE]]=1,"JANUARY",IF(final_data787[[#This Row],[MONTH_CODE]]=2,"FEBRUARY"))</f>
        <v>JANUARY</v>
      </c>
      <c r="G622">
        <v>2</v>
      </c>
      <c r="H622">
        <v>0</v>
      </c>
      <c r="I622">
        <v>6</v>
      </c>
      <c r="J6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2" t="str">
        <f>IF(final_data787[[#This Row],[DAY_CODE]]=0,"weekend",IF(final_data787[[#This Row],[DAY_CODE]]=1,"weekend","weekday"))</f>
        <v>weekday</v>
      </c>
      <c r="L622">
        <v>1</v>
      </c>
      <c r="M622" t="str">
        <f>IF(final_data787[[#This Row],[WEATHER_CODE]]=1,"clear",IF(final_data787[[#This Row],[WEATHER_CODE]]=2,"cloudy",IF(final_data787[[#This Row],[WEATHER_CODE]]=3,"light rain",IF(final_data787[[#This Row],[WEATHER_CODE]]=4,"heavy rain",0))))</f>
        <v>clear</v>
      </c>
      <c r="N622">
        <v>0.22</v>
      </c>
      <c r="O622">
        <v>0.2273</v>
      </c>
      <c r="P622">
        <v>0.64</v>
      </c>
      <c r="Q622">
        <v>0.16420000000000001</v>
      </c>
      <c r="R622">
        <v>0</v>
      </c>
      <c r="S622">
        <v>15</v>
      </c>
      <c r="T622">
        <v>15</v>
      </c>
    </row>
    <row r="623" spans="1:20" x14ac:dyDescent="0.35">
      <c r="A623">
        <v>622</v>
      </c>
      <c r="B623" s="1">
        <v>40572</v>
      </c>
      <c r="C623">
        <v>1</v>
      </c>
      <c r="D623">
        <v>0</v>
      </c>
      <c r="E623">
        <v>1</v>
      </c>
      <c r="F623" t="str">
        <f>IF(final_data787[[#This Row],[MONTH_CODE]]=1,"JANUARY",IF(final_data787[[#This Row],[MONTH_CODE]]=2,"FEBRUARY"))</f>
        <v>JANUARY</v>
      </c>
      <c r="G623">
        <v>3</v>
      </c>
      <c r="H623">
        <v>0</v>
      </c>
      <c r="I623">
        <v>6</v>
      </c>
      <c r="J6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3" t="str">
        <f>IF(final_data787[[#This Row],[DAY_CODE]]=0,"weekend",IF(final_data787[[#This Row],[DAY_CODE]]=1,"weekend","weekday"))</f>
        <v>weekday</v>
      </c>
      <c r="L623">
        <v>1</v>
      </c>
      <c r="M623" t="str">
        <f>IF(final_data787[[#This Row],[WEATHER_CODE]]=1,"clear",IF(final_data787[[#This Row],[WEATHER_CODE]]=2,"cloudy",IF(final_data787[[#This Row],[WEATHER_CODE]]=3,"light rain",IF(final_data787[[#This Row],[WEATHER_CODE]]=4,"heavy rain",0))))</f>
        <v>clear</v>
      </c>
      <c r="N623">
        <v>0.2</v>
      </c>
      <c r="O623">
        <v>0.21210000000000001</v>
      </c>
      <c r="P623">
        <v>0.64</v>
      </c>
      <c r="Q623">
        <v>0.1343</v>
      </c>
      <c r="R623">
        <v>3</v>
      </c>
      <c r="S623">
        <v>5</v>
      </c>
      <c r="T623">
        <v>8</v>
      </c>
    </row>
    <row r="624" spans="1:20" x14ac:dyDescent="0.35">
      <c r="A624">
        <v>623</v>
      </c>
      <c r="B624" s="1">
        <v>40572</v>
      </c>
      <c r="C624">
        <v>1</v>
      </c>
      <c r="D624">
        <v>0</v>
      </c>
      <c r="E624">
        <v>1</v>
      </c>
      <c r="F624" t="str">
        <f>IF(final_data787[[#This Row],[MONTH_CODE]]=1,"JANUARY",IF(final_data787[[#This Row],[MONTH_CODE]]=2,"FEBRUARY"))</f>
        <v>JANUARY</v>
      </c>
      <c r="G624">
        <v>4</v>
      </c>
      <c r="H624">
        <v>0</v>
      </c>
      <c r="I624">
        <v>6</v>
      </c>
      <c r="J6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4" t="str">
        <f>IF(final_data787[[#This Row],[DAY_CODE]]=0,"weekend",IF(final_data787[[#This Row],[DAY_CODE]]=1,"weekend","weekday"))</f>
        <v>weekday</v>
      </c>
      <c r="L624">
        <v>1</v>
      </c>
      <c r="M624" t="str">
        <f>IF(final_data787[[#This Row],[WEATHER_CODE]]=1,"clear",IF(final_data787[[#This Row],[WEATHER_CODE]]=2,"cloudy",IF(final_data787[[#This Row],[WEATHER_CODE]]=3,"light rain",IF(final_data787[[#This Row],[WEATHER_CODE]]=4,"heavy rain",0))))</f>
        <v>clear</v>
      </c>
      <c r="N624">
        <v>0.16</v>
      </c>
      <c r="O624">
        <v>0.18179999999999999</v>
      </c>
      <c r="P624">
        <v>0.69</v>
      </c>
      <c r="Q624">
        <v>0.1045</v>
      </c>
      <c r="R624">
        <v>1</v>
      </c>
      <c r="S624">
        <v>2</v>
      </c>
      <c r="T624">
        <v>3</v>
      </c>
    </row>
    <row r="625" spans="1:20" x14ac:dyDescent="0.35">
      <c r="A625">
        <v>624</v>
      </c>
      <c r="B625" s="1">
        <v>40572</v>
      </c>
      <c r="C625">
        <v>1</v>
      </c>
      <c r="D625">
        <v>0</v>
      </c>
      <c r="E625">
        <v>1</v>
      </c>
      <c r="F625" t="str">
        <f>IF(final_data787[[#This Row],[MONTH_CODE]]=1,"JANUARY",IF(final_data787[[#This Row],[MONTH_CODE]]=2,"FEBRUARY"))</f>
        <v>JANUARY</v>
      </c>
      <c r="G625">
        <v>6</v>
      </c>
      <c r="H625">
        <v>0</v>
      </c>
      <c r="I625">
        <v>6</v>
      </c>
      <c r="J6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5" t="str">
        <f>IF(final_data787[[#This Row],[DAY_CODE]]=0,"weekend",IF(final_data787[[#This Row],[DAY_CODE]]=1,"weekend","weekday"))</f>
        <v>weekday</v>
      </c>
      <c r="L625">
        <v>1</v>
      </c>
      <c r="M625" t="str">
        <f>IF(final_data787[[#This Row],[WEATHER_CODE]]=1,"clear",IF(final_data787[[#This Row],[WEATHER_CODE]]=2,"cloudy",IF(final_data787[[#This Row],[WEATHER_CODE]]=3,"light rain",IF(final_data787[[#This Row],[WEATHER_CODE]]=4,"heavy rain",0))))</f>
        <v>clear</v>
      </c>
      <c r="N625">
        <v>0.16</v>
      </c>
      <c r="O625">
        <v>0.18179999999999999</v>
      </c>
      <c r="P625">
        <v>0.64</v>
      </c>
      <c r="Q625">
        <v>0.1343</v>
      </c>
      <c r="R625">
        <v>0</v>
      </c>
      <c r="S625">
        <v>2</v>
      </c>
      <c r="T625">
        <v>2</v>
      </c>
    </row>
    <row r="626" spans="1:20" x14ac:dyDescent="0.35">
      <c r="A626">
        <v>625</v>
      </c>
      <c r="B626" s="1">
        <v>40572</v>
      </c>
      <c r="C626">
        <v>1</v>
      </c>
      <c r="D626">
        <v>0</v>
      </c>
      <c r="E626">
        <v>1</v>
      </c>
      <c r="F626" t="str">
        <f>IF(final_data787[[#This Row],[MONTH_CODE]]=1,"JANUARY",IF(final_data787[[#This Row],[MONTH_CODE]]=2,"FEBRUARY"))</f>
        <v>JANUARY</v>
      </c>
      <c r="G626">
        <v>7</v>
      </c>
      <c r="H626">
        <v>0</v>
      </c>
      <c r="I626">
        <v>6</v>
      </c>
      <c r="J6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6" t="str">
        <f>IF(final_data787[[#This Row],[DAY_CODE]]=0,"weekend",IF(final_data787[[#This Row],[DAY_CODE]]=1,"weekend","weekday"))</f>
        <v>weekday</v>
      </c>
      <c r="L626">
        <v>1</v>
      </c>
      <c r="M626" t="str">
        <f>IF(final_data787[[#This Row],[WEATHER_CODE]]=1,"clear",IF(final_data787[[#This Row],[WEATHER_CODE]]=2,"cloudy",IF(final_data787[[#This Row],[WEATHER_CODE]]=3,"light rain",IF(final_data787[[#This Row],[WEATHER_CODE]]=4,"heavy rain",0))))</f>
        <v>clear</v>
      </c>
      <c r="N626">
        <v>0.16</v>
      </c>
      <c r="O626">
        <v>0.18179999999999999</v>
      </c>
      <c r="P626">
        <v>0.59</v>
      </c>
      <c r="Q626">
        <v>0.1045</v>
      </c>
      <c r="R626">
        <v>1</v>
      </c>
      <c r="S626">
        <v>4</v>
      </c>
      <c r="T626">
        <v>5</v>
      </c>
    </row>
    <row r="627" spans="1:20" x14ac:dyDescent="0.35">
      <c r="A627">
        <v>626</v>
      </c>
      <c r="B627" s="1">
        <v>40572</v>
      </c>
      <c r="C627">
        <v>1</v>
      </c>
      <c r="D627">
        <v>0</v>
      </c>
      <c r="E627">
        <v>1</v>
      </c>
      <c r="F627" t="str">
        <f>IF(final_data787[[#This Row],[MONTH_CODE]]=1,"JANUARY",IF(final_data787[[#This Row],[MONTH_CODE]]=2,"FEBRUARY"))</f>
        <v>JANUARY</v>
      </c>
      <c r="G627">
        <v>8</v>
      </c>
      <c r="H627">
        <v>0</v>
      </c>
      <c r="I627">
        <v>6</v>
      </c>
      <c r="J6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7" t="str">
        <f>IF(final_data787[[#This Row],[DAY_CODE]]=0,"weekend",IF(final_data787[[#This Row],[DAY_CODE]]=1,"weekend","weekday"))</f>
        <v>weekday</v>
      </c>
      <c r="L627">
        <v>1</v>
      </c>
      <c r="M627" t="str">
        <f>IF(final_data787[[#This Row],[WEATHER_CODE]]=1,"clear",IF(final_data787[[#This Row],[WEATHER_CODE]]=2,"cloudy",IF(final_data787[[#This Row],[WEATHER_CODE]]=3,"light rain",IF(final_data787[[#This Row],[WEATHER_CODE]]=4,"heavy rain",0))))</f>
        <v>clear</v>
      </c>
      <c r="N627">
        <v>0.18</v>
      </c>
      <c r="O627">
        <v>0.19700000000000001</v>
      </c>
      <c r="P627">
        <v>0.55000000000000004</v>
      </c>
      <c r="Q627">
        <v>0.16420000000000001</v>
      </c>
      <c r="R627">
        <v>3</v>
      </c>
      <c r="S627">
        <v>31</v>
      </c>
      <c r="T627">
        <v>34</v>
      </c>
    </row>
    <row r="628" spans="1:20" x14ac:dyDescent="0.35">
      <c r="A628">
        <v>627</v>
      </c>
      <c r="B628" s="1">
        <v>40572</v>
      </c>
      <c r="C628">
        <v>1</v>
      </c>
      <c r="D628">
        <v>0</v>
      </c>
      <c r="E628">
        <v>1</v>
      </c>
      <c r="F628" t="str">
        <f>IF(final_data787[[#This Row],[MONTH_CODE]]=1,"JANUARY",IF(final_data787[[#This Row],[MONTH_CODE]]=2,"FEBRUARY"))</f>
        <v>JANUARY</v>
      </c>
      <c r="G628">
        <v>9</v>
      </c>
      <c r="H628">
        <v>0</v>
      </c>
      <c r="I628">
        <v>6</v>
      </c>
      <c r="J6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8" t="str">
        <f>IF(final_data787[[#This Row],[DAY_CODE]]=0,"weekend",IF(final_data787[[#This Row],[DAY_CODE]]=1,"weekend","weekday"))</f>
        <v>weekday</v>
      </c>
      <c r="L628">
        <v>1</v>
      </c>
      <c r="M628" t="str">
        <f>IF(final_data787[[#This Row],[WEATHER_CODE]]=1,"clear",IF(final_data787[[#This Row],[WEATHER_CODE]]=2,"cloudy",IF(final_data787[[#This Row],[WEATHER_CODE]]=3,"light rain",IF(final_data787[[#This Row],[WEATHER_CODE]]=4,"heavy rain",0))))</f>
        <v>clear</v>
      </c>
      <c r="N628">
        <v>0.18</v>
      </c>
      <c r="O628">
        <v>0.21210000000000001</v>
      </c>
      <c r="P628">
        <v>0.59</v>
      </c>
      <c r="Q628">
        <v>8.9599999999999999E-2</v>
      </c>
      <c r="R628">
        <v>0</v>
      </c>
      <c r="S628">
        <v>34</v>
      </c>
      <c r="T628">
        <v>34</v>
      </c>
    </row>
    <row r="629" spans="1:20" x14ac:dyDescent="0.35">
      <c r="A629">
        <v>628</v>
      </c>
      <c r="B629" s="1">
        <v>40572</v>
      </c>
      <c r="C629">
        <v>1</v>
      </c>
      <c r="D629">
        <v>0</v>
      </c>
      <c r="E629">
        <v>1</v>
      </c>
      <c r="F629" t="str">
        <f>IF(final_data787[[#This Row],[MONTH_CODE]]=1,"JANUARY",IF(final_data787[[#This Row],[MONTH_CODE]]=2,"FEBRUARY"))</f>
        <v>JANUARY</v>
      </c>
      <c r="G629">
        <v>10</v>
      </c>
      <c r="H629">
        <v>0</v>
      </c>
      <c r="I629">
        <v>6</v>
      </c>
      <c r="J6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29" t="str">
        <f>IF(final_data787[[#This Row],[DAY_CODE]]=0,"weekend",IF(final_data787[[#This Row],[DAY_CODE]]=1,"weekend","weekday"))</f>
        <v>weekday</v>
      </c>
      <c r="L629">
        <v>2</v>
      </c>
      <c r="M629" t="str">
        <f>IF(final_data787[[#This Row],[WEATHER_CODE]]=1,"clear",IF(final_data787[[#This Row],[WEATHER_CODE]]=2,"cloudy",IF(final_data787[[#This Row],[WEATHER_CODE]]=3,"light rain",IF(final_data787[[#This Row],[WEATHER_CODE]]=4,"heavy rain",0))))</f>
        <v>cloudy</v>
      </c>
      <c r="N629">
        <v>0.18</v>
      </c>
      <c r="O629">
        <v>0.21210000000000001</v>
      </c>
      <c r="P629">
        <v>0.64</v>
      </c>
      <c r="Q629">
        <v>0.1045</v>
      </c>
      <c r="R629">
        <v>4</v>
      </c>
      <c r="S629">
        <v>51</v>
      </c>
      <c r="T629">
        <v>55</v>
      </c>
    </row>
    <row r="630" spans="1:20" x14ac:dyDescent="0.35">
      <c r="A630">
        <v>629</v>
      </c>
      <c r="B630" s="1">
        <v>40572</v>
      </c>
      <c r="C630">
        <v>1</v>
      </c>
      <c r="D630">
        <v>0</v>
      </c>
      <c r="E630">
        <v>1</v>
      </c>
      <c r="F630" t="str">
        <f>IF(final_data787[[#This Row],[MONTH_CODE]]=1,"JANUARY",IF(final_data787[[#This Row],[MONTH_CODE]]=2,"FEBRUARY"))</f>
        <v>JANUARY</v>
      </c>
      <c r="G630">
        <v>11</v>
      </c>
      <c r="H630">
        <v>0</v>
      </c>
      <c r="I630">
        <v>6</v>
      </c>
      <c r="J6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0" t="str">
        <f>IF(final_data787[[#This Row],[DAY_CODE]]=0,"weekend",IF(final_data787[[#This Row],[DAY_CODE]]=1,"weekend","weekday"))</f>
        <v>weekday</v>
      </c>
      <c r="L630">
        <v>2</v>
      </c>
      <c r="M630" t="str">
        <f>IF(final_data787[[#This Row],[WEATHER_CODE]]=1,"clear",IF(final_data787[[#This Row],[WEATHER_CODE]]=2,"cloudy",IF(final_data787[[#This Row],[WEATHER_CODE]]=3,"light rain",IF(final_data787[[#This Row],[WEATHER_CODE]]=4,"heavy rain",0))))</f>
        <v>cloudy</v>
      </c>
      <c r="N630">
        <v>0.18</v>
      </c>
      <c r="O630">
        <v>0.19700000000000001</v>
      </c>
      <c r="P630">
        <v>0.64</v>
      </c>
      <c r="Q630">
        <v>0.1343</v>
      </c>
      <c r="R630">
        <v>4</v>
      </c>
      <c r="S630">
        <v>60</v>
      </c>
      <c r="T630">
        <v>64</v>
      </c>
    </row>
    <row r="631" spans="1:20" x14ac:dyDescent="0.35">
      <c r="A631">
        <v>630</v>
      </c>
      <c r="B631" s="1">
        <v>40572</v>
      </c>
      <c r="C631">
        <v>1</v>
      </c>
      <c r="D631">
        <v>0</v>
      </c>
      <c r="E631">
        <v>1</v>
      </c>
      <c r="F631" t="str">
        <f>IF(final_data787[[#This Row],[MONTH_CODE]]=1,"JANUARY",IF(final_data787[[#This Row],[MONTH_CODE]]=2,"FEBRUARY"))</f>
        <v>JANUARY</v>
      </c>
      <c r="G631">
        <v>12</v>
      </c>
      <c r="H631">
        <v>0</v>
      </c>
      <c r="I631">
        <v>6</v>
      </c>
      <c r="J6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1" t="str">
        <f>IF(final_data787[[#This Row],[DAY_CODE]]=0,"weekend",IF(final_data787[[#This Row],[DAY_CODE]]=1,"weekend","weekday"))</f>
        <v>weekday</v>
      </c>
      <c r="L631">
        <v>2</v>
      </c>
      <c r="M631" t="str">
        <f>IF(final_data787[[#This Row],[WEATHER_CODE]]=1,"clear",IF(final_data787[[#This Row],[WEATHER_CODE]]=2,"cloudy",IF(final_data787[[#This Row],[WEATHER_CODE]]=3,"light rain",IF(final_data787[[#This Row],[WEATHER_CODE]]=4,"heavy rain",0))))</f>
        <v>cloudy</v>
      </c>
      <c r="N631">
        <v>0.2</v>
      </c>
      <c r="O631">
        <v>0.19700000000000001</v>
      </c>
      <c r="P631">
        <v>0.59</v>
      </c>
      <c r="Q631">
        <v>0.19400000000000001</v>
      </c>
      <c r="R631">
        <v>12</v>
      </c>
      <c r="S631">
        <v>66</v>
      </c>
      <c r="T631">
        <v>78</v>
      </c>
    </row>
    <row r="632" spans="1:20" x14ac:dyDescent="0.35">
      <c r="A632">
        <v>631</v>
      </c>
      <c r="B632" s="1">
        <v>40572</v>
      </c>
      <c r="C632">
        <v>1</v>
      </c>
      <c r="D632">
        <v>0</v>
      </c>
      <c r="E632">
        <v>1</v>
      </c>
      <c r="F632" t="str">
        <f>IF(final_data787[[#This Row],[MONTH_CODE]]=1,"JANUARY",IF(final_data787[[#This Row],[MONTH_CODE]]=2,"FEBRUARY"))</f>
        <v>JANUARY</v>
      </c>
      <c r="G632">
        <v>13</v>
      </c>
      <c r="H632">
        <v>0</v>
      </c>
      <c r="I632">
        <v>6</v>
      </c>
      <c r="J6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2" t="str">
        <f>IF(final_data787[[#This Row],[DAY_CODE]]=0,"weekend",IF(final_data787[[#This Row],[DAY_CODE]]=1,"weekend","weekday"))</f>
        <v>weekday</v>
      </c>
      <c r="L632">
        <v>2</v>
      </c>
      <c r="M632" t="str">
        <f>IF(final_data787[[#This Row],[WEATHER_CODE]]=1,"clear",IF(final_data787[[#This Row],[WEATHER_CODE]]=2,"cloudy",IF(final_data787[[#This Row],[WEATHER_CODE]]=3,"light rain",IF(final_data787[[#This Row],[WEATHER_CODE]]=4,"heavy rain",0))))</f>
        <v>cloudy</v>
      </c>
      <c r="N632">
        <v>0.22</v>
      </c>
      <c r="O632">
        <v>0.2273</v>
      </c>
      <c r="P632">
        <v>0.55000000000000004</v>
      </c>
      <c r="Q632">
        <v>0.16420000000000001</v>
      </c>
      <c r="R632">
        <v>9</v>
      </c>
      <c r="S632">
        <v>56</v>
      </c>
      <c r="T632">
        <v>65</v>
      </c>
    </row>
    <row r="633" spans="1:20" x14ac:dyDescent="0.35">
      <c r="A633">
        <v>632</v>
      </c>
      <c r="B633" s="1">
        <v>40572</v>
      </c>
      <c r="C633">
        <v>1</v>
      </c>
      <c r="D633">
        <v>0</v>
      </c>
      <c r="E633">
        <v>1</v>
      </c>
      <c r="F633" t="str">
        <f>IF(final_data787[[#This Row],[MONTH_CODE]]=1,"JANUARY",IF(final_data787[[#This Row],[MONTH_CODE]]=2,"FEBRUARY"))</f>
        <v>JANUARY</v>
      </c>
      <c r="G633">
        <v>14</v>
      </c>
      <c r="H633">
        <v>0</v>
      </c>
      <c r="I633">
        <v>6</v>
      </c>
      <c r="J6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3" t="str">
        <f>IF(final_data787[[#This Row],[DAY_CODE]]=0,"weekend",IF(final_data787[[#This Row],[DAY_CODE]]=1,"weekend","weekday"))</f>
        <v>weekday</v>
      </c>
      <c r="L633">
        <v>2</v>
      </c>
      <c r="M633" t="str">
        <f>IF(final_data787[[#This Row],[WEATHER_CODE]]=1,"clear",IF(final_data787[[#This Row],[WEATHER_CODE]]=2,"cloudy",IF(final_data787[[#This Row],[WEATHER_CODE]]=3,"light rain",IF(final_data787[[#This Row],[WEATHER_CODE]]=4,"heavy rain",0))))</f>
        <v>cloudy</v>
      </c>
      <c r="N633">
        <v>0.22</v>
      </c>
      <c r="O633">
        <v>0.2273</v>
      </c>
      <c r="P633">
        <v>0.6</v>
      </c>
      <c r="Q633">
        <v>0.1343</v>
      </c>
      <c r="R633">
        <v>10</v>
      </c>
      <c r="S633">
        <v>89</v>
      </c>
      <c r="T633">
        <v>99</v>
      </c>
    </row>
    <row r="634" spans="1:20" x14ac:dyDescent="0.35">
      <c r="A634">
        <v>633</v>
      </c>
      <c r="B634" s="1">
        <v>40572</v>
      </c>
      <c r="C634">
        <v>1</v>
      </c>
      <c r="D634">
        <v>0</v>
      </c>
      <c r="E634">
        <v>1</v>
      </c>
      <c r="F634" t="str">
        <f>IF(final_data787[[#This Row],[MONTH_CODE]]=1,"JANUARY",IF(final_data787[[#This Row],[MONTH_CODE]]=2,"FEBRUARY"))</f>
        <v>JANUARY</v>
      </c>
      <c r="G634">
        <v>15</v>
      </c>
      <c r="H634">
        <v>0</v>
      </c>
      <c r="I634">
        <v>6</v>
      </c>
      <c r="J6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4" t="str">
        <f>IF(final_data787[[#This Row],[DAY_CODE]]=0,"weekend",IF(final_data787[[#This Row],[DAY_CODE]]=1,"weekend","weekday"))</f>
        <v>weekday</v>
      </c>
      <c r="L634">
        <v>1</v>
      </c>
      <c r="M634" t="str">
        <f>IF(final_data787[[#This Row],[WEATHER_CODE]]=1,"clear",IF(final_data787[[#This Row],[WEATHER_CODE]]=2,"cloudy",IF(final_data787[[#This Row],[WEATHER_CODE]]=3,"light rain",IF(final_data787[[#This Row],[WEATHER_CODE]]=4,"heavy rain",0))))</f>
        <v>clear</v>
      </c>
      <c r="N634">
        <v>0.22</v>
      </c>
      <c r="O634">
        <v>0.21210000000000001</v>
      </c>
      <c r="P634">
        <v>0.69</v>
      </c>
      <c r="Q634">
        <v>0.25369999999999998</v>
      </c>
      <c r="R634">
        <v>22</v>
      </c>
      <c r="S634">
        <v>98</v>
      </c>
      <c r="T634">
        <v>120</v>
      </c>
    </row>
    <row r="635" spans="1:20" x14ac:dyDescent="0.35">
      <c r="A635">
        <v>634</v>
      </c>
      <c r="B635" s="1">
        <v>40572</v>
      </c>
      <c r="C635">
        <v>1</v>
      </c>
      <c r="D635">
        <v>0</v>
      </c>
      <c r="E635">
        <v>1</v>
      </c>
      <c r="F635" t="str">
        <f>IF(final_data787[[#This Row],[MONTH_CODE]]=1,"JANUARY",IF(final_data787[[#This Row],[MONTH_CODE]]=2,"FEBRUARY"))</f>
        <v>JANUARY</v>
      </c>
      <c r="G635">
        <v>16</v>
      </c>
      <c r="H635">
        <v>0</v>
      </c>
      <c r="I635">
        <v>6</v>
      </c>
      <c r="J6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5" t="str">
        <f>IF(final_data787[[#This Row],[DAY_CODE]]=0,"weekend",IF(final_data787[[#This Row],[DAY_CODE]]=1,"weekend","weekday"))</f>
        <v>weekday</v>
      </c>
      <c r="L635">
        <v>1</v>
      </c>
      <c r="M635" t="str">
        <f>IF(final_data787[[#This Row],[WEATHER_CODE]]=1,"clear",IF(final_data787[[#This Row],[WEATHER_CODE]]=2,"cloudy",IF(final_data787[[#This Row],[WEATHER_CODE]]=3,"light rain",IF(final_data787[[#This Row],[WEATHER_CODE]]=4,"heavy rain",0))))</f>
        <v>clear</v>
      </c>
      <c r="N635">
        <v>0.24</v>
      </c>
      <c r="O635">
        <v>0.2424</v>
      </c>
      <c r="P635">
        <v>0.6</v>
      </c>
      <c r="Q635">
        <v>0.16420000000000001</v>
      </c>
      <c r="R635">
        <v>19</v>
      </c>
      <c r="S635">
        <v>88</v>
      </c>
      <c r="T635">
        <v>107</v>
      </c>
    </row>
    <row r="636" spans="1:20" x14ac:dyDescent="0.35">
      <c r="A636">
        <v>635</v>
      </c>
      <c r="B636" s="1">
        <v>40572</v>
      </c>
      <c r="C636">
        <v>1</v>
      </c>
      <c r="D636">
        <v>0</v>
      </c>
      <c r="E636">
        <v>1</v>
      </c>
      <c r="F636" t="str">
        <f>IF(final_data787[[#This Row],[MONTH_CODE]]=1,"JANUARY",IF(final_data787[[#This Row],[MONTH_CODE]]=2,"FEBRUARY"))</f>
        <v>JANUARY</v>
      </c>
      <c r="G636">
        <v>17</v>
      </c>
      <c r="H636">
        <v>0</v>
      </c>
      <c r="I636">
        <v>6</v>
      </c>
      <c r="J6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6" t="str">
        <f>IF(final_data787[[#This Row],[DAY_CODE]]=0,"weekend",IF(final_data787[[#This Row],[DAY_CODE]]=1,"weekend","weekday"))</f>
        <v>weekday</v>
      </c>
      <c r="L636">
        <v>1</v>
      </c>
      <c r="M636" t="str">
        <f>IF(final_data787[[#This Row],[WEATHER_CODE]]=1,"clear",IF(final_data787[[#This Row],[WEATHER_CODE]]=2,"cloudy",IF(final_data787[[#This Row],[WEATHER_CODE]]=3,"light rain",IF(final_data787[[#This Row],[WEATHER_CODE]]=4,"heavy rain",0))))</f>
        <v>clear</v>
      </c>
      <c r="N636">
        <v>0.24</v>
      </c>
      <c r="O636">
        <v>0.28789999999999999</v>
      </c>
      <c r="P636">
        <v>0.6</v>
      </c>
      <c r="Q636">
        <v>0</v>
      </c>
      <c r="R636">
        <v>9</v>
      </c>
      <c r="S636">
        <v>82</v>
      </c>
      <c r="T636">
        <v>91</v>
      </c>
    </row>
    <row r="637" spans="1:20" x14ac:dyDescent="0.35">
      <c r="A637">
        <v>636</v>
      </c>
      <c r="B637" s="1">
        <v>40572</v>
      </c>
      <c r="C637">
        <v>1</v>
      </c>
      <c r="D637">
        <v>0</v>
      </c>
      <c r="E637">
        <v>1</v>
      </c>
      <c r="F637" t="str">
        <f>IF(final_data787[[#This Row],[MONTH_CODE]]=1,"JANUARY",IF(final_data787[[#This Row],[MONTH_CODE]]=2,"FEBRUARY"))</f>
        <v>JANUARY</v>
      </c>
      <c r="G637">
        <v>18</v>
      </c>
      <c r="H637">
        <v>0</v>
      </c>
      <c r="I637">
        <v>6</v>
      </c>
      <c r="J6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7" t="str">
        <f>IF(final_data787[[#This Row],[DAY_CODE]]=0,"weekend",IF(final_data787[[#This Row],[DAY_CODE]]=1,"weekend","weekday"))</f>
        <v>weekday</v>
      </c>
      <c r="L637">
        <v>1</v>
      </c>
      <c r="M637" t="str">
        <f>IF(final_data787[[#This Row],[WEATHER_CODE]]=1,"clear",IF(final_data787[[#This Row],[WEATHER_CODE]]=2,"cloudy",IF(final_data787[[#This Row],[WEATHER_CODE]]=3,"light rain",IF(final_data787[[#This Row],[WEATHER_CODE]]=4,"heavy rain",0))))</f>
        <v>clear</v>
      </c>
      <c r="N637">
        <v>0.22</v>
      </c>
      <c r="O637">
        <v>0.2273</v>
      </c>
      <c r="P637">
        <v>0.69</v>
      </c>
      <c r="Q637">
        <v>0.1343</v>
      </c>
      <c r="R637">
        <v>9</v>
      </c>
      <c r="S637">
        <v>59</v>
      </c>
      <c r="T637">
        <v>68</v>
      </c>
    </row>
    <row r="638" spans="1:20" x14ac:dyDescent="0.35">
      <c r="A638">
        <v>637</v>
      </c>
      <c r="B638" s="1">
        <v>40572</v>
      </c>
      <c r="C638">
        <v>1</v>
      </c>
      <c r="D638">
        <v>0</v>
      </c>
      <c r="E638">
        <v>1</v>
      </c>
      <c r="F638" t="str">
        <f>IF(final_data787[[#This Row],[MONTH_CODE]]=1,"JANUARY",IF(final_data787[[#This Row],[MONTH_CODE]]=2,"FEBRUARY"))</f>
        <v>JANUARY</v>
      </c>
      <c r="G638">
        <v>19</v>
      </c>
      <c r="H638">
        <v>0</v>
      </c>
      <c r="I638">
        <v>6</v>
      </c>
      <c r="J6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8" t="str">
        <f>IF(final_data787[[#This Row],[DAY_CODE]]=0,"weekend",IF(final_data787[[#This Row],[DAY_CODE]]=1,"weekend","weekday"))</f>
        <v>weekday</v>
      </c>
      <c r="L638">
        <v>2</v>
      </c>
      <c r="M638" t="str">
        <f>IF(final_data787[[#This Row],[WEATHER_CODE]]=1,"clear",IF(final_data787[[#This Row],[WEATHER_CODE]]=2,"cloudy",IF(final_data787[[#This Row],[WEATHER_CODE]]=3,"light rain",IF(final_data787[[#This Row],[WEATHER_CODE]]=4,"heavy rain",0))))</f>
        <v>cloudy</v>
      </c>
      <c r="N638">
        <v>0.22</v>
      </c>
      <c r="O638">
        <v>0.21210000000000001</v>
      </c>
      <c r="P638">
        <v>0.69</v>
      </c>
      <c r="Q638">
        <v>0.25369999999999998</v>
      </c>
      <c r="R638">
        <v>6</v>
      </c>
      <c r="S638">
        <v>52</v>
      </c>
      <c r="T638">
        <v>58</v>
      </c>
    </row>
    <row r="639" spans="1:20" x14ac:dyDescent="0.35">
      <c r="A639">
        <v>638</v>
      </c>
      <c r="B639" s="1">
        <v>40572</v>
      </c>
      <c r="C639">
        <v>1</v>
      </c>
      <c r="D639">
        <v>0</v>
      </c>
      <c r="E639">
        <v>1</v>
      </c>
      <c r="F639" t="str">
        <f>IF(final_data787[[#This Row],[MONTH_CODE]]=1,"JANUARY",IF(final_data787[[#This Row],[MONTH_CODE]]=2,"FEBRUARY"))</f>
        <v>JANUARY</v>
      </c>
      <c r="G639">
        <v>20</v>
      </c>
      <c r="H639">
        <v>0</v>
      </c>
      <c r="I639">
        <v>6</v>
      </c>
      <c r="J6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39" t="str">
        <f>IF(final_data787[[#This Row],[DAY_CODE]]=0,"weekend",IF(final_data787[[#This Row],[DAY_CODE]]=1,"weekend","weekday"))</f>
        <v>weekday</v>
      </c>
      <c r="L639">
        <v>1</v>
      </c>
      <c r="M639" t="str">
        <f>IF(final_data787[[#This Row],[WEATHER_CODE]]=1,"clear",IF(final_data787[[#This Row],[WEATHER_CODE]]=2,"cloudy",IF(final_data787[[#This Row],[WEATHER_CODE]]=3,"light rain",IF(final_data787[[#This Row],[WEATHER_CODE]]=4,"heavy rain",0))))</f>
        <v>clear</v>
      </c>
      <c r="N639">
        <v>0.18</v>
      </c>
      <c r="O639">
        <v>0.21210000000000001</v>
      </c>
      <c r="P639">
        <v>0.74</v>
      </c>
      <c r="Q639">
        <v>8.9599999999999999E-2</v>
      </c>
      <c r="R639">
        <v>1</v>
      </c>
      <c r="S639">
        <v>42</v>
      </c>
      <c r="T639">
        <v>43</v>
      </c>
    </row>
    <row r="640" spans="1:20" x14ac:dyDescent="0.35">
      <c r="A640">
        <v>639</v>
      </c>
      <c r="B640" s="1">
        <v>40572</v>
      </c>
      <c r="C640">
        <v>1</v>
      </c>
      <c r="D640">
        <v>0</v>
      </c>
      <c r="E640">
        <v>1</v>
      </c>
      <c r="F640" t="str">
        <f>IF(final_data787[[#This Row],[MONTH_CODE]]=1,"JANUARY",IF(final_data787[[#This Row],[MONTH_CODE]]=2,"FEBRUARY"))</f>
        <v>JANUARY</v>
      </c>
      <c r="G640">
        <v>21</v>
      </c>
      <c r="H640">
        <v>0</v>
      </c>
      <c r="I640">
        <v>6</v>
      </c>
      <c r="J6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40" t="str">
        <f>IF(final_data787[[#This Row],[DAY_CODE]]=0,"weekend",IF(final_data787[[#This Row],[DAY_CODE]]=1,"weekend","weekday"))</f>
        <v>weekday</v>
      </c>
      <c r="L640">
        <v>1</v>
      </c>
      <c r="M640" t="str">
        <f>IF(final_data787[[#This Row],[WEATHER_CODE]]=1,"clear",IF(final_data787[[#This Row],[WEATHER_CODE]]=2,"cloudy",IF(final_data787[[#This Row],[WEATHER_CODE]]=3,"light rain",IF(final_data787[[#This Row],[WEATHER_CODE]]=4,"heavy rain",0))))</f>
        <v>clear</v>
      </c>
      <c r="N640">
        <v>0.18</v>
      </c>
      <c r="O640">
        <v>0.21210000000000001</v>
      </c>
      <c r="P640">
        <v>0.74</v>
      </c>
      <c r="Q640">
        <v>8.9599999999999999E-2</v>
      </c>
      <c r="R640">
        <v>1</v>
      </c>
      <c r="S640">
        <v>35</v>
      </c>
      <c r="T640">
        <v>36</v>
      </c>
    </row>
    <row r="641" spans="1:20" x14ac:dyDescent="0.35">
      <c r="A641">
        <v>640</v>
      </c>
      <c r="B641" s="1">
        <v>40572</v>
      </c>
      <c r="C641">
        <v>1</v>
      </c>
      <c r="D641">
        <v>0</v>
      </c>
      <c r="E641">
        <v>1</v>
      </c>
      <c r="F641" t="str">
        <f>IF(final_data787[[#This Row],[MONTH_CODE]]=1,"JANUARY",IF(final_data787[[#This Row],[MONTH_CODE]]=2,"FEBRUARY"))</f>
        <v>JANUARY</v>
      </c>
      <c r="G641">
        <v>22</v>
      </c>
      <c r="H641">
        <v>0</v>
      </c>
      <c r="I641">
        <v>6</v>
      </c>
      <c r="J6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41" t="str">
        <f>IF(final_data787[[#This Row],[DAY_CODE]]=0,"weekend",IF(final_data787[[#This Row],[DAY_CODE]]=1,"weekend","weekday"))</f>
        <v>weekday</v>
      </c>
      <c r="L641">
        <v>1</v>
      </c>
      <c r="M641" t="str">
        <f>IF(final_data787[[#This Row],[WEATHER_CODE]]=1,"clear",IF(final_data787[[#This Row],[WEATHER_CODE]]=2,"cloudy",IF(final_data787[[#This Row],[WEATHER_CODE]]=3,"light rain",IF(final_data787[[#This Row],[WEATHER_CODE]]=4,"heavy rain",0))))</f>
        <v>clear</v>
      </c>
      <c r="N641">
        <v>0.16</v>
      </c>
      <c r="O641">
        <v>0.19700000000000001</v>
      </c>
      <c r="P641">
        <v>0.8</v>
      </c>
      <c r="Q641">
        <v>8.9599999999999999E-2</v>
      </c>
      <c r="R641">
        <v>4</v>
      </c>
      <c r="S641">
        <v>28</v>
      </c>
      <c r="T641">
        <v>32</v>
      </c>
    </row>
    <row r="642" spans="1:20" x14ac:dyDescent="0.35">
      <c r="A642">
        <v>641</v>
      </c>
      <c r="B642" s="1">
        <v>40572</v>
      </c>
      <c r="C642">
        <v>1</v>
      </c>
      <c r="D642">
        <v>0</v>
      </c>
      <c r="E642">
        <v>1</v>
      </c>
      <c r="F642" t="str">
        <f>IF(final_data787[[#This Row],[MONTH_CODE]]=1,"JANUARY",IF(final_data787[[#This Row],[MONTH_CODE]]=2,"FEBRUARY"))</f>
        <v>JANUARY</v>
      </c>
      <c r="G642">
        <v>23</v>
      </c>
      <c r="H642">
        <v>0</v>
      </c>
      <c r="I642">
        <v>6</v>
      </c>
      <c r="J6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642" t="str">
        <f>IF(final_data787[[#This Row],[DAY_CODE]]=0,"weekend",IF(final_data787[[#This Row],[DAY_CODE]]=1,"weekend","weekday"))</f>
        <v>weekday</v>
      </c>
      <c r="L642">
        <v>1</v>
      </c>
      <c r="M642" t="str">
        <f>IF(final_data787[[#This Row],[WEATHER_CODE]]=1,"clear",IF(final_data787[[#This Row],[WEATHER_CODE]]=2,"cloudy",IF(final_data787[[#This Row],[WEATHER_CODE]]=3,"light rain",IF(final_data787[[#This Row],[WEATHER_CODE]]=4,"heavy rain",0))))</f>
        <v>clear</v>
      </c>
      <c r="N642">
        <v>0.16</v>
      </c>
      <c r="O642">
        <v>0.19700000000000001</v>
      </c>
      <c r="P642">
        <v>0.8</v>
      </c>
      <c r="Q642">
        <v>8.9599999999999999E-2</v>
      </c>
      <c r="R642">
        <v>3</v>
      </c>
      <c r="S642">
        <v>30</v>
      </c>
      <c r="T642">
        <v>33</v>
      </c>
    </row>
    <row r="643" spans="1:20" x14ac:dyDescent="0.35">
      <c r="A643">
        <v>642</v>
      </c>
      <c r="B643" s="1">
        <v>40573</v>
      </c>
      <c r="C643">
        <v>1</v>
      </c>
      <c r="D643">
        <v>0</v>
      </c>
      <c r="E643">
        <v>1</v>
      </c>
      <c r="F643" t="str">
        <f>IF(final_data787[[#This Row],[MONTH_CODE]]=1,"JANUARY",IF(final_data787[[#This Row],[MONTH_CODE]]=2,"FEBRUARY"))</f>
        <v>JANUARY</v>
      </c>
      <c r="G643">
        <v>0</v>
      </c>
      <c r="H643">
        <v>0</v>
      </c>
      <c r="I643">
        <v>0</v>
      </c>
      <c r="J6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3" t="str">
        <f>IF(final_data787[[#This Row],[DAY_CODE]]=0,"weekend",IF(final_data787[[#This Row],[DAY_CODE]]=1,"weekend","weekday"))</f>
        <v>weekend</v>
      </c>
      <c r="L643">
        <v>1</v>
      </c>
      <c r="M643" t="str">
        <f>IF(final_data787[[#This Row],[WEATHER_CODE]]=1,"clear",IF(final_data787[[#This Row],[WEATHER_CODE]]=2,"cloudy",IF(final_data787[[#This Row],[WEATHER_CODE]]=3,"light rain",IF(final_data787[[#This Row],[WEATHER_CODE]]=4,"heavy rain",0))))</f>
        <v>clear</v>
      </c>
      <c r="N643">
        <v>0.16</v>
      </c>
      <c r="O643">
        <v>0.18179999999999999</v>
      </c>
      <c r="P643">
        <v>0.8</v>
      </c>
      <c r="Q643">
        <v>0.1045</v>
      </c>
      <c r="R643">
        <v>0</v>
      </c>
      <c r="S643">
        <v>33</v>
      </c>
      <c r="T643">
        <v>33</v>
      </c>
    </row>
    <row r="644" spans="1:20" x14ac:dyDescent="0.35">
      <c r="A644">
        <v>643</v>
      </c>
      <c r="B644" s="1">
        <v>40573</v>
      </c>
      <c r="C644">
        <v>1</v>
      </c>
      <c r="D644">
        <v>0</v>
      </c>
      <c r="E644">
        <v>1</v>
      </c>
      <c r="F644" t="str">
        <f>IF(final_data787[[#This Row],[MONTH_CODE]]=1,"JANUARY",IF(final_data787[[#This Row],[MONTH_CODE]]=2,"FEBRUARY"))</f>
        <v>JANUARY</v>
      </c>
      <c r="G644">
        <v>1</v>
      </c>
      <c r="H644">
        <v>0</v>
      </c>
      <c r="I644">
        <v>0</v>
      </c>
      <c r="J6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4" t="str">
        <f>IF(final_data787[[#This Row],[DAY_CODE]]=0,"weekend",IF(final_data787[[#This Row],[DAY_CODE]]=1,"weekend","weekday"))</f>
        <v>weekend</v>
      </c>
      <c r="L644">
        <v>1</v>
      </c>
      <c r="M644" t="str">
        <f>IF(final_data787[[#This Row],[WEATHER_CODE]]=1,"clear",IF(final_data787[[#This Row],[WEATHER_CODE]]=2,"cloudy",IF(final_data787[[#This Row],[WEATHER_CODE]]=3,"light rain",IF(final_data787[[#This Row],[WEATHER_CODE]]=4,"heavy rain",0))))</f>
        <v>clear</v>
      </c>
      <c r="N644">
        <v>0.14000000000000001</v>
      </c>
      <c r="O644">
        <v>0.21210000000000001</v>
      </c>
      <c r="P644">
        <v>0.8</v>
      </c>
      <c r="Q644">
        <v>0</v>
      </c>
      <c r="R644">
        <v>7</v>
      </c>
      <c r="S644">
        <v>22</v>
      </c>
      <c r="T644">
        <v>29</v>
      </c>
    </row>
    <row r="645" spans="1:20" x14ac:dyDescent="0.35">
      <c r="A645">
        <v>644</v>
      </c>
      <c r="B645" s="1">
        <v>40573</v>
      </c>
      <c r="C645">
        <v>1</v>
      </c>
      <c r="D645">
        <v>0</v>
      </c>
      <c r="E645">
        <v>1</v>
      </c>
      <c r="F645" t="str">
        <f>IF(final_data787[[#This Row],[MONTH_CODE]]=1,"JANUARY",IF(final_data787[[#This Row],[MONTH_CODE]]=2,"FEBRUARY"))</f>
        <v>JANUARY</v>
      </c>
      <c r="G645">
        <v>2</v>
      </c>
      <c r="H645">
        <v>0</v>
      </c>
      <c r="I645">
        <v>0</v>
      </c>
      <c r="J6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5" t="str">
        <f>IF(final_data787[[#This Row],[DAY_CODE]]=0,"weekend",IF(final_data787[[#This Row],[DAY_CODE]]=1,"weekend","weekday"))</f>
        <v>weekend</v>
      </c>
      <c r="L645">
        <v>1</v>
      </c>
      <c r="M645" t="str">
        <f>IF(final_data787[[#This Row],[WEATHER_CODE]]=1,"clear",IF(final_data787[[#This Row],[WEATHER_CODE]]=2,"cloudy",IF(final_data787[[#This Row],[WEATHER_CODE]]=3,"light rain",IF(final_data787[[#This Row],[WEATHER_CODE]]=4,"heavy rain",0))))</f>
        <v>clear</v>
      </c>
      <c r="N645">
        <v>0.16</v>
      </c>
      <c r="O645">
        <v>0.2273</v>
      </c>
      <c r="P645">
        <v>0.8</v>
      </c>
      <c r="Q645">
        <v>0</v>
      </c>
      <c r="R645">
        <v>1</v>
      </c>
      <c r="S645">
        <v>10</v>
      </c>
      <c r="T645">
        <v>11</v>
      </c>
    </row>
    <row r="646" spans="1:20" x14ac:dyDescent="0.35">
      <c r="A646">
        <v>645</v>
      </c>
      <c r="B646" s="1">
        <v>40573</v>
      </c>
      <c r="C646">
        <v>1</v>
      </c>
      <c r="D646">
        <v>0</v>
      </c>
      <c r="E646">
        <v>1</v>
      </c>
      <c r="F646" t="str">
        <f>IF(final_data787[[#This Row],[MONTH_CODE]]=1,"JANUARY",IF(final_data787[[#This Row],[MONTH_CODE]]=2,"FEBRUARY"))</f>
        <v>JANUARY</v>
      </c>
      <c r="G646">
        <v>3</v>
      </c>
      <c r="H646">
        <v>0</v>
      </c>
      <c r="I646">
        <v>0</v>
      </c>
      <c r="J6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6" t="str">
        <f>IF(final_data787[[#This Row],[DAY_CODE]]=0,"weekend",IF(final_data787[[#This Row],[DAY_CODE]]=1,"weekend","weekday"))</f>
        <v>weekend</v>
      </c>
      <c r="L646">
        <v>1</v>
      </c>
      <c r="M646" t="str">
        <f>IF(final_data787[[#This Row],[WEATHER_CODE]]=1,"clear",IF(final_data787[[#This Row],[WEATHER_CODE]]=2,"cloudy",IF(final_data787[[#This Row],[WEATHER_CODE]]=3,"light rain",IF(final_data787[[#This Row],[WEATHER_CODE]]=4,"heavy rain",0))))</f>
        <v>clear</v>
      </c>
      <c r="N646">
        <v>0.14000000000000001</v>
      </c>
      <c r="O646">
        <v>0.21210000000000001</v>
      </c>
      <c r="P646">
        <v>0.93</v>
      </c>
      <c r="Q646">
        <v>0</v>
      </c>
      <c r="R646">
        <v>1</v>
      </c>
      <c r="S646">
        <v>7</v>
      </c>
      <c r="T646">
        <v>8</v>
      </c>
    </row>
    <row r="647" spans="1:20" x14ac:dyDescent="0.35">
      <c r="A647">
        <v>646</v>
      </c>
      <c r="B647" s="1">
        <v>40573</v>
      </c>
      <c r="C647">
        <v>1</v>
      </c>
      <c r="D647">
        <v>0</v>
      </c>
      <c r="E647">
        <v>1</v>
      </c>
      <c r="F647" t="str">
        <f>IF(final_data787[[#This Row],[MONTH_CODE]]=1,"JANUARY",IF(final_data787[[#This Row],[MONTH_CODE]]=2,"FEBRUARY"))</f>
        <v>JANUARY</v>
      </c>
      <c r="G647">
        <v>4</v>
      </c>
      <c r="H647">
        <v>0</v>
      </c>
      <c r="I647">
        <v>0</v>
      </c>
      <c r="J6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7" t="str">
        <f>IF(final_data787[[#This Row],[DAY_CODE]]=0,"weekend",IF(final_data787[[#This Row],[DAY_CODE]]=1,"weekend","weekday"))</f>
        <v>weekend</v>
      </c>
      <c r="L647">
        <v>1</v>
      </c>
      <c r="M647" t="str">
        <f>IF(final_data787[[#This Row],[WEATHER_CODE]]=1,"clear",IF(final_data787[[#This Row],[WEATHER_CODE]]=2,"cloudy",IF(final_data787[[#This Row],[WEATHER_CODE]]=3,"light rain",IF(final_data787[[#This Row],[WEATHER_CODE]]=4,"heavy rain",0))))</f>
        <v>clear</v>
      </c>
      <c r="N647">
        <v>0.14000000000000001</v>
      </c>
      <c r="O647">
        <v>0.21210000000000001</v>
      </c>
      <c r="P647">
        <v>0.93</v>
      </c>
      <c r="Q647">
        <v>0</v>
      </c>
      <c r="R647">
        <v>0</v>
      </c>
      <c r="S647">
        <v>1</v>
      </c>
      <c r="T647">
        <v>1</v>
      </c>
    </row>
    <row r="648" spans="1:20" x14ac:dyDescent="0.35">
      <c r="A648">
        <v>647</v>
      </c>
      <c r="B648" s="1">
        <v>40573</v>
      </c>
      <c r="C648">
        <v>1</v>
      </c>
      <c r="D648">
        <v>0</v>
      </c>
      <c r="E648">
        <v>1</v>
      </c>
      <c r="F648" t="str">
        <f>IF(final_data787[[#This Row],[MONTH_CODE]]=1,"JANUARY",IF(final_data787[[#This Row],[MONTH_CODE]]=2,"FEBRUARY"))</f>
        <v>JANUARY</v>
      </c>
      <c r="G648">
        <v>5</v>
      </c>
      <c r="H648">
        <v>0</v>
      </c>
      <c r="I648">
        <v>0</v>
      </c>
      <c r="J6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8" t="str">
        <f>IF(final_data787[[#This Row],[DAY_CODE]]=0,"weekend",IF(final_data787[[#This Row],[DAY_CODE]]=1,"weekend","weekday"))</f>
        <v>weekend</v>
      </c>
      <c r="L648">
        <v>1</v>
      </c>
      <c r="M648" t="str">
        <f>IF(final_data787[[#This Row],[WEATHER_CODE]]=1,"clear",IF(final_data787[[#This Row],[WEATHER_CODE]]=2,"cloudy",IF(final_data787[[#This Row],[WEATHER_CODE]]=3,"light rain",IF(final_data787[[#This Row],[WEATHER_CODE]]=4,"heavy rain",0))))</f>
        <v>clear</v>
      </c>
      <c r="N648">
        <v>0.14000000000000001</v>
      </c>
      <c r="O648">
        <v>0.21210000000000001</v>
      </c>
      <c r="P648">
        <v>0.86</v>
      </c>
      <c r="Q648">
        <v>0</v>
      </c>
      <c r="R648">
        <v>0</v>
      </c>
      <c r="S648">
        <v>3</v>
      </c>
      <c r="T648">
        <v>3</v>
      </c>
    </row>
    <row r="649" spans="1:20" x14ac:dyDescent="0.35">
      <c r="A649">
        <v>648</v>
      </c>
      <c r="B649" s="1">
        <v>40573</v>
      </c>
      <c r="C649">
        <v>1</v>
      </c>
      <c r="D649">
        <v>0</v>
      </c>
      <c r="E649">
        <v>1</v>
      </c>
      <c r="F649" t="str">
        <f>IF(final_data787[[#This Row],[MONTH_CODE]]=1,"JANUARY",IF(final_data787[[#This Row],[MONTH_CODE]]=2,"FEBRUARY"))</f>
        <v>JANUARY</v>
      </c>
      <c r="G649">
        <v>7</v>
      </c>
      <c r="H649">
        <v>0</v>
      </c>
      <c r="I649">
        <v>0</v>
      </c>
      <c r="J6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49" t="str">
        <f>IF(final_data787[[#This Row],[DAY_CODE]]=0,"weekend",IF(final_data787[[#This Row],[DAY_CODE]]=1,"weekend","weekday"))</f>
        <v>weekend</v>
      </c>
      <c r="L649">
        <v>1</v>
      </c>
      <c r="M649" t="str">
        <f>IF(final_data787[[#This Row],[WEATHER_CODE]]=1,"clear",IF(final_data787[[#This Row],[WEATHER_CODE]]=2,"cloudy",IF(final_data787[[#This Row],[WEATHER_CODE]]=3,"light rain",IF(final_data787[[#This Row],[WEATHER_CODE]]=4,"heavy rain",0))))</f>
        <v>clear</v>
      </c>
      <c r="N649">
        <v>0.14000000000000001</v>
      </c>
      <c r="O649">
        <v>0.21210000000000001</v>
      </c>
      <c r="P649">
        <v>0.86</v>
      </c>
      <c r="Q649">
        <v>0</v>
      </c>
      <c r="R649">
        <v>0</v>
      </c>
      <c r="S649">
        <v>3</v>
      </c>
      <c r="T649">
        <v>3</v>
      </c>
    </row>
    <row r="650" spans="1:20" x14ac:dyDescent="0.35">
      <c r="A650">
        <v>649</v>
      </c>
      <c r="B650" s="1">
        <v>40573</v>
      </c>
      <c r="C650">
        <v>1</v>
      </c>
      <c r="D650">
        <v>0</v>
      </c>
      <c r="E650">
        <v>1</v>
      </c>
      <c r="F650" t="str">
        <f>IF(final_data787[[#This Row],[MONTH_CODE]]=1,"JANUARY",IF(final_data787[[#This Row],[MONTH_CODE]]=2,"FEBRUARY"))</f>
        <v>JANUARY</v>
      </c>
      <c r="G650">
        <v>8</v>
      </c>
      <c r="H650">
        <v>0</v>
      </c>
      <c r="I650">
        <v>0</v>
      </c>
      <c r="J6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0" t="str">
        <f>IF(final_data787[[#This Row],[DAY_CODE]]=0,"weekend",IF(final_data787[[#This Row],[DAY_CODE]]=1,"weekend","weekday"))</f>
        <v>weekend</v>
      </c>
      <c r="L650">
        <v>2</v>
      </c>
      <c r="M650" t="str">
        <f>IF(final_data787[[#This Row],[WEATHER_CODE]]=1,"clear",IF(final_data787[[#This Row],[WEATHER_CODE]]=2,"cloudy",IF(final_data787[[#This Row],[WEATHER_CODE]]=3,"light rain",IF(final_data787[[#This Row],[WEATHER_CODE]]=4,"heavy rain",0))))</f>
        <v>cloudy</v>
      </c>
      <c r="N650">
        <v>0.14000000000000001</v>
      </c>
      <c r="O650">
        <v>0.21210000000000001</v>
      </c>
      <c r="P650">
        <v>0.86</v>
      </c>
      <c r="Q650">
        <v>0</v>
      </c>
      <c r="R650">
        <v>1</v>
      </c>
      <c r="S650">
        <v>11</v>
      </c>
      <c r="T650">
        <v>12</v>
      </c>
    </row>
    <row r="651" spans="1:20" x14ac:dyDescent="0.35">
      <c r="A651">
        <v>650</v>
      </c>
      <c r="B651" s="1">
        <v>40573</v>
      </c>
      <c r="C651">
        <v>1</v>
      </c>
      <c r="D651">
        <v>0</v>
      </c>
      <c r="E651">
        <v>1</v>
      </c>
      <c r="F651" t="str">
        <f>IF(final_data787[[#This Row],[MONTH_CODE]]=1,"JANUARY",IF(final_data787[[#This Row],[MONTH_CODE]]=2,"FEBRUARY"))</f>
        <v>JANUARY</v>
      </c>
      <c r="G651">
        <v>9</v>
      </c>
      <c r="H651">
        <v>0</v>
      </c>
      <c r="I651">
        <v>0</v>
      </c>
      <c r="J6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1" t="str">
        <f>IF(final_data787[[#This Row],[DAY_CODE]]=0,"weekend",IF(final_data787[[#This Row],[DAY_CODE]]=1,"weekend","weekday"))</f>
        <v>weekend</v>
      </c>
      <c r="L651">
        <v>2</v>
      </c>
      <c r="M651" t="str">
        <f>IF(final_data787[[#This Row],[WEATHER_CODE]]=1,"clear",IF(final_data787[[#This Row],[WEATHER_CODE]]=2,"cloudy",IF(final_data787[[#This Row],[WEATHER_CODE]]=3,"light rain",IF(final_data787[[#This Row],[WEATHER_CODE]]=4,"heavy rain",0))))</f>
        <v>cloudy</v>
      </c>
      <c r="N651">
        <v>0.16</v>
      </c>
      <c r="O651">
        <v>0.2273</v>
      </c>
      <c r="P651">
        <v>0.8</v>
      </c>
      <c r="Q651">
        <v>0</v>
      </c>
      <c r="R651">
        <v>4</v>
      </c>
      <c r="S651">
        <v>34</v>
      </c>
      <c r="T651">
        <v>38</v>
      </c>
    </row>
    <row r="652" spans="1:20" x14ac:dyDescent="0.35">
      <c r="A652">
        <v>651</v>
      </c>
      <c r="B652" s="1">
        <v>40573</v>
      </c>
      <c r="C652">
        <v>1</v>
      </c>
      <c r="D652">
        <v>0</v>
      </c>
      <c r="E652">
        <v>1</v>
      </c>
      <c r="F652" t="str">
        <f>IF(final_data787[[#This Row],[MONTH_CODE]]=1,"JANUARY",IF(final_data787[[#This Row],[MONTH_CODE]]=2,"FEBRUARY"))</f>
        <v>JANUARY</v>
      </c>
      <c r="G652">
        <v>10</v>
      </c>
      <c r="H652">
        <v>0</v>
      </c>
      <c r="I652">
        <v>0</v>
      </c>
      <c r="J6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2" t="str">
        <f>IF(final_data787[[#This Row],[DAY_CODE]]=0,"weekend",IF(final_data787[[#This Row],[DAY_CODE]]=1,"weekend","weekday"))</f>
        <v>weekend</v>
      </c>
      <c r="L652">
        <v>2</v>
      </c>
      <c r="M652" t="str">
        <f>IF(final_data787[[#This Row],[WEATHER_CODE]]=1,"clear",IF(final_data787[[#This Row],[WEATHER_CODE]]=2,"cloudy",IF(final_data787[[#This Row],[WEATHER_CODE]]=3,"light rain",IF(final_data787[[#This Row],[WEATHER_CODE]]=4,"heavy rain",0))))</f>
        <v>cloudy</v>
      </c>
      <c r="N652">
        <v>0.18</v>
      </c>
      <c r="O652">
        <v>0.2424</v>
      </c>
      <c r="P652">
        <v>0.8</v>
      </c>
      <c r="Q652">
        <v>0</v>
      </c>
      <c r="R652">
        <v>7</v>
      </c>
      <c r="S652">
        <v>57</v>
      </c>
      <c r="T652">
        <v>64</v>
      </c>
    </row>
    <row r="653" spans="1:20" x14ac:dyDescent="0.35">
      <c r="A653">
        <v>652</v>
      </c>
      <c r="B653" s="1">
        <v>40573</v>
      </c>
      <c r="C653">
        <v>1</v>
      </c>
      <c r="D653">
        <v>0</v>
      </c>
      <c r="E653">
        <v>1</v>
      </c>
      <c r="F653" t="str">
        <f>IF(final_data787[[#This Row],[MONTH_CODE]]=1,"JANUARY",IF(final_data787[[#This Row],[MONTH_CODE]]=2,"FEBRUARY"))</f>
        <v>JANUARY</v>
      </c>
      <c r="G653">
        <v>11</v>
      </c>
      <c r="H653">
        <v>0</v>
      </c>
      <c r="I653">
        <v>0</v>
      </c>
      <c r="J6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3" t="str">
        <f>IF(final_data787[[#This Row],[DAY_CODE]]=0,"weekend",IF(final_data787[[#This Row],[DAY_CODE]]=1,"weekend","weekday"))</f>
        <v>weekend</v>
      </c>
      <c r="L653">
        <v>1</v>
      </c>
      <c r="M653" t="str">
        <f>IF(final_data787[[#This Row],[WEATHER_CODE]]=1,"clear",IF(final_data787[[#This Row],[WEATHER_CODE]]=2,"cloudy",IF(final_data787[[#This Row],[WEATHER_CODE]]=3,"light rain",IF(final_data787[[#This Row],[WEATHER_CODE]]=4,"heavy rain",0))))</f>
        <v>clear</v>
      </c>
      <c r="N653">
        <v>0.22</v>
      </c>
      <c r="O653">
        <v>0.2727</v>
      </c>
      <c r="P653">
        <v>0.75</v>
      </c>
      <c r="Q653">
        <v>0</v>
      </c>
      <c r="R653">
        <v>9</v>
      </c>
      <c r="S653">
        <v>50</v>
      </c>
      <c r="T653">
        <v>59</v>
      </c>
    </row>
    <row r="654" spans="1:20" x14ac:dyDescent="0.35">
      <c r="A654">
        <v>653</v>
      </c>
      <c r="B654" s="1">
        <v>40573</v>
      </c>
      <c r="C654">
        <v>1</v>
      </c>
      <c r="D654">
        <v>0</v>
      </c>
      <c r="E654">
        <v>1</v>
      </c>
      <c r="F654" t="str">
        <f>IF(final_data787[[#This Row],[MONTH_CODE]]=1,"JANUARY",IF(final_data787[[#This Row],[MONTH_CODE]]=2,"FEBRUARY"))</f>
        <v>JANUARY</v>
      </c>
      <c r="G654">
        <v>12</v>
      </c>
      <c r="H654">
        <v>0</v>
      </c>
      <c r="I654">
        <v>0</v>
      </c>
      <c r="J6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4" t="str">
        <f>IF(final_data787[[#This Row],[DAY_CODE]]=0,"weekend",IF(final_data787[[#This Row],[DAY_CODE]]=1,"weekend","weekday"))</f>
        <v>weekend</v>
      </c>
      <c r="L654">
        <v>1</v>
      </c>
      <c r="M654" t="str">
        <f>IF(final_data787[[#This Row],[WEATHER_CODE]]=1,"clear",IF(final_data787[[#This Row],[WEATHER_CODE]]=2,"cloudy",IF(final_data787[[#This Row],[WEATHER_CODE]]=3,"light rain",IF(final_data787[[#This Row],[WEATHER_CODE]]=4,"heavy rain",0))))</f>
        <v>clear</v>
      </c>
      <c r="N654">
        <v>0.3</v>
      </c>
      <c r="O654">
        <v>0.31819999999999998</v>
      </c>
      <c r="P654">
        <v>0.52</v>
      </c>
      <c r="Q654">
        <v>0.1045</v>
      </c>
      <c r="R654">
        <v>10</v>
      </c>
      <c r="S654">
        <v>87</v>
      </c>
      <c r="T654">
        <v>97</v>
      </c>
    </row>
    <row r="655" spans="1:20" x14ac:dyDescent="0.35">
      <c r="A655">
        <v>654</v>
      </c>
      <c r="B655" s="1">
        <v>40573</v>
      </c>
      <c r="C655">
        <v>1</v>
      </c>
      <c r="D655">
        <v>0</v>
      </c>
      <c r="E655">
        <v>1</v>
      </c>
      <c r="F655" t="str">
        <f>IF(final_data787[[#This Row],[MONTH_CODE]]=1,"JANUARY",IF(final_data787[[#This Row],[MONTH_CODE]]=2,"FEBRUARY"))</f>
        <v>JANUARY</v>
      </c>
      <c r="G655">
        <v>13</v>
      </c>
      <c r="H655">
        <v>0</v>
      </c>
      <c r="I655">
        <v>0</v>
      </c>
      <c r="J6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5" t="str">
        <f>IF(final_data787[[#This Row],[DAY_CODE]]=0,"weekend",IF(final_data787[[#This Row],[DAY_CODE]]=1,"weekend","weekday"))</f>
        <v>weekend</v>
      </c>
      <c r="L655">
        <v>1</v>
      </c>
      <c r="M655" t="str">
        <f>IF(final_data787[[#This Row],[WEATHER_CODE]]=1,"clear",IF(final_data787[[#This Row],[WEATHER_CODE]]=2,"cloudy",IF(final_data787[[#This Row],[WEATHER_CODE]]=3,"light rain",IF(final_data787[[#This Row],[WEATHER_CODE]]=4,"heavy rain",0))))</f>
        <v>clear</v>
      </c>
      <c r="N655">
        <v>0.28000000000000003</v>
      </c>
      <c r="O655">
        <v>0.28789999999999999</v>
      </c>
      <c r="P655">
        <v>0.61</v>
      </c>
      <c r="Q655">
        <v>0.1045</v>
      </c>
      <c r="R655">
        <v>13</v>
      </c>
      <c r="S655">
        <v>71</v>
      </c>
      <c r="T655">
        <v>84</v>
      </c>
    </row>
    <row r="656" spans="1:20" x14ac:dyDescent="0.35">
      <c r="A656">
        <v>655</v>
      </c>
      <c r="B656" s="1">
        <v>40573</v>
      </c>
      <c r="C656">
        <v>1</v>
      </c>
      <c r="D656">
        <v>0</v>
      </c>
      <c r="E656">
        <v>1</v>
      </c>
      <c r="F656" t="str">
        <f>IF(final_data787[[#This Row],[MONTH_CODE]]=1,"JANUARY",IF(final_data787[[#This Row],[MONTH_CODE]]=2,"FEBRUARY"))</f>
        <v>JANUARY</v>
      </c>
      <c r="G656">
        <v>14</v>
      </c>
      <c r="H656">
        <v>0</v>
      </c>
      <c r="I656">
        <v>0</v>
      </c>
      <c r="J6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6" t="str">
        <f>IF(final_data787[[#This Row],[DAY_CODE]]=0,"weekend",IF(final_data787[[#This Row],[DAY_CODE]]=1,"weekend","weekday"))</f>
        <v>weekend</v>
      </c>
      <c r="L656">
        <v>1</v>
      </c>
      <c r="M656" t="str">
        <f>IF(final_data787[[#This Row],[WEATHER_CODE]]=1,"clear",IF(final_data787[[#This Row],[WEATHER_CODE]]=2,"cloudy",IF(final_data787[[#This Row],[WEATHER_CODE]]=3,"light rain",IF(final_data787[[#This Row],[WEATHER_CODE]]=4,"heavy rain",0))))</f>
        <v>clear</v>
      </c>
      <c r="N656">
        <v>0.28000000000000003</v>
      </c>
      <c r="O656">
        <v>0.30299999999999999</v>
      </c>
      <c r="P656">
        <v>0.61</v>
      </c>
      <c r="Q656">
        <v>8.9599999999999999E-2</v>
      </c>
      <c r="R656">
        <v>18</v>
      </c>
      <c r="S656">
        <v>104</v>
      </c>
      <c r="T656">
        <v>122</v>
      </c>
    </row>
    <row r="657" spans="1:20" x14ac:dyDescent="0.35">
      <c r="A657">
        <v>656</v>
      </c>
      <c r="B657" s="1">
        <v>40573</v>
      </c>
      <c r="C657">
        <v>1</v>
      </c>
      <c r="D657">
        <v>0</v>
      </c>
      <c r="E657">
        <v>1</v>
      </c>
      <c r="F657" t="str">
        <f>IF(final_data787[[#This Row],[MONTH_CODE]]=1,"JANUARY",IF(final_data787[[#This Row],[MONTH_CODE]]=2,"FEBRUARY"))</f>
        <v>JANUARY</v>
      </c>
      <c r="G657">
        <v>15</v>
      </c>
      <c r="H657">
        <v>0</v>
      </c>
      <c r="I657">
        <v>0</v>
      </c>
      <c r="J6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7" t="str">
        <f>IF(final_data787[[#This Row],[DAY_CODE]]=0,"weekend",IF(final_data787[[#This Row],[DAY_CODE]]=1,"weekend","weekday"))</f>
        <v>weekend</v>
      </c>
      <c r="L657">
        <v>1</v>
      </c>
      <c r="M657" t="str">
        <f>IF(final_data787[[#This Row],[WEATHER_CODE]]=1,"clear",IF(final_data787[[#This Row],[WEATHER_CODE]]=2,"cloudy",IF(final_data787[[#This Row],[WEATHER_CODE]]=3,"light rain",IF(final_data787[[#This Row],[WEATHER_CODE]]=4,"heavy rain",0))))</f>
        <v>clear</v>
      </c>
      <c r="N657">
        <v>0.3</v>
      </c>
      <c r="O657">
        <v>0.33329999999999999</v>
      </c>
      <c r="P657">
        <v>0.56000000000000005</v>
      </c>
      <c r="Q657">
        <v>0</v>
      </c>
      <c r="R657">
        <v>14</v>
      </c>
      <c r="S657">
        <v>95</v>
      </c>
      <c r="T657">
        <v>109</v>
      </c>
    </row>
    <row r="658" spans="1:20" x14ac:dyDescent="0.35">
      <c r="A658">
        <v>657</v>
      </c>
      <c r="B658" s="1">
        <v>40573</v>
      </c>
      <c r="C658">
        <v>1</v>
      </c>
      <c r="D658">
        <v>0</v>
      </c>
      <c r="E658">
        <v>1</v>
      </c>
      <c r="F658" t="str">
        <f>IF(final_data787[[#This Row],[MONTH_CODE]]=1,"JANUARY",IF(final_data787[[#This Row],[MONTH_CODE]]=2,"FEBRUARY"))</f>
        <v>JANUARY</v>
      </c>
      <c r="G658">
        <v>16</v>
      </c>
      <c r="H658">
        <v>0</v>
      </c>
      <c r="I658">
        <v>0</v>
      </c>
      <c r="J6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8" t="str">
        <f>IF(final_data787[[#This Row],[DAY_CODE]]=0,"weekend",IF(final_data787[[#This Row],[DAY_CODE]]=1,"weekend","weekday"))</f>
        <v>weekend</v>
      </c>
      <c r="L658">
        <v>1</v>
      </c>
      <c r="M658" t="str">
        <f>IF(final_data787[[#This Row],[WEATHER_CODE]]=1,"clear",IF(final_data787[[#This Row],[WEATHER_CODE]]=2,"cloudy",IF(final_data787[[#This Row],[WEATHER_CODE]]=3,"light rain",IF(final_data787[[#This Row],[WEATHER_CODE]]=4,"heavy rain",0))))</f>
        <v>clear</v>
      </c>
      <c r="N658">
        <v>0.3</v>
      </c>
      <c r="O658">
        <v>0.33329999999999999</v>
      </c>
      <c r="P658">
        <v>0.56000000000000005</v>
      </c>
      <c r="Q658">
        <v>0</v>
      </c>
      <c r="R658">
        <v>19</v>
      </c>
      <c r="S658">
        <v>104</v>
      </c>
      <c r="T658">
        <v>123</v>
      </c>
    </row>
    <row r="659" spans="1:20" x14ac:dyDescent="0.35">
      <c r="A659">
        <v>658</v>
      </c>
      <c r="B659" s="1">
        <v>40573</v>
      </c>
      <c r="C659">
        <v>1</v>
      </c>
      <c r="D659">
        <v>0</v>
      </c>
      <c r="E659">
        <v>1</v>
      </c>
      <c r="F659" t="str">
        <f>IF(final_data787[[#This Row],[MONTH_CODE]]=1,"JANUARY",IF(final_data787[[#This Row],[MONTH_CODE]]=2,"FEBRUARY"))</f>
        <v>JANUARY</v>
      </c>
      <c r="G659">
        <v>17</v>
      </c>
      <c r="H659">
        <v>0</v>
      </c>
      <c r="I659">
        <v>0</v>
      </c>
      <c r="J6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59" t="str">
        <f>IF(final_data787[[#This Row],[DAY_CODE]]=0,"weekend",IF(final_data787[[#This Row],[DAY_CODE]]=1,"weekend","weekday"))</f>
        <v>weekend</v>
      </c>
      <c r="L659">
        <v>1</v>
      </c>
      <c r="M659" t="str">
        <f>IF(final_data787[[#This Row],[WEATHER_CODE]]=1,"clear",IF(final_data787[[#This Row],[WEATHER_CODE]]=2,"cloudy",IF(final_data787[[#This Row],[WEATHER_CODE]]=3,"light rain",IF(final_data787[[#This Row],[WEATHER_CODE]]=4,"heavy rain",0))))</f>
        <v>clear</v>
      </c>
      <c r="N659">
        <v>0.3</v>
      </c>
      <c r="O659">
        <v>0.28789999999999999</v>
      </c>
      <c r="P659">
        <v>0.56000000000000005</v>
      </c>
      <c r="Q659">
        <v>0.19400000000000001</v>
      </c>
      <c r="R659">
        <v>6</v>
      </c>
      <c r="S659">
        <v>71</v>
      </c>
      <c r="T659">
        <v>77</v>
      </c>
    </row>
    <row r="660" spans="1:20" x14ac:dyDescent="0.35">
      <c r="A660">
        <v>659</v>
      </c>
      <c r="B660" s="1">
        <v>40573</v>
      </c>
      <c r="C660">
        <v>1</v>
      </c>
      <c r="D660">
        <v>0</v>
      </c>
      <c r="E660">
        <v>1</v>
      </c>
      <c r="F660" t="str">
        <f>IF(final_data787[[#This Row],[MONTH_CODE]]=1,"JANUARY",IF(final_data787[[#This Row],[MONTH_CODE]]=2,"FEBRUARY"))</f>
        <v>JANUARY</v>
      </c>
      <c r="G660">
        <v>18</v>
      </c>
      <c r="H660">
        <v>0</v>
      </c>
      <c r="I660">
        <v>0</v>
      </c>
      <c r="J6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0" t="str">
        <f>IF(final_data787[[#This Row],[DAY_CODE]]=0,"weekend",IF(final_data787[[#This Row],[DAY_CODE]]=1,"weekend","weekday"))</f>
        <v>weekend</v>
      </c>
      <c r="L660">
        <v>1</v>
      </c>
      <c r="M660" t="str">
        <f>IF(final_data787[[#This Row],[WEATHER_CODE]]=1,"clear",IF(final_data787[[#This Row],[WEATHER_CODE]]=2,"cloudy",IF(final_data787[[#This Row],[WEATHER_CODE]]=3,"light rain",IF(final_data787[[#This Row],[WEATHER_CODE]]=4,"heavy rain",0))))</f>
        <v>clear</v>
      </c>
      <c r="N660">
        <v>0.26</v>
      </c>
      <c r="O660">
        <v>0.2576</v>
      </c>
      <c r="P660">
        <v>0.65</v>
      </c>
      <c r="Q660">
        <v>0.16420000000000001</v>
      </c>
      <c r="R660">
        <v>8</v>
      </c>
      <c r="S660">
        <v>57</v>
      </c>
      <c r="T660">
        <v>65</v>
      </c>
    </row>
    <row r="661" spans="1:20" x14ac:dyDescent="0.35">
      <c r="A661">
        <v>660</v>
      </c>
      <c r="B661" s="1">
        <v>40573</v>
      </c>
      <c r="C661">
        <v>1</v>
      </c>
      <c r="D661">
        <v>0</v>
      </c>
      <c r="E661">
        <v>1</v>
      </c>
      <c r="F661" t="str">
        <f>IF(final_data787[[#This Row],[MONTH_CODE]]=1,"JANUARY",IF(final_data787[[#This Row],[MONTH_CODE]]=2,"FEBRUARY"))</f>
        <v>JANUARY</v>
      </c>
      <c r="G661">
        <v>19</v>
      </c>
      <c r="H661">
        <v>0</v>
      </c>
      <c r="I661">
        <v>0</v>
      </c>
      <c r="J6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1" t="str">
        <f>IF(final_data787[[#This Row],[DAY_CODE]]=0,"weekend",IF(final_data787[[#This Row],[DAY_CODE]]=1,"weekend","weekday"))</f>
        <v>weekend</v>
      </c>
      <c r="L661">
        <v>1</v>
      </c>
      <c r="M661" t="str">
        <f>IF(final_data787[[#This Row],[WEATHER_CODE]]=1,"clear",IF(final_data787[[#This Row],[WEATHER_CODE]]=2,"cloudy",IF(final_data787[[#This Row],[WEATHER_CODE]]=3,"light rain",IF(final_data787[[#This Row],[WEATHER_CODE]]=4,"heavy rain",0))))</f>
        <v>clear</v>
      </c>
      <c r="N661">
        <v>0.26</v>
      </c>
      <c r="O661">
        <v>0.2576</v>
      </c>
      <c r="P661">
        <v>0.65</v>
      </c>
      <c r="Q661">
        <v>0.19400000000000001</v>
      </c>
      <c r="R661">
        <v>9</v>
      </c>
      <c r="S661">
        <v>46</v>
      </c>
      <c r="T661">
        <v>55</v>
      </c>
    </row>
    <row r="662" spans="1:20" x14ac:dyDescent="0.35">
      <c r="A662">
        <v>661</v>
      </c>
      <c r="B662" s="1">
        <v>40573</v>
      </c>
      <c r="C662">
        <v>1</v>
      </c>
      <c r="D662">
        <v>0</v>
      </c>
      <c r="E662">
        <v>1</v>
      </c>
      <c r="F662" t="str">
        <f>IF(final_data787[[#This Row],[MONTH_CODE]]=1,"JANUARY",IF(final_data787[[#This Row],[MONTH_CODE]]=2,"FEBRUARY"))</f>
        <v>JANUARY</v>
      </c>
      <c r="G662">
        <v>20</v>
      </c>
      <c r="H662">
        <v>0</v>
      </c>
      <c r="I662">
        <v>0</v>
      </c>
      <c r="J6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2" t="str">
        <f>IF(final_data787[[#This Row],[DAY_CODE]]=0,"weekend",IF(final_data787[[#This Row],[DAY_CODE]]=1,"weekend","weekday"))</f>
        <v>weekend</v>
      </c>
      <c r="L662">
        <v>2</v>
      </c>
      <c r="M662" t="str">
        <f>IF(final_data787[[#This Row],[WEATHER_CODE]]=1,"clear",IF(final_data787[[#This Row],[WEATHER_CODE]]=2,"cloudy",IF(final_data787[[#This Row],[WEATHER_CODE]]=3,"light rain",IF(final_data787[[#This Row],[WEATHER_CODE]]=4,"heavy rain",0))))</f>
        <v>cloudy</v>
      </c>
      <c r="N662">
        <v>0.26</v>
      </c>
      <c r="O662">
        <v>0.2727</v>
      </c>
      <c r="P662">
        <v>0.65</v>
      </c>
      <c r="Q662">
        <v>0.1045</v>
      </c>
      <c r="R662">
        <v>3</v>
      </c>
      <c r="S662">
        <v>30</v>
      </c>
      <c r="T662">
        <v>33</v>
      </c>
    </row>
    <row r="663" spans="1:20" x14ac:dyDescent="0.35">
      <c r="A663">
        <v>662</v>
      </c>
      <c r="B663" s="1">
        <v>40573</v>
      </c>
      <c r="C663">
        <v>1</v>
      </c>
      <c r="D663">
        <v>0</v>
      </c>
      <c r="E663">
        <v>1</v>
      </c>
      <c r="F663" t="str">
        <f>IF(final_data787[[#This Row],[MONTH_CODE]]=1,"JANUARY",IF(final_data787[[#This Row],[MONTH_CODE]]=2,"FEBRUARY"))</f>
        <v>JANUARY</v>
      </c>
      <c r="G663">
        <v>21</v>
      </c>
      <c r="H663">
        <v>0</v>
      </c>
      <c r="I663">
        <v>0</v>
      </c>
      <c r="J6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3" t="str">
        <f>IF(final_data787[[#This Row],[DAY_CODE]]=0,"weekend",IF(final_data787[[#This Row],[DAY_CODE]]=1,"weekend","weekday"))</f>
        <v>weekend</v>
      </c>
      <c r="L663">
        <v>2</v>
      </c>
      <c r="M663" t="str">
        <f>IF(final_data787[[#This Row],[WEATHER_CODE]]=1,"clear",IF(final_data787[[#This Row],[WEATHER_CODE]]=2,"cloudy",IF(final_data787[[#This Row],[WEATHER_CODE]]=3,"light rain",IF(final_data787[[#This Row],[WEATHER_CODE]]=4,"heavy rain",0))))</f>
        <v>cloudy</v>
      </c>
      <c r="N663">
        <v>0.24</v>
      </c>
      <c r="O663">
        <v>0.2424</v>
      </c>
      <c r="P663">
        <v>0.7</v>
      </c>
      <c r="Q663">
        <v>0.16420000000000001</v>
      </c>
      <c r="R663">
        <v>3</v>
      </c>
      <c r="S663">
        <v>25</v>
      </c>
      <c r="T663">
        <v>28</v>
      </c>
    </row>
    <row r="664" spans="1:20" x14ac:dyDescent="0.35">
      <c r="A664">
        <v>663</v>
      </c>
      <c r="B664" s="1">
        <v>40573</v>
      </c>
      <c r="C664">
        <v>1</v>
      </c>
      <c r="D664">
        <v>0</v>
      </c>
      <c r="E664">
        <v>1</v>
      </c>
      <c r="F664" t="str">
        <f>IF(final_data787[[#This Row],[MONTH_CODE]]=1,"JANUARY",IF(final_data787[[#This Row],[MONTH_CODE]]=2,"FEBRUARY"))</f>
        <v>JANUARY</v>
      </c>
      <c r="G664">
        <v>22</v>
      </c>
      <c r="H664">
        <v>0</v>
      </c>
      <c r="I664">
        <v>0</v>
      </c>
      <c r="J6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4" t="str">
        <f>IF(final_data787[[#This Row],[DAY_CODE]]=0,"weekend",IF(final_data787[[#This Row],[DAY_CODE]]=1,"weekend","weekday"))</f>
        <v>weekend</v>
      </c>
      <c r="L664">
        <v>2</v>
      </c>
      <c r="M664" t="str">
        <f>IF(final_data787[[#This Row],[WEATHER_CODE]]=1,"clear",IF(final_data787[[#This Row],[WEATHER_CODE]]=2,"cloudy",IF(final_data787[[#This Row],[WEATHER_CODE]]=3,"light rain",IF(final_data787[[#This Row],[WEATHER_CODE]]=4,"heavy rain",0))))</f>
        <v>cloudy</v>
      </c>
      <c r="N664">
        <v>0.24</v>
      </c>
      <c r="O664">
        <v>0.2273</v>
      </c>
      <c r="P664">
        <v>0.7</v>
      </c>
      <c r="Q664">
        <v>0.19400000000000001</v>
      </c>
      <c r="R664">
        <v>2</v>
      </c>
      <c r="S664">
        <v>19</v>
      </c>
      <c r="T664">
        <v>21</v>
      </c>
    </row>
    <row r="665" spans="1:20" x14ac:dyDescent="0.35">
      <c r="A665">
        <v>664</v>
      </c>
      <c r="B665" s="1">
        <v>40573</v>
      </c>
      <c r="C665">
        <v>1</v>
      </c>
      <c r="D665">
        <v>0</v>
      </c>
      <c r="E665">
        <v>1</v>
      </c>
      <c r="F665" t="str">
        <f>IF(final_data787[[#This Row],[MONTH_CODE]]=1,"JANUARY",IF(final_data787[[#This Row],[MONTH_CODE]]=2,"FEBRUARY"))</f>
        <v>JANUARY</v>
      </c>
      <c r="G665">
        <v>23</v>
      </c>
      <c r="H665">
        <v>0</v>
      </c>
      <c r="I665">
        <v>0</v>
      </c>
      <c r="J6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665" t="str">
        <f>IF(final_data787[[#This Row],[DAY_CODE]]=0,"weekend",IF(final_data787[[#This Row],[DAY_CODE]]=1,"weekend","weekday"))</f>
        <v>weekend</v>
      </c>
      <c r="L665">
        <v>2</v>
      </c>
      <c r="M665" t="str">
        <f>IF(final_data787[[#This Row],[WEATHER_CODE]]=1,"clear",IF(final_data787[[#This Row],[WEATHER_CODE]]=2,"cloudy",IF(final_data787[[#This Row],[WEATHER_CODE]]=3,"light rain",IF(final_data787[[#This Row],[WEATHER_CODE]]=4,"heavy rain",0))))</f>
        <v>cloudy</v>
      </c>
      <c r="N665">
        <v>0.24</v>
      </c>
      <c r="O665">
        <v>0.21210000000000001</v>
      </c>
      <c r="P665">
        <v>0.65</v>
      </c>
      <c r="Q665">
        <v>0.28360000000000002</v>
      </c>
      <c r="R665">
        <v>5</v>
      </c>
      <c r="S665">
        <v>16</v>
      </c>
      <c r="T665">
        <v>21</v>
      </c>
    </row>
    <row r="666" spans="1:20" x14ac:dyDescent="0.35">
      <c r="A666">
        <v>665</v>
      </c>
      <c r="B666" s="1">
        <v>40574</v>
      </c>
      <c r="C666">
        <v>1</v>
      </c>
      <c r="D666">
        <v>0</v>
      </c>
      <c r="E666">
        <v>1</v>
      </c>
      <c r="F666" t="str">
        <f>IF(final_data787[[#This Row],[MONTH_CODE]]=1,"JANUARY",IF(final_data787[[#This Row],[MONTH_CODE]]=2,"FEBRUARY"))</f>
        <v>JANUARY</v>
      </c>
      <c r="G666">
        <v>0</v>
      </c>
      <c r="H666">
        <v>0</v>
      </c>
      <c r="I666">
        <v>1</v>
      </c>
      <c r="J6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66" t="str">
        <f>IF(final_data787[[#This Row],[DAY_CODE]]=0,"weekend",IF(final_data787[[#This Row],[DAY_CODE]]=1,"weekend","weekday"))</f>
        <v>weekend</v>
      </c>
      <c r="L666">
        <v>2</v>
      </c>
      <c r="M666" t="str">
        <f>IF(final_data787[[#This Row],[WEATHER_CODE]]=1,"clear",IF(final_data787[[#This Row],[WEATHER_CODE]]=2,"cloudy",IF(final_data787[[#This Row],[WEATHER_CODE]]=3,"light rain",IF(final_data787[[#This Row],[WEATHER_CODE]]=4,"heavy rain",0))))</f>
        <v>cloudy</v>
      </c>
      <c r="N666">
        <v>0.24</v>
      </c>
      <c r="O666">
        <v>0.2273</v>
      </c>
      <c r="P666">
        <v>0.65</v>
      </c>
      <c r="Q666">
        <v>0.22389999999999999</v>
      </c>
      <c r="R666">
        <v>1</v>
      </c>
      <c r="S666">
        <v>6</v>
      </c>
      <c r="T666">
        <v>7</v>
      </c>
    </row>
    <row r="667" spans="1:20" x14ac:dyDescent="0.35">
      <c r="A667">
        <v>666</v>
      </c>
      <c r="B667" s="1">
        <v>40574</v>
      </c>
      <c r="C667">
        <v>1</v>
      </c>
      <c r="D667">
        <v>0</v>
      </c>
      <c r="E667">
        <v>1</v>
      </c>
      <c r="F667" t="str">
        <f>IF(final_data787[[#This Row],[MONTH_CODE]]=1,"JANUARY",IF(final_data787[[#This Row],[MONTH_CODE]]=2,"FEBRUARY"))</f>
        <v>JANUARY</v>
      </c>
      <c r="G667">
        <v>1</v>
      </c>
      <c r="H667">
        <v>0</v>
      </c>
      <c r="I667">
        <v>1</v>
      </c>
      <c r="J6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67" t="str">
        <f>IF(final_data787[[#This Row],[DAY_CODE]]=0,"weekend",IF(final_data787[[#This Row],[DAY_CODE]]=1,"weekend","weekday"))</f>
        <v>weekend</v>
      </c>
      <c r="L667">
        <v>1</v>
      </c>
      <c r="M667" t="str">
        <f>IF(final_data787[[#This Row],[WEATHER_CODE]]=1,"clear",IF(final_data787[[#This Row],[WEATHER_CODE]]=2,"cloudy",IF(final_data787[[#This Row],[WEATHER_CODE]]=3,"light rain",IF(final_data787[[#This Row],[WEATHER_CODE]]=4,"heavy rain",0))))</f>
        <v>clear</v>
      </c>
      <c r="N667">
        <v>0.22</v>
      </c>
      <c r="O667">
        <v>0.21210000000000001</v>
      </c>
      <c r="P667">
        <v>0.64</v>
      </c>
      <c r="Q667">
        <v>0.25369999999999998</v>
      </c>
      <c r="R667">
        <v>2</v>
      </c>
      <c r="S667">
        <v>5</v>
      </c>
      <c r="T667">
        <v>7</v>
      </c>
    </row>
    <row r="668" spans="1:20" x14ac:dyDescent="0.35">
      <c r="A668">
        <v>667</v>
      </c>
      <c r="B668" s="1">
        <v>40574</v>
      </c>
      <c r="C668">
        <v>1</v>
      </c>
      <c r="D668">
        <v>0</v>
      </c>
      <c r="E668">
        <v>1</v>
      </c>
      <c r="F668" t="str">
        <f>IF(final_data787[[#This Row],[MONTH_CODE]]=1,"JANUARY",IF(final_data787[[#This Row],[MONTH_CODE]]=2,"FEBRUARY"))</f>
        <v>JANUARY</v>
      </c>
      <c r="G668">
        <v>2</v>
      </c>
      <c r="H668">
        <v>0</v>
      </c>
      <c r="I668">
        <v>1</v>
      </c>
      <c r="J6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68" t="str">
        <f>IF(final_data787[[#This Row],[DAY_CODE]]=0,"weekend",IF(final_data787[[#This Row],[DAY_CODE]]=1,"weekend","weekday"))</f>
        <v>weekend</v>
      </c>
      <c r="L668">
        <v>1</v>
      </c>
      <c r="M668" t="str">
        <f>IF(final_data787[[#This Row],[WEATHER_CODE]]=1,"clear",IF(final_data787[[#This Row],[WEATHER_CODE]]=2,"cloudy",IF(final_data787[[#This Row],[WEATHER_CODE]]=3,"light rain",IF(final_data787[[#This Row],[WEATHER_CODE]]=4,"heavy rain",0))))</f>
        <v>clear</v>
      </c>
      <c r="N668">
        <v>0.22</v>
      </c>
      <c r="O668">
        <v>0.2273</v>
      </c>
      <c r="P668">
        <v>0.64</v>
      </c>
      <c r="Q668">
        <v>0.19400000000000001</v>
      </c>
      <c r="R668">
        <v>0</v>
      </c>
      <c r="S668">
        <v>1</v>
      </c>
      <c r="T668">
        <v>1</v>
      </c>
    </row>
    <row r="669" spans="1:20" x14ac:dyDescent="0.35">
      <c r="A669">
        <v>668</v>
      </c>
      <c r="B669" s="1">
        <v>40574</v>
      </c>
      <c r="C669">
        <v>1</v>
      </c>
      <c r="D669">
        <v>0</v>
      </c>
      <c r="E669">
        <v>1</v>
      </c>
      <c r="F669" t="str">
        <f>IF(final_data787[[#This Row],[MONTH_CODE]]=1,"JANUARY",IF(final_data787[[#This Row],[MONTH_CODE]]=2,"FEBRUARY"))</f>
        <v>JANUARY</v>
      </c>
      <c r="G669">
        <v>3</v>
      </c>
      <c r="H669">
        <v>0</v>
      </c>
      <c r="I669">
        <v>1</v>
      </c>
      <c r="J6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69" t="str">
        <f>IF(final_data787[[#This Row],[DAY_CODE]]=0,"weekend",IF(final_data787[[#This Row],[DAY_CODE]]=1,"weekend","weekday"))</f>
        <v>weekend</v>
      </c>
      <c r="L669">
        <v>1</v>
      </c>
      <c r="M669" t="str">
        <f>IF(final_data787[[#This Row],[WEATHER_CODE]]=1,"clear",IF(final_data787[[#This Row],[WEATHER_CODE]]=2,"cloudy",IF(final_data787[[#This Row],[WEATHER_CODE]]=3,"light rain",IF(final_data787[[#This Row],[WEATHER_CODE]]=4,"heavy rain",0))))</f>
        <v>clear</v>
      </c>
      <c r="N669">
        <v>0.22</v>
      </c>
      <c r="O669">
        <v>0.2273</v>
      </c>
      <c r="P669">
        <v>0.64</v>
      </c>
      <c r="Q669">
        <v>0.19400000000000001</v>
      </c>
      <c r="R669">
        <v>0</v>
      </c>
      <c r="S669">
        <v>2</v>
      </c>
      <c r="T669">
        <v>2</v>
      </c>
    </row>
    <row r="670" spans="1:20" x14ac:dyDescent="0.35">
      <c r="A670">
        <v>669</v>
      </c>
      <c r="B670" s="1">
        <v>40574</v>
      </c>
      <c r="C670">
        <v>1</v>
      </c>
      <c r="D670">
        <v>0</v>
      </c>
      <c r="E670">
        <v>1</v>
      </c>
      <c r="F670" t="str">
        <f>IF(final_data787[[#This Row],[MONTH_CODE]]=1,"JANUARY",IF(final_data787[[#This Row],[MONTH_CODE]]=2,"FEBRUARY"))</f>
        <v>JANUARY</v>
      </c>
      <c r="G670">
        <v>4</v>
      </c>
      <c r="H670">
        <v>0</v>
      </c>
      <c r="I670">
        <v>1</v>
      </c>
      <c r="J6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0" t="str">
        <f>IF(final_data787[[#This Row],[DAY_CODE]]=0,"weekend",IF(final_data787[[#This Row],[DAY_CODE]]=1,"weekend","weekday"))</f>
        <v>weekend</v>
      </c>
      <c r="L670">
        <v>1</v>
      </c>
      <c r="M670" t="str">
        <f>IF(final_data787[[#This Row],[WEATHER_CODE]]=1,"clear",IF(final_data787[[#This Row],[WEATHER_CODE]]=2,"cloudy",IF(final_data787[[#This Row],[WEATHER_CODE]]=3,"light rain",IF(final_data787[[#This Row],[WEATHER_CODE]]=4,"heavy rain",0))))</f>
        <v>clear</v>
      </c>
      <c r="N670">
        <v>0.2</v>
      </c>
      <c r="O670">
        <v>0.19700000000000001</v>
      </c>
      <c r="P670">
        <v>0.59</v>
      </c>
      <c r="Q670">
        <v>0.22389999999999999</v>
      </c>
      <c r="R670">
        <v>0</v>
      </c>
      <c r="S670">
        <v>2</v>
      </c>
      <c r="T670">
        <v>2</v>
      </c>
    </row>
    <row r="671" spans="1:20" x14ac:dyDescent="0.35">
      <c r="A671">
        <v>670</v>
      </c>
      <c r="B671" s="1">
        <v>40574</v>
      </c>
      <c r="C671">
        <v>1</v>
      </c>
      <c r="D671">
        <v>0</v>
      </c>
      <c r="E671">
        <v>1</v>
      </c>
      <c r="F671" t="str">
        <f>IF(final_data787[[#This Row],[MONTH_CODE]]=1,"JANUARY",IF(final_data787[[#This Row],[MONTH_CODE]]=2,"FEBRUARY"))</f>
        <v>JANUARY</v>
      </c>
      <c r="G671">
        <v>5</v>
      </c>
      <c r="H671">
        <v>0</v>
      </c>
      <c r="I671">
        <v>1</v>
      </c>
      <c r="J6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1" t="str">
        <f>IF(final_data787[[#This Row],[DAY_CODE]]=0,"weekend",IF(final_data787[[#This Row],[DAY_CODE]]=1,"weekend","weekday"))</f>
        <v>weekend</v>
      </c>
      <c r="L671">
        <v>1</v>
      </c>
      <c r="M671" t="str">
        <f>IF(final_data787[[#This Row],[WEATHER_CODE]]=1,"clear",IF(final_data787[[#This Row],[WEATHER_CODE]]=2,"cloudy",IF(final_data787[[#This Row],[WEATHER_CODE]]=3,"light rain",IF(final_data787[[#This Row],[WEATHER_CODE]]=4,"heavy rain",0))))</f>
        <v>clear</v>
      </c>
      <c r="N671">
        <v>0.18</v>
      </c>
      <c r="O671">
        <v>0.16669999999999999</v>
      </c>
      <c r="P671">
        <v>0.64</v>
      </c>
      <c r="Q671">
        <v>0.28360000000000002</v>
      </c>
      <c r="R671">
        <v>0</v>
      </c>
      <c r="S671">
        <v>8</v>
      </c>
      <c r="T671">
        <v>8</v>
      </c>
    </row>
    <row r="672" spans="1:20" x14ac:dyDescent="0.35">
      <c r="A672">
        <v>671</v>
      </c>
      <c r="B672" s="1">
        <v>40574</v>
      </c>
      <c r="C672">
        <v>1</v>
      </c>
      <c r="D672">
        <v>0</v>
      </c>
      <c r="E672">
        <v>1</v>
      </c>
      <c r="F672" t="str">
        <f>IF(final_data787[[#This Row],[MONTH_CODE]]=1,"JANUARY",IF(final_data787[[#This Row],[MONTH_CODE]]=2,"FEBRUARY"))</f>
        <v>JANUARY</v>
      </c>
      <c r="G672">
        <v>6</v>
      </c>
      <c r="H672">
        <v>0</v>
      </c>
      <c r="I672">
        <v>1</v>
      </c>
      <c r="J6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2" t="str">
        <f>IF(final_data787[[#This Row],[DAY_CODE]]=0,"weekend",IF(final_data787[[#This Row],[DAY_CODE]]=1,"weekend","weekday"))</f>
        <v>weekend</v>
      </c>
      <c r="L672">
        <v>1</v>
      </c>
      <c r="M672" t="str">
        <f>IF(final_data787[[#This Row],[WEATHER_CODE]]=1,"clear",IF(final_data787[[#This Row],[WEATHER_CODE]]=2,"cloudy",IF(final_data787[[#This Row],[WEATHER_CODE]]=3,"light rain",IF(final_data787[[#This Row],[WEATHER_CODE]]=4,"heavy rain",0))))</f>
        <v>clear</v>
      </c>
      <c r="N672">
        <v>0.16</v>
      </c>
      <c r="O672">
        <v>0.13639999999999999</v>
      </c>
      <c r="P672">
        <v>0.69</v>
      </c>
      <c r="Q672">
        <v>0.32840000000000003</v>
      </c>
      <c r="R672">
        <v>0</v>
      </c>
      <c r="S672">
        <v>37</v>
      </c>
      <c r="T672">
        <v>37</v>
      </c>
    </row>
    <row r="673" spans="1:20" x14ac:dyDescent="0.35">
      <c r="A673">
        <v>672</v>
      </c>
      <c r="B673" s="1">
        <v>40574</v>
      </c>
      <c r="C673">
        <v>1</v>
      </c>
      <c r="D673">
        <v>0</v>
      </c>
      <c r="E673">
        <v>1</v>
      </c>
      <c r="F673" t="str">
        <f>IF(final_data787[[#This Row],[MONTH_CODE]]=1,"JANUARY",IF(final_data787[[#This Row],[MONTH_CODE]]=2,"FEBRUARY"))</f>
        <v>JANUARY</v>
      </c>
      <c r="G673">
        <v>7</v>
      </c>
      <c r="H673">
        <v>0</v>
      </c>
      <c r="I673">
        <v>1</v>
      </c>
      <c r="J6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3" t="str">
        <f>IF(final_data787[[#This Row],[DAY_CODE]]=0,"weekend",IF(final_data787[[#This Row],[DAY_CODE]]=1,"weekend","weekday"))</f>
        <v>weekend</v>
      </c>
      <c r="L673">
        <v>2</v>
      </c>
      <c r="M673" t="str">
        <f>IF(final_data787[[#This Row],[WEATHER_CODE]]=1,"clear",IF(final_data787[[#This Row],[WEATHER_CODE]]=2,"cloudy",IF(final_data787[[#This Row],[WEATHER_CODE]]=3,"light rain",IF(final_data787[[#This Row],[WEATHER_CODE]]=4,"heavy rain",0))))</f>
        <v>cloudy</v>
      </c>
      <c r="N673">
        <v>0.16</v>
      </c>
      <c r="O673">
        <v>0.13639999999999999</v>
      </c>
      <c r="P673">
        <v>0.64</v>
      </c>
      <c r="Q673">
        <v>0.28360000000000002</v>
      </c>
      <c r="R673">
        <v>1</v>
      </c>
      <c r="S673">
        <v>71</v>
      </c>
      <c r="T673">
        <v>72</v>
      </c>
    </row>
    <row r="674" spans="1:20" x14ac:dyDescent="0.35">
      <c r="A674">
        <v>673</v>
      </c>
      <c r="B674" s="1">
        <v>40574</v>
      </c>
      <c r="C674">
        <v>1</v>
      </c>
      <c r="D674">
        <v>0</v>
      </c>
      <c r="E674">
        <v>1</v>
      </c>
      <c r="F674" t="str">
        <f>IF(final_data787[[#This Row],[MONTH_CODE]]=1,"JANUARY",IF(final_data787[[#This Row],[MONTH_CODE]]=2,"FEBRUARY"))</f>
        <v>JANUARY</v>
      </c>
      <c r="G674">
        <v>8</v>
      </c>
      <c r="H674">
        <v>0</v>
      </c>
      <c r="I674">
        <v>1</v>
      </c>
      <c r="J6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4" t="str">
        <f>IF(final_data787[[#This Row],[DAY_CODE]]=0,"weekend",IF(final_data787[[#This Row],[DAY_CODE]]=1,"weekend","weekday"))</f>
        <v>weekend</v>
      </c>
      <c r="L674">
        <v>2</v>
      </c>
      <c r="M674" t="str">
        <f>IF(final_data787[[#This Row],[WEATHER_CODE]]=1,"clear",IF(final_data787[[#This Row],[WEATHER_CODE]]=2,"cloudy",IF(final_data787[[#This Row],[WEATHER_CODE]]=3,"light rain",IF(final_data787[[#This Row],[WEATHER_CODE]]=4,"heavy rain",0))))</f>
        <v>cloudy</v>
      </c>
      <c r="N674">
        <v>0.16</v>
      </c>
      <c r="O674">
        <v>0.13639999999999999</v>
      </c>
      <c r="P674">
        <v>0.59</v>
      </c>
      <c r="Q674">
        <v>0.28360000000000002</v>
      </c>
      <c r="R674">
        <v>3</v>
      </c>
      <c r="S674">
        <v>182</v>
      </c>
      <c r="T674">
        <v>185</v>
      </c>
    </row>
    <row r="675" spans="1:20" x14ac:dyDescent="0.35">
      <c r="A675">
        <v>674</v>
      </c>
      <c r="B675" s="1">
        <v>40574</v>
      </c>
      <c r="C675">
        <v>1</v>
      </c>
      <c r="D675">
        <v>0</v>
      </c>
      <c r="E675">
        <v>1</v>
      </c>
      <c r="F675" t="str">
        <f>IF(final_data787[[#This Row],[MONTH_CODE]]=1,"JANUARY",IF(final_data787[[#This Row],[MONTH_CODE]]=2,"FEBRUARY"))</f>
        <v>JANUARY</v>
      </c>
      <c r="G675">
        <v>9</v>
      </c>
      <c r="H675">
        <v>0</v>
      </c>
      <c r="I675">
        <v>1</v>
      </c>
      <c r="J6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5" t="str">
        <f>IF(final_data787[[#This Row],[DAY_CODE]]=0,"weekend",IF(final_data787[[#This Row],[DAY_CODE]]=1,"weekend","weekday"))</f>
        <v>weekend</v>
      </c>
      <c r="L675">
        <v>2</v>
      </c>
      <c r="M675" t="str">
        <f>IF(final_data787[[#This Row],[WEATHER_CODE]]=1,"clear",IF(final_data787[[#This Row],[WEATHER_CODE]]=2,"cloudy",IF(final_data787[[#This Row],[WEATHER_CODE]]=3,"light rain",IF(final_data787[[#This Row],[WEATHER_CODE]]=4,"heavy rain",0))))</f>
        <v>cloudy</v>
      </c>
      <c r="N675">
        <v>0.16</v>
      </c>
      <c r="O675">
        <v>0.13639999999999999</v>
      </c>
      <c r="P675">
        <v>0.59</v>
      </c>
      <c r="Q675">
        <v>0.29849999999999999</v>
      </c>
      <c r="R675">
        <v>0</v>
      </c>
      <c r="S675">
        <v>112</v>
      </c>
      <c r="T675">
        <v>112</v>
      </c>
    </row>
    <row r="676" spans="1:20" x14ac:dyDescent="0.35">
      <c r="A676">
        <v>675</v>
      </c>
      <c r="B676" s="1">
        <v>40574</v>
      </c>
      <c r="C676">
        <v>1</v>
      </c>
      <c r="D676">
        <v>0</v>
      </c>
      <c r="E676">
        <v>1</v>
      </c>
      <c r="F676" t="str">
        <f>IF(final_data787[[#This Row],[MONTH_CODE]]=1,"JANUARY",IF(final_data787[[#This Row],[MONTH_CODE]]=2,"FEBRUARY"))</f>
        <v>JANUARY</v>
      </c>
      <c r="G676">
        <v>10</v>
      </c>
      <c r="H676">
        <v>0</v>
      </c>
      <c r="I676">
        <v>1</v>
      </c>
      <c r="J6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6" t="str">
        <f>IF(final_data787[[#This Row],[DAY_CODE]]=0,"weekend",IF(final_data787[[#This Row],[DAY_CODE]]=1,"weekend","weekday"))</f>
        <v>weekend</v>
      </c>
      <c r="L676">
        <v>2</v>
      </c>
      <c r="M676" t="str">
        <f>IF(final_data787[[#This Row],[WEATHER_CODE]]=1,"clear",IF(final_data787[[#This Row],[WEATHER_CODE]]=2,"cloudy",IF(final_data787[[#This Row],[WEATHER_CODE]]=3,"light rain",IF(final_data787[[#This Row],[WEATHER_CODE]]=4,"heavy rain",0))))</f>
        <v>cloudy</v>
      </c>
      <c r="N676">
        <v>0.16</v>
      </c>
      <c r="O676">
        <v>0.1515</v>
      </c>
      <c r="P676">
        <v>0.59</v>
      </c>
      <c r="Q676">
        <v>0.19400000000000001</v>
      </c>
      <c r="R676">
        <v>1</v>
      </c>
      <c r="S676">
        <v>68</v>
      </c>
      <c r="T676">
        <v>69</v>
      </c>
    </row>
    <row r="677" spans="1:20" x14ac:dyDescent="0.35">
      <c r="A677">
        <v>676</v>
      </c>
      <c r="B677" s="1">
        <v>40574</v>
      </c>
      <c r="C677">
        <v>1</v>
      </c>
      <c r="D677">
        <v>0</v>
      </c>
      <c r="E677">
        <v>1</v>
      </c>
      <c r="F677" t="str">
        <f>IF(final_data787[[#This Row],[MONTH_CODE]]=1,"JANUARY",IF(final_data787[[#This Row],[MONTH_CODE]]=2,"FEBRUARY"))</f>
        <v>JANUARY</v>
      </c>
      <c r="G677">
        <v>11</v>
      </c>
      <c r="H677">
        <v>0</v>
      </c>
      <c r="I677">
        <v>1</v>
      </c>
      <c r="J6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7" t="str">
        <f>IF(final_data787[[#This Row],[DAY_CODE]]=0,"weekend",IF(final_data787[[#This Row],[DAY_CODE]]=1,"weekend","weekday"))</f>
        <v>weekend</v>
      </c>
      <c r="L677">
        <v>2</v>
      </c>
      <c r="M677" t="str">
        <f>IF(final_data787[[#This Row],[WEATHER_CODE]]=1,"clear",IF(final_data787[[#This Row],[WEATHER_CODE]]=2,"cloudy",IF(final_data787[[#This Row],[WEATHER_CODE]]=3,"light rain",IF(final_data787[[#This Row],[WEATHER_CODE]]=4,"heavy rain",0))))</f>
        <v>cloudy</v>
      </c>
      <c r="N677">
        <v>0.16</v>
      </c>
      <c r="O677">
        <v>0.1515</v>
      </c>
      <c r="P677">
        <v>0.59</v>
      </c>
      <c r="Q677">
        <v>0.19400000000000001</v>
      </c>
      <c r="R677">
        <v>2</v>
      </c>
      <c r="S677">
        <v>46</v>
      </c>
      <c r="T677">
        <v>48</v>
      </c>
    </row>
    <row r="678" spans="1:20" x14ac:dyDescent="0.35">
      <c r="A678">
        <v>677</v>
      </c>
      <c r="B678" s="1">
        <v>40574</v>
      </c>
      <c r="C678">
        <v>1</v>
      </c>
      <c r="D678">
        <v>0</v>
      </c>
      <c r="E678">
        <v>1</v>
      </c>
      <c r="F678" t="str">
        <f>IF(final_data787[[#This Row],[MONTH_CODE]]=1,"JANUARY",IF(final_data787[[#This Row],[MONTH_CODE]]=2,"FEBRUARY"))</f>
        <v>JANUARY</v>
      </c>
      <c r="G678">
        <v>12</v>
      </c>
      <c r="H678">
        <v>0</v>
      </c>
      <c r="I678">
        <v>1</v>
      </c>
      <c r="J6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8" t="str">
        <f>IF(final_data787[[#This Row],[DAY_CODE]]=0,"weekend",IF(final_data787[[#This Row],[DAY_CODE]]=1,"weekend","weekday"))</f>
        <v>weekend</v>
      </c>
      <c r="L678">
        <v>2</v>
      </c>
      <c r="M678" t="str">
        <f>IF(final_data787[[#This Row],[WEATHER_CODE]]=1,"clear",IF(final_data787[[#This Row],[WEATHER_CODE]]=2,"cloudy",IF(final_data787[[#This Row],[WEATHER_CODE]]=3,"light rain",IF(final_data787[[#This Row],[WEATHER_CODE]]=4,"heavy rain",0))))</f>
        <v>cloudy</v>
      </c>
      <c r="N678">
        <v>0.18</v>
      </c>
      <c r="O678">
        <v>0.21210000000000001</v>
      </c>
      <c r="P678">
        <v>0.55000000000000004</v>
      </c>
      <c r="Q678">
        <v>0.1045</v>
      </c>
      <c r="R678">
        <v>6</v>
      </c>
      <c r="S678">
        <v>62</v>
      </c>
      <c r="T678">
        <v>68</v>
      </c>
    </row>
    <row r="679" spans="1:20" x14ac:dyDescent="0.35">
      <c r="A679">
        <v>678</v>
      </c>
      <c r="B679" s="1">
        <v>40574</v>
      </c>
      <c r="C679">
        <v>1</v>
      </c>
      <c r="D679">
        <v>0</v>
      </c>
      <c r="E679">
        <v>1</v>
      </c>
      <c r="F679" t="str">
        <f>IF(final_data787[[#This Row],[MONTH_CODE]]=1,"JANUARY",IF(final_data787[[#This Row],[MONTH_CODE]]=2,"FEBRUARY"))</f>
        <v>JANUARY</v>
      </c>
      <c r="G679">
        <v>13</v>
      </c>
      <c r="H679">
        <v>0</v>
      </c>
      <c r="I679">
        <v>1</v>
      </c>
      <c r="J6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79" t="str">
        <f>IF(final_data787[[#This Row],[DAY_CODE]]=0,"weekend",IF(final_data787[[#This Row],[DAY_CODE]]=1,"weekend","weekday"))</f>
        <v>weekend</v>
      </c>
      <c r="L679">
        <v>2</v>
      </c>
      <c r="M679" t="str">
        <f>IF(final_data787[[#This Row],[WEATHER_CODE]]=1,"clear",IF(final_data787[[#This Row],[WEATHER_CODE]]=2,"cloudy",IF(final_data787[[#This Row],[WEATHER_CODE]]=3,"light rain",IF(final_data787[[#This Row],[WEATHER_CODE]]=4,"heavy rain",0))))</f>
        <v>cloudy</v>
      </c>
      <c r="N679">
        <v>0.16</v>
      </c>
      <c r="O679">
        <v>0.2273</v>
      </c>
      <c r="P679">
        <v>0.59</v>
      </c>
      <c r="Q679">
        <v>0</v>
      </c>
      <c r="R679">
        <v>2</v>
      </c>
      <c r="S679">
        <v>52</v>
      </c>
      <c r="T679">
        <v>54</v>
      </c>
    </row>
    <row r="680" spans="1:20" x14ac:dyDescent="0.35">
      <c r="A680">
        <v>679</v>
      </c>
      <c r="B680" s="1">
        <v>40574</v>
      </c>
      <c r="C680">
        <v>1</v>
      </c>
      <c r="D680">
        <v>0</v>
      </c>
      <c r="E680">
        <v>1</v>
      </c>
      <c r="F680" t="str">
        <f>IF(final_data787[[#This Row],[MONTH_CODE]]=1,"JANUARY",IF(final_data787[[#This Row],[MONTH_CODE]]=2,"FEBRUARY"))</f>
        <v>JANUARY</v>
      </c>
      <c r="G680">
        <v>14</v>
      </c>
      <c r="H680">
        <v>0</v>
      </c>
      <c r="I680">
        <v>1</v>
      </c>
      <c r="J6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0" t="str">
        <f>IF(final_data787[[#This Row],[DAY_CODE]]=0,"weekend",IF(final_data787[[#This Row],[DAY_CODE]]=1,"weekend","weekday"))</f>
        <v>weekend</v>
      </c>
      <c r="L680">
        <v>2</v>
      </c>
      <c r="M680" t="str">
        <f>IF(final_data787[[#This Row],[WEATHER_CODE]]=1,"clear",IF(final_data787[[#This Row],[WEATHER_CODE]]=2,"cloudy",IF(final_data787[[#This Row],[WEATHER_CODE]]=3,"light rain",IF(final_data787[[#This Row],[WEATHER_CODE]]=4,"heavy rain",0))))</f>
        <v>cloudy</v>
      </c>
      <c r="N680">
        <v>0.18</v>
      </c>
      <c r="O680">
        <v>0.19700000000000001</v>
      </c>
      <c r="P680">
        <v>0.55000000000000004</v>
      </c>
      <c r="Q680">
        <v>0.1343</v>
      </c>
      <c r="R680">
        <v>1</v>
      </c>
      <c r="S680">
        <v>85</v>
      </c>
      <c r="T680">
        <v>86</v>
      </c>
    </row>
    <row r="681" spans="1:20" x14ac:dyDescent="0.35">
      <c r="A681">
        <v>680</v>
      </c>
      <c r="B681" s="1">
        <v>40574</v>
      </c>
      <c r="C681">
        <v>1</v>
      </c>
      <c r="D681">
        <v>0</v>
      </c>
      <c r="E681">
        <v>1</v>
      </c>
      <c r="F681" t="str">
        <f>IF(final_data787[[#This Row],[MONTH_CODE]]=1,"JANUARY",IF(final_data787[[#This Row],[MONTH_CODE]]=2,"FEBRUARY"))</f>
        <v>JANUARY</v>
      </c>
      <c r="G681">
        <v>15</v>
      </c>
      <c r="H681">
        <v>0</v>
      </c>
      <c r="I681">
        <v>1</v>
      </c>
      <c r="J6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1" t="str">
        <f>IF(final_data787[[#This Row],[DAY_CODE]]=0,"weekend",IF(final_data787[[#This Row],[DAY_CODE]]=1,"weekend","weekday"))</f>
        <v>weekend</v>
      </c>
      <c r="L681">
        <v>2</v>
      </c>
      <c r="M681" t="str">
        <f>IF(final_data787[[#This Row],[WEATHER_CODE]]=1,"clear",IF(final_data787[[#This Row],[WEATHER_CODE]]=2,"cloudy",IF(final_data787[[#This Row],[WEATHER_CODE]]=3,"light rain",IF(final_data787[[#This Row],[WEATHER_CODE]]=4,"heavy rain",0))))</f>
        <v>cloudy</v>
      </c>
      <c r="N681">
        <v>0.16</v>
      </c>
      <c r="O681">
        <v>0.18179999999999999</v>
      </c>
      <c r="P681">
        <v>0.59</v>
      </c>
      <c r="Q681">
        <v>0.1343</v>
      </c>
      <c r="R681">
        <v>3</v>
      </c>
      <c r="S681">
        <v>41</v>
      </c>
      <c r="T681">
        <v>44</v>
      </c>
    </row>
    <row r="682" spans="1:20" x14ac:dyDescent="0.35">
      <c r="A682">
        <v>681</v>
      </c>
      <c r="B682" s="1">
        <v>40574</v>
      </c>
      <c r="C682">
        <v>1</v>
      </c>
      <c r="D682">
        <v>0</v>
      </c>
      <c r="E682">
        <v>1</v>
      </c>
      <c r="F682" t="str">
        <f>IF(final_data787[[#This Row],[MONTH_CODE]]=1,"JANUARY",IF(final_data787[[#This Row],[MONTH_CODE]]=2,"FEBRUARY"))</f>
        <v>JANUARY</v>
      </c>
      <c r="G682">
        <v>16</v>
      </c>
      <c r="H682">
        <v>0</v>
      </c>
      <c r="I682">
        <v>1</v>
      </c>
      <c r="J6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2" t="str">
        <f>IF(final_data787[[#This Row],[DAY_CODE]]=0,"weekend",IF(final_data787[[#This Row],[DAY_CODE]]=1,"weekend","weekday"))</f>
        <v>weekend</v>
      </c>
      <c r="L682">
        <v>2</v>
      </c>
      <c r="M682" t="str">
        <f>IF(final_data787[[#This Row],[WEATHER_CODE]]=1,"clear",IF(final_data787[[#This Row],[WEATHER_CODE]]=2,"cloudy",IF(final_data787[[#This Row],[WEATHER_CODE]]=3,"light rain",IF(final_data787[[#This Row],[WEATHER_CODE]]=4,"heavy rain",0))))</f>
        <v>cloudy</v>
      </c>
      <c r="N682">
        <v>0.16</v>
      </c>
      <c r="O682">
        <v>0.18179999999999999</v>
      </c>
      <c r="P682">
        <v>0.56000000000000005</v>
      </c>
      <c r="Q682">
        <v>0.19400000000000001</v>
      </c>
      <c r="R682">
        <v>3</v>
      </c>
      <c r="S682">
        <v>83</v>
      </c>
      <c r="T682">
        <v>86</v>
      </c>
    </row>
    <row r="683" spans="1:20" x14ac:dyDescent="0.35">
      <c r="A683">
        <v>682</v>
      </c>
      <c r="B683" s="1">
        <v>40574</v>
      </c>
      <c r="C683">
        <v>1</v>
      </c>
      <c r="D683">
        <v>0</v>
      </c>
      <c r="E683">
        <v>1</v>
      </c>
      <c r="F683" t="str">
        <f>IF(final_data787[[#This Row],[MONTH_CODE]]=1,"JANUARY",IF(final_data787[[#This Row],[MONTH_CODE]]=2,"FEBRUARY"))</f>
        <v>JANUARY</v>
      </c>
      <c r="G683">
        <v>17</v>
      </c>
      <c r="H683">
        <v>0</v>
      </c>
      <c r="I683">
        <v>1</v>
      </c>
      <c r="J6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3" t="str">
        <f>IF(final_data787[[#This Row],[DAY_CODE]]=0,"weekend",IF(final_data787[[#This Row],[DAY_CODE]]=1,"weekend","weekday"))</f>
        <v>weekend</v>
      </c>
      <c r="L683">
        <v>2</v>
      </c>
      <c r="M683" t="str">
        <f>IF(final_data787[[#This Row],[WEATHER_CODE]]=1,"clear",IF(final_data787[[#This Row],[WEATHER_CODE]]=2,"cloudy",IF(final_data787[[#This Row],[WEATHER_CODE]]=3,"light rain",IF(final_data787[[#This Row],[WEATHER_CODE]]=4,"heavy rain",0))))</f>
        <v>cloudy</v>
      </c>
      <c r="N683">
        <v>0.16</v>
      </c>
      <c r="O683">
        <v>0.1515</v>
      </c>
      <c r="P683">
        <v>0.59</v>
      </c>
      <c r="Q683">
        <v>0.19400000000000001</v>
      </c>
      <c r="R683">
        <v>6</v>
      </c>
      <c r="S683">
        <v>155</v>
      </c>
      <c r="T683">
        <v>161</v>
      </c>
    </row>
    <row r="684" spans="1:20" x14ac:dyDescent="0.35">
      <c r="A684">
        <v>683</v>
      </c>
      <c r="B684" s="1">
        <v>40574</v>
      </c>
      <c r="C684">
        <v>1</v>
      </c>
      <c r="D684">
        <v>0</v>
      </c>
      <c r="E684">
        <v>1</v>
      </c>
      <c r="F684" t="str">
        <f>IF(final_data787[[#This Row],[MONTH_CODE]]=1,"JANUARY",IF(final_data787[[#This Row],[MONTH_CODE]]=2,"FEBRUARY"))</f>
        <v>JANUARY</v>
      </c>
      <c r="G684">
        <v>18</v>
      </c>
      <c r="H684">
        <v>0</v>
      </c>
      <c r="I684">
        <v>1</v>
      </c>
      <c r="J6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4" t="str">
        <f>IF(final_data787[[#This Row],[DAY_CODE]]=0,"weekend",IF(final_data787[[#This Row],[DAY_CODE]]=1,"weekend","weekday"))</f>
        <v>weekend</v>
      </c>
      <c r="L684">
        <v>2</v>
      </c>
      <c r="M684" t="str">
        <f>IF(final_data787[[#This Row],[WEATHER_CODE]]=1,"clear",IF(final_data787[[#This Row],[WEATHER_CODE]]=2,"cloudy",IF(final_data787[[#This Row],[WEATHER_CODE]]=3,"light rain",IF(final_data787[[#This Row],[WEATHER_CODE]]=4,"heavy rain",0))))</f>
        <v>cloudy</v>
      </c>
      <c r="N684">
        <v>0.16</v>
      </c>
      <c r="O684">
        <v>0.1515</v>
      </c>
      <c r="P684">
        <v>0.55000000000000004</v>
      </c>
      <c r="Q684">
        <v>0.22389999999999999</v>
      </c>
      <c r="R684">
        <v>3</v>
      </c>
      <c r="S684">
        <v>153</v>
      </c>
      <c r="T684">
        <v>156</v>
      </c>
    </row>
    <row r="685" spans="1:20" x14ac:dyDescent="0.35">
      <c r="A685">
        <v>684</v>
      </c>
      <c r="B685" s="1">
        <v>40574</v>
      </c>
      <c r="C685">
        <v>1</v>
      </c>
      <c r="D685">
        <v>0</v>
      </c>
      <c r="E685">
        <v>1</v>
      </c>
      <c r="F685" t="str">
        <f>IF(final_data787[[#This Row],[MONTH_CODE]]=1,"JANUARY",IF(final_data787[[#This Row],[MONTH_CODE]]=2,"FEBRUARY"))</f>
        <v>JANUARY</v>
      </c>
      <c r="G685">
        <v>19</v>
      </c>
      <c r="H685">
        <v>0</v>
      </c>
      <c r="I685">
        <v>1</v>
      </c>
      <c r="J6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5" t="str">
        <f>IF(final_data787[[#This Row],[DAY_CODE]]=0,"weekend",IF(final_data787[[#This Row],[DAY_CODE]]=1,"weekend","weekday"))</f>
        <v>weekend</v>
      </c>
      <c r="L685">
        <v>1</v>
      </c>
      <c r="M685" t="str">
        <f>IF(final_data787[[#This Row],[WEATHER_CODE]]=1,"clear",IF(final_data787[[#This Row],[WEATHER_CODE]]=2,"cloudy",IF(final_data787[[#This Row],[WEATHER_CODE]]=3,"light rain",IF(final_data787[[#This Row],[WEATHER_CODE]]=4,"heavy rain",0))))</f>
        <v>clear</v>
      </c>
      <c r="N685">
        <v>0.3</v>
      </c>
      <c r="O685">
        <v>0.31819999999999998</v>
      </c>
      <c r="P685">
        <v>0.61</v>
      </c>
      <c r="Q685">
        <v>0.1045</v>
      </c>
      <c r="R685">
        <v>3</v>
      </c>
      <c r="S685">
        <v>108</v>
      </c>
      <c r="T685">
        <v>111</v>
      </c>
    </row>
    <row r="686" spans="1:20" x14ac:dyDescent="0.35">
      <c r="A686">
        <v>685</v>
      </c>
      <c r="B686" s="1">
        <v>40574</v>
      </c>
      <c r="C686">
        <v>1</v>
      </c>
      <c r="D686">
        <v>0</v>
      </c>
      <c r="E686">
        <v>1</v>
      </c>
      <c r="F686" t="str">
        <f>IF(final_data787[[#This Row],[MONTH_CODE]]=1,"JANUARY",IF(final_data787[[#This Row],[MONTH_CODE]]=2,"FEBRUARY"))</f>
        <v>JANUARY</v>
      </c>
      <c r="G686">
        <v>20</v>
      </c>
      <c r="H686">
        <v>0</v>
      </c>
      <c r="I686">
        <v>1</v>
      </c>
      <c r="J6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6" t="str">
        <f>IF(final_data787[[#This Row],[DAY_CODE]]=0,"weekend",IF(final_data787[[#This Row],[DAY_CODE]]=1,"weekend","weekday"))</f>
        <v>weekend</v>
      </c>
      <c r="L686">
        <v>3</v>
      </c>
      <c r="M686" t="str">
        <f>IF(final_data787[[#This Row],[WEATHER_CODE]]=1,"clear",IF(final_data787[[#This Row],[WEATHER_CODE]]=2,"cloudy",IF(final_data787[[#This Row],[WEATHER_CODE]]=3,"light rain",IF(final_data787[[#This Row],[WEATHER_CODE]]=4,"heavy rain",0))))</f>
        <v>light rain</v>
      </c>
      <c r="N686">
        <v>0.16</v>
      </c>
      <c r="O686">
        <v>0.16669999999999999</v>
      </c>
      <c r="P686">
        <v>0.59</v>
      </c>
      <c r="Q686">
        <v>0.16420000000000001</v>
      </c>
      <c r="R686">
        <v>0</v>
      </c>
      <c r="S686">
        <v>78</v>
      </c>
      <c r="T686">
        <v>78</v>
      </c>
    </row>
    <row r="687" spans="1:20" x14ac:dyDescent="0.35">
      <c r="A687">
        <v>686</v>
      </c>
      <c r="B687" s="1">
        <v>40574</v>
      </c>
      <c r="C687">
        <v>1</v>
      </c>
      <c r="D687">
        <v>0</v>
      </c>
      <c r="E687">
        <v>1</v>
      </c>
      <c r="F687" t="str">
        <f>IF(final_data787[[#This Row],[MONTH_CODE]]=1,"JANUARY",IF(final_data787[[#This Row],[MONTH_CODE]]=2,"FEBRUARY"))</f>
        <v>JANUARY</v>
      </c>
      <c r="G687">
        <v>21</v>
      </c>
      <c r="H687">
        <v>0</v>
      </c>
      <c r="I687">
        <v>1</v>
      </c>
      <c r="J6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7" t="str">
        <f>IF(final_data787[[#This Row],[DAY_CODE]]=0,"weekend",IF(final_data787[[#This Row],[DAY_CODE]]=1,"weekend","weekday"))</f>
        <v>weekend</v>
      </c>
      <c r="L687">
        <v>3</v>
      </c>
      <c r="M687" t="str">
        <f>IF(final_data787[[#This Row],[WEATHER_CODE]]=1,"clear",IF(final_data787[[#This Row],[WEATHER_CODE]]=2,"cloudy",IF(final_data787[[#This Row],[WEATHER_CODE]]=3,"light rain",IF(final_data787[[#This Row],[WEATHER_CODE]]=4,"heavy rain",0))))</f>
        <v>light rain</v>
      </c>
      <c r="N687">
        <v>0.16</v>
      </c>
      <c r="O687">
        <v>0.19700000000000001</v>
      </c>
      <c r="P687">
        <v>0.59</v>
      </c>
      <c r="Q687">
        <v>8.9599999999999999E-2</v>
      </c>
      <c r="R687">
        <v>3</v>
      </c>
      <c r="S687">
        <v>53</v>
      </c>
      <c r="T687">
        <v>56</v>
      </c>
    </row>
    <row r="688" spans="1:20" x14ac:dyDescent="0.35">
      <c r="A688">
        <v>687</v>
      </c>
      <c r="B688" s="1">
        <v>40574</v>
      </c>
      <c r="C688">
        <v>1</v>
      </c>
      <c r="D688">
        <v>0</v>
      </c>
      <c r="E688">
        <v>1</v>
      </c>
      <c r="F688" t="str">
        <f>IF(final_data787[[#This Row],[MONTH_CODE]]=1,"JANUARY",IF(final_data787[[#This Row],[MONTH_CODE]]=2,"FEBRUARY"))</f>
        <v>JANUARY</v>
      </c>
      <c r="G688">
        <v>22</v>
      </c>
      <c r="H688">
        <v>0</v>
      </c>
      <c r="I688">
        <v>1</v>
      </c>
      <c r="J6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8" t="str">
        <f>IF(final_data787[[#This Row],[DAY_CODE]]=0,"weekend",IF(final_data787[[#This Row],[DAY_CODE]]=1,"weekend","weekday"))</f>
        <v>weekend</v>
      </c>
      <c r="L688">
        <v>2</v>
      </c>
      <c r="M688" t="str">
        <f>IF(final_data787[[#This Row],[WEATHER_CODE]]=1,"clear",IF(final_data787[[#This Row],[WEATHER_CODE]]=2,"cloudy",IF(final_data787[[#This Row],[WEATHER_CODE]]=3,"light rain",IF(final_data787[[#This Row],[WEATHER_CODE]]=4,"heavy rain",0))))</f>
        <v>cloudy</v>
      </c>
      <c r="N688">
        <v>0.16</v>
      </c>
      <c r="O688">
        <v>0.18179999999999999</v>
      </c>
      <c r="P688">
        <v>0.59</v>
      </c>
      <c r="Q688">
        <v>0.1045</v>
      </c>
      <c r="R688">
        <v>0</v>
      </c>
      <c r="S688">
        <v>34</v>
      </c>
      <c r="T688">
        <v>34</v>
      </c>
    </row>
    <row r="689" spans="1:20" x14ac:dyDescent="0.35">
      <c r="A689">
        <v>688</v>
      </c>
      <c r="B689" s="1">
        <v>40574</v>
      </c>
      <c r="C689">
        <v>1</v>
      </c>
      <c r="D689">
        <v>0</v>
      </c>
      <c r="E689">
        <v>1</v>
      </c>
      <c r="F689" t="str">
        <f>IF(final_data787[[#This Row],[MONTH_CODE]]=1,"JANUARY",IF(final_data787[[#This Row],[MONTH_CODE]]=2,"FEBRUARY"))</f>
        <v>JANUARY</v>
      </c>
      <c r="G689">
        <v>23</v>
      </c>
      <c r="H689">
        <v>0</v>
      </c>
      <c r="I689">
        <v>1</v>
      </c>
      <c r="J6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689" t="str">
        <f>IF(final_data787[[#This Row],[DAY_CODE]]=0,"weekend",IF(final_data787[[#This Row],[DAY_CODE]]=1,"weekend","weekday"))</f>
        <v>weekend</v>
      </c>
      <c r="L689">
        <v>2</v>
      </c>
      <c r="M689" t="str">
        <f>IF(final_data787[[#This Row],[WEATHER_CODE]]=1,"clear",IF(final_data787[[#This Row],[WEATHER_CODE]]=2,"cloudy",IF(final_data787[[#This Row],[WEATHER_CODE]]=3,"light rain",IF(final_data787[[#This Row],[WEATHER_CODE]]=4,"heavy rain",0))))</f>
        <v>cloudy</v>
      </c>
      <c r="N689">
        <v>0.16</v>
      </c>
      <c r="O689">
        <v>0.19700000000000001</v>
      </c>
      <c r="P689">
        <v>0.64</v>
      </c>
      <c r="Q689">
        <v>8.9599999999999999E-2</v>
      </c>
      <c r="R689">
        <v>2</v>
      </c>
      <c r="S689">
        <v>15</v>
      </c>
      <c r="T689">
        <v>17</v>
      </c>
    </row>
    <row r="690" spans="1:20" x14ac:dyDescent="0.35">
      <c r="A690">
        <v>689</v>
      </c>
      <c r="B690" s="1">
        <v>40575</v>
      </c>
      <c r="C690">
        <v>1</v>
      </c>
      <c r="D690">
        <v>0</v>
      </c>
      <c r="E690">
        <v>2</v>
      </c>
      <c r="F690" t="str">
        <f>IF(final_data787[[#This Row],[MONTH_CODE]]=1,"JANUARY",IF(final_data787[[#This Row],[MONTH_CODE]]=2,"FEBRUARY"))</f>
        <v>FEBRUARY</v>
      </c>
      <c r="G690">
        <v>0</v>
      </c>
      <c r="H690">
        <v>0</v>
      </c>
      <c r="I690">
        <v>2</v>
      </c>
      <c r="J6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0" t="str">
        <f>IF(final_data787[[#This Row],[DAY_CODE]]=0,"weekend",IF(final_data787[[#This Row],[DAY_CODE]]=1,"weekend","weekday"))</f>
        <v>weekday</v>
      </c>
      <c r="L690">
        <v>2</v>
      </c>
      <c r="M690" t="str">
        <f>IF(final_data787[[#This Row],[WEATHER_CODE]]=1,"clear",IF(final_data787[[#This Row],[WEATHER_CODE]]=2,"cloudy",IF(final_data787[[#This Row],[WEATHER_CODE]]=3,"light rain",IF(final_data787[[#This Row],[WEATHER_CODE]]=4,"heavy rain",0))))</f>
        <v>cloudy</v>
      </c>
      <c r="N690">
        <v>0.16</v>
      </c>
      <c r="O690">
        <v>0.18179999999999999</v>
      </c>
      <c r="P690">
        <v>0.64</v>
      </c>
      <c r="Q690">
        <v>0.1045</v>
      </c>
      <c r="R690">
        <v>2</v>
      </c>
      <c r="S690">
        <v>6</v>
      </c>
      <c r="T690">
        <v>8</v>
      </c>
    </row>
    <row r="691" spans="1:20" x14ac:dyDescent="0.35">
      <c r="A691">
        <v>690</v>
      </c>
      <c r="B691" s="1">
        <v>40575</v>
      </c>
      <c r="C691">
        <v>1</v>
      </c>
      <c r="D691">
        <v>0</v>
      </c>
      <c r="E691">
        <v>2</v>
      </c>
      <c r="F691" t="str">
        <f>IF(final_data787[[#This Row],[MONTH_CODE]]=1,"JANUARY",IF(final_data787[[#This Row],[MONTH_CODE]]=2,"FEBRUARY"))</f>
        <v>FEBRUARY</v>
      </c>
      <c r="G691">
        <v>1</v>
      </c>
      <c r="H691">
        <v>0</v>
      </c>
      <c r="I691">
        <v>2</v>
      </c>
      <c r="J6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1" t="str">
        <f>IF(final_data787[[#This Row],[DAY_CODE]]=0,"weekend",IF(final_data787[[#This Row],[DAY_CODE]]=1,"weekend","weekday"))</f>
        <v>weekday</v>
      </c>
      <c r="L691">
        <v>2</v>
      </c>
      <c r="M691" t="str">
        <f>IF(final_data787[[#This Row],[WEATHER_CODE]]=1,"clear",IF(final_data787[[#This Row],[WEATHER_CODE]]=2,"cloudy",IF(final_data787[[#This Row],[WEATHER_CODE]]=3,"light rain",IF(final_data787[[#This Row],[WEATHER_CODE]]=4,"heavy rain",0))))</f>
        <v>cloudy</v>
      </c>
      <c r="N691">
        <v>0.16</v>
      </c>
      <c r="O691">
        <v>0.18179999999999999</v>
      </c>
      <c r="P691">
        <v>0.69</v>
      </c>
      <c r="Q691">
        <v>0.1045</v>
      </c>
      <c r="R691">
        <v>0</v>
      </c>
      <c r="S691">
        <v>3</v>
      </c>
      <c r="T691">
        <v>3</v>
      </c>
    </row>
    <row r="692" spans="1:20" x14ac:dyDescent="0.35">
      <c r="A692">
        <v>691</v>
      </c>
      <c r="B692" s="1">
        <v>40575</v>
      </c>
      <c r="C692">
        <v>1</v>
      </c>
      <c r="D692">
        <v>0</v>
      </c>
      <c r="E692">
        <v>2</v>
      </c>
      <c r="F692" t="str">
        <f>IF(final_data787[[#This Row],[MONTH_CODE]]=1,"JANUARY",IF(final_data787[[#This Row],[MONTH_CODE]]=2,"FEBRUARY"))</f>
        <v>FEBRUARY</v>
      </c>
      <c r="G692">
        <v>2</v>
      </c>
      <c r="H692">
        <v>0</v>
      </c>
      <c r="I692">
        <v>2</v>
      </c>
      <c r="J6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2" t="str">
        <f>IF(final_data787[[#This Row],[DAY_CODE]]=0,"weekend",IF(final_data787[[#This Row],[DAY_CODE]]=1,"weekend","weekday"))</f>
        <v>weekday</v>
      </c>
      <c r="L692">
        <v>2</v>
      </c>
      <c r="M692" t="str">
        <f>IF(final_data787[[#This Row],[WEATHER_CODE]]=1,"clear",IF(final_data787[[#This Row],[WEATHER_CODE]]=2,"cloudy",IF(final_data787[[#This Row],[WEATHER_CODE]]=3,"light rain",IF(final_data787[[#This Row],[WEATHER_CODE]]=4,"heavy rain",0))))</f>
        <v>cloudy</v>
      </c>
      <c r="N692">
        <v>0.16</v>
      </c>
      <c r="O692">
        <v>0.2273</v>
      </c>
      <c r="P692">
        <v>0.69</v>
      </c>
      <c r="Q692">
        <v>0</v>
      </c>
      <c r="R692">
        <v>0</v>
      </c>
      <c r="S692">
        <v>2</v>
      </c>
      <c r="T692">
        <v>2</v>
      </c>
    </row>
    <row r="693" spans="1:20" x14ac:dyDescent="0.35">
      <c r="A693">
        <v>692</v>
      </c>
      <c r="B693" s="1">
        <v>40575</v>
      </c>
      <c r="C693">
        <v>1</v>
      </c>
      <c r="D693">
        <v>0</v>
      </c>
      <c r="E693">
        <v>2</v>
      </c>
      <c r="F693" t="str">
        <f>IF(final_data787[[#This Row],[MONTH_CODE]]=1,"JANUARY",IF(final_data787[[#This Row],[MONTH_CODE]]=2,"FEBRUARY"))</f>
        <v>FEBRUARY</v>
      </c>
      <c r="G693">
        <v>3</v>
      </c>
      <c r="H693">
        <v>0</v>
      </c>
      <c r="I693">
        <v>2</v>
      </c>
      <c r="J6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3" t="str">
        <f>IF(final_data787[[#This Row],[DAY_CODE]]=0,"weekend",IF(final_data787[[#This Row],[DAY_CODE]]=1,"weekend","weekday"))</f>
        <v>weekday</v>
      </c>
      <c r="L693">
        <v>2</v>
      </c>
      <c r="M693" t="str">
        <f>IF(final_data787[[#This Row],[WEATHER_CODE]]=1,"clear",IF(final_data787[[#This Row],[WEATHER_CODE]]=2,"cloudy",IF(final_data787[[#This Row],[WEATHER_CODE]]=3,"light rain",IF(final_data787[[#This Row],[WEATHER_CODE]]=4,"heavy rain",0))))</f>
        <v>cloudy</v>
      </c>
      <c r="N693">
        <v>0.16</v>
      </c>
      <c r="O693">
        <v>0.2273</v>
      </c>
      <c r="P693">
        <v>0.69</v>
      </c>
      <c r="Q693">
        <v>0</v>
      </c>
      <c r="R693">
        <v>0</v>
      </c>
      <c r="S693">
        <v>2</v>
      </c>
      <c r="T693">
        <v>2</v>
      </c>
    </row>
    <row r="694" spans="1:20" x14ac:dyDescent="0.35">
      <c r="A694">
        <v>693</v>
      </c>
      <c r="B694" s="1">
        <v>40575</v>
      </c>
      <c r="C694">
        <v>1</v>
      </c>
      <c r="D694">
        <v>0</v>
      </c>
      <c r="E694">
        <v>2</v>
      </c>
      <c r="F694" t="str">
        <f>IF(final_data787[[#This Row],[MONTH_CODE]]=1,"JANUARY",IF(final_data787[[#This Row],[MONTH_CODE]]=2,"FEBRUARY"))</f>
        <v>FEBRUARY</v>
      </c>
      <c r="G694">
        <v>5</v>
      </c>
      <c r="H694">
        <v>0</v>
      </c>
      <c r="I694">
        <v>2</v>
      </c>
      <c r="J6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4" t="str">
        <f>IF(final_data787[[#This Row],[DAY_CODE]]=0,"weekend",IF(final_data787[[#This Row],[DAY_CODE]]=1,"weekend","weekday"))</f>
        <v>weekday</v>
      </c>
      <c r="L694">
        <v>3</v>
      </c>
      <c r="M694" t="str">
        <f>IF(final_data787[[#This Row],[WEATHER_CODE]]=1,"clear",IF(final_data787[[#This Row],[WEATHER_CODE]]=2,"cloudy",IF(final_data787[[#This Row],[WEATHER_CODE]]=3,"light rain",IF(final_data787[[#This Row],[WEATHER_CODE]]=4,"heavy rain",0))))</f>
        <v>light rain</v>
      </c>
      <c r="N694">
        <v>0.14000000000000001</v>
      </c>
      <c r="O694">
        <v>0.21210000000000001</v>
      </c>
      <c r="P694">
        <v>0.93</v>
      </c>
      <c r="Q694">
        <v>0</v>
      </c>
      <c r="R694">
        <v>0</v>
      </c>
      <c r="S694">
        <v>3</v>
      </c>
      <c r="T694">
        <v>3</v>
      </c>
    </row>
    <row r="695" spans="1:20" x14ac:dyDescent="0.35">
      <c r="A695">
        <v>694</v>
      </c>
      <c r="B695" s="1">
        <v>40575</v>
      </c>
      <c r="C695">
        <v>1</v>
      </c>
      <c r="D695">
        <v>0</v>
      </c>
      <c r="E695">
        <v>2</v>
      </c>
      <c r="F695" t="str">
        <f>IF(final_data787[[#This Row],[MONTH_CODE]]=1,"JANUARY",IF(final_data787[[#This Row],[MONTH_CODE]]=2,"FEBRUARY"))</f>
        <v>FEBRUARY</v>
      </c>
      <c r="G695">
        <v>6</v>
      </c>
      <c r="H695">
        <v>0</v>
      </c>
      <c r="I695">
        <v>2</v>
      </c>
      <c r="J6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5" t="str">
        <f>IF(final_data787[[#This Row],[DAY_CODE]]=0,"weekend",IF(final_data787[[#This Row],[DAY_CODE]]=1,"weekend","weekday"))</f>
        <v>weekday</v>
      </c>
      <c r="L695">
        <v>3</v>
      </c>
      <c r="M695" t="str">
        <f>IF(final_data787[[#This Row],[WEATHER_CODE]]=1,"clear",IF(final_data787[[#This Row],[WEATHER_CODE]]=2,"cloudy",IF(final_data787[[#This Row],[WEATHER_CODE]]=3,"light rain",IF(final_data787[[#This Row],[WEATHER_CODE]]=4,"heavy rain",0))))</f>
        <v>light rain</v>
      </c>
      <c r="N695">
        <v>0.14000000000000001</v>
      </c>
      <c r="O695">
        <v>0.21210000000000001</v>
      </c>
      <c r="P695">
        <v>0.93</v>
      </c>
      <c r="Q695">
        <v>0</v>
      </c>
      <c r="R695">
        <v>0</v>
      </c>
      <c r="S695">
        <v>22</v>
      </c>
      <c r="T695">
        <v>22</v>
      </c>
    </row>
    <row r="696" spans="1:20" x14ac:dyDescent="0.35">
      <c r="A696">
        <v>695</v>
      </c>
      <c r="B696" s="1">
        <v>40575</v>
      </c>
      <c r="C696">
        <v>1</v>
      </c>
      <c r="D696">
        <v>0</v>
      </c>
      <c r="E696">
        <v>2</v>
      </c>
      <c r="F696" t="str">
        <f>IF(final_data787[[#This Row],[MONTH_CODE]]=1,"JANUARY",IF(final_data787[[#This Row],[MONTH_CODE]]=2,"FEBRUARY"))</f>
        <v>FEBRUARY</v>
      </c>
      <c r="G696">
        <v>7</v>
      </c>
      <c r="H696">
        <v>0</v>
      </c>
      <c r="I696">
        <v>2</v>
      </c>
      <c r="J6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6" t="str">
        <f>IF(final_data787[[#This Row],[DAY_CODE]]=0,"weekend",IF(final_data787[[#This Row],[DAY_CODE]]=1,"weekend","weekday"))</f>
        <v>weekday</v>
      </c>
      <c r="L696">
        <v>3</v>
      </c>
      <c r="M696" t="str">
        <f>IF(final_data787[[#This Row],[WEATHER_CODE]]=1,"clear",IF(final_data787[[#This Row],[WEATHER_CODE]]=2,"cloudy",IF(final_data787[[#This Row],[WEATHER_CODE]]=3,"light rain",IF(final_data787[[#This Row],[WEATHER_CODE]]=4,"heavy rain",0))))</f>
        <v>light rain</v>
      </c>
      <c r="N696">
        <v>0.16</v>
      </c>
      <c r="O696">
        <v>0.2273</v>
      </c>
      <c r="P696">
        <v>0.93</v>
      </c>
      <c r="Q696">
        <v>0</v>
      </c>
      <c r="R696">
        <v>0</v>
      </c>
      <c r="S696">
        <v>52</v>
      </c>
      <c r="T696">
        <v>52</v>
      </c>
    </row>
    <row r="697" spans="1:20" x14ac:dyDescent="0.35">
      <c r="A697">
        <v>696</v>
      </c>
      <c r="B697" s="1">
        <v>40575</v>
      </c>
      <c r="C697">
        <v>1</v>
      </c>
      <c r="D697">
        <v>0</v>
      </c>
      <c r="E697">
        <v>2</v>
      </c>
      <c r="F697" t="str">
        <f>IF(final_data787[[#This Row],[MONTH_CODE]]=1,"JANUARY",IF(final_data787[[#This Row],[MONTH_CODE]]=2,"FEBRUARY"))</f>
        <v>FEBRUARY</v>
      </c>
      <c r="G697">
        <v>8</v>
      </c>
      <c r="H697">
        <v>0</v>
      </c>
      <c r="I697">
        <v>2</v>
      </c>
      <c r="J6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7" t="str">
        <f>IF(final_data787[[#This Row],[DAY_CODE]]=0,"weekend",IF(final_data787[[#This Row],[DAY_CODE]]=1,"weekend","weekday"))</f>
        <v>weekday</v>
      </c>
      <c r="L697">
        <v>3</v>
      </c>
      <c r="M697" t="str">
        <f>IF(final_data787[[#This Row],[WEATHER_CODE]]=1,"clear",IF(final_data787[[#This Row],[WEATHER_CODE]]=2,"cloudy",IF(final_data787[[#This Row],[WEATHER_CODE]]=3,"light rain",IF(final_data787[[#This Row],[WEATHER_CODE]]=4,"heavy rain",0))))</f>
        <v>light rain</v>
      </c>
      <c r="N697">
        <v>0.16</v>
      </c>
      <c r="O697">
        <v>0.2273</v>
      </c>
      <c r="P697">
        <v>0.93</v>
      </c>
      <c r="Q697">
        <v>0</v>
      </c>
      <c r="R697">
        <v>3</v>
      </c>
      <c r="S697">
        <v>132</v>
      </c>
      <c r="T697">
        <v>135</v>
      </c>
    </row>
    <row r="698" spans="1:20" x14ac:dyDescent="0.35">
      <c r="A698">
        <v>697</v>
      </c>
      <c r="B698" s="1">
        <v>40575</v>
      </c>
      <c r="C698">
        <v>1</v>
      </c>
      <c r="D698">
        <v>0</v>
      </c>
      <c r="E698">
        <v>2</v>
      </c>
      <c r="F698" t="str">
        <f>IF(final_data787[[#This Row],[MONTH_CODE]]=1,"JANUARY",IF(final_data787[[#This Row],[MONTH_CODE]]=2,"FEBRUARY"))</f>
        <v>FEBRUARY</v>
      </c>
      <c r="G698">
        <v>9</v>
      </c>
      <c r="H698">
        <v>0</v>
      </c>
      <c r="I698">
        <v>2</v>
      </c>
      <c r="J6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8" t="str">
        <f>IF(final_data787[[#This Row],[DAY_CODE]]=0,"weekend",IF(final_data787[[#This Row],[DAY_CODE]]=1,"weekend","weekday"))</f>
        <v>weekday</v>
      </c>
      <c r="L698">
        <v>2</v>
      </c>
      <c r="M698" t="str">
        <f>IF(final_data787[[#This Row],[WEATHER_CODE]]=1,"clear",IF(final_data787[[#This Row],[WEATHER_CODE]]=2,"cloudy",IF(final_data787[[#This Row],[WEATHER_CODE]]=3,"light rain",IF(final_data787[[#This Row],[WEATHER_CODE]]=4,"heavy rain",0))))</f>
        <v>cloudy</v>
      </c>
      <c r="N698">
        <v>0.16</v>
      </c>
      <c r="O698">
        <v>0.2273</v>
      </c>
      <c r="P698">
        <v>0.93</v>
      </c>
      <c r="Q698">
        <v>0</v>
      </c>
      <c r="R698">
        <v>2</v>
      </c>
      <c r="S698">
        <v>114</v>
      </c>
      <c r="T698">
        <v>116</v>
      </c>
    </row>
    <row r="699" spans="1:20" x14ac:dyDescent="0.35">
      <c r="A699">
        <v>698</v>
      </c>
      <c r="B699" s="1">
        <v>40575</v>
      </c>
      <c r="C699">
        <v>1</v>
      </c>
      <c r="D699">
        <v>0</v>
      </c>
      <c r="E699">
        <v>2</v>
      </c>
      <c r="F699" t="str">
        <f>IF(final_data787[[#This Row],[MONTH_CODE]]=1,"JANUARY",IF(final_data787[[#This Row],[MONTH_CODE]]=2,"FEBRUARY"))</f>
        <v>FEBRUARY</v>
      </c>
      <c r="G699">
        <v>10</v>
      </c>
      <c r="H699">
        <v>0</v>
      </c>
      <c r="I699">
        <v>2</v>
      </c>
      <c r="J6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699" t="str">
        <f>IF(final_data787[[#This Row],[DAY_CODE]]=0,"weekend",IF(final_data787[[#This Row],[DAY_CODE]]=1,"weekend","weekday"))</f>
        <v>weekday</v>
      </c>
      <c r="L699">
        <v>2</v>
      </c>
      <c r="M699" t="str">
        <f>IF(final_data787[[#This Row],[WEATHER_CODE]]=1,"clear",IF(final_data787[[#This Row],[WEATHER_CODE]]=2,"cloudy",IF(final_data787[[#This Row],[WEATHER_CODE]]=3,"light rain",IF(final_data787[[#This Row],[WEATHER_CODE]]=4,"heavy rain",0))))</f>
        <v>cloudy</v>
      </c>
      <c r="N699">
        <v>0.16</v>
      </c>
      <c r="O699">
        <v>0.2273</v>
      </c>
      <c r="P699">
        <v>0.93</v>
      </c>
      <c r="Q699">
        <v>0</v>
      </c>
      <c r="R699">
        <v>0</v>
      </c>
      <c r="S699">
        <v>47</v>
      </c>
      <c r="T699">
        <v>47</v>
      </c>
    </row>
    <row r="700" spans="1:20" x14ac:dyDescent="0.35">
      <c r="A700">
        <v>699</v>
      </c>
      <c r="B700" s="1">
        <v>40575</v>
      </c>
      <c r="C700">
        <v>1</v>
      </c>
      <c r="D700">
        <v>0</v>
      </c>
      <c r="E700">
        <v>2</v>
      </c>
      <c r="F700" t="str">
        <f>IF(final_data787[[#This Row],[MONTH_CODE]]=1,"JANUARY",IF(final_data787[[#This Row],[MONTH_CODE]]=2,"FEBRUARY"))</f>
        <v>FEBRUARY</v>
      </c>
      <c r="G700">
        <v>11</v>
      </c>
      <c r="H700">
        <v>0</v>
      </c>
      <c r="I700">
        <v>2</v>
      </c>
      <c r="J7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0" t="str">
        <f>IF(final_data787[[#This Row],[DAY_CODE]]=0,"weekend",IF(final_data787[[#This Row],[DAY_CODE]]=1,"weekend","weekday"))</f>
        <v>weekday</v>
      </c>
      <c r="L700">
        <v>2</v>
      </c>
      <c r="M700" t="str">
        <f>IF(final_data787[[#This Row],[WEATHER_CODE]]=1,"clear",IF(final_data787[[#This Row],[WEATHER_CODE]]=2,"cloudy",IF(final_data787[[#This Row],[WEATHER_CODE]]=3,"light rain",IF(final_data787[[#This Row],[WEATHER_CODE]]=4,"heavy rain",0))))</f>
        <v>cloudy</v>
      </c>
      <c r="N700">
        <v>0.18</v>
      </c>
      <c r="O700">
        <v>0.2424</v>
      </c>
      <c r="P700">
        <v>0.86</v>
      </c>
      <c r="Q700">
        <v>0</v>
      </c>
      <c r="R700">
        <v>2</v>
      </c>
      <c r="S700">
        <v>49</v>
      </c>
      <c r="T700">
        <v>51</v>
      </c>
    </row>
    <row r="701" spans="1:20" x14ac:dyDescent="0.35">
      <c r="A701">
        <v>700</v>
      </c>
      <c r="B701" s="1">
        <v>40575</v>
      </c>
      <c r="C701">
        <v>1</v>
      </c>
      <c r="D701">
        <v>0</v>
      </c>
      <c r="E701">
        <v>2</v>
      </c>
      <c r="F701" t="str">
        <f>IF(final_data787[[#This Row],[MONTH_CODE]]=1,"JANUARY",IF(final_data787[[#This Row],[MONTH_CODE]]=2,"FEBRUARY"))</f>
        <v>FEBRUARY</v>
      </c>
      <c r="G701">
        <v>12</v>
      </c>
      <c r="H701">
        <v>0</v>
      </c>
      <c r="I701">
        <v>2</v>
      </c>
      <c r="J7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1" t="str">
        <f>IF(final_data787[[#This Row],[DAY_CODE]]=0,"weekend",IF(final_data787[[#This Row],[DAY_CODE]]=1,"weekend","weekday"))</f>
        <v>weekday</v>
      </c>
      <c r="L701">
        <v>2</v>
      </c>
      <c r="M701" t="str">
        <f>IF(final_data787[[#This Row],[WEATHER_CODE]]=1,"clear",IF(final_data787[[#This Row],[WEATHER_CODE]]=2,"cloudy",IF(final_data787[[#This Row],[WEATHER_CODE]]=3,"light rain",IF(final_data787[[#This Row],[WEATHER_CODE]]=4,"heavy rain",0))))</f>
        <v>cloudy</v>
      </c>
      <c r="N701">
        <v>0.2</v>
      </c>
      <c r="O701">
        <v>0.2576</v>
      </c>
      <c r="P701">
        <v>0.86</v>
      </c>
      <c r="Q701">
        <v>0</v>
      </c>
      <c r="R701">
        <v>2</v>
      </c>
      <c r="S701">
        <v>53</v>
      </c>
      <c r="T701">
        <v>55</v>
      </c>
    </row>
    <row r="702" spans="1:20" x14ac:dyDescent="0.35">
      <c r="A702">
        <v>701</v>
      </c>
      <c r="B702" s="1">
        <v>40575</v>
      </c>
      <c r="C702">
        <v>1</v>
      </c>
      <c r="D702">
        <v>0</v>
      </c>
      <c r="E702">
        <v>2</v>
      </c>
      <c r="F702" t="str">
        <f>IF(final_data787[[#This Row],[MONTH_CODE]]=1,"JANUARY",IF(final_data787[[#This Row],[MONTH_CODE]]=2,"FEBRUARY"))</f>
        <v>FEBRUARY</v>
      </c>
      <c r="G702">
        <v>13</v>
      </c>
      <c r="H702">
        <v>0</v>
      </c>
      <c r="I702">
        <v>2</v>
      </c>
      <c r="J7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2" t="str">
        <f>IF(final_data787[[#This Row],[DAY_CODE]]=0,"weekend",IF(final_data787[[#This Row],[DAY_CODE]]=1,"weekend","weekday"))</f>
        <v>weekday</v>
      </c>
      <c r="L702">
        <v>2</v>
      </c>
      <c r="M702" t="str">
        <f>IF(final_data787[[#This Row],[WEATHER_CODE]]=1,"clear",IF(final_data787[[#This Row],[WEATHER_CODE]]=2,"cloudy",IF(final_data787[[#This Row],[WEATHER_CODE]]=3,"light rain",IF(final_data787[[#This Row],[WEATHER_CODE]]=4,"heavy rain",0))))</f>
        <v>cloudy</v>
      </c>
      <c r="N702">
        <v>0.2</v>
      </c>
      <c r="O702">
        <v>0.2576</v>
      </c>
      <c r="P702">
        <v>0.86</v>
      </c>
      <c r="Q702">
        <v>0</v>
      </c>
      <c r="R702">
        <v>3</v>
      </c>
      <c r="S702">
        <v>49</v>
      </c>
      <c r="T702">
        <v>52</v>
      </c>
    </row>
    <row r="703" spans="1:20" x14ac:dyDescent="0.35">
      <c r="A703">
        <v>702</v>
      </c>
      <c r="B703" s="1">
        <v>40575</v>
      </c>
      <c r="C703">
        <v>1</v>
      </c>
      <c r="D703">
        <v>0</v>
      </c>
      <c r="E703">
        <v>2</v>
      </c>
      <c r="F703" t="str">
        <f>IF(final_data787[[#This Row],[MONTH_CODE]]=1,"JANUARY",IF(final_data787[[#This Row],[MONTH_CODE]]=2,"FEBRUARY"))</f>
        <v>FEBRUARY</v>
      </c>
      <c r="G703">
        <v>14</v>
      </c>
      <c r="H703">
        <v>0</v>
      </c>
      <c r="I703">
        <v>2</v>
      </c>
      <c r="J7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3" t="str">
        <f>IF(final_data787[[#This Row],[DAY_CODE]]=0,"weekend",IF(final_data787[[#This Row],[DAY_CODE]]=1,"weekend","weekday"))</f>
        <v>weekday</v>
      </c>
      <c r="L703">
        <v>2</v>
      </c>
      <c r="M703" t="str">
        <f>IF(final_data787[[#This Row],[WEATHER_CODE]]=1,"clear",IF(final_data787[[#This Row],[WEATHER_CODE]]=2,"cloudy",IF(final_data787[[#This Row],[WEATHER_CODE]]=3,"light rain",IF(final_data787[[#This Row],[WEATHER_CODE]]=4,"heavy rain",0))))</f>
        <v>cloudy</v>
      </c>
      <c r="N703">
        <v>0.22</v>
      </c>
      <c r="O703">
        <v>0.2576</v>
      </c>
      <c r="P703">
        <v>0.8</v>
      </c>
      <c r="Q703">
        <v>8.9599999999999999E-2</v>
      </c>
      <c r="R703">
        <v>5</v>
      </c>
      <c r="S703">
        <v>49</v>
      </c>
      <c r="T703">
        <v>54</v>
      </c>
    </row>
    <row r="704" spans="1:20" x14ac:dyDescent="0.35">
      <c r="A704">
        <v>703</v>
      </c>
      <c r="B704" s="1">
        <v>40575</v>
      </c>
      <c r="C704">
        <v>1</v>
      </c>
      <c r="D704">
        <v>0</v>
      </c>
      <c r="E704">
        <v>2</v>
      </c>
      <c r="F704" t="str">
        <f>IF(final_data787[[#This Row],[MONTH_CODE]]=1,"JANUARY",IF(final_data787[[#This Row],[MONTH_CODE]]=2,"FEBRUARY"))</f>
        <v>FEBRUARY</v>
      </c>
      <c r="G704">
        <v>15</v>
      </c>
      <c r="H704">
        <v>0</v>
      </c>
      <c r="I704">
        <v>2</v>
      </c>
      <c r="J7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4" t="str">
        <f>IF(final_data787[[#This Row],[DAY_CODE]]=0,"weekend",IF(final_data787[[#This Row],[DAY_CODE]]=1,"weekend","weekday"))</f>
        <v>weekday</v>
      </c>
      <c r="L704">
        <v>2</v>
      </c>
      <c r="M704" t="str">
        <f>IF(final_data787[[#This Row],[WEATHER_CODE]]=1,"clear",IF(final_data787[[#This Row],[WEATHER_CODE]]=2,"cloudy",IF(final_data787[[#This Row],[WEATHER_CODE]]=3,"light rain",IF(final_data787[[#This Row],[WEATHER_CODE]]=4,"heavy rain",0))))</f>
        <v>cloudy</v>
      </c>
      <c r="N704">
        <v>0.24</v>
      </c>
      <c r="O704">
        <v>0.28789999999999999</v>
      </c>
      <c r="P704">
        <v>0.75</v>
      </c>
      <c r="Q704">
        <v>0</v>
      </c>
      <c r="R704">
        <v>7</v>
      </c>
      <c r="S704">
        <v>45</v>
      </c>
      <c r="T704">
        <v>52</v>
      </c>
    </row>
    <row r="705" spans="1:20" x14ac:dyDescent="0.35">
      <c r="A705">
        <v>704</v>
      </c>
      <c r="B705" s="1">
        <v>40575</v>
      </c>
      <c r="C705">
        <v>1</v>
      </c>
      <c r="D705">
        <v>0</v>
      </c>
      <c r="E705">
        <v>2</v>
      </c>
      <c r="F705" t="str">
        <f>IF(final_data787[[#This Row],[MONTH_CODE]]=1,"JANUARY",IF(final_data787[[#This Row],[MONTH_CODE]]=2,"FEBRUARY"))</f>
        <v>FEBRUARY</v>
      </c>
      <c r="G705">
        <v>16</v>
      </c>
      <c r="H705">
        <v>0</v>
      </c>
      <c r="I705">
        <v>2</v>
      </c>
      <c r="J7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5" t="str">
        <f>IF(final_data787[[#This Row],[DAY_CODE]]=0,"weekend",IF(final_data787[[#This Row],[DAY_CODE]]=1,"weekend","weekday"))</f>
        <v>weekday</v>
      </c>
      <c r="L705">
        <v>2</v>
      </c>
      <c r="M705" t="str">
        <f>IF(final_data787[[#This Row],[WEATHER_CODE]]=1,"clear",IF(final_data787[[#This Row],[WEATHER_CODE]]=2,"cloudy",IF(final_data787[[#This Row],[WEATHER_CODE]]=3,"light rain",IF(final_data787[[#This Row],[WEATHER_CODE]]=4,"heavy rain",0))))</f>
        <v>cloudy</v>
      </c>
      <c r="N705">
        <v>0.24</v>
      </c>
      <c r="O705">
        <v>0.2424</v>
      </c>
      <c r="P705">
        <v>0.75</v>
      </c>
      <c r="Q705">
        <v>0.1343</v>
      </c>
      <c r="R705">
        <v>3</v>
      </c>
      <c r="S705">
        <v>61</v>
      </c>
      <c r="T705">
        <v>64</v>
      </c>
    </row>
    <row r="706" spans="1:20" x14ac:dyDescent="0.35">
      <c r="A706">
        <v>705</v>
      </c>
      <c r="B706" s="1">
        <v>40575</v>
      </c>
      <c r="C706">
        <v>1</v>
      </c>
      <c r="D706">
        <v>0</v>
      </c>
      <c r="E706">
        <v>2</v>
      </c>
      <c r="F706" t="str">
        <f>IF(final_data787[[#This Row],[MONTH_CODE]]=1,"JANUARY",IF(final_data787[[#This Row],[MONTH_CODE]]=2,"FEBRUARY"))</f>
        <v>FEBRUARY</v>
      </c>
      <c r="G706">
        <v>17</v>
      </c>
      <c r="H706">
        <v>0</v>
      </c>
      <c r="I706">
        <v>2</v>
      </c>
      <c r="J7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6" t="str">
        <f>IF(final_data787[[#This Row],[DAY_CODE]]=0,"weekend",IF(final_data787[[#This Row],[DAY_CODE]]=1,"weekend","weekday"))</f>
        <v>weekday</v>
      </c>
      <c r="L706">
        <v>2</v>
      </c>
      <c r="M706" t="str">
        <f>IF(final_data787[[#This Row],[WEATHER_CODE]]=1,"clear",IF(final_data787[[#This Row],[WEATHER_CODE]]=2,"cloudy",IF(final_data787[[#This Row],[WEATHER_CODE]]=3,"light rain",IF(final_data787[[#This Row],[WEATHER_CODE]]=4,"heavy rain",0))))</f>
        <v>cloudy</v>
      </c>
      <c r="N706">
        <v>0.24</v>
      </c>
      <c r="O706">
        <v>0.28789999999999999</v>
      </c>
      <c r="P706">
        <v>0.75</v>
      </c>
      <c r="Q706">
        <v>0</v>
      </c>
      <c r="R706">
        <v>4</v>
      </c>
      <c r="S706">
        <v>172</v>
      </c>
      <c r="T706">
        <v>176</v>
      </c>
    </row>
    <row r="707" spans="1:20" x14ac:dyDescent="0.35">
      <c r="A707">
        <v>706</v>
      </c>
      <c r="B707" s="1">
        <v>40575</v>
      </c>
      <c r="C707">
        <v>1</v>
      </c>
      <c r="D707">
        <v>0</v>
      </c>
      <c r="E707">
        <v>2</v>
      </c>
      <c r="F707" t="str">
        <f>IF(final_data787[[#This Row],[MONTH_CODE]]=1,"JANUARY",IF(final_data787[[#This Row],[MONTH_CODE]]=2,"FEBRUARY"))</f>
        <v>FEBRUARY</v>
      </c>
      <c r="G707">
        <v>18</v>
      </c>
      <c r="H707">
        <v>0</v>
      </c>
      <c r="I707">
        <v>2</v>
      </c>
      <c r="J7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7" t="str">
        <f>IF(final_data787[[#This Row],[DAY_CODE]]=0,"weekend",IF(final_data787[[#This Row],[DAY_CODE]]=1,"weekend","weekday"))</f>
        <v>weekday</v>
      </c>
      <c r="L707">
        <v>2</v>
      </c>
      <c r="M707" t="str">
        <f>IF(final_data787[[#This Row],[WEATHER_CODE]]=1,"clear",IF(final_data787[[#This Row],[WEATHER_CODE]]=2,"cloudy",IF(final_data787[[#This Row],[WEATHER_CODE]]=3,"light rain",IF(final_data787[[#This Row],[WEATHER_CODE]]=4,"heavy rain",0))))</f>
        <v>cloudy</v>
      </c>
      <c r="N707">
        <v>0.24</v>
      </c>
      <c r="O707">
        <v>0.2576</v>
      </c>
      <c r="P707">
        <v>0.81</v>
      </c>
      <c r="Q707">
        <v>0.1045</v>
      </c>
      <c r="R707">
        <v>3</v>
      </c>
      <c r="S707">
        <v>165</v>
      </c>
      <c r="T707">
        <v>168</v>
      </c>
    </row>
    <row r="708" spans="1:20" x14ac:dyDescent="0.35">
      <c r="A708">
        <v>707</v>
      </c>
      <c r="B708" s="1">
        <v>40575</v>
      </c>
      <c r="C708">
        <v>1</v>
      </c>
      <c r="D708">
        <v>0</v>
      </c>
      <c r="E708">
        <v>2</v>
      </c>
      <c r="F708" t="str">
        <f>IF(final_data787[[#This Row],[MONTH_CODE]]=1,"JANUARY",IF(final_data787[[#This Row],[MONTH_CODE]]=2,"FEBRUARY"))</f>
        <v>FEBRUARY</v>
      </c>
      <c r="G708">
        <v>19</v>
      </c>
      <c r="H708">
        <v>0</v>
      </c>
      <c r="I708">
        <v>2</v>
      </c>
      <c r="J7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8" t="str">
        <f>IF(final_data787[[#This Row],[DAY_CODE]]=0,"weekend",IF(final_data787[[#This Row],[DAY_CODE]]=1,"weekend","weekday"))</f>
        <v>weekday</v>
      </c>
      <c r="L708">
        <v>2</v>
      </c>
      <c r="M708" t="str">
        <f>IF(final_data787[[#This Row],[WEATHER_CODE]]=1,"clear",IF(final_data787[[#This Row],[WEATHER_CODE]]=2,"cloudy",IF(final_data787[[#This Row],[WEATHER_CODE]]=3,"light rain",IF(final_data787[[#This Row],[WEATHER_CODE]]=4,"heavy rain",0))))</f>
        <v>cloudy</v>
      </c>
      <c r="N708">
        <v>0.24</v>
      </c>
      <c r="O708">
        <v>0.2424</v>
      </c>
      <c r="P708">
        <v>0.81</v>
      </c>
      <c r="Q708">
        <v>0.1343</v>
      </c>
      <c r="R708">
        <v>3</v>
      </c>
      <c r="S708">
        <v>105</v>
      </c>
      <c r="T708">
        <v>108</v>
      </c>
    </row>
    <row r="709" spans="1:20" x14ac:dyDescent="0.35">
      <c r="A709">
        <v>708</v>
      </c>
      <c r="B709" s="1">
        <v>40575</v>
      </c>
      <c r="C709">
        <v>1</v>
      </c>
      <c r="D709">
        <v>0</v>
      </c>
      <c r="E709">
        <v>2</v>
      </c>
      <c r="F709" t="str">
        <f>IF(final_data787[[#This Row],[MONTH_CODE]]=1,"JANUARY",IF(final_data787[[#This Row],[MONTH_CODE]]=2,"FEBRUARY"))</f>
        <v>FEBRUARY</v>
      </c>
      <c r="G709">
        <v>20</v>
      </c>
      <c r="H709">
        <v>0</v>
      </c>
      <c r="I709">
        <v>2</v>
      </c>
      <c r="J7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09" t="str">
        <f>IF(final_data787[[#This Row],[DAY_CODE]]=0,"weekend",IF(final_data787[[#This Row],[DAY_CODE]]=1,"weekend","weekday"))</f>
        <v>weekday</v>
      </c>
      <c r="L709">
        <v>2</v>
      </c>
      <c r="M709" t="str">
        <f>IF(final_data787[[#This Row],[WEATHER_CODE]]=1,"clear",IF(final_data787[[#This Row],[WEATHER_CODE]]=2,"cloudy",IF(final_data787[[#This Row],[WEATHER_CODE]]=3,"light rain",IF(final_data787[[#This Row],[WEATHER_CODE]]=4,"heavy rain",0))))</f>
        <v>cloudy</v>
      </c>
      <c r="N709">
        <v>0.22</v>
      </c>
      <c r="O709">
        <v>0.2273</v>
      </c>
      <c r="P709">
        <v>0.87</v>
      </c>
      <c r="Q709">
        <v>0.1343</v>
      </c>
      <c r="R709">
        <v>5</v>
      </c>
      <c r="S709">
        <v>69</v>
      </c>
      <c r="T709">
        <v>74</v>
      </c>
    </row>
    <row r="710" spans="1:20" x14ac:dyDescent="0.35">
      <c r="A710">
        <v>709</v>
      </c>
      <c r="B710" s="1">
        <v>40575</v>
      </c>
      <c r="C710">
        <v>1</v>
      </c>
      <c r="D710">
        <v>0</v>
      </c>
      <c r="E710">
        <v>2</v>
      </c>
      <c r="F710" t="str">
        <f>IF(final_data787[[#This Row],[MONTH_CODE]]=1,"JANUARY",IF(final_data787[[#This Row],[MONTH_CODE]]=2,"FEBRUARY"))</f>
        <v>FEBRUARY</v>
      </c>
      <c r="G710">
        <v>21</v>
      </c>
      <c r="H710">
        <v>0</v>
      </c>
      <c r="I710">
        <v>2</v>
      </c>
      <c r="J7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10" t="str">
        <f>IF(final_data787[[#This Row],[DAY_CODE]]=0,"weekend",IF(final_data787[[#This Row],[DAY_CODE]]=1,"weekend","weekday"))</f>
        <v>weekday</v>
      </c>
      <c r="L710">
        <v>2</v>
      </c>
      <c r="M710" t="str">
        <f>IF(final_data787[[#This Row],[WEATHER_CODE]]=1,"clear",IF(final_data787[[#This Row],[WEATHER_CODE]]=2,"cloudy",IF(final_data787[[#This Row],[WEATHER_CODE]]=3,"light rain",IF(final_data787[[#This Row],[WEATHER_CODE]]=4,"heavy rain",0))))</f>
        <v>cloudy</v>
      </c>
      <c r="N710">
        <v>0.22</v>
      </c>
      <c r="O710">
        <v>0.2273</v>
      </c>
      <c r="P710">
        <v>0.87</v>
      </c>
      <c r="Q710">
        <v>0.1343</v>
      </c>
      <c r="R710">
        <v>0</v>
      </c>
      <c r="S710">
        <v>64</v>
      </c>
      <c r="T710">
        <v>64</v>
      </c>
    </row>
    <row r="711" spans="1:20" x14ac:dyDescent="0.35">
      <c r="A711">
        <v>710</v>
      </c>
      <c r="B711" s="1">
        <v>40575</v>
      </c>
      <c r="C711">
        <v>1</v>
      </c>
      <c r="D711">
        <v>0</v>
      </c>
      <c r="E711">
        <v>2</v>
      </c>
      <c r="F711" t="str">
        <f>IF(final_data787[[#This Row],[MONTH_CODE]]=1,"JANUARY",IF(final_data787[[#This Row],[MONTH_CODE]]=2,"FEBRUARY"))</f>
        <v>FEBRUARY</v>
      </c>
      <c r="G711">
        <v>22</v>
      </c>
      <c r="H711">
        <v>0</v>
      </c>
      <c r="I711">
        <v>2</v>
      </c>
      <c r="J7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11" t="str">
        <f>IF(final_data787[[#This Row],[DAY_CODE]]=0,"weekend",IF(final_data787[[#This Row],[DAY_CODE]]=1,"weekend","weekday"))</f>
        <v>weekday</v>
      </c>
      <c r="L711">
        <v>2</v>
      </c>
      <c r="M711" t="str">
        <f>IF(final_data787[[#This Row],[WEATHER_CODE]]=1,"clear",IF(final_data787[[#This Row],[WEATHER_CODE]]=2,"cloudy",IF(final_data787[[#This Row],[WEATHER_CODE]]=3,"light rain",IF(final_data787[[#This Row],[WEATHER_CODE]]=4,"heavy rain",0))))</f>
        <v>cloudy</v>
      </c>
      <c r="N711">
        <v>0.22</v>
      </c>
      <c r="O711">
        <v>0.2576</v>
      </c>
      <c r="P711">
        <v>0.87</v>
      </c>
      <c r="Q711">
        <v>8.9599999999999999E-2</v>
      </c>
      <c r="R711">
        <v>2</v>
      </c>
      <c r="S711">
        <v>34</v>
      </c>
      <c r="T711">
        <v>36</v>
      </c>
    </row>
    <row r="712" spans="1:20" x14ac:dyDescent="0.35">
      <c r="A712">
        <v>711</v>
      </c>
      <c r="B712" s="1">
        <v>40575</v>
      </c>
      <c r="C712">
        <v>1</v>
      </c>
      <c r="D712">
        <v>0</v>
      </c>
      <c r="E712">
        <v>2</v>
      </c>
      <c r="F712" t="str">
        <f>IF(final_data787[[#This Row],[MONTH_CODE]]=1,"JANUARY",IF(final_data787[[#This Row],[MONTH_CODE]]=2,"FEBRUARY"))</f>
        <v>FEBRUARY</v>
      </c>
      <c r="G712">
        <v>23</v>
      </c>
      <c r="H712">
        <v>0</v>
      </c>
      <c r="I712">
        <v>2</v>
      </c>
      <c r="J7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712" t="str">
        <f>IF(final_data787[[#This Row],[DAY_CODE]]=0,"weekend",IF(final_data787[[#This Row],[DAY_CODE]]=1,"weekend","weekday"))</f>
        <v>weekday</v>
      </c>
      <c r="L712">
        <v>3</v>
      </c>
      <c r="M712" t="str">
        <f>IF(final_data787[[#This Row],[WEATHER_CODE]]=1,"clear",IF(final_data787[[#This Row],[WEATHER_CODE]]=2,"cloudy",IF(final_data787[[#This Row],[WEATHER_CODE]]=3,"light rain",IF(final_data787[[#This Row],[WEATHER_CODE]]=4,"heavy rain",0))))</f>
        <v>light rain</v>
      </c>
      <c r="N712">
        <v>0.2</v>
      </c>
      <c r="O712">
        <v>0.19700000000000001</v>
      </c>
      <c r="P712">
        <v>0.93</v>
      </c>
      <c r="Q712">
        <v>0.19400000000000001</v>
      </c>
      <c r="R712">
        <v>1</v>
      </c>
      <c r="S712">
        <v>15</v>
      </c>
      <c r="T712">
        <v>16</v>
      </c>
    </row>
    <row r="713" spans="1:20" x14ac:dyDescent="0.35">
      <c r="A713">
        <v>712</v>
      </c>
      <c r="B713" s="1">
        <v>40576</v>
      </c>
      <c r="C713">
        <v>1</v>
      </c>
      <c r="D713">
        <v>0</v>
      </c>
      <c r="E713">
        <v>2</v>
      </c>
      <c r="F713" t="str">
        <f>IF(final_data787[[#This Row],[MONTH_CODE]]=1,"JANUARY",IF(final_data787[[#This Row],[MONTH_CODE]]=2,"FEBRUARY"))</f>
        <v>FEBRUARY</v>
      </c>
      <c r="G713">
        <v>0</v>
      </c>
      <c r="H713">
        <v>0</v>
      </c>
      <c r="I713">
        <v>3</v>
      </c>
      <c r="J7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3" t="str">
        <f>IF(final_data787[[#This Row],[DAY_CODE]]=0,"weekend",IF(final_data787[[#This Row],[DAY_CODE]]=1,"weekend","weekday"))</f>
        <v>weekday</v>
      </c>
      <c r="L713">
        <v>3</v>
      </c>
      <c r="M713" t="str">
        <f>IF(final_data787[[#This Row],[WEATHER_CODE]]=1,"clear",IF(final_data787[[#This Row],[WEATHER_CODE]]=2,"cloudy",IF(final_data787[[#This Row],[WEATHER_CODE]]=3,"light rain",IF(final_data787[[#This Row],[WEATHER_CODE]]=4,"heavy rain",0))))</f>
        <v>light rain</v>
      </c>
      <c r="N713">
        <v>0.22</v>
      </c>
      <c r="O713">
        <v>0.2424</v>
      </c>
      <c r="P713">
        <v>0.93</v>
      </c>
      <c r="Q713">
        <v>0.1045</v>
      </c>
      <c r="R713">
        <v>0</v>
      </c>
      <c r="S713">
        <v>2</v>
      </c>
      <c r="T713">
        <v>2</v>
      </c>
    </row>
    <row r="714" spans="1:20" x14ac:dyDescent="0.35">
      <c r="A714">
        <v>713</v>
      </c>
      <c r="B714" s="1">
        <v>40576</v>
      </c>
      <c r="C714">
        <v>1</v>
      </c>
      <c r="D714">
        <v>0</v>
      </c>
      <c r="E714">
        <v>2</v>
      </c>
      <c r="F714" t="str">
        <f>IF(final_data787[[#This Row],[MONTH_CODE]]=1,"JANUARY",IF(final_data787[[#This Row],[MONTH_CODE]]=2,"FEBRUARY"))</f>
        <v>FEBRUARY</v>
      </c>
      <c r="G714">
        <v>1</v>
      </c>
      <c r="H714">
        <v>0</v>
      </c>
      <c r="I714">
        <v>3</v>
      </c>
      <c r="J7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4" t="str">
        <f>IF(final_data787[[#This Row],[DAY_CODE]]=0,"weekend",IF(final_data787[[#This Row],[DAY_CODE]]=1,"weekend","weekday"))</f>
        <v>weekday</v>
      </c>
      <c r="L714">
        <v>3</v>
      </c>
      <c r="M714" t="str">
        <f>IF(final_data787[[#This Row],[WEATHER_CODE]]=1,"clear",IF(final_data787[[#This Row],[WEATHER_CODE]]=2,"cloudy",IF(final_data787[[#This Row],[WEATHER_CODE]]=3,"light rain",IF(final_data787[[#This Row],[WEATHER_CODE]]=4,"heavy rain",0))))</f>
        <v>light rain</v>
      </c>
      <c r="N714">
        <v>0.22</v>
      </c>
      <c r="O714">
        <v>0.2273</v>
      </c>
      <c r="P714">
        <v>0.93</v>
      </c>
      <c r="Q714">
        <v>0.19400000000000001</v>
      </c>
      <c r="R714">
        <v>0</v>
      </c>
      <c r="S714">
        <v>3</v>
      </c>
      <c r="T714">
        <v>3</v>
      </c>
    </row>
    <row r="715" spans="1:20" x14ac:dyDescent="0.35">
      <c r="A715">
        <v>714</v>
      </c>
      <c r="B715" s="1">
        <v>40576</v>
      </c>
      <c r="C715">
        <v>1</v>
      </c>
      <c r="D715">
        <v>0</v>
      </c>
      <c r="E715">
        <v>2</v>
      </c>
      <c r="F715" t="str">
        <f>IF(final_data787[[#This Row],[MONTH_CODE]]=1,"JANUARY",IF(final_data787[[#This Row],[MONTH_CODE]]=2,"FEBRUARY"))</f>
        <v>FEBRUARY</v>
      </c>
      <c r="G715">
        <v>2</v>
      </c>
      <c r="H715">
        <v>0</v>
      </c>
      <c r="I715">
        <v>3</v>
      </c>
      <c r="J7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5" t="str">
        <f>IF(final_data787[[#This Row],[DAY_CODE]]=0,"weekend",IF(final_data787[[#This Row],[DAY_CODE]]=1,"weekend","weekday"))</f>
        <v>weekday</v>
      </c>
      <c r="L715">
        <v>3</v>
      </c>
      <c r="M715" t="str">
        <f>IF(final_data787[[#This Row],[WEATHER_CODE]]=1,"clear",IF(final_data787[[#This Row],[WEATHER_CODE]]=2,"cloudy",IF(final_data787[[#This Row],[WEATHER_CODE]]=3,"light rain",IF(final_data787[[#This Row],[WEATHER_CODE]]=4,"heavy rain",0))))</f>
        <v>light rain</v>
      </c>
      <c r="N715">
        <v>0.22</v>
      </c>
      <c r="O715">
        <v>0.2273</v>
      </c>
      <c r="P715">
        <v>0.93</v>
      </c>
      <c r="Q715">
        <v>0.1343</v>
      </c>
      <c r="R715">
        <v>4</v>
      </c>
      <c r="S715">
        <v>0</v>
      </c>
      <c r="T715">
        <v>4</v>
      </c>
    </row>
    <row r="716" spans="1:20" x14ac:dyDescent="0.35">
      <c r="A716">
        <v>715</v>
      </c>
      <c r="B716" s="1">
        <v>40576</v>
      </c>
      <c r="C716">
        <v>1</v>
      </c>
      <c r="D716">
        <v>0</v>
      </c>
      <c r="E716">
        <v>2</v>
      </c>
      <c r="F716" t="str">
        <f>IF(final_data787[[#This Row],[MONTH_CODE]]=1,"JANUARY",IF(final_data787[[#This Row],[MONTH_CODE]]=2,"FEBRUARY"))</f>
        <v>FEBRUARY</v>
      </c>
      <c r="G716">
        <v>3</v>
      </c>
      <c r="H716">
        <v>0</v>
      </c>
      <c r="I716">
        <v>3</v>
      </c>
      <c r="J7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6" t="str">
        <f>IF(final_data787[[#This Row],[DAY_CODE]]=0,"weekend",IF(final_data787[[#This Row],[DAY_CODE]]=1,"weekend","weekday"))</f>
        <v>weekday</v>
      </c>
      <c r="L716">
        <v>3</v>
      </c>
      <c r="M716" t="str">
        <f>IF(final_data787[[#This Row],[WEATHER_CODE]]=1,"clear",IF(final_data787[[#This Row],[WEATHER_CODE]]=2,"cloudy",IF(final_data787[[#This Row],[WEATHER_CODE]]=3,"light rain",IF(final_data787[[#This Row],[WEATHER_CODE]]=4,"heavy rain",0))))</f>
        <v>light rain</v>
      </c>
      <c r="N716">
        <v>0.22</v>
      </c>
      <c r="O716">
        <v>0.2273</v>
      </c>
      <c r="P716">
        <v>0.93</v>
      </c>
      <c r="Q716">
        <v>0.1343</v>
      </c>
      <c r="R716">
        <v>0</v>
      </c>
      <c r="S716">
        <v>1</v>
      </c>
      <c r="T716">
        <v>1</v>
      </c>
    </row>
    <row r="717" spans="1:20" x14ac:dyDescent="0.35">
      <c r="A717">
        <v>716</v>
      </c>
      <c r="B717" s="1">
        <v>40576</v>
      </c>
      <c r="C717">
        <v>1</v>
      </c>
      <c r="D717">
        <v>0</v>
      </c>
      <c r="E717">
        <v>2</v>
      </c>
      <c r="F717" t="str">
        <f>IF(final_data787[[#This Row],[MONTH_CODE]]=1,"JANUARY",IF(final_data787[[#This Row],[MONTH_CODE]]=2,"FEBRUARY"))</f>
        <v>FEBRUARY</v>
      </c>
      <c r="G717">
        <v>4</v>
      </c>
      <c r="H717">
        <v>0</v>
      </c>
      <c r="I717">
        <v>3</v>
      </c>
      <c r="J7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7" t="str">
        <f>IF(final_data787[[#This Row],[DAY_CODE]]=0,"weekend",IF(final_data787[[#This Row],[DAY_CODE]]=1,"weekend","weekday"))</f>
        <v>weekday</v>
      </c>
      <c r="L717">
        <v>3</v>
      </c>
      <c r="M717" t="str">
        <f>IF(final_data787[[#This Row],[WEATHER_CODE]]=1,"clear",IF(final_data787[[#This Row],[WEATHER_CODE]]=2,"cloudy",IF(final_data787[[#This Row],[WEATHER_CODE]]=3,"light rain",IF(final_data787[[#This Row],[WEATHER_CODE]]=4,"heavy rain",0))))</f>
        <v>light rain</v>
      </c>
      <c r="N717">
        <v>0.22</v>
      </c>
      <c r="O717">
        <v>0.21210000000000001</v>
      </c>
      <c r="P717">
        <v>0.93</v>
      </c>
      <c r="Q717">
        <v>0.28360000000000002</v>
      </c>
      <c r="R717">
        <v>0</v>
      </c>
      <c r="S717">
        <v>1</v>
      </c>
      <c r="T717">
        <v>1</v>
      </c>
    </row>
    <row r="718" spans="1:20" x14ac:dyDescent="0.35">
      <c r="A718">
        <v>717</v>
      </c>
      <c r="B718" s="1">
        <v>40576</v>
      </c>
      <c r="C718">
        <v>1</v>
      </c>
      <c r="D718">
        <v>0</v>
      </c>
      <c r="E718">
        <v>2</v>
      </c>
      <c r="F718" t="str">
        <f>IF(final_data787[[#This Row],[MONTH_CODE]]=1,"JANUARY",IF(final_data787[[#This Row],[MONTH_CODE]]=2,"FEBRUARY"))</f>
        <v>FEBRUARY</v>
      </c>
      <c r="G718">
        <v>5</v>
      </c>
      <c r="H718">
        <v>0</v>
      </c>
      <c r="I718">
        <v>3</v>
      </c>
      <c r="J7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8" t="str">
        <f>IF(final_data787[[#This Row],[DAY_CODE]]=0,"weekend",IF(final_data787[[#This Row],[DAY_CODE]]=1,"weekend","weekday"))</f>
        <v>weekday</v>
      </c>
      <c r="L718">
        <v>3</v>
      </c>
      <c r="M718" t="str">
        <f>IF(final_data787[[#This Row],[WEATHER_CODE]]=1,"clear",IF(final_data787[[#This Row],[WEATHER_CODE]]=2,"cloudy",IF(final_data787[[#This Row],[WEATHER_CODE]]=3,"light rain",IF(final_data787[[#This Row],[WEATHER_CODE]]=4,"heavy rain",0))))</f>
        <v>light rain</v>
      </c>
      <c r="N718">
        <v>0.22</v>
      </c>
      <c r="O718">
        <v>0.2424</v>
      </c>
      <c r="P718">
        <v>0.93</v>
      </c>
      <c r="Q718">
        <v>0.1045</v>
      </c>
      <c r="R718">
        <v>0</v>
      </c>
      <c r="S718">
        <v>3</v>
      </c>
      <c r="T718">
        <v>3</v>
      </c>
    </row>
    <row r="719" spans="1:20" x14ac:dyDescent="0.35">
      <c r="A719">
        <v>718</v>
      </c>
      <c r="B719" s="1">
        <v>40576</v>
      </c>
      <c r="C719">
        <v>1</v>
      </c>
      <c r="D719">
        <v>0</v>
      </c>
      <c r="E719">
        <v>2</v>
      </c>
      <c r="F719" t="str">
        <f>IF(final_data787[[#This Row],[MONTH_CODE]]=1,"JANUARY",IF(final_data787[[#This Row],[MONTH_CODE]]=2,"FEBRUARY"))</f>
        <v>FEBRUARY</v>
      </c>
      <c r="G719">
        <v>6</v>
      </c>
      <c r="H719">
        <v>0</v>
      </c>
      <c r="I719">
        <v>3</v>
      </c>
      <c r="J7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19" t="str">
        <f>IF(final_data787[[#This Row],[DAY_CODE]]=0,"weekend",IF(final_data787[[#This Row],[DAY_CODE]]=1,"weekend","weekday"))</f>
        <v>weekday</v>
      </c>
      <c r="L719">
        <v>3</v>
      </c>
      <c r="M719" t="str">
        <f>IF(final_data787[[#This Row],[WEATHER_CODE]]=1,"clear",IF(final_data787[[#This Row],[WEATHER_CODE]]=2,"cloudy",IF(final_data787[[#This Row],[WEATHER_CODE]]=3,"light rain",IF(final_data787[[#This Row],[WEATHER_CODE]]=4,"heavy rain",0))))</f>
        <v>light rain</v>
      </c>
      <c r="N719">
        <v>0.22</v>
      </c>
      <c r="O719">
        <v>0.2424</v>
      </c>
      <c r="P719">
        <v>0.93</v>
      </c>
      <c r="Q719">
        <v>0.1045</v>
      </c>
      <c r="R719">
        <v>1</v>
      </c>
      <c r="S719">
        <v>17</v>
      </c>
      <c r="T719">
        <v>18</v>
      </c>
    </row>
    <row r="720" spans="1:20" x14ac:dyDescent="0.35">
      <c r="A720">
        <v>719</v>
      </c>
      <c r="B720" s="1">
        <v>40576</v>
      </c>
      <c r="C720">
        <v>1</v>
      </c>
      <c r="D720">
        <v>0</v>
      </c>
      <c r="E720">
        <v>2</v>
      </c>
      <c r="F720" t="str">
        <f>IF(final_data787[[#This Row],[MONTH_CODE]]=1,"JANUARY",IF(final_data787[[#This Row],[MONTH_CODE]]=2,"FEBRUARY"))</f>
        <v>FEBRUARY</v>
      </c>
      <c r="G720">
        <v>7</v>
      </c>
      <c r="H720">
        <v>0</v>
      </c>
      <c r="I720">
        <v>3</v>
      </c>
      <c r="J7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0" t="str">
        <f>IF(final_data787[[#This Row],[DAY_CODE]]=0,"weekend",IF(final_data787[[#This Row],[DAY_CODE]]=1,"weekend","weekday"))</f>
        <v>weekday</v>
      </c>
      <c r="L720">
        <v>3</v>
      </c>
      <c r="M720" t="str">
        <f>IF(final_data787[[#This Row],[WEATHER_CODE]]=1,"clear",IF(final_data787[[#This Row],[WEATHER_CODE]]=2,"cloudy",IF(final_data787[[#This Row],[WEATHER_CODE]]=3,"light rain",IF(final_data787[[#This Row],[WEATHER_CODE]]=4,"heavy rain",0))))</f>
        <v>light rain</v>
      </c>
      <c r="N720">
        <v>0.22</v>
      </c>
      <c r="O720">
        <v>0.21210000000000001</v>
      </c>
      <c r="P720">
        <v>0.93</v>
      </c>
      <c r="Q720">
        <v>0.22389999999999999</v>
      </c>
      <c r="R720">
        <v>1</v>
      </c>
      <c r="S720">
        <v>48</v>
      </c>
      <c r="T720">
        <v>49</v>
      </c>
    </row>
    <row r="721" spans="1:20" x14ac:dyDescent="0.35">
      <c r="A721">
        <v>720</v>
      </c>
      <c r="B721" s="1">
        <v>40576</v>
      </c>
      <c r="C721">
        <v>1</v>
      </c>
      <c r="D721">
        <v>0</v>
      </c>
      <c r="E721">
        <v>2</v>
      </c>
      <c r="F721" t="str">
        <f>IF(final_data787[[#This Row],[MONTH_CODE]]=1,"JANUARY",IF(final_data787[[#This Row],[MONTH_CODE]]=2,"FEBRUARY"))</f>
        <v>FEBRUARY</v>
      </c>
      <c r="G721">
        <v>8</v>
      </c>
      <c r="H721">
        <v>0</v>
      </c>
      <c r="I721">
        <v>3</v>
      </c>
      <c r="J7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1" t="str">
        <f>IF(final_data787[[#This Row],[DAY_CODE]]=0,"weekend",IF(final_data787[[#This Row],[DAY_CODE]]=1,"weekend","weekday"))</f>
        <v>weekday</v>
      </c>
      <c r="L721">
        <v>3</v>
      </c>
      <c r="M721" t="str">
        <f>IF(final_data787[[#This Row],[WEATHER_CODE]]=1,"clear",IF(final_data787[[#This Row],[WEATHER_CODE]]=2,"cloudy",IF(final_data787[[#This Row],[WEATHER_CODE]]=3,"light rain",IF(final_data787[[#This Row],[WEATHER_CODE]]=4,"heavy rain",0))))</f>
        <v>light rain</v>
      </c>
      <c r="N721">
        <v>0.22</v>
      </c>
      <c r="O721">
        <v>0.21210000000000001</v>
      </c>
      <c r="P721">
        <v>0.93</v>
      </c>
      <c r="Q721">
        <v>0.22389999999999999</v>
      </c>
      <c r="R721">
        <v>1</v>
      </c>
      <c r="S721">
        <v>154</v>
      </c>
      <c r="T721">
        <v>155</v>
      </c>
    </row>
    <row r="722" spans="1:20" x14ac:dyDescent="0.35">
      <c r="A722">
        <v>721</v>
      </c>
      <c r="B722" s="1">
        <v>40576</v>
      </c>
      <c r="C722">
        <v>1</v>
      </c>
      <c r="D722">
        <v>0</v>
      </c>
      <c r="E722">
        <v>2</v>
      </c>
      <c r="F722" t="str">
        <f>IF(final_data787[[#This Row],[MONTH_CODE]]=1,"JANUARY",IF(final_data787[[#This Row],[MONTH_CODE]]=2,"FEBRUARY"))</f>
        <v>FEBRUARY</v>
      </c>
      <c r="G722">
        <v>9</v>
      </c>
      <c r="H722">
        <v>0</v>
      </c>
      <c r="I722">
        <v>3</v>
      </c>
      <c r="J7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2" t="str">
        <f>IF(final_data787[[#This Row],[DAY_CODE]]=0,"weekend",IF(final_data787[[#This Row],[DAY_CODE]]=1,"weekend","weekday"))</f>
        <v>weekday</v>
      </c>
      <c r="L722">
        <v>2</v>
      </c>
      <c r="M722" t="str">
        <f>IF(final_data787[[#This Row],[WEATHER_CODE]]=1,"clear",IF(final_data787[[#This Row],[WEATHER_CODE]]=2,"cloudy",IF(final_data787[[#This Row],[WEATHER_CODE]]=3,"light rain",IF(final_data787[[#This Row],[WEATHER_CODE]]=4,"heavy rain",0))))</f>
        <v>cloudy</v>
      </c>
      <c r="N722">
        <v>0.24</v>
      </c>
      <c r="O722">
        <v>0.2576</v>
      </c>
      <c r="P722">
        <v>0.93</v>
      </c>
      <c r="Q722">
        <v>8.9599999999999999E-2</v>
      </c>
      <c r="R722">
        <v>4</v>
      </c>
      <c r="S722">
        <v>119</v>
      </c>
      <c r="T722">
        <v>123</v>
      </c>
    </row>
    <row r="723" spans="1:20" x14ac:dyDescent="0.35">
      <c r="A723">
        <v>722</v>
      </c>
      <c r="B723" s="1">
        <v>40576</v>
      </c>
      <c r="C723">
        <v>1</v>
      </c>
      <c r="D723">
        <v>0</v>
      </c>
      <c r="E723">
        <v>2</v>
      </c>
      <c r="F723" t="str">
        <f>IF(final_data787[[#This Row],[MONTH_CODE]]=1,"JANUARY",IF(final_data787[[#This Row],[MONTH_CODE]]=2,"FEBRUARY"))</f>
        <v>FEBRUARY</v>
      </c>
      <c r="G723">
        <v>10</v>
      </c>
      <c r="H723">
        <v>0</v>
      </c>
      <c r="I723">
        <v>3</v>
      </c>
      <c r="J7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3" t="str">
        <f>IF(final_data787[[#This Row],[DAY_CODE]]=0,"weekend",IF(final_data787[[#This Row],[DAY_CODE]]=1,"weekend","weekday"))</f>
        <v>weekday</v>
      </c>
      <c r="L723">
        <v>2</v>
      </c>
      <c r="M723" t="str">
        <f>IF(final_data787[[#This Row],[WEATHER_CODE]]=1,"clear",IF(final_data787[[#This Row],[WEATHER_CODE]]=2,"cloudy",IF(final_data787[[#This Row],[WEATHER_CODE]]=3,"light rain",IF(final_data787[[#This Row],[WEATHER_CODE]]=4,"heavy rain",0))))</f>
        <v>cloudy</v>
      </c>
      <c r="N723">
        <v>0.22</v>
      </c>
      <c r="O723">
        <v>0.2727</v>
      </c>
      <c r="P723">
        <v>1</v>
      </c>
      <c r="Q723">
        <v>0</v>
      </c>
      <c r="R723">
        <v>2</v>
      </c>
      <c r="S723">
        <v>59</v>
      </c>
      <c r="T723">
        <v>61</v>
      </c>
    </row>
    <row r="724" spans="1:20" x14ac:dyDescent="0.35">
      <c r="A724">
        <v>723</v>
      </c>
      <c r="B724" s="1">
        <v>40576</v>
      </c>
      <c r="C724">
        <v>1</v>
      </c>
      <c r="D724">
        <v>0</v>
      </c>
      <c r="E724">
        <v>2</v>
      </c>
      <c r="F724" t="str">
        <f>IF(final_data787[[#This Row],[MONTH_CODE]]=1,"JANUARY",IF(final_data787[[#This Row],[MONTH_CODE]]=2,"FEBRUARY"))</f>
        <v>FEBRUARY</v>
      </c>
      <c r="G724">
        <v>11</v>
      </c>
      <c r="H724">
        <v>0</v>
      </c>
      <c r="I724">
        <v>3</v>
      </c>
      <c r="J7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4" t="str">
        <f>IF(final_data787[[#This Row],[DAY_CODE]]=0,"weekend",IF(final_data787[[#This Row],[DAY_CODE]]=1,"weekend","weekday"))</f>
        <v>weekday</v>
      </c>
      <c r="L724">
        <v>2</v>
      </c>
      <c r="M724" t="str">
        <f>IF(final_data787[[#This Row],[WEATHER_CODE]]=1,"clear",IF(final_data787[[#This Row],[WEATHER_CODE]]=2,"cloudy",IF(final_data787[[#This Row],[WEATHER_CODE]]=3,"light rain",IF(final_data787[[#This Row],[WEATHER_CODE]]=4,"heavy rain",0))))</f>
        <v>cloudy</v>
      </c>
      <c r="N724">
        <v>0.24</v>
      </c>
      <c r="O724">
        <v>0.2273</v>
      </c>
      <c r="P724">
        <v>0.93</v>
      </c>
      <c r="Q724">
        <v>0.19400000000000001</v>
      </c>
      <c r="R724">
        <v>5</v>
      </c>
      <c r="S724">
        <v>47</v>
      </c>
      <c r="T724">
        <v>52</v>
      </c>
    </row>
    <row r="725" spans="1:20" x14ac:dyDescent="0.35">
      <c r="A725">
        <v>724</v>
      </c>
      <c r="B725" s="1">
        <v>40576</v>
      </c>
      <c r="C725">
        <v>1</v>
      </c>
      <c r="D725">
        <v>0</v>
      </c>
      <c r="E725">
        <v>2</v>
      </c>
      <c r="F725" t="str">
        <f>IF(final_data787[[#This Row],[MONTH_CODE]]=1,"JANUARY",IF(final_data787[[#This Row],[MONTH_CODE]]=2,"FEBRUARY"))</f>
        <v>FEBRUARY</v>
      </c>
      <c r="G725">
        <v>12</v>
      </c>
      <c r="H725">
        <v>0</v>
      </c>
      <c r="I725">
        <v>3</v>
      </c>
      <c r="J7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5" t="str">
        <f>IF(final_data787[[#This Row],[DAY_CODE]]=0,"weekend",IF(final_data787[[#This Row],[DAY_CODE]]=1,"weekend","weekday"))</f>
        <v>weekday</v>
      </c>
      <c r="L725">
        <v>2</v>
      </c>
      <c r="M725" t="str">
        <f>IF(final_data787[[#This Row],[WEATHER_CODE]]=1,"clear",IF(final_data787[[#This Row],[WEATHER_CODE]]=2,"cloudy",IF(final_data787[[#This Row],[WEATHER_CODE]]=3,"light rain",IF(final_data787[[#This Row],[WEATHER_CODE]]=4,"heavy rain",0))))</f>
        <v>cloudy</v>
      </c>
      <c r="N725">
        <v>0.24</v>
      </c>
      <c r="O725">
        <v>0.2273</v>
      </c>
      <c r="P725">
        <v>0.93</v>
      </c>
      <c r="Q725">
        <v>0.22389999999999999</v>
      </c>
      <c r="R725">
        <v>3</v>
      </c>
      <c r="S725">
        <v>61</v>
      </c>
      <c r="T725">
        <v>64</v>
      </c>
    </row>
    <row r="726" spans="1:20" x14ac:dyDescent="0.35">
      <c r="A726">
        <v>725</v>
      </c>
      <c r="B726" s="1">
        <v>40576</v>
      </c>
      <c r="C726">
        <v>1</v>
      </c>
      <c r="D726">
        <v>0</v>
      </c>
      <c r="E726">
        <v>2</v>
      </c>
      <c r="F726" t="str">
        <f>IF(final_data787[[#This Row],[MONTH_CODE]]=1,"JANUARY",IF(final_data787[[#This Row],[MONTH_CODE]]=2,"FEBRUARY"))</f>
        <v>FEBRUARY</v>
      </c>
      <c r="G726">
        <v>13</v>
      </c>
      <c r="H726">
        <v>0</v>
      </c>
      <c r="I726">
        <v>3</v>
      </c>
      <c r="J7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6" t="str">
        <f>IF(final_data787[[#This Row],[DAY_CODE]]=0,"weekend",IF(final_data787[[#This Row],[DAY_CODE]]=1,"weekend","weekday"))</f>
        <v>weekday</v>
      </c>
      <c r="L726">
        <v>1</v>
      </c>
      <c r="M726" t="str">
        <f>IF(final_data787[[#This Row],[WEATHER_CODE]]=1,"clear",IF(final_data787[[#This Row],[WEATHER_CODE]]=2,"cloudy",IF(final_data787[[#This Row],[WEATHER_CODE]]=3,"light rain",IF(final_data787[[#This Row],[WEATHER_CODE]]=4,"heavy rain",0))))</f>
        <v>clear</v>
      </c>
      <c r="N726">
        <v>0.34</v>
      </c>
      <c r="O726">
        <v>0.33329999999999999</v>
      </c>
      <c r="P726">
        <v>0.93</v>
      </c>
      <c r="Q726">
        <v>0.16420000000000001</v>
      </c>
      <c r="R726">
        <v>1</v>
      </c>
      <c r="S726">
        <v>74</v>
      </c>
      <c r="T726">
        <v>75</v>
      </c>
    </row>
    <row r="727" spans="1:20" x14ac:dyDescent="0.35">
      <c r="A727">
        <v>726</v>
      </c>
      <c r="B727" s="1">
        <v>40576</v>
      </c>
      <c r="C727">
        <v>1</v>
      </c>
      <c r="D727">
        <v>0</v>
      </c>
      <c r="E727">
        <v>2</v>
      </c>
      <c r="F727" t="str">
        <f>IF(final_data787[[#This Row],[MONTH_CODE]]=1,"JANUARY",IF(final_data787[[#This Row],[MONTH_CODE]]=2,"FEBRUARY"))</f>
        <v>FEBRUARY</v>
      </c>
      <c r="G727">
        <v>14</v>
      </c>
      <c r="H727">
        <v>0</v>
      </c>
      <c r="I727">
        <v>3</v>
      </c>
      <c r="J7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7" t="str">
        <f>IF(final_data787[[#This Row],[DAY_CODE]]=0,"weekend",IF(final_data787[[#This Row],[DAY_CODE]]=1,"weekend","weekday"))</f>
        <v>weekday</v>
      </c>
      <c r="L727">
        <v>1</v>
      </c>
      <c r="M727" t="str">
        <f>IF(final_data787[[#This Row],[WEATHER_CODE]]=1,"clear",IF(final_data787[[#This Row],[WEATHER_CODE]]=2,"cloudy",IF(final_data787[[#This Row],[WEATHER_CODE]]=3,"light rain",IF(final_data787[[#This Row],[WEATHER_CODE]]=4,"heavy rain",0))))</f>
        <v>clear</v>
      </c>
      <c r="N727">
        <v>0.38</v>
      </c>
      <c r="O727">
        <v>0.39389999999999997</v>
      </c>
      <c r="P727">
        <v>0.82</v>
      </c>
      <c r="Q727">
        <v>0.3881</v>
      </c>
      <c r="R727">
        <v>2</v>
      </c>
      <c r="S727">
        <v>61</v>
      </c>
      <c r="T727">
        <v>63</v>
      </c>
    </row>
    <row r="728" spans="1:20" x14ac:dyDescent="0.35">
      <c r="A728">
        <v>727</v>
      </c>
      <c r="B728" s="1">
        <v>40576</v>
      </c>
      <c r="C728">
        <v>1</v>
      </c>
      <c r="D728">
        <v>0</v>
      </c>
      <c r="E728">
        <v>2</v>
      </c>
      <c r="F728" t="str">
        <f>IF(final_data787[[#This Row],[MONTH_CODE]]=1,"JANUARY",IF(final_data787[[#This Row],[MONTH_CODE]]=2,"FEBRUARY"))</f>
        <v>FEBRUARY</v>
      </c>
      <c r="G728">
        <v>15</v>
      </c>
      <c r="H728">
        <v>0</v>
      </c>
      <c r="I728">
        <v>3</v>
      </c>
      <c r="J7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8" t="str">
        <f>IF(final_data787[[#This Row],[DAY_CODE]]=0,"weekend",IF(final_data787[[#This Row],[DAY_CODE]]=1,"weekend","weekday"))</f>
        <v>weekday</v>
      </c>
      <c r="L728">
        <v>1</v>
      </c>
      <c r="M728" t="str">
        <f>IF(final_data787[[#This Row],[WEATHER_CODE]]=1,"clear",IF(final_data787[[#This Row],[WEATHER_CODE]]=2,"cloudy",IF(final_data787[[#This Row],[WEATHER_CODE]]=3,"light rain",IF(final_data787[[#This Row],[WEATHER_CODE]]=4,"heavy rain",0))))</f>
        <v>clear</v>
      </c>
      <c r="N728">
        <v>0.38</v>
      </c>
      <c r="O728">
        <v>0.39389999999999997</v>
      </c>
      <c r="P728">
        <v>0.76</v>
      </c>
      <c r="Q728">
        <v>0.32840000000000003</v>
      </c>
      <c r="R728">
        <v>10</v>
      </c>
      <c r="S728">
        <v>66</v>
      </c>
      <c r="T728">
        <v>76</v>
      </c>
    </row>
    <row r="729" spans="1:20" x14ac:dyDescent="0.35">
      <c r="A729">
        <v>728</v>
      </c>
      <c r="B729" s="1">
        <v>40576</v>
      </c>
      <c r="C729">
        <v>1</v>
      </c>
      <c r="D729">
        <v>0</v>
      </c>
      <c r="E729">
        <v>2</v>
      </c>
      <c r="F729" t="str">
        <f>IF(final_data787[[#This Row],[MONTH_CODE]]=1,"JANUARY",IF(final_data787[[#This Row],[MONTH_CODE]]=2,"FEBRUARY"))</f>
        <v>FEBRUARY</v>
      </c>
      <c r="G729">
        <v>16</v>
      </c>
      <c r="H729">
        <v>0</v>
      </c>
      <c r="I729">
        <v>3</v>
      </c>
      <c r="J7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29" t="str">
        <f>IF(final_data787[[#This Row],[DAY_CODE]]=0,"weekend",IF(final_data787[[#This Row],[DAY_CODE]]=1,"weekend","weekday"))</f>
        <v>weekday</v>
      </c>
      <c r="L729">
        <v>1</v>
      </c>
      <c r="M729" t="str">
        <f>IF(final_data787[[#This Row],[WEATHER_CODE]]=1,"clear",IF(final_data787[[#This Row],[WEATHER_CODE]]=2,"cloudy",IF(final_data787[[#This Row],[WEATHER_CODE]]=3,"light rain",IF(final_data787[[#This Row],[WEATHER_CODE]]=4,"heavy rain",0))))</f>
        <v>clear</v>
      </c>
      <c r="N729">
        <v>0.36</v>
      </c>
      <c r="O729">
        <v>0.33329999999999999</v>
      </c>
      <c r="P729">
        <v>0.71</v>
      </c>
      <c r="Q729">
        <v>0.29849999999999999</v>
      </c>
      <c r="R729">
        <v>8</v>
      </c>
      <c r="S729">
        <v>95</v>
      </c>
      <c r="T729">
        <v>103</v>
      </c>
    </row>
    <row r="730" spans="1:20" x14ac:dyDescent="0.35">
      <c r="A730">
        <v>729</v>
      </c>
      <c r="B730" s="1">
        <v>40576</v>
      </c>
      <c r="C730">
        <v>1</v>
      </c>
      <c r="D730">
        <v>0</v>
      </c>
      <c r="E730">
        <v>2</v>
      </c>
      <c r="F730" t="str">
        <f>IF(final_data787[[#This Row],[MONTH_CODE]]=1,"JANUARY",IF(final_data787[[#This Row],[MONTH_CODE]]=2,"FEBRUARY"))</f>
        <v>FEBRUARY</v>
      </c>
      <c r="G730">
        <v>17</v>
      </c>
      <c r="H730">
        <v>0</v>
      </c>
      <c r="I730">
        <v>3</v>
      </c>
      <c r="J7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0" t="str">
        <f>IF(final_data787[[#This Row],[DAY_CODE]]=0,"weekend",IF(final_data787[[#This Row],[DAY_CODE]]=1,"weekend","weekday"))</f>
        <v>weekday</v>
      </c>
      <c r="L730">
        <v>1</v>
      </c>
      <c r="M730" t="str">
        <f>IF(final_data787[[#This Row],[WEATHER_CODE]]=1,"clear",IF(final_data787[[#This Row],[WEATHER_CODE]]=2,"cloudy",IF(final_data787[[#This Row],[WEATHER_CODE]]=3,"light rain",IF(final_data787[[#This Row],[WEATHER_CODE]]=4,"heavy rain",0))))</f>
        <v>clear</v>
      </c>
      <c r="N730">
        <v>0.36</v>
      </c>
      <c r="O730">
        <v>0.31819999999999998</v>
      </c>
      <c r="P730">
        <v>0.53</v>
      </c>
      <c r="Q730">
        <v>0.52239999999999998</v>
      </c>
      <c r="R730">
        <v>7</v>
      </c>
      <c r="S730">
        <v>183</v>
      </c>
      <c r="T730">
        <v>190</v>
      </c>
    </row>
    <row r="731" spans="1:20" x14ac:dyDescent="0.35">
      <c r="A731">
        <v>730</v>
      </c>
      <c r="B731" s="1">
        <v>40576</v>
      </c>
      <c r="C731">
        <v>1</v>
      </c>
      <c r="D731">
        <v>0</v>
      </c>
      <c r="E731">
        <v>2</v>
      </c>
      <c r="F731" t="str">
        <f>IF(final_data787[[#This Row],[MONTH_CODE]]=1,"JANUARY",IF(final_data787[[#This Row],[MONTH_CODE]]=2,"FEBRUARY"))</f>
        <v>FEBRUARY</v>
      </c>
      <c r="G731">
        <v>18</v>
      </c>
      <c r="H731">
        <v>0</v>
      </c>
      <c r="I731">
        <v>3</v>
      </c>
      <c r="J7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1" t="str">
        <f>IF(final_data787[[#This Row],[DAY_CODE]]=0,"weekend",IF(final_data787[[#This Row],[DAY_CODE]]=1,"weekend","weekday"))</f>
        <v>weekday</v>
      </c>
      <c r="L731">
        <v>1</v>
      </c>
      <c r="M731" t="str">
        <f>IF(final_data787[[#This Row],[WEATHER_CODE]]=1,"clear",IF(final_data787[[#This Row],[WEATHER_CODE]]=2,"cloudy",IF(final_data787[[#This Row],[WEATHER_CODE]]=3,"light rain",IF(final_data787[[#This Row],[WEATHER_CODE]]=4,"heavy rain",0))))</f>
        <v>clear</v>
      </c>
      <c r="N731">
        <v>0.34</v>
      </c>
      <c r="O731">
        <v>0.28789999999999999</v>
      </c>
      <c r="P731">
        <v>0.42</v>
      </c>
      <c r="Q731">
        <v>0.55220000000000002</v>
      </c>
      <c r="R731">
        <v>7</v>
      </c>
      <c r="S731">
        <v>175</v>
      </c>
      <c r="T731">
        <v>182</v>
      </c>
    </row>
    <row r="732" spans="1:20" x14ac:dyDescent="0.35">
      <c r="A732">
        <v>731</v>
      </c>
      <c r="B732" s="1">
        <v>40576</v>
      </c>
      <c r="C732">
        <v>1</v>
      </c>
      <c r="D732">
        <v>0</v>
      </c>
      <c r="E732">
        <v>2</v>
      </c>
      <c r="F732" t="str">
        <f>IF(final_data787[[#This Row],[MONTH_CODE]]=1,"JANUARY",IF(final_data787[[#This Row],[MONTH_CODE]]=2,"FEBRUARY"))</f>
        <v>FEBRUARY</v>
      </c>
      <c r="G732">
        <v>19</v>
      </c>
      <c r="H732">
        <v>0</v>
      </c>
      <c r="I732">
        <v>3</v>
      </c>
      <c r="J7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2" t="str">
        <f>IF(final_data787[[#This Row],[DAY_CODE]]=0,"weekend",IF(final_data787[[#This Row],[DAY_CODE]]=1,"weekend","weekday"))</f>
        <v>weekday</v>
      </c>
      <c r="L732">
        <v>1</v>
      </c>
      <c r="M732" t="str">
        <f>IF(final_data787[[#This Row],[WEATHER_CODE]]=1,"clear",IF(final_data787[[#This Row],[WEATHER_CODE]]=2,"cloudy",IF(final_data787[[#This Row],[WEATHER_CODE]]=3,"light rain",IF(final_data787[[#This Row],[WEATHER_CODE]]=4,"heavy rain",0))))</f>
        <v>clear</v>
      </c>
      <c r="N732">
        <v>0.28000000000000003</v>
      </c>
      <c r="O732">
        <v>0.2424</v>
      </c>
      <c r="P732">
        <v>0.45</v>
      </c>
      <c r="Q732">
        <v>0.49249999999999999</v>
      </c>
      <c r="R732">
        <v>3</v>
      </c>
      <c r="S732">
        <v>88</v>
      </c>
      <c r="T732">
        <v>91</v>
      </c>
    </row>
    <row r="733" spans="1:20" x14ac:dyDescent="0.35">
      <c r="A733">
        <v>732</v>
      </c>
      <c r="B733" s="1">
        <v>40576</v>
      </c>
      <c r="C733">
        <v>1</v>
      </c>
      <c r="D733">
        <v>0</v>
      </c>
      <c r="E733">
        <v>2</v>
      </c>
      <c r="F733" t="str">
        <f>IF(final_data787[[#This Row],[MONTH_CODE]]=1,"JANUARY",IF(final_data787[[#This Row],[MONTH_CODE]]=2,"FEBRUARY"))</f>
        <v>FEBRUARY</v>
      </c>
      <c r="G733">
        <v>20</v>
      </c>
      <c r="H733">
        <v>0</v>
      </c>
      <c r="I733">
        <v>3</v>
      </c>
      <c r="J7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3" t="str">
        <f>IF(final_data787[[#This Row],[DAY_CODE]]=0,"weekend",IF(final_data787[[#This Row],[DAY_CODE]]=1,"weekend","weekday"))</f>
        <v>weekday</v>
      </c>
      <c r="L733">
        <v>1</v>
      </c>
      <c r="M733" t="str">
        <f>IF(final_data787[[#This Row],[WEATHER_CODE]]=1,"clear",IF(final_data787[[#This Row],[WEATHER_CODE]]=2,"cloudy",IF(final_data787[[#This Row],[WEATHER_CODE]]=3,"light rain",IF(final_data787[[#This Row],[WEATHER_CODE]]=4,"heavy rain",0))))</f>
        <v>clear</v>
      </c>
      <c r="N733">
        <v>0.24</v>
      </c>
      <c r="O733">
        <v>0.19700000000000001</v>
      </c>
      <c r="P733">
        <v>0.48</v>
      </c>
      <c r="Q733">
        <v>0.55220000000000002</v>
      </c>
      <c r="R733">
        <v>4</v>
      </c>
      <c r="S733">
        <v>71</v>
      </c>
      <c r="T733">
        <v>75</v>
      </c>
    </row>
    <row r="734" spans="1:20" x14ac:dyDescent="0.35">
      <c r="A734">
        <v>733</v>
      </c>
      <c r="B734" s="1">
        <v>40576</v>
      </c>
      <c r="C734">
        <v>1</v>
      </c>
      <c r="D734">
        <v>0</v>
      </c>
      <c r="E734">
        <v>2</v>
      </c>
      <c r="F734" t="str">
        <f>IF(final_data787[[#This Row],[MONTH_CODE]]=1,"JANUARY",IF(final_data787[[#This Row],[MONTH_CODE]]=2,"FEBRUARY"))</f>
        <v>FEBRUARY</v>
      </c>
      <c r="G734">
        <v>21</v>
      </c>
      <c r="H734">
        <v>0</v>
      </c>
      <c r="I734">
        <v>3</v>
      </c>
      <c r="J7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4" t="str">
        <f>IF(final_data787[[#This Row],[DAY_CODE]]=0,"weekend",IF(final_data787[[#This Row],[DAY_CODE]]=1,"weekend","weekday"))</f>
        <v>weekday</v>
      </c>
      <c r="L734">
        <v>1</v>
      </c>
      <c r="M734" t="str">
        <f>IF(final_data787[[#This Row],[WEATHER_CODE]]=1,"clear",IF(final_data787[[#This Row],[WEATHER_CODE]]=2,"cloudy",IF(final_data787[[#This Row],[WEATHER_CODE]]=3,"light rain",IF(final_data787[[#This Row],[WEATHER_CODE]]=4,"heavy rain",0))))</f>
        <v>clear</v>
      </c>
      <c r="N734">
        <v>0.22</v>
      </c>
      <c r="O734">
        <v>0.19700000000000001</v>
      </c>
      <c r="P734">
        <v>0.47</v>
      </c>
      <c r="Q734">
        <v>0.32840000000000003</v>
      </c>
      <c r="R734">
        <v>1</v>
      </c>
      <c r="S734">
        <v>62</v>
      </c>
      <c r="T734">
        <v>63</v>
      </c>
    </row>
    <row r="735" spans="1:20" x14ac:dyDescent="0.35">
      <c r="A735">
        <v>734</v>
      </c>
      <c r="B735" s="1">
        <v>40576</v>
      </c>
      <c r="C735">
        <v>1</v>
      </c>
      <c r="D735">
        <v>0</v>
      </c>
      <c r="E735">
        <v>2</v>
      </c>
      <c r="F735" t="str">
        <f>IF(final_data787[[#This Row],[MONTH_CODE]]=1,"JANUARY",IF(final_data787[[#This Row],[MONTH_CODE]]=2,"FEBRUARY"))</f>
        <v>FEBRUARY</v>
      </c>
      <c r="G735">
        <v>22</v>
      </c>
      <c r="H735">
        <v>0</v>
      </c>
      <c r="I735">
        <v>3</v>
      </c>
      <c r="J7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5" t="str">
        <f>IF(final_data787[[#This Row],[DAY_CODE]]=0,"weekend",IF(final_data787[[#This Row],[DAY_CODE]]=1,"weekend","weekday"))</f>
        <v>weekday</v>
      </c>
      <c r="L735">
        <v>1</v>
      </c>
      <c r="M735" t="str">
        <f>IF(final_data787[[#This Row],[WEATHER_CODE]]=1,"clear",IF(final_data787[[#This Row],[WEATHER_CODE]]=2,"cloudy",IF(final_data787[[#This Row],[WEATHER_CODE]]=3,"light rain",IF(final_data787[[#This Row],[WEATHER_CODE]]=4,"heavy rain",0))))</f>
        <v>clear</v>
      </c>
      <c r="N735">
        <v>0.22</v>
      </c>
      <c r="O735">
        <v>0.21210000000000001</v>
      </c>
      <c r="P735">
        <v>0.44</v>
      </c>
      <c r="Q735">
        <v>0.25369999999999998</v>
      </c>
      <c r="R735">
        <v>5</v>
      </c>
      <c r="S735">
        <v>35</v>
      </c>
      <c r="T735">
        <v>40</v>
      </c>
    </row>
    <row r="736" spans="1:20" x14ac:dyDescent="0.35">
      <c r="A736">
        <v>735</v>
      </c>
      <c r="B736" s="1">
        <v>40576</v>
      </c>
      <c r="C736">
        <v>1</v>
      </c>
      <c r="D736">
        <v>0</v>
      </c>
      <c r="E736">
        <v>2</v>
      </c>
      <c r="F736" t="str">
        <f>IF(final_data787[[#This Row],[MONTH_CODE]]=1,"JANUARY",IF(final_data787[[#This Row],[MONTH_CODE]]=2,"FEBRUARY"))</f>
        <v>FEBRUARY</v>
      </c>
      <c r="G736">
        <v>23</v>
      </c>
      <c r="H736">
        <v>0</v>
      </c>
      <c r="I736">
        <v>3</v>
      </c>
      <c r="J7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736" t="str">
        <f>IF(final_data787[[#This Row],[DAY_CODE]]=0,"weekend",IF(final_data787[[#This Row],[DAY_CODE]]=1,"weekend","weekday"))</f>
        <v>weekday</v>
      </c>
      <c r="L736">
        <v>1</v>
      </c>
      <c r="M736" t="str">
        <f>IF(final_data787[[#This Row],[WEATHER_CODE]]=1,"clear",IF(final_data787[[#This Row],[WEATHER_CODE]]=2,"cloudy",IF(final_data787[[#This Row],[WEATHER_CODE]]=3,"light rain",IF(final_data787[[#This Row],[WEATHER_CODE]]=4,"heavy rain",0))))</f>
        <v>clear</v>
      </c>
      <c r="N736">
        <v>0.2</v>
      </c>
      <c r="O736">
        <v>0.16669999999999999</v>
      </c>
      <c r="P736">
        <v>0.44</v>
      </c>
      <c r="Q736">
        <v>0.44779999999999998</v>
      </c>
      <c r="R736">
        <v>3</v>
      </c>
      <c r="S736">
        <v>29</v>
      </c>
      <c r="T736">
        <v>32</v>
      </c>
    </row>
    <row r="737" spans="1:20" x14ac:dyDescent="0.35">
      <c r="A737">
        <v>736</v>
      </c>
      <c r="B737" s="1">
        <v>40577</v>
      </c>
      <c r="C737">
        <v>1</v>
      </c>
      <c r="D737">
        <v>0</v>
      </c>
      <c r="E737">
        <v>2</v>
      </c>
      <c r="F737" t="str">
        <f>IF(final_data787[[#This Row],[MONTH_CODE]]=1,"JANUARY",IF(final_data787[[#This Row],[MONTH_CODE]]=2,"FEBRUARY"))</f>
        <v>FEBRUARY</v>
      </c>
      <c r="G737">
        <v>0</v>
      </c>
      <c r="H737">
        <v>0</v>
      </c>
      <c r="I737">
        <v>4</v>
      </c>
      <c r="J7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37" t="str">
        <f>IF(final_data787[[#This Row],[DAY_CODE]]=0,"weekend",IF(final_data787[[#This Row],[DAY_CODE]]=1,"weekend","weekday"))</f>
        <v>weekday</v>
      </c>
      <c r="L737">
        <v>1</v>
      </c>
      <c r="M737" t="str">
        <f>IF(final_data787[[#This Row],[WEATHER_CODE]]=1,"clear",IF(final_data787[[#This Row],[WEATHER_CODE]]=2,"cloudy",IF(final_data787[[#This Row],[WEATHER_CODE]]=3,"light rain",IF(final_data787[[#This Row],[WEATHER_CODE]]=4,"heavy rain",0))))</f>
        <v>clear</v>
      </c>
      <c r="N737">
        <v>0.2</v>
      </c>
      <c r="O737">
        <v>0.16669999999999999</v>
      </c>
      <c r="P737">
        <v>0.4</v>
      </c>
      <c r="Q737">
        <v>0.44779999999999998</v>
      </c>
      <c r="R737">
        <v>1</v>
      </c>
      <c r="S737">
        <v>11</v>
      </c>
      <c r="T737">
        <v>12</v>
      </c>
    </row>
    <row r="738" spans="1:20" x14ac:dyDescent="0.35">
      <c r="A738">
        <v>737</v>
      </c>
      <c r="B738" s="1">
        <v>40577</v>
      </c>
      <c r="C738">
        <v>1</v>
      </c>
      <c r="D738">
        <v>0</v>
      </c>
      <c r="E738">
        <v>2</v>
      </c>
      <c r="F738" t="str">
        <f>IF(final_data787[[#This Row],[MONTH_CODE]]=1,"JANUARY",IF(final_data787[[#This Row],[MONTH_CODE]]=2,"FEBRUARY"))</f>
        <v>FEBRUARY</v>
      </c>
      <c r="G738">
        <v>1</v>
      </c>
      <c r="H738">
        <v>0</v>
      </c>
      <c r="I738">
        <v>4</v>
      </c>
      <c r="J7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38" t="str">
        <f>IF(final_data787[[#This Row],[DAY_CODE]]=0,"weekend",IF(final_data787[[#This Row],[DAY_CODE]]=1,"weekend","weekday"))</f>
        <v>weekday</v>
      </c>
      <c r="L738">
        <v>1</v>
      </c>
      <c r="M738" t="str">
        <f>IF(final_data787[[#This Row],[WEATHER_CODE]]=1,"clear",IF(final_data787[[#This Row],[WEATHER_CODE]]=2,"cloudy",IF(final_data787[[#This Row],[WEATHER_CODE]]=3,"light rain",IF(final_data787[[#This Row],[WEATHER_CODE]]=4,"heavy rain",0))))</f>
        <v>clear</v>
      </c>
      <c r="N738">
        <v>0.2</v>
      </c>
      <c r="O738">
        <v>0.1515</v>
      </c>
      <c r="P738">
        <v>0.44</v>
      </c>
      <c r="Q738">
        <v>0.52239999999999998</v>
      </c>
      <c r="R738">
        <v>0</v>
      </c>
      <c r="S738">
        <v>5</v>
      </c>
      <c r="T738">
        <v>5</v>
      </c>
    </row>
    <row r="739" spans="1:20" x14ac:dyDescent="0.35">
      <c r="A739">
        <v>738</v>
      </c>
      <c r="B739" s="1">
        <v>40577</v>
      </c>
      <c r="C739">
        <v>1</v>
      </c>
      <c r="D739">
        <v>0</v>
      </c>
      <c r="E739">
        <v>2</v>
      </c>
      <c r="F739" t="str">
        <f>IF(final_data787[[#This Row],[MONTH_CODE]]=1,"JANUARY",IF(final_data787[[#This Row],[MONTH_CODE]]=2,"FEBRUARY"))</f>
        <v>FEBRUARY</v>
      </c>
      <c r="G739">
        <v>2</v>
      </c>
      <c r="H739">
        <v>0</v>
      </c>
      <c r="I739">
        <v>4</v>
      </c>
      <c r="J7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39" t="str">
        <f>IF(final_data787[[#This Row],[DAY_CODE]]=0,"weekend",IF(final_data787[[#This Row],[DAY_CODE]]=1,"weekend","weekday"))</f>
        <v>weekday</v>
      </c>
      <c r="L739">
        <v>1</v>
      </c>
      <c r="M739" t="str">
        <f>IF(final_data787[[#This Row],[WEATHER_CODE]]=1,"clear",IF(final_data787[[#This Row],[WEATHER_CODE]]=2,"cloudy",IF(final_data787[[#This Row],[WEATHER_CODE]]=3,"light rain",IF(final_data787[[#This Row],[WEATHER_CODE]]=4,"heavy rain",0))))</f>
        <v>clear</v>
      </c>
      <c r="N739">
        <v>0.18</v>
      </c>
      <c r="O739">
        <v>0.16669999999999999</v>
      </c>
      <c r="P739">
        <v>0.43</v>
      </c>
      <c r="Q739">
        <v>0.25369999999999998</v>
      </c>
      <c r="R739">
        <v>0</v>
      </c>
      <c r="S739">
        <v>2</v>
      </c>
      <c r="T739">
        <v>2</v>
      </c>
    </row>
    <row r="740" spans="1:20" x14ac:dyDescent="0.35">
      <c r="A740">
        <v>739</v>
      </c>
      <c r="B740" s="1">
        <v>40577</v>
      </c>
      <c r="C740">
        <v>1</v>
      </c>
      <c r="D740">
        <v>0</v>
      </c>
      <c r="E740">
        <v>2</v>
      </c>
      <c r="F740" t="str">
        <f>IF(final_data787[[#This Row],[MONTH_CODE]]=1,"JANUARY",IF(final_data787[[#This Row],[MONTH_CODE]]=2,"FEBRUARY"))</f>
        <v>FEBRUARY</v>
      </c>
      <c r="G740">
        <v>3</v>
      </c>
      <c r="H740">
        <v>0</v>
      </c>
      <c r="I740">
        <v>4</v>
      </c>
      <c r="J7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0" t="str">
        <f>IF(final_data787[[#This Row],[DAY_CODE]]=0,"weekend",IF(final_data787[[#This Row],[DAY_CODE]]=1,"weekend","weekday"))</f>
        <v>weekday</v>
      </c>
      <c r="L740">
        <v>1</v>
      </c>
      <c r="M740" t="str">
        <f>IF(final_data787[[#This Row],[WEATHER_CODE]]=1,"clear",IF(final_data787[[#This Row],[WEATHER_CODE]]=2,"cloudy",IF(final_data787[[#This Row],[WEATHER_CODE]]=3,"light rain",IF(final_data787[[#This Row],[WEATHER_CODE]]=4,"heavy rain",0))))</f>
        <v>clear</v>
      </c>
      <c r="N740">
        <v>0.18</v>
      </c>
      <c r="O740">
        <v>0.16669999999999999</v>
      </c>
      <c r="P740">
        <v>0.43</v>
      </c>
      <c r="Q740">
        <v>0.25369999999999998</v>
      </c>
      <c r="R740">
        <v>0</v>
      </c>
      <c r="S740">
        <v>1</v>
      </c>
      <c r="T740">
        <v>1</v>
      </c>
    </row>
    <row r="741" spans="1:20" x14ac:dyDescent="0.35">
      <c r="A741">
        <v>740</v>
      </c>
      <c r="B741" s="1">
        <v>40577</v>
      </c>
      <c r="C741">
        <v>1</v>
      </c>
      <c r="D741">
        <v>0</v>
      </c>
      <c r="E741">
        <v>2</v>
      </c>
      <c r="F741" t="str">
        <f>IF(final_data787[[#This Row],[MONTH_CODE]]=1,"JANUARY",IF(final_data787[[#This Row],[MONTH_CODE]]=2,"FEBRUARY"))</f>
        <v>FEBRUARY</v>
      </c>
      <c r="G741">
        <v>5</v>
      </c>
      <c r="H741">
        <v>0</v>
      </c>
      <c r="I741">
        <v>4</v>
      </c>
      <c r="J7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1" t="str">
        <f>IF(final_data787[[#This Row],[DAY_CODE]]=0,"weekend",IF(final_data787[[#This Row],[DAY_CODE]]=1,"weekend","weekday"))</f>
        <v>weekday</v>
      </c>
      <c r="L741">
        <v>1</v>
      </c>
      <c r="M741" t="str">
        <f>IF(final_data787[[#This Row],[WEATHER_CODE]]=1,"clear",IF(final_data787[[#This Row],[WEATHER_CODE]]=2,"cloudy",IF(final_data787[[#This Row],[WEATHER_CODE]]=3,"light rain",IF(final_data787[[#This Row],[WEATHER_CODE]]=4,"heavy rain",0))))</f>
        <v>clear</v>
      </c>
      <c r="N741">
        <v>0.16</v>
      </c>
      <c r="O741">
        <v>0.13639999999999999</v>
      </c>
      <c r="P741">
        <v>0.5</v>
      </c>
      <c r="Q741">
        <v>0.29849999999999999</v>
      </c>
      <c r="R741">
        <v>0</v>
      </c>
      <c r="S741">
        <v>2</v>
      </c>
      <c r="T741">
        <v>2</v>
      </c>
    </row>
    <row r="742" spans="1:20" x14ac:dyDescent="0.35">
      <c r="A742">
        <v>741</v>
      </c>
      <c r="B742" s="1">
        <v>40577</v>
      </c>
      <c r="C742">
        <v>1</v>
      </c>
      <c r="D742">
        <v>0</v>
      </c>
      <c r="E742">
        <v>2</v>
      </c>
      <c r="F742" t="str">
        <f>IF(final_data787[[#This Row],[MONTH_CODE]]=1,"JANUARY",IF(final_data787[[#This Row],[MONTH_CODE]]=2,"FEBRUARY"))</f>
        <v>FEBRUARY</v>
      </c>
      <c r="G742">
        <v>6</v>
      </c>
      <c r="H742">
        <v>0</v>
      </c>
      <c r="I742">
        <v>4</v>
      </c>
      <c r="J7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2" t="str">
        <f>IF(final_data787[[#This Row],[DAY_CODE]]=0,"weekend",IF(final_data787[[#This Row],[DAY_CODE]]=1,"weekend","weekday"))</f>
        <v>weekday</v>
      </c>
      <c r="L742">
        <v>1</v>
      </c>
      <c r="M742" t="str">
        <f>IF(final_data787[[#This Row],[WEATHER_CODE]]=1,"clear",IF(final_data787[[#This Row],[WEATHER_CODE]]=2,"cloudy",IF(final_data787[[#This Row],[WEATHER_CODE]]=3,"light rain",IF(final_data787[[#This Row],[WEATHER_CODE]]=4,"heavy rain",0))))</f>
        <v>clear</v>
      </c>
      <c r="N742">
        <v>0.16</v>
      </c>
      <c r="O742">
        <v>0.13639999999999999</v>
      </c>
      <c r="P742">
        <v>0.43</v>
      </c>
      <c r="Q742">
        <v>0.35820000000000002</v>
      </c>
      <c r="R742">
        <v>0</v>
      </c>
      <c r="S742">
        <v>39</v>
      </c>
      <c r="T742">
        <v>39</v>
      </c>
    </row>
    <row r="743" spans="1:20" x14ac:dyDescent="0.35">
      <c r="A743">
        <v>742</v>
      </c>
      <c r="B743" s="1">
        <v>40577</v>
      </c>
      <c r="C743">
        <v>1</v>
      </c>
      <c r="D743">
        <v>0</v>
      </c>
      <c r="E743">
        <v>2</v>
      </c>
      <c r="F743" t="str">
        <f>IF(final_data787[[#This Row],[MONTH_CODE]]=1,"JANUARY",IF(final_data787[[#This Row],[MONTH_CODE]]=2,"FEBRUARY"))</f>
        <v>FEBRUARY</v>
      </c>
      <c r="G743">
        <v>7</v>
      </c>
      <c r="H743">
        <v>0</v>
      </c>
      <c r="I743">
        <v>4</v>
      </c>
      <c r="J7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3" t="str">
        <f>IF(final_data787[[#This Row],[DAY_CODE]]=0,"weekend",IF(final_data787[[#This Row],[DAY_CODE]]=1,"weekend","weekday"))</f>
        <v>weekday</v>
      </c>
      <c r="L743">
        <v>1</v>
      </c>
      <c r="M743" t="str">
        <f>IF(final_data787[[#This Row],[WEATHER_CODE]]=1,"clear",IF(final_data787[[#This Row],[WEATHER_CODE]]=2,"cloudy",IF(final_data787[[#This Row],[WEATHER_CODE]]=3,"light rain",IF(final_data787[[#This Row],[WEATHER_CODE]]=4,"heavy rain",0))))</f>
        <v>clear</v>
      </c>
      <c r="N743">
        <v>0.14000000000000001</v>
      </c>
      <c r="O743">
        <v>0.1212</v>
      </c>
      <c r="P743">
        <v>0.5</v>
      </c>
      <c r="Q743">
        <v>0.32840000000000003</v>
      </c>
      <c r="R743">
        <v>1</v>
      </c>
      <c r="S743">
        <v>86</v>
      </c>
      <c r="T743">
        <v>87</v>
      </c>
    </row>
    <row r="744" spans="1:20" x14ac:dyDescent="0.35">
      <c r="A744">
        <v>743</v>
      </c>
      <c r="B744" s="1">
        <v>40577</v>
      </c>
      <c r="C744">
        <v>1</v>
      </c>
      <c r="D744">
        <v>0</v>
      </c>
      <c r="E744">
        <v>2</v>
      </c>
      <c r="F744" t="str">
        <f>IF(final_data787[[#This Row],[MONTH_CODE]]=1,"JANUARY",IF(final_data787[[#This Row],[MONTH_CODE]]=2,"FEBRUARY"))</f>
        <v>FEBRUARY</v>
      </c>
      <c r="G744">
        <v>8</v>
      </c>
      <c r="H744">
        <v>0</v>
      </c>
      <c r="I744">
        <v>4</v>
      </c>
      <c r="J7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4" t="str">
        <f>IF(final_data787[[#This Row],[DAY_CODE]]=0,"weekend",IF(final_data787[[#This Row],[DAY_CODE]]=1,"weekend","weekday"))</f>
        <v>weekday</v>
      </c>
      <c r="L744">
        <v>1</v>
      </c>
      <c r="M744" t="str">
        <f>IF(final_data787[[#This Row],[WEATHER_CODE]]=1,"clear",IF(final_data787[[#This Row],[WEATHER_CODE]]=2,"cloudy",IF(final_data787[[#This Row],[WEATHER_CODE]]=3,"light rain",IF(final_data787[[#This Row],[WEATHER_CODE]]=4,"heavy rain",0))))</f>
        <v>clear</v>
      </c>
      <c r="N744">
        <v>0.14000000000000001</v>
      </c>
      <c r="O744">
        <v>0.1212</v>
      </c>
      <c r="P744">
        <v>0.5</v>
      </c>
      <c r="Q744">
        <v>0.35820000000000002</v>
      </c>
      <c r="R744">
        <v>4</v>
      </c>
      <c r="S744">
        <v>184</v>
      </c>
      <c r="T744">
        <v>188</v>
      </c>
    </row>
    <row r="745" spans="1:20" x14ac:dyDescent="0.35">
      <c r="A745">
        <v>744</v>
      </c>
      <c r="B745" s="1">
        <v>40577</v>
      </c>
      <c r="C745">
        <v>1</v>
      </c>
      <c r="D745">
        <v>0</v>
      </c>
      <c r="E745">
        <v>2</v>
      </c>
      <c r="F745" t="str">
        <f>IF(final_data787[[#This Row],[MONTH_CODE]]=1,"JANUARY",IF(final_data787[[#This Row],[MONTH_CODE]]=2,"FEBRUARY"))</f>
        <v>FEBRUARY</v>
      </c>
      <c r="G745">
        <v>9</v>
      </c>
      <c r="H745">
        <v>0</v>
      </c>
      <c r="I745">
        <v>4</v>
      </c>
      <c r="J7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5" t="str">
        <f>IF(final_data787[[#This Row],[DAY_CODE]]=0,"weekend",IF(final_data787[[#This Row],[DAY_CODE]]=1,"weekend","weekday"))</f>
        <v>weekday</v>
      </c>
      <c r="L745">
        <v>1</v>
      </c>
      <c r="M745" t="str">
        <f>IF(final_data787[[#This Row],[WEATHER_CODE]]=1,"clear",IF(final_data787[[#This Row],[WEATHER_CODE]]=2,"cloudy",IF(final_data787[[#This Row],[WEATHER_CODE]]=3,"light rain",IF(final_data787[[#This Row],[WEATHER_CODE]]=4,"heavy rain",0))))</f>
        <v>clear</v>
      </c>
      <c r="N745">
        <v>0.16</v>
      </c>
      <c r="O745">
        <v>0.13639999999999999</v>
      </c>
      <c r="P745">
        <v>0.47</v>
      </c>
      <c r="Q745">
        <v>0.29849999999999999</v>
      </c>
      <c r="R745">
        <v>6</v>
      </c>
      <c r="S745">
        <v>127</v>
      </c>
      <c r="T745">
        <v>133</v>
      </c>
    </row>
    <row r="746" spans="1:20" x14ac:dyDescent="0.35">
      <c r="A746">
        <v>745</v>
      </c>
      <c r="B746" s="1">
        <v>40577</v>
      </c>
      <c r="C746">
        <v>1</v>
      </c>
      <c r="D746">
        <v>0</v>
      </c>
      <c r="E746">
        <v>2</v>
      </c>
      <c r="F746" t="str">
        <f>IF(final_data787[[#This Row],[MONTH_CODE]]=1,"JANUARY",IF(final_data787[[#This Row],[MONTH_CODE]]=2,"FEBRUARY"))</f>
        <v>FEBRUARY</v>
      </c>
      <c r="G746">
        <v>10</v>
      </c>
      <c r="H746">
        <v>0</v>
      </c>
      <c r="I746">
        <v>4</v>
      </c>
      <c r="J7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6" t="str">
        <f>IF(final_data787[[#This Row],[DAY_CODE]]=0,"weekend",IF(final_data787[[#This Row],[DAY_CODE]]=1,"weekend","weekday"))</f>
        <v>weekday</v>
      </c>
      <c r="L746">
        <v>1</v>
      </c>
      <c r="M746" t="str">
        <f>IF(final_data787[[#This Row],[WEATHER_CODE]]=1,"clear",IF(final_data787[[#This Row],[WEATHER_CODE]]=2,"cloudy",IF(final_data787[[#This Row],[WEATHER_CODE]]=3,"light rain",IF(final_data787[[#This Row],[WEATHER_CODE]]=4,"heavy rain",0))))</f>
        <v>clear</v>
      </c>
      <c r="N746">
        <v>0.18</v>
      </c>
      <c r="O746">
        <v>0.1515</v>
      </c>
      <c r="P746">
        <v>0.43</v>
      </c>
      <c r="Q746">
        <v>0.32840000000000003</v>
      </c>
      <c r="R746">
        <v>2</v>
      </c>
      <c r="S746">
        <v>50</v>
      </c>
      <c r="T746">
        <v>52</v>
      </c>
    </row>
    <row r="747" spans="1:20" x14ac:dyDescent="0.35">
      <c r="A747">
        <v>746</v>
      </c>
      <c r="B747" s="1">
        <v>40577</v>
      </c>
      <c r="C747">
        <v>1</v>
      </c>
      <c r="D747">
        <v>0</v>
      </c>
      <c r="E747">
        <v>2</v>
      </c>
      <c r="F747" t="str">
        <f>IF(final_data787[[#This Row],[MONTH_CODE]]=1,"JANUARY",IF(final_data787[[#This Row],[MONTH_CODE]]=2,"FEBRUARY"))</f>
        <v>FEBRUARY</v>
      </c>
      <c r="G747">
        <v>11</v>
      </c>
      <c r="H747">
        <v>0</v>
      </c>
      <c r="I747">
        <v>4</v>
      </c>
      <c r="J7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7" t="str">
        <f>IF(final_data787[[#This Row],[DAY_CODE]]=0,"weekend",IF(final_data787[[#This Row],[DAY_CODE]]=1,"weekend","weekday"))</f>
        <v>weekday</v>
      </c>
      <c r="L747">
        <v>1</v>
      </c>
      <c r="M747" t="str">
        <f>IF(final_data787[[#This Row],[WEATHER_CODE]]=1,"clear",IF(final_data787[[#This Row],[WEATHER_CODE]]=2,"cloudy",IF(final_data787[[#This Row],[WEATHER_CODE]]=3,"light rain",IF(final_data787[[#This Row],[WEATHER_CODE]]=4,"heavy rain",0))))</f>
        <v>clear</v>
      </c>
      <c r="N747">
        <v>0.18</v>
      </c>
      <c r="O747">
        <v>0.13639999999999999</v>
      </c>
      <c r="P747">
        <v>0.43</v>
      </c>
      <c r="Q747">
        <v>0.44779999999999998</v>
      </c>
      <c r="R747">
        <v>9</v>
      </c>
      <c r="S747">
        <v>55</v>
      </c>
      <c r="T747">
        <v>64</v>
      </c>
    </row>
    <row r="748" spans="1:20" x14ac:dyDescent="0.35">
      <c r="A748">
        <v>747</v>
      </c>
      <c r="B748" s="1">
        <v>40577</v>
      </c>
      <c r="C748">
        <v>1</v>
      </c>
      <c r="D748">
        <v>0</v>
      </c>
      <c r="E748">
        <v>2</v>
      </c>
      <c r="F748" t="str">
        <f>IF(final_data787[[#This Row],[MONTH_CODE]]=1,"JANUARY",IF(final_data787[[#This Row],[MONTH_CODE]]=2,"FEBRUARY"))</f>
        <v>FEBRUARY</v>
      </c>
      <c r="G748">
        <v>12</v>
      </c>
      <c r="H748">
        <v>0</v>
      </c>
      <c r="I748">
        <v>4</v>
      </c>
      <c r="J7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8" t="str">
        <f>IF(final_data787[[#This Row],[DAY_CODE]]=0,"weekend",IF(final_data787[[#This Row],[DAY_CODE]]=1,"weekend","weekday"))</f>
        <v>weekday</v>
      </c>
      <c r="L748">
        <v>1</v>
      </c>
      <c r="M748" t="str">
        <f>IF(final_data787[[#This Row],[WEATHER_CODE]]=1,"clear",IF(final_data787[[#This Row],[WEATHER_CODE]]=2,"cloudy",IF(final_data787[[#This Row],[WEATHER_CODE]]=3,"light rain",IF(final_data787[[#This Row],[WEATHER_CODE]]=4,"heavy rain",0))))</f>
        <v>clear</v>
      </c>
      <c r="N748">
        <v>0.2</v>
      </c>
      <c r="O748">
        <v>0.18179999999999999</v>
      </c>
      <c r="P748">
        <v>0.4</v>
      </c>
      <c r="Q748">
        <v>0.35820000000000002</v>
      </c>
      <c r="R748">
        <v>2</v>
      </c>
      <c r="S748">
        <v>67</v>
      </c>
      <c r="T748">
        <v>69</v>
      </c>
    </row>
    <row r="749" spans="1:20" x14ac:dyDescent="0.35">
      <c r="A749">
        <v>748</v>
      </c>
      <c r="B749" s="1">
        <v>40577</v>
      </c>
      <c r="C749">
        <v>1</v>
      </c>
      <c r="D749">
        <v>0</v>
      </c>
      <c r="E749">
        <v>2</v>
      </c>
      <c r="F749" t="str">
        <f>IF(final_data787[[#This Row],[MONTH_CODE]]=1,"JANUARY",IF(final_data787[[#This Row],[MONTH_CODE]]=2,"FEBRUARY"))</f>
        <v>FEBRUARY</v>
      </c>
      <c r="G749">
        <v>13</v>
      </c>
      <c r="H749">
        <v>0</v>
      </c>
      <c r="I749">
        <v>4</v>
      </c>
      <c r="J7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49" t="str">
        <f>IF(final_data787[[#This Row],[DAY_CODE]]=0,"weekend",IF(final_data787[[#This Row],[DAY_CODE]]=1,"weekend","weekday"))</f>
        <v>weekday</v>
      </c>
      <c r="L749">
        <v>1</v>
      </c>
      <c r="M749" t="str">
        <f>IF(final_data787[[#This Row],[WEATHER_CODE]]=1,"clear",IF(final_data787[[#This Row],[WEATHER_CODE]]=2,"cloudy",IF(final_data787[[#This Row],[WEATHER_CODE]]=3,"light rain",IF(final_data787[[#This Row],[WEATHER_CODE]]=4,"heavy rain",0))))</f>
        <v>clear</v>
      </c>
      <c r="N749">
        <v>0.2</v>
      </c>
      <c r="O749">
        <v>0.16669999999999999</v>
      </c>
      <c r="P749">
        <v>0.4</v>
      </c>
      <c r="Q749">
        <v>0.41789999999999999</v>
      </c>
      <c r="R749">
        <v>4</v>
      </c>
      <c r="S749">
        <v>47</v>
      </c>
      <c r="T749">
        <v>51</v>
      </c>
    </row>
    <row r="750" spans="1:20" x14ac:dyDescent="0.35">
      <c r="A750">
        <v>749</v>
      </c>
      <c r="B750" s="1">
        <v>40577</v>
      </c>
      <c r="C750">
        <v>1</v>
      </c>
      <c r="D750">
        <v>0</v>
      </c>
      <c r="E750">
        <v>2</v>
      </c>
      <c r="F750" t="str">
        <f>IF(final_data787[[#This Row],[MONTH_CODE]]=1,"JANUARY",IF(final_data787[[#This Row],[MONTH_CODE]]=2,"FEBRUARY"))</f>
        <v>FEBRUARY</v>
      </c>
      <c r="G750">
        <v>14</v>
      </c>
      <c r="H750">
        <v>0</v>
      </c>
      <c r="I750">
        <v>4</v>
      </c>
      <c r="J7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0" t="str">
        <f>IF(final_data787[[#This Row],[DAY_CODE]]=0,"weekend",IF(final_data787[[#This Row],[DAY_CODE]]=1,"weekend","weekday"))</f>
        <v>weekday</v>
      </c>
      <c r="L750">
        <v>1</v>
      </c>
      <c r="M750" t="str">
        <f>IF(final_data787[[#This Row],[WEATHER_CODE]]=1,"clear",IF(final_data787[[#This Row],[WEATHER_CODE]]=2,"cloudy",IF(final_data787[[#This Row],[WEATHER_CODE]]=3,"light rain",IF(final_data787[[#This Row],[WEATHER_CODE]]=4,"heavy rain",0))))</f>
        <v>clear</v>
      </c>
      <c r="N750">
        <v>0.22</v>
      </c>
      <c r="O750">
        <v>0.19700000000000001</v>
      </c>
      <c r="P750">
        <v>0.37</v>
      </c>
      <c r="Q750">
        <v>0.3881</v>
      </c>
      <c r="R750">
        <v>4</v>
      </c>
      <c r="S750">
        <v>43</v>
      </c>
      <c r="T750">
        <v>47</v>
      </c>
    </row>
    <row r="751" spans="1:20" x14ac:dyDescent="0.35">
      <c r="A751">
        <v>750</v>
      </c>
      <c r="B751" s="1">
        <v>40577</v>
      </c>
      <c r="C751">
        <v>1</v>
      </c>
      <c r="D751">
        <v>0</v>
      </c>
      <c r="E751">
        <v>2</v>
      </c>
      <c r="F751" t="str">
        <f>IF(final_data787[[#This Row],[MONTH_CODE]]=1,"JANUARY",IF(final_data787[[#This Row],[MONTH_CODE]]=2,"FEBRUARY"))</f>
        <v>FEBRUARY</v>
      </c>
      <c r="G751">
        <v>15</v>
      </c>
      <c r="H751">
        <v>0</v>
      </c>
      <c r="I751">
        <v>4</v>
      </c>
      <c r="J7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1" t="str">
        <f>IF(final_data787[[#This Row],[DAY_CODE]]=0,"weekend",IF(final_data787[[#This Row],[DAY_CODE]]=1,"weekend","weekday"))</f>
        <v>weekday</v>
      </c>
      <c r="L751">
        <v>1</v>
      </c>
      <c r="M751" t="str">
        <f>IF(final_data787[[#This Row],[WEATHER_CODE]]=1,"clear",IF(final_data787[[#This Row],[WEATHER_CODE]]=2,"cloudy",IF(final_data787[[#This Row],[WEATHER_CODE]]=3,"light rain",IF(final_data787[[#This Row],[WEATHER_CODE]]=4,"heavy rain",0))))</f>
        <v>clear</v>
      </c>
      <c r="N751">
        <v>0.22</v>
      </c>
      <c r="O751">
        <v>0.19700000000000001</v>
      </c>
      <c r="P751">
        <v>0.37</v>
      </c>
      <c r="Q751">
        <v>0.32840000000000003</v>
      </c>
      <c r="R751">
        <v>4</v>
      </c>
      <c r="S751">
        <v>56</v>
      </c>
      <c r="T751">
        <v>60</v>
      </c>
    </row>
    <row r="752" spans="1:20" x14ac:dyDescent="0.35">
      <c r="A752">
        <v>751</v>
      </c>
      <c r="B752" s="1">
        <v>40577</v>
      </c>
      <c r="C752">
        <v>1</v>
      </c>
      <c r="D752">
        <v>0</v>
      </c>
      <c r="E752">
        <v>2</v>
      </c>
      <c r="F752" t="str">
        <f>IF(final_data787[[#This Row],[MONTH_CODE]]=1,"JANUARY",IF(final_data787[[#This Row],[MONTH_CODE]]=2,"FEBRUARY"))</f>
        <v>FEBRUARY</v>
      </c>
      <c r="G752">
        <v>16</v>
      </c>
      <c r="H752">
        <v>0</v>
      </c>
      <c r="I752">
        <v>4</v>
      </c>
      <c r="J7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2" t="str">
        <f>IF(final_data787[[#This Row],[DAY_CODE]]=0,"weekend",IF(final_data787[[#This Row],[DAY_CODE]]=1,"weekend","weekday"))</f>
        <v>weekday</v>
      </c>
      <c r="L752">
        <v>1</v>
      </c>
      <c r="M752" t="str">
        <f>IF(final_data787[[#This Row],[WEATHER_CODE]]=1,"clear",IF(final_data787[[#This Row],[WEATHER_CODE]]=2,"cloudy",IF(final_data787[[#This Row],[WEATHER_CODE]]=3,"light rain",IF(final_data787[[#This Row],[WEATHER_CODE]]=4,"heavy rain",0))))</f>
        <v>clear</v>
      </c>
      <c r="N752">
        <v>0.22</v>
      </c>
      <c r="O752">
        <v>0.21210000000000001</v>
      </c>
      <c r="P752">
        <v>0.37</v>
      </c>
      <c r="Q752">
        <v>0.25369999999999998</v>
      </c>
      <c r="R752">
        <v>5</v>
      </c>
      <c r="S752">
        <v>73</v>
      </c>
      <c r="T752">
        <v>78</v>
      </c>
    </row>
    <row r="753" spans="1:20" x14ac:dyDescent="0.35">
      <c r="A753">
        <v>752</v>
      </c>
      <c r="B753" s="1">
        <v>40577</v>
      </c>
      <c r="C753">
        <v>1</v>
      </c>
      <c r="D753">
        <v>0</v>
      </c>
      <c r="E753">
        <v>2</v>
      </c>
      <c r="F753" t="str">
        <f>IF(final_data787[[#This Row],[MONTH_CODE]]=1,"JANUARY",IF(final_data787[[#This Row],[MONTH_CODE]]=2,"FEBRUARY"))</f>
        <v>FEBRUARY</v>
      </c>
      <c r="G753">
        <v>17</v>
      </c>
      <c r="H753">
        <v>0</v>
      </c>
      <c r="I753">
        <v>4</v>
      </c>
      <c r="J7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3" t="str">
        <f>IF(final_data787[[#This Row],[DAY_CODE]]=0,"weekend",IF(final_data787[[#This Row],[DAY_CODE]]=1,"weekend","weekday"))</f>
        <v>weekday</v>
      </c>
      <c r="L753">
        <v>1</v>
      </c>
      <c r="M753" t="str">
        <f>IF(final_data787[[#This Row],[WEATHER_CODE]]=1,"clear",IF(final_data787[[#This Row],[WEATHER_CODE]]=2,"cloudy",IF(final_data787[[#This Row],[WEATHER_CODE]]=3,"light rain",IF(final_data787[[#This Row],[WEATHER_CODE]]=4,"heavy rain",0))))</f>
        <v>clear</v>
      </c>
      <c r="N753">
        <v>0.2</v>
      </c>
      <c r="O753">
        <v>0.19700000000000001</v>
      </c>
      <c r="P753">
        <v>0.4</v>
      </c>
      <c r="Q753">
        <v>0.19400000000000001</v>
      </c>
      <c r="R753">
        <v>5</v>
      </c>
      <c r="S753">
        <v>170</v>
      </c>
      <c r="T753">
        <v>175</v>
      </c>
    </row>
    <row r="754" spans="1:20" x14ac:dyDescent="0.35">
      <c r="A754">
        <v>753</v>
      </c>
      <c r="B754" s="1">
        <v>40577</v>
      </c>
      <c r="C754">
        <v>1</v>
      </c>
      <c r="D754">
        <v>0</v>
      </c>
      <c r="E754">
        <v>2</v>
      </c>
      <c r="F754" t="str">
        <f>IF(final_data787[[#This Row],[MONTH_CODE]]=1,"JANUARY",IF(final_data787[[#This Row],[MONTH_CODE]]=2,"FEBRUARY"))</f>
        <v>FEBRUARY</v>
      </c>
      <c r="G754">
        <v>18</v>
      </c>
      <c r="H754">
        <v>0</v>
      </c>
      <c r="I754">
        <v>4</v>
      </c>
      <c r="J7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4" t="str">
        <f>IF(final_data787[[#This Row],[DAY_CODE]]=0,"weekend",IF(final_data787[[#This Row],[DAY_CODE]]=1,"weekend","weekday"))</f>
        <v>weekday</v>
      </c>
      <c r="L754">
        <v>1</v>
      </c>
      <c r="M754" t="str">
        <f>IF(final_data787[[#This Row],[WEATHER_CODE]]=1,"clear",IF(final_data787[[#This Row],[WEATHER_CODE]]=2,"cloudy",IF(final_data787[[#This Row],[WEATHER_CODE]]=3,"light rain",IF(final_data787[[#This Row],[WEATHER_CODE]]=4,"heavy rain",0))))</f>
        <v>clear</v>
      </c>
      <c r="N754">
        <v>0.2</v>
      </c>
      <c r="O754">
        <v>0.21210000000000001</v>
      </c>
      <c r="P754">
        <v>0.4</v>
      </c>
      <c r="Q754">
        <v>0.16420000000000001</v>
      </c>
      <c r="R754">
        <v>2</v>
      </c>
      <c r="S754">
        <v>145</v>
      </c>
      <c r="T754">
        <v>147</v>
      </c>
    </row>
    <row r="755" spans="1:20" x14ac:dyDescent="0.35">
      <c r="A755">
        <v>754</v>
      </c>
      <c r="B755" s="1">
        <v>40577</v>
      </c>
      <c r="C755">
        <v>1</v>
      </c>
      <c r="D755">
        <v>0</v>
      </c>
      <c r="E755">
        <v>2</v>
      </c>
      <c r="F755" t="str">
        <f>IF(final_data787[[#This Row],[MONTH_CODE]]=1,"JANUARY",IF(final_data787[[#This Row],[MONTH_CODE]]=2,"FEBRUARY"))</f>
        <v>FEBRUARY</v>
      </c>
      <c r="G755">
        <v>19</v>
      </c>
      <c r="H755">
        <v>0</v>
      </c>
      <c r="I755">
        <v>4</v>
      </c>
      <c r="J7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5" t="str">
        <f>IF(final_data787[[#This Row],[DAY_CODE]]=0,"weekend",IF(final_data787[[#This Row],[DAY_CODE]]=1,"weekend","weekday"))</f>
        <v>weekday</v>
      </c>
      <c r="L755">
        <v>1</v>
      </c>
      <c r="M755" t="str">
        <f>IF(final_data787[[#This Row],[WEATHER_CODE]]=1,"clear",IF(final_data787[[#This Row],[WEATHER_CODE]]=2,"cloudy",IF(final_data787[[#This Row],[WEATHER_CODE]]=3,"light rain",IF(final_data787[[#This Row],[WEATHER_CODE]]=4,"heavy rain",0))))</f>
        <v>clear</v>
      </c>
      <c r="N755">
        <v>0.2</v>
      </c>
      <c r="O755">
        <v>0.2576</v>
      </c>
      <c r="P755">
        <v>0.4</v>
      </c>
      <c r="Q755">
        <v>0</v>
      </c>
      <c r="R755">
        <v>4</v>
      </c>
      <c r="S755">
        <v>92</v>
      </c>
      <c r="T755">
        <v>96</v>
      </c>
    </row>
    <row r="756" spans="1:20" x14ac:dyDescent="0.35">
      <c r="A756">
        <v>755</v>
      </c>
      <c r="B756" s="1">
        <v>40577</v>
      </c>
      <c r="C756">
        <v>1</v>
      </c>
      <c r="D756">
        <v>0</v>
      </c>
      <c r="E756">
        <v>2</v>
      </c>
      <c r="F756" t="str">
        <f>IF(final_data787[[#This Row],[MONTH_CODE]]=1,"JANUARY",IF(final_data787[[#This Row],[MONTH_CODE]]=2,"FEBRUARY"))</f>
        <v>FEBRUARY</v>
      </c>
      <c r="G756">
        <v>20</v>
      </c>
      <c r="H756">
        <v>0</v>
      </c>
      <c r="I756">
        <v>4</v>
      </c>
      <c r="J7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6" t="str">
        <f>IF(final_data787[[#This Row],[DAY_CODE]]=0,"weekend",IF(final_data787[[#This Row],[DAY_CODE]]=1,"weekend","weekday"))</f>
        <v>weekday</v>
      </c>
      <c r="L756">
        <v>1</v>
      </c>
      <c r="M756" t="str">
        <f>IF(final_data787[[#This Row],[WEATHER_CODE]]=1,"clear",IF(final_data787[[#This Row],[WEATHER_CODE]]=2,"cloudy",IF(final_data787[[#This Row],[WEATHER_CODE]]=3,"light rain",IF(final_data787[[#This Row],[WEATHER_CODE]]=4,"heavy rain",0))))</f>
        <v>clear</v>
      </c>
      <c r="N756">
        <v>0.2</v>
      </c>
      <c r="O756">
        <v>0.2273</v>
      </c>
      <c r="P756">
        <v>0.47</v>
      </c>
      <c r="Q756">
        <v>8.9599999999999999E-2</v>
      </c>
      <c r="R756">
        <v>1</v>
      </c>
      <c r="S756">
        <v>108</v>
      </c>
      <c r="T756">
        <v>109</v>
      </c>
    </row>
    <row r="757" spans="1:20" x14ac:dyDescent="0.35">
      <c r="A757">
        <v>756</v>
      </c>
      <c r="B757" s="1">
        <v>40577</v>
      </c>
      <c r="C757">
        <v>1</v>
      </c>
      <c r="D757">
        <v>0</v>
      </c>
      <c r="E757">
        <v>2</v>
      </c>
      <c r="F757" t="str">
        <f>IF(final_data787[[#This Row],[MONTH_CODE]]=1,"JANUARY",IF(final_data787[[#This Row],[MONTH_CODE]]=2,"FEBRUARY"))</f>
        <v>FEBRUARY</v>
      </c>
      <c r="G757">
        <v>21</v>
      </c>
      <c r="H757">
        <v>0</v>
      </c>
      <c r="I757">
        <v>4</v>
      </c>
      <c r="J7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7" t="str">
        <f>IF(final_data787[[#This Row],[DAY_CODE]]=0,"weekend",IF(final_data787[[#This Row],[DAY_CODE]]=1,"weekend","weekday"))</f>
        <v>weekday</v>
      </c>
      <c r="L757">
        <v>1</v>
      </c>
      <c r="M757" t="str">
        <f>IF(final_data787[[#This Row],[WEATHER_CODE]]=1,"clear",IF(final_data787[[#This Row],[WEATHER_CODE]]=2,"cloudy",IF(final_data787[[#This Row],[WEATHER_CODE]]=3,"light rain",IF(final_data787[[#This Row],[WEATHER_CODE]]=4,"heavy rain",0))))</f>
        <v>clear</v>
      </c>
      <c r="N757">
        <v>0.18</v>
      </c>
      <c r="O757">
        <v>0.21210000000000001</v>
      </c>
      <c r="P757">
        <v>0.55000000000000004</v>
      </c>
      <c r="Q757">
        <v>0.1045</v>
      </c>
      <c r="R757">
        <v>1</v>
      </c>
      <c r="S757">
        <v>53</v>
      </c>
      <c r="T757">
        <v>54</v>
      </c>
    </row>
    <row r="758" spans="1:20" x14ac:dyDescent="0.35">
      <c r="A758">
        <v>757</v>
      </c>
      <c r="B758" s="1">
        <v>40577</v>
      </c>
      <c r="C758">
        <v>1</v>
      </c>
      <c r="D758">
        <v>0</v>
      </c>
      <c r="E758">
        <v>2</v>
      </c>
      <c r="F758" t="str">
        <f>IF(final_data787[[#This Row],[MONTH_CODE]]=1,"JANUARY",IF(final_data787[[#This Row],[MONTH_CODE]]=2,"FEBRUARY"))</f>
        <v>FEBRUARY</v>
      </c>
      <c r="G758">
        <v>22</v>
      </c>
      <c r="H758">
        <v>0</v>
      </c>
      <c r="I758">
        <v>4</v>
      </c>
      <c r="J7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8" t="str">
        <f>IF(final_data787[[#This Row],[DAY_CODE]]=0,"weekend",IF(final_data787[[#This Row],[DAY_CODE]]=1,"weekend","weekday"))</f>
        <v>weekday</v>
      </c>
      <c r="L758">
        <v>1</v>
      </c>
      <c r="M758" t="str">
        <f>IF(final_data787[[#This Row],[WEATHER_CODE]]=1,"clear",IF(final_data787[[#This Row],[WEATHER_CODE]]=2,"cloudy",IF(final_data787[[#This Row],[WEATHER_CODE]]=3,"light rain",IF(final_data787[[#This Row],[WEATHER_CODE]]=4,"heavy rain",0))))</f>
        <v>clear</v>
      </c>
      <c r="N758">
        <v>0.18</v>
      </c>
      <c r="O758">
        <v>0.21210000000000001</v>
      </c>
      <c r="P758">
        <v>0.51</v>
      </c>
      <c r="Q758">
        <v>8.9599999999999999E-2</v>
      </c>
      <c r="R758">
        <v>2</v>
      </c>
      <c r="S758">
        <v>39</v>
      </c>
      <c r="T758">
        <v>41</v>
      </c>
    </row>
    <row r="759" spans="1:20" x14ac:dyDescent="0.35">
      <c r="A759">
        <v>758</v>
      </c>
      <c r="B759" s="1">
        <v>40577</v>
      </c>
      <c r="C759">
        <v>1</v>
      </c>
      <c r="D759">
        <v>0</v>
      </c>
      <c r="E759">
        <v>2</v>
      </c>
      <c r="F759" t="str">
        <f>IF(final_data787[[#This Row],[MONTH_CODE]]=1,"JANUARY",IF(final_data787[[#This Row],[MONTH_CODE]]=2,"FEBRUARY"))</f>
        <v>FEBRUARY</v>
      </c>
      <c r="G759">
        <v>23</v>
      </c>
      <c r="H759">
        <v>0</v>
      </c>
      <c r="I759">
        <v>4</v>
      </c>
      <c r="J7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759" t="str">
        <f>IF(final_data787[[#This Row],[DAY_CODE]]=0,"weekend",IF(final_data787[[#This Row],[DAY_CODE]]=1,"weekend","weekday"))</f>
        <v>weekday</v>
      </c>
      <c r="L759">
        <v>1</v>
      </c>
      <c r="M759" t="str">
        <f>IF(final_data787[[#This Row],[WEATHER_CODE]]=1,"clear",IF(final_data787[[#This Row],[WEATHER_CODE]]=2,"cloudy",IF(final_data787[[#This Row],[WEATHER_CODE]]=3,"light rain",IF(final_data787[[#This Row],[WEATHER_CODE]]=4,"heavy rain",0))))</f>
        <v>clear</v>
      </c>
      <c r="N759">
        <v>0.2</v>
      </c>
      <c r="O759">
        <v>0.2273</v>
      </c>
      <c r="P759">
        <v>0.47</v>
      </c>
      <c r="Q759">
        <v>0.1045</v>
      </c>
      <c r="R759">
        <v>4</v>
      </c>
      <c r="S759">
        <v>34</v>
      </c>
      <c r="T759">
        <v>38</v>
      </c>
    </row>
    <row r="760" spans="1:20" x14ac:dyDescent="0.35">
      <c r="A760">
        <v>759</v>
      </c>
      <c r="B760" s="1">
        <v>40578</v>
      </c>
      <c r="C760">
        <v>1</v>
      </c>
      <c r="D760">
        <v>0</v>
      </c>
      <c r="E760">
        <v>2</v>
      </c>
      <c r="F760" t="str">
        <f>IF(final_data787[[#This Row],[MONTH_CODE]]=1,"JANUARY",IF(final_data787[[#This Row],[MONTH_CODE]]=2,"FEBRUARY"))</f>
        <v>FEBRUARY</v>
      </c>
      <c r="G760">
        <v>0</v>
      </c>
      <c r="H760">
        <v>0</v>
      </c>
      <c r="I760">
        <v>5</v>
      </c>
      <c r="J7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0" t="str">
        <f>IF(final_data787[[#This Row],[DAY_CODE]]=0,"weekend",IF(final_data787[[#This Row],[DAY_CODE]]=1,"weekend","weekday"))</f>
        <v>weekday</v>
      </c>
      <c r="L760">
        <v>2</v>
      </c>
      <c r="M760" t="str">
        <f>IF(final_data787[[#This Row],[WEATHER_CODE]]=1,"clear",IF(final_data787[[#This Row],[WEATHER_CODE]]=2,"cloudy",IF(final_data787[[#This Row],[WEATHER_CODE]]=3,"light rain",IF(final_data787[[#This Row],[WEATHER_CODE]]=4,"heavy rain",0))))</f>
        <v>cloudy</v>
      </c>
      <c r="N760">
        <v>0.2</v>
      </c>
      <c r="O760">
        <v>0.2576</v>
      </c>
      <c r="P760">
        <v>0.44</v>
      </c>
      <c r="Q760">
        <v>0</v>
      </c>
      <c r="R760">
        <v>3</v>
      </c>
      <c r="S760">
        <v>10</v>
      </c>
      <c r="T760">
        <v>13</v>
      </c>
    </row>
    <row r="761" spans="1:20" x14ac:dyDescent="0.35">
      <c r="A761">
        <v>760</v>
      </c>
      <c r="B761" s="1">
        <v>40578</v>
      </c>
      <c r="C761">
        <v>1</v>
      </c>
      <c r="D761">
        <v>0</v>
      </c>
      <c r="E761">
        <v>2</v>
      </c>
      <c r="F761" t="str">
        <f>IF(final_data787[[#This Row],[MONTH_CODE]]=1,"JANUARY",IF(final_data787[[#This Row],[MONTH_CODE]]=2,"FEBRUARY"))</f>
        <v>FEBRUARY</v>
      </c>
      <c r="G761">
        <v>1</v>
      </c>
      <c r="H761">
        <v>0</v>
      </c>
      <c r="I761">
        <v>5</v>
      </c>
      <c r="J7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1" t="str">
        <f>IF(final_data787[[#This Row],[DAY_CODE]]=0,"weekend",IF(final_data787[[#This Row],[DAY_CODE]]=1,"weekend","weekday"))</f>
        <v>weekday</v>
      </c>
      <c r="L761">
        <v>2</v>
      </c>
      <c r="M761" t="str">
        <f>IF(final_data787[[#This Row],[WEATHER_CODE]]=1,"clear",IF(final_data787[[#This Row],[WEATHER_CODE]]=2,"cloudy",IF(final_data787[[#This Row],[WEATHER_CODE]]=3,"light rain",IF(final_data787[[#This Row],[WEATHER_CODE]]=4,"heavy rain",0))))</f>
        <v>cloudy</v>
      </c>
      <c r="N761">
        <v>0.16</v>
      </c>
      <c r="O761">
        <v>0.2273</v>
      </c>
      <c r="P761">
        <v>0.59</v>
      </c>
      <c r="Q761">
        <v>0</v>
      </c>
      <c r="R761">
        <v>0</v>
      </c>
      <c r="S761">
        <v>7</v>
      </c>
      <c r="T761">
        <v>7</v>
      </c>
    </row>
    <row r="762" spans="1:20" x14ac:dyDescent="0.35">
      <c r="A762">
        <v>761</v>
      </c>
      <c r="B762" s="1">
        <v>40578</v>
      </c>
      <c r="C762">
        <v>1</v>
      </c>
      <c r="D762">
        <v>0</v>
      </c>
      <c r="E762">
        <v>2</v>
      </c>
      <c r="F762" t="str">
        <f>IF(final_data787[[#This Row],[MONTH_CODE]]=1,"JANUARY",IF(final_data787[[#This Row],[MONTH_CODE]]=2,"FEBRUARY"))</f>
        <v>FEBRUARY</v>
      </c>
      <c r="G762">
        <v>2</v>
      </c>
      <c r="H762">
        <v>0</v>
      </c>
      <c r="I762">
        <v>5</v>
      </c>
      <c r="J7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2" t="str">
        <f>IF(final_data787[[#This Row],[DAY_CODE]]=0,"weekend",IF(final_data787[[#This Row],[DAY_CODE]]=1,"weekend","weekday"))</f>
        <v>weekday</v>
      </c>
      <c r="L762">
        <v>2</v>
      </c>
      <c r="M762" t="str">
        <f>IF(final_data787[[#This Row],[WEATHER_CODE]]=1,"clear",IF(final_data787[[#This Row],[WEATHER_CODE]]=2,"cloudy",IF(final_data787[[#This Row],[WEATHER_CODE]]=3,"light rain",IF(final_data787[[#This Row],[WEATHER_CODE]]=4,"heavy rain",0))))</f>
        <v>cloudy</v>
      </c>
      <c r="N762">
        <v>0.14000000000000001</v>
      </c>
      <c r="O762">
        <v>0.16669999999999999</v>
      </c>
      <c r="P762">
        <v>0.63</v>
      </c>
      <c r="Q762">
        <v>0.1045</v>
      </c>
      <c r="R762">
        <v>0</v>
      </c>
      <c r="S762">
        <v>1</v>
      </c>
      <c r="T762">
        <v>1</v>
      </c>
    </row>
    <row r="763" spans="1:20" x14ac:dyDescent="0.35">
      <c r="A763">
        <v>762</v>
      </c>
      <c r="B763" s="1">
        <v>40578</v>
      </c>
      <c r="C763">
        <v>1</v>
      </c>
      <c r="D763">
        <v>0</v>
      </c>
      <c r="E763">
        <v>2</v>
      </c>
      <c r="F763" t="str">
        <f>IF(final_data787[[#This Row],[MONTH_CODE]]=1,"JANUARY",IF(final_data787[[#This Row],[MONTH_CODE]]=2,"FEBRUARY"))</f>
        <v>FEBRUARY</v>
      </c>
      <c r="G763">
        <v>3</v>
      </c>
      <c r="H763">
        <v>0</v>
      </c>
      <c r="I763">
        <v>5</v>
      </c>
      <c r="J7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3" t="str">
        <f>IF(final_data787[[#This Row],[DAY_CODE]]=0,"weekend",IF(final_data787[[#This Row],[DAY_CODE]]=1,"weekend","weekday"))</f>
        <v>weekday</v>
      </c>
      <c r="L763">
        <v>2</v>
      </c>
      <c r="M763" t="str">
        <f>IF(final_data787[[#This Row],[WEATHER_CODE]]=1,"clear",IF(final_data787[[#This Row],[WEATHER_CODE]]=2,"cloudy",IF(final_data787[[#This Row],[WEATHER_CODE]]=3,"light rain",IF(final_data787[[#This Row],[WEATHER_CODE]]=4,"heavy rain",0))))</f>
        <v>cloudy</v>
      </c>
      <c r="N763">
        <v>0.14000000000000001</v>
      </c>
      <c r="O763">
        <v>0.16669999999999999</v>
      </c>
      <c r="P763">
        <v>0.63</v>
      </c>
      <c r="Q763">
        <v>0.1045</v>
      </c>
      <c r="R763">
        <v>0</v>
      </c>
      <c r="S763">
        <v>1</v>
      </c>
      <c r="T763">
        <v>1</v>
      </c>
    </row>
    <row r="764" spans="1:20" x14ac:dyDescent="0.35">
      <c r="A764">
        <v>763</v>
      </c>
      <c r="B764" s="1">
        <v>40578</v>
      </c>
      <c r="C764">
        <v>1</v>
      </c>
      <c r="D764">
        <v>0</v>
      </c>
      <c r="E764">
        <v>2</v>
      </c>
      <c r="F764" t="str">
        <f>IF(final_data787[[#This Row],[MONTH_CODE]]=1,"JANUARY",IF(final_data787[[#This Row],[MONTH_CODE]]=2,"FEBRUARY"))</f>
        <v>FEBRUARY</v>
      </c>
      <c r="G764">
        <v>5</v>
      </c>
      <c r="H764">
        <v>0</v>
      </c>
      <c r="I764">
        <v>5</v>
      </c>
      <c r="J7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4" t="str">
        <f>IF(final_data787[[#This Row],[DAY_CODE]]=0,"weekend",IF(final_data787[[#This Row],[DAY_CODE]]=1,"weekend","weekday"))</f>
        <v>weekday</v>
      </c>
      <c r="L764">
        <v>2</v>
      </c>
      <c r="M764" t="str">
        <f>IF(final_data787[[#This Row],[WEATHER_CODE]]=1,"clear",IF(final_data787[[#This Row],[WEATHER_CODE]]=2,"cloudy",IF(final_data787[[#This Row],[WEATHER_CODE]]=3,"light rain",IF(final_data787[[#This Row],[WEATHER_CODE]]=4,"heavy rain",0))))</f>
        <v>cloudy</v>
      </c>
      <c r="N764">
        <v>0.14000000000000001</v>
      </c>
      <c r="O764">
        <v>0.1515</v>
      </c>
      <c r="P764">
        <v>0.63</v>
      </c>
      <c r="Q764">
        <v>0.1343</v>
      </c>
      <c r="R764">
        <v>0</v>
      </c>
      <c r="S764">
        <v>7</v>
      </c>
      <c r="T764">
        <v>7</v>
      </c>
    </row>
    <row r="765" spans="1:20" x14ac:dyDescent="0.35">
      <c r="A765">
        <v>764</v>
      </c>
      <c r="B765" s="1">
        <v>40578</v>
      </c>
      <c r="C765">
        <v>1</v>
      </c>
      <c r="D765">
        <v>0</v>
      </c>
      <c r="E765">
        <v>2</v>
      </c>
      <c r="F765" t="str">
        <f>IF(final_data787[[#This Row],[MONTH_CODE]]=1,"JANUARY",IF(final_data787[[#This Row],[MONTH_CODE]]=2,"FEBRUARY"))</f>
        <v>FEBRUARY</v>
      </c>
      <c r="G765">
        <v>6</v>
      </c>
      <c r="H765">
        <v>0</v>
      </c>
      <c r="I765">
        <v>5</v>
      </c>
      <c r="J7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5" t="str">
        <f>IF(final_data787[[#This Row],[DAY_CODE]]=0,"weekend",IF(final_data787[[#This Row],[DAY_CODE]]=1,"weekend","weekday"))</f>
        <v>weekday</v>
      </c>
      <c r="L765">
        <v>2</v>
      </c>
      <c r="M765" t="str">
        <f>IF(final_data787[[#This Row],[WEATHER_CODE]]=1,"clear",IF(final_data787[[#This Row],[WEATHER_CODE]]=2,"cloudy",IF(final_data787[[#This Row],[WEATHER_CODE]]=3,"light rain",IF(final_data787[[#This Row],[WEATHER_CODE]]=4,"heavy rain",0))))</f>
        <v>cloudy</v>
      </c>
      <c r="N765">
        <v>0.16</v>
      </c>
      <c r="O765">
        <v>0.2273</v>
      </c>
      <c r="P765">
        <v>0.55000000000000004</v>
      </c>
      <c r="Q765">
        <v>0</v>
      </c>
      <c r="R765">
        <v>2</v>
      </c>
      <c r="S765">
        <v>26</v>
      </c>
      <c r="T765">
        <v>28</v>
      </c>
    </row>
    <row r="766" spans="1:20" x14ac:dyDescent="0.35">
      <c r="A766">
        <v>765</v>
      </c>
      <c r="B766" s="1">
        <v>40578</v>
      </c>
      <c r="C766">
        <v>1</v>
      </c>
      <c r="D766">
        <v>0</v>
      </c>
      <c r="E766">
        <v>2</v>
      </c>
      <c r="F766" t="str">
        <f>IF(final_data787[[#This Row],[MONTH_CODE]]=1,"JANUARY",IF(final_data787[[#This Row],[MONTH_CODE]]=2,"FEBRUARY"))</f>
        <v>FEBRUARY</v>
      </c>
      <c r="G766">
        <v>7</v>
      </c>
      <c r="H766">
        <v>0</v>
      </c>
      <c r="I766">
        <v>5</v>
      </c>
      <c r="J7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6" t="str">
        <f>IF(final_data787[[#This Row],[DAY_CODE]]=0,"weekend",IF(final_data787[[#This Row],[DAY_CODE]]=1,"weekend","weekday"))</f>
        <v>weekday</v>
      </c>
      <c r="L766">
        <v>1</v>
      </c>
      <c r="M766" t="str">
        <f>IF(final_data787[[#This Row],[WEATHER_CODE]]=1,"clear",IF(final_data787[[#This Row],[WEATHER_CODE]]=2,"cloudy",IF(final_data787[[#This Row],[WEATHER_CODE]]=3,"light rain",IF(final_data787[[#This Row],[WEATHER_CODE]]=4,"heavy rain",0))))</f>
        <v>clear</v>
      </c>
      <c r="N766">
        <v>0.14000000000000001</v>
      </c>
      <c r="O766">
        <v>0.21210000000000001</v>
      </c>
      <c r="P766">
        <v>0.59</v>
      </c>
      <c r="Q766">
        <v>0</v>
      </c>
      <c r="R766">
        <v>0</v>
      </c>
      <c r="S766">
        <v>87</v>
      </c>
      <c r="T766">
        <v>87</v>
      </c>
    </row>
    <row r="767" spans="1:20" x14ac:dyDescent="0.35">
      <c r="A767">
        <v>766</v>
      </c>
      <c r="B767" s="1">
        <v>40578</v>
      </c>
      <c r="C767">
        <v>1</v>
      </c>
      <c r="D767">
        <v>0</v>
      </c>
      <c r="E767">
        <v>2</v>
      </c>
      <c r="F767" t="str">
        <f>IF(final_data787[[#This Row],[MONTH_CODE]]=1,"JANUARY",IF(final_data787[[#This Row],[MONTH_CODE]]=2,"FEBRUARY"))</f>
        <v>FEBRUARY</v>
      </c>
      <c r="G767">
        <v>8</v>
      </c>
      <c r="H767">
        <v>0</v>
      </c>
      <c r="I767">
        <v>5</v>
      </c>
      <c r="J7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7" t="str">
        <f>IF(final_data787[[#This Row],[DAY_CODE]]=0,"weekend",IF(final_data787[[#This Row],[DAY_CODE]]=1,"weekend","weekday"))</f>
        <v>weekday</v>
      </c>
      <c r="L767">
        <v>1</v>
      </c>
      <c r="M767" t="str">
        <f>IF(final_data787[[#This Row],[WEATHER_CODE]]=1,"clear",IF(final_data787[[#This Row],[WEATHER_CODE]]=2,"cloudy",IF(final_data787[[#This Row],[WEATHER_CODE]]=3,"light rain",IF(final_data787[[#This Row],[WEATHER_CODE]]=4,"heavy rain",0))))</f>
        <v>clear</v>
      </c>
      <c r="N767">
        <v>0.14000000000000001</v>
      </c>
      <c r="O767">
        <v>0.1515</v>
      </c>
      <c r="P767">
        <v>0.74</v>
      </c>
      <c r="Q767">
        <v>0.1343</v>
      </c>
      <c r="R767">
        <v>3</v>
      </c>
      <c r="S767">
        <v>217</v>
      </c>
      <c r="T767">
        <v>220</v>
      </c>
    </row>
    <row r="768" spans="1:20" x14ac:dyDescent="0.35">
      <c r="A768">
        <v>767</v>
      </c>
      <c r="B768" s="1">
        <v>40578</v>
      </c>
      <c r="C768">
        <v>1</v>
      </c>
      <c r="D768">
        <v>0</v>
      </c>
      <c r="E768">
        <v>2</v>
      </c>
      <c r="F768" t="str">
        <f>IF(final_data787[[#This Row],[MONTH_CODE]]=1,"JANUARY",IF(final_data787[[#This Row],[MONTH_CODE]]=2,"FEBRUARY"))</f>
        <v>FEBRUARY</v>
      </c>
      <c r="G768">
        <v>9</v>
      </c>
      <c r="H768">
        <v>0</v>
      </c>
      <c r="I768">
        <v>5</v>
      </c>
      <c r="J7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8" t="str">
        <f>IF(final_data787[[#This Row],[DAY_CODE]]=0,"weekend",IF(final_data787[[#This Row],[DAY_CODE]]=1,"weekend","weekday"))</f>
        <v>weekday</v>
      </c>
      <c r="L768">
        <v>2</v>
      </c>
      <c r="M768" t="str">
        <f>IF(final_data787[[#This Row],[WEATHER_CODE]]=1,"clear",IF(final_data787[[#This Row],[WEATHER_CODE]]=2,"cloudy",IF(final_data787[[#This Row],[WEATHER_CODE]]=3,"light rain",IF(final_data787[[#This Row],[WEATHER_CODE]]=4,"heavy rain",0))))</f>
        <v>cloudy</v>
      </c>
      <c r="N768">
        <v>0.16</v>
      </c>
      <c r="O768">
        <v>0.18179999999999999</v>
      </c>
      <c r="P768">
        <v>0.8</v>
      </c>
      <c r="Q768">
        <v>0.1343</v>
      </c>
      <c r="R768">
        <v>3</v>
      </c>
      <c r="S768">
        <v>124</v>
      </c>
      <c r="T768">
        <v>127</v>
      </c>
    </row>
    <row r="769" spans="1:20" x14ac:dyDescent="0.35">
      <c r="A769">
        <v>768</v>
      </c>
      <c r="B769" s="1">
        <v>40578</v>
      </c>
      <c r="C769">
        <v>1</v>
      </c>
      <c r="D769">
        <v>0</v>
      </c>
      <c r="E769">
        <v>2</v>
      </c>
      <c r="F769" t="str">
        <f>IF(final_data787[[#This Row],[MONTH_CODE]]=1,"JANUARY",IF(final_data787[[#This Row],[MONTH_CODE]]=2,"FEBRUARY"))</f>
        <v>FEBRUARY</v>
      </c>
      <c r="G769">
        <v>10</v>
      </c>
      <c r="H769">
        <v>0</v>
      </c>
      <c r="I769">
        <v>5</v>
      </c>
      <c r="J7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69" t="str">
        <f>IF(final_data787[[#This Row],[DAY_CODE]]=0,"weekend",IF(final_data787[[#This Row],[DAY_CODE]]=1,"weekend","weekday"))</f>
        <v>weekday</v>
      </c>
      <c r="L769">
        <v>2</v>
      </c>
      <c r="M769" t="str">
        <f>IF(final_data787[[#This Row],[WEATHER_CODE]]=1,"clear",IF(final_data787[[#This Row],[WEATHER_CODE]]=2,"cloudy",IF(final_data787[[#This Row],[WEATHER_CODE]]=3,"light rain",IF(final_data787[[#This Row],[WEATHER_CODE]]=4,"heavy rain",0))))</f>
        <v>cloudy</v>
      </c>
      <c r="N769">
        <v>0.2</v>
      </c>
      <c r="O769">
        <v>0.21210000000000001</v>
      </c>
      <c r="P769">
        <v>0.51</v>
      </c>
      <c r="Q769">
        <v>0.1343</v>
      </c>
      <c r="R769">
        <v>5</v>
      </c>
      <c r="S769">
        <v>46</v>
      </c>
      <c r="T769">
        <v>51</v>
      </c>
    </row>
    <row r="770" spans="1:20" x14ac:dyDescent="0.35">
      <c r="A770">
        <v>769</v>
      </c>
      <c r="B770" s="1">
        <v>40578</v>
      </c>
      <c r="C770">
        <v>1</v>
      </c>
      <c r="D770">
        <v>0</v>
      </c>
      <c r="E770">
        <v>2</v>
      </c>
      <c r="F770" t="str">
        <f>IF(final_data787[[#This Row],[MONTH_CODE]]=1,"JANUARY",IF(final_data787[[#This Row],[MONTH_CODE]]=2,"FEBRUARY"))</f>
        <v>FEBRUARY</v>
      </c>
      <c r="G770">
        <v>11</v>
      </c>
      <c r="H770">
        <v>0</v>
      </c>
      <c r="I770">
        <v>5</v>
      </c>
      <c r="J7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0" t="str">
        <f>IF(final_data787[[#This Row],[DAY_CODE]]=0,"weekend",IF(final_data787[[#This Row],[DAY_CODE]]=1,"weekend","weekday"))</f>
        <v>weekday</v>
      </c>
      <c r="L770">
        <v>1</v>
      </c>
      <c r="M770" t="str">
        <f>IF(final_data787[[#This Row],[WEATHER_CODE]]=1,"clear",IF(final_data787[[#This Row],[WEATHER_CODE]]=2,"cloudy",IF(final_data787[[#This Row],[WEATHER_CODE]]=3,"light rain",IF(final_data787[[#This Row],[WEATHER_CODE]]=4,"heavy rain",0))))</f>
        <v>clear</v>
      </c>
      <c r="N770">
        <v>0.22</v>
      </c>
      <c r="O770">
        <v>0.2273</v>
      </c>
      <c r="P770">
        <v>0.51</v>
      </c>
      <c r="Q770">
        <v>0.16420000000000001</v>
      </c>
      <c r="R770">
        <v>3</v>
      </c>
      <c r="S770">
        <v>61</v>
      </c>
      <c r="T770">
        <v>64</v>
      </c>
    </row>
    <row r="771" spans="1:20" x14ac:dyDescent="0.35">
      <c r="A771">
        <v>770</v>
      </c>
      <c r="B771" s="1">
        <v>40578</v>
      </c>
      <c r="C771">
        <v>1</v>
      </c>
      <c r="D771">
        <v>0</v>
      </c>
      <c r="E771">
        <v>2</v>
      </c>
      <c r="F771" t="str">
        <f>IF(final_data787[[#This Row],[MONTH_CODE]]=1,"JANUARY",IF(final_data787[[#This Row],[MONTH_CODE]]=2,"FEBRUARY"))</f>
        <v>FEBRUARY</v>
      </c>
      <c r="G771">
        <v>12</v>
      </c>
      <c r="H771">
        <v>0</v>
      </c>
      <c r="I771">
        <v>5</v>
      </c>
      <c r="J7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1" t="str">
        <f>IF(final_data787[[#This Row],[DAY_CODE]]=0,"weekend",IF(final_data787[[#This Row],[DAY_CODE]]=1,"weekend","weekday"))</f>
        <v>weekday</v>
      </c>
      <c r="L771">
        <v>2</v>
      </c>
      <c r="M771" t="str">
        <f>IF(final_data787[[#This Row],[WEATHER_CODE]]=1,"clear",IF(final_data787[[#This Row],[WEATHER_CODE]]=2,"cloudy",IF(final_data787[[#This Row],[WEATHER_CODE]]=3,"light rain",IF(final_data787[[#This Row],[WEATHER_CODE]]=4,"heavy rain",0))))</f>
        <v>cloudy</v>
      </c>
      <c r="N771">
        <v>0.24</v>
      </c>
      <c r="O771">
        <v>0.2424</v>
      </c>
      <c r="P771">
        <v>0.48</v>
      </c>
      <c r="Q771">
        <v>0.16420000000000001</v>
      </c>
      <c r="R771">
        <v>8</v>
      </c>
      <c r="S771">
        <v>78</v>
      </c>
      <c r="T771">
        <v>86</v>
      </c>
    </row>
    <row r="772" spans="1:20" x14ac:dyDescent="0.35">
      <c r="A772">
        <v>771</v>
      </c>
      <c r="B772" s="1">
        <v>40578</v>
      </c>
      <c r="C772">
        <v>1</v>
      </c>
      <c r="D772">
        <v>0</v>
      </c>
      <c r="E772">
        <v>2</v>
      </c>
      <c r="F772" t="str">
        <f>IF(final_data787[[#This Row],[MONTH_CODE]]=1,"JANUARY",IF(final_data787[[#This Row],[MONTH_CODE]]=2,"FEBRUARY"))</f>
        <v>FEBRUARY</v>
      </c>
      <c r="G772">
        <v>13</v>
      </c>
      <c r="H772">
        <v>0</v>
      </c>
      <c r="I772">
        <v>5</v>
      </c>
      <c r="J7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2" t="str">
        <f>IF(final_data787[[#This Row],[DAY_CODE]]=0,"weekend",IF(final_data787[[#This Row],[DAY_CODE]]=1,"weekend","weekday"))</f>
        <v>weekday</v>
      </c>
      <c r="L772">
        <v>2</v>
      </c>
      <c r="M772" t="str">
        <f>IF(final_data787[[#This Row],[WEATHER_CODE]]=1,"clear",IF(final_data787[[#This Row],[WEATHER_CODE]]=2,"cloudy",IF(final_data787[[#This Row],[WEATHER_CODE]]=3,"light rain",IF(final_data787[[#This Row],[WEATHER_CODE]]=4,"heavy rain",0))))</f>
        <v>cloudy</v>
      </c>
      <c r="N772">
        <v>0.26</v>
      </c>
      <c r="O772">
        <v>0.2576</v>
      </c>
      <c r="P772">
        <v>0.5</v>
      </c>
      <c r="Q772">
        <v>0.22389999999999999</v>
      </c>
      <c r="R772">
        <v>9</v>
      </c>
      <c r="S772">
        <v>73</v>
      </c>
      <c r="T772">
        <v>82</v>
      </c>
    </row>
    <row r="773" spans="1:20" x14ac:dyDescent="0.35">
      <c r="A773">
        <v>772</v>
      </c>
      <c r="B773" s="1">
        <v>40578</v>
      </c>
      <c r="C773">
        <v>1</v>
      </c>
      <c r="D773">
        <v>0</v>
      </c>
      <c r="E773">
        <v>2</v>
      </c>
      <c r="F773" t="str">
        <f>IF(final_data787[[#This Row],[MONTH_CODE]]=1,"JANUARY",IF(final_data787[[#This Row],[MONTH_CODE]]=2,"FEBRUARY"))</f>
        <v>FEBRUARY</v>
      </c>
      <c r="G773">
        <v>14</v>
      </c>
      <c r="H773">
        <v>0</v>
      </c>
      <c r="I773">
        <v>5</v>
      </c>
      <c r="J7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3" t="str">
        <f>IF(final_data787[[#This Row],[DAY_CODE]]=0,"weekend",IF(final_data787[[#This Row],[DAY_CODE]]=1,"weekend","weekday"))</f>
        <v>weekday</v>
      </c>
      <c r="L773">
        <v>2</v>
      </c>
      <c r="M773" t="str">
        <f>IF(final_data787[[#This Row],[WEATHER_CODE]]=1,"clear",IF(final_data787[[#This Row],[WEATHER_CODE]]=2,"cloudy",IF(final_data787[[#This Row],[WEATHER_CODE]]=3,"light rain",IF(final_data787[[#This Row],[WEATHER_CODE]]=4,"heavy rain",0))))</f>
        <v>cloudy</v>
      </c>
      <c r="N773">
        <v>0.28000000000000003</v>
      </c>
      <c r="O773">
        <v>0.2727</v>
      </c>
      <c r="P773">
        <v>0.45</v>
      </c>
      <c r="Q773">
        <v>0.16420000000000001</v>
      </c>
      <c r="R773">
        <v>15</v>
      </c>
      <c r="S773">
        <v>76</v>
      </c>
      <c r="T773">
        <v>91</v>
      </c>
    </row>
    <row r="774" spans="1:20" x14ac:dyDescent="0.35">
      <c r="A774">
        <v>773</v>
      </c>
      <c r="B774" s="1">
        <v>40578</v>
      </c>
      <c r="C774">
        <v>1</v>
      </c>
      <c r="D774">
        <v>0</v>
      </c>
      <c r="E774">
        <v>2</v>
      </c>
      <c r="F774" t="str">
        <f>IF(final_data787[[#This Row],[MONTH_CODE]]=1,"JANUARY",IF(final_data787[[#This Row],[MONTH_CODE]]=2,"FEBRUARY"))</f>
        <v>FEBRUARY</v>
      </c>
      <c r="G774">
        <v>15</v>
      </c>
      <c r="H774">
        <v>0</v>
      </c>
      <c r="I774">
        <v>5</v>
      </c>
      <c r="J7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4" t="str">
        <f>IF(final_data787[[#This Row],[DAY_CODE]]=0,"weekend",IF(final_data787[[#This Row],[DAY_CODE]]=1,"weekend","weekday"))</f>
        <v>weekday</v>
      </c>
      <c r="L774">
        <v>2</v>
      </c>
      <c r="M774" t="str">
        <f>IF(final_data787[[#This Row],[WEATHER_CODE]]=1,"clear",IF(final_data787[[#This Row],[WEATHER_CODE]]=2,"cloudy",IF(final_data787[[#This Row],[WEATHER_CODE]]=3,"light rain",IF(final_data787[[#This Row],[WEATHER_CODE]]=4,"heavy rain",0))))</f>
        <v>cloudy</v>
      </c>
      <c r="N774">
        <v>0.28000000000000003</v>
      </c>
      <c r="O774">
        <v>0.2727</v>
      </c>
      <c r="P774">
        <v>0.48</v>
      </c>
      <c r="Q774">
        <v>0.25369999999999998</v>
      </c>
      <c r="R774">
        <v>9</v>
      </c>
      <c r="S774">
        <v>81</v>
      </c>
      <c r="T774">
        <v>90</v>
      </c>
    </row>
    <row r="775" spans="1:20" x14ac:dyDescent="0.35">
      <c r="A775">
        <v>774</v>
      </c>
      <c r="B775" s="1">
        <v>40578</v>
      </c>
      <c r="C775">
        <v>1</v>
      </c>
      <c r="D775">
        <v>0</v>
      </c>
      <c r="E775">
        <v>2</v>
      </c>
      <c r="F775" t="str">
        <f>IF(final_data787[[#This Row],[MONTH_CODE]]=1,"JANUARY",IF(final_data787[[#This Row],[MONTH_CODE]]=2,"FEBRUARY"))</f>
        <v>FEBRUARY</v>
      </c>
      <c r="G775">
        <v>16</v>
      </c>
      <c r="H775">
        <v>0</v>
      </c>
      <c r="I775">
        <v>5</v>
      </c>
      <c r="J7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5" t="str">
        <f>IF(final_data787[[#This Row],[DAY_CODE]]=0,"weekend",IF(final_data787[[#This Row],[DAY_CODE]]=1,"weekend","weekday"))</f>
        <v>weekday</v>
      </c>
      <c r="L775">
        <v>2</v>
      </c>
      <c r="M775" t="str">
        <f>IF(final_data787[[#This Row],[WEATHER_CODE]]=1,"clear",IF(final_data787[[#This Row],[WEATHER_CODE]]=2,"cloudy",IF(final_data787[[#This Row],[WEATHER_CODE]]=3,"light rain",IF(final_data787[[#This Row],[WEATHER_CODE]]=4,"heavy rain",0))))</f>
        <v>cloudy</v>
      </c>
      <c r="N775">
        <v>0.3</v>
      </c>
      <c r="O775">
        <v>0.28789999999999999</v>
      </c>
      <c r="P775">
        <v>0.42</v>
      </c>
      <c r="Q775">
        <v>0.22389999999999999</v>
      </c>
      <c r="R775">
        <v>8</v>
      </c>
      <c r="S775">
        <v>91</v>
      </c>
      <c r="T775">
        <v>99</v>
      </c>
    </row>
    <row r="776" spans="1:20" x14ac:dyDescent="0.35">
      <c r="A776">
        <v>775</v>
      </c>
      <c r="B776" s="1">
        <v>40578</v>
      </c>
      <c r="C776">
        <v>1</v>
      </c>
      <c r="D776">
        <v>0</v>
      </c>
      <c r="E776">
        <v>2</v>
      </c>
      <c r="F776" t="str">
        <f>IF(final_data787[[#This Row],[MONTH_CODE]]=1,"JANUARY",IF(final_data787[[#This Row],[MONTH_CODE]]=2,"FEBRUARY"))</f>
        <v>FEBRUARY</v>
      </c>
      <c r="G776">
        <v>17</v>
      </c>
      <c r="H776">
        <v>0</v>
      </c>
      <c r="I776">
        <v>5</v>
      </c>
      <c r="J7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6" t="str">
        <f>IF(final_data787[[#This Row],[DAY_CODE]]=0,"weekend",IF(final_data787[[#This Row],[DAY_CODE]]=1,"weekend","weekday"))</f>
        <v>weekday</v>
      </c>
      <c r="L776">
        <v>2</v>
      </c>
      <c r="M776" t="str">
        <f>IF(final_data787[[#This Row],[WEATHER_CODE]]=1,"clear",IF(final_data787[[#This Row],[WEATHER_CODE]]=2,"cloudy",IF(final_data787[[#This Row],[WEATHER_CODE]]=3,"light rain",IF(final_data787[[#This Row],[WEATHER_CODE]]=4,"heavy rain",0))))</f>
        <v>cloudy</v>
      </c>
      <c r="N776">
        <v>0.26</v>
      </c>
      <c r="O776">
        <v>0.2727</v>
      </c>
      <c r="P776">
        <v>0.56000000000000005</v>
      </c>
      <c r="Q776">
        <v>0.1343</v>
      </c>
      <c r="R776">
        <v>10</v>
      </c>
      <c r="S776">
        <v>195</v>
      </c>
      <c r="T776">
        <v>205</v>
      </c>
    </row>
    <row r="777" spans="1:20" x14ac:dyDescent="0.35">
      <c r="A777">
        <v>776</v>
      </c>
      <c r="B777" s="1">
        <v>40578</v>
      </c>
      <c r="C777">
        <v>1</v>
      </c>
      <c r="D777">
        <v>0</v>
      </c>
      <c r="E777">
        <v>2</v>
      </c>
      <c r="F777" t="str">
        <f>IF(final_data787[[#This Row],[MONTH_CODE]]=1,"JANUARY",IF(final_data787[[#This Row],[MONTH_CODE]]=2,"FEBRUARY"))</f>
        <v>FEBRUARY</v>
      </c>
      <c r="G777">
        <v>18</v>
      </c>
      <c r="H777">
        <v>0</v>
      </c>
      <c r="I777">
        <v>5</v>
      </c>
      <c r="J7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7" t="str">
        <f>IF(final_data787[[#This Row],[DAY_CODE]]=0,"weekend",IF(final_data787[[#This Row],[DAY_CODE]]=1,"weekend","weekday"))</f>
        <v>weekday</v>
      </c>
      <c r="L777">
        <v>2</v>
      </c>
      <c r="M777" t="str">
        <f>IF(final_data787[[#This Row],[WEATHER_CODE]]=1,"clear",IF(final_data787[[#This Row],[WEATHER_CODE]]=2,"cloudy",IF(final_data787[[#This Row],[WEATHER_CODE]]=3,"light rain",IF(final_data787[[#This Row],[WEATHER_CODE]]=4,"heavy rain",0))))</f>
        <v>cloudy</v>
      </c>
      <c r="N777">
        <v>0.24</v>
      </c>
      <c r="O777">
        <v>0.2576</v>
      </c>
      <c r="P777">
        <v>0.6</v>
      </c>
      <c r="Q777">
        <v>0.1045</v>
      </c>
      <c r="R777">
        <v>3</v>
      </c>
      <c r="S777">
        <v>152</v>
      </c>
      <c r="T777">
        <v>155</v>
      </c>
    </row>
    <row r="778" spans="1:20" x14ac:dyDescent="0.35">
      <c r="A778">
        <v>777</v>
      </c>
      <c r="B778" s="1">
        <v>40578</v>
      </c>
      <c r="C778">
        <v>1</v>
      </c>
      <c r="D778">
        <v>0</v>
      </c>
      <c r="E778">
        <v>2</v>
      </c>
      <c r="F778" t="str">
        <f>IF(final_data787[[#This Row],[MONTH_CODE]]=1,"JANUARY",IF(final_data787[[#This Row],[MONTH_CODE]]=2,"FEBRUARY"))</f>
        <v>FEBRUARY</v>
      </c>
      <c r="G778">
        <v>19</v>
      </c>
      <c r="H778">
        <v>0</v>
      </c>
      <c r="I778">
        <v>5</v>
      </c>
      <c r="J7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8" t="str">
        <f>IF(final_data787[[#This Row],[DAY_CODE]]=0,"weekend",IF(final_data787[[#This Row],[DAY_CODE]]=1,"weekend","weekday"))</f>
        <v>weekday</v>
      </c>
      <c r="L778">
        <v>2</v>
      </c>
      <c r="M778" t="str">
        <f>IF(final_data787[[#This Row],[WEATHER_CODE]]=1,"clear",IF(final_data787[[#This Row],[WEATHER_CODE]]=2,"cloudy",IF(final_data787[[#This Row],[WEATHER_CODE]]=3,"light rain",IF(final_data787[[#This Row],[WEATHER_CODE]]=4,"heavy rain",0))))</f>
        <v>cloudy</v>
      </c>
      <c r="N778">
        <v>0.24</v>
      </c>
      <c r="O778">
        <v>0.2424</v>
      </c>
      <c r="P778">
        <v>0.65</v>
      </c>
      <c r="Q778">
        <v>0.1343</v>
      </c>
      <c r="R778">
        <v>1</v>
      </c>
      <c r="S778">
        <v>102</v>
      </c>
      <c r="T778">
        <v>103</v>
      </c>
    </row>
    <row r="779" spans="1:20" x14ac:dyDescent="0.35">
      <c r="A779">
        <v>778</v>
      </c>
      <c r="B779" s="1">
        <v>40578</v>
      </c>
      <c r="C779">
        <v>1</v>
      </c>
      <c r="D779">
        <v>0</v>
      </c>
      <c r="E779">
        <v>2</v>
      </c>
      <c r="F779" t="str">
        <f>IF(final_data787[[#This Row],[MONTH_CODE]]=1,"JANUARY",IF(final_data787[[#This Row],[MONTH_CODE]]=2,"FEBRUARY"))</f>
        <v>FEBRUARY</v>
      </c>
      <c r="G779">
        <v>20</v>
      </c>
      <c r="H779">
        <v>0</v>
      </c>
      <c r="I779">
        <v>5</v>
      </c>
      <c r="J7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79" t="str">
        <f>IF(final_data787[[#This Row],[DAY_CODE]]=0,"weekend",IF(final_data787[[#This Row],[DAY_CODE]]=1,"weekend","weekday"))</f>
        <v>weekday</v>
      </c>
      <c r="L779">
        <v>2</v>
      </c>
      <c r="M779" t="str">
        <f>IF(final_data787[[#This Row],[WEATHER_CODE]]=1,"clear",IF(final_data787[[#This Row],[WEATHER_CODE]]=2,"cloudy",IF(final_data787[[#This Row],[WEATHER_CODE]]=3,"light rain",IF(final_data787[[#This Row],[WEATHER_CODE]]=4,"heavy rain",0))))</f>
        <v>cloudy</v>
      </c>
      <c r="N779">
        <v>0.24</v>
      </c>
      <c r="O779">
        <v>0.2424</v>
      </c>
      <c r="P779">
        <v>0.65</v>
      </c>
      <c r="Q779">
        <v>0.16420000000000001</v>
      </c>
      <c r="R779">
        <v>2</v>
      </c>
      <c r="S779">
        <v>69</v>
      </c>
      <c r="T779">
        <v>71</v>
      </c>
    </row>
    <row r="780" spans="1:20" x14ac:dyDescent="0.35">
      <c r="A780">
        <v>779</v>
      </c>
      <c r="B780" s="1">
        <v>40578</v>
      </c>
      <c r="C780">
        <v>1</v>
      </c>
      <c r="D780">
        <v>0</v>
      </c>
      <c r="E780">
        <v>2</v>
      </c>
      <c r="F780" t="str">
        <f>IF(final_data787[[#This Row],[MONTH_CODE]]=1,"JANUARY",IF(final_data787[[#This Row],[MONTH_CODE]]=2,"FEBRUARY"))</f>
        <v>FEBRUARY</v>
      </c>
      <c r="G780">
        <v>21</v>
      </c>
      <c r="H780">
        <v>0</v>
      </c>
      <c r="I780">
        <v>5</v>
      </c>
      <c r="J7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80" t="str">
        <f>IF(final_data787[[#This Row],[DAY_CODE]]=0,"weekend",IF(final_data787[[#This Row],[DAY_CODE]]=1,"weekend","weekday"))</f>
        <v>weekday</v>
      </c>
      <c r="L780">
        <v>2</v>
      </c>
      <c r="M780" t="str">
        <f>IF(final_data787[[#This Row],[WEATHER_CODE]]=1,"clear",IF(final_data787[[#This Row],[WEATHER_CODE]]=2,"cloudy",IF(final_data787[[#This Row],[WEATHER_CODE]]=3,"light rain",IF(final_data787[[#This Row],[WEATHER_CODE]]=4,"heavy rain",0))))</f>
        <v>cloudy</v>
      </c>
      <c r="N780">
        <v>0.24</v>
      </c>
      <c r="O780">
        <v>0.2424</v>
      </c>
      <c r="P780">
        <v>0.7</v>
      </c>
      <c r="Q780">
        <v>0.16420000000000001</v>
      </c>
      <c r="R780">
        <v>2</v>
      </c>
      <c r="S780">
        <v>41</v>
      </c>
      <c r="T780">
        <v>43</v>
      </c>
    </row>
    <row r="781" spans="1:20" x14ac:dyDescent="0.35">
      <c r="A781">
        <v>780</v>
      </c>
      <c r="B781" s="1">
        <v>40578</v>
      </c>
      <c r="C781">
        <v>1</v>
      </c>
      <c r="D781">
        <v>0</v>
      </c>
      <c r="E781">
        <v>2</v>
      </c>
      <c r="F781" t="str">
        <f>IF(final_data787[[#This Row],[MONTH_CODE]]=1,"JANUARY",IF(final_data787[[#This Row],[MONTH_CODE]]=2,"FEBRUARY"))</f>
        <v>FEBRUARY</v>
      </c>
      <c r="G781">
        <v>22</v>
      </c>
      <c r="H781">
        <v>0</v>
      </c>
      <c r="I781">
        <v>5</v>
      </c>
      <c r="J7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81" t="str">
        <f>IF(final_data787[[#This Row],[DAY_CODE]]=0,"weekend",IF(final_data787[[#This Row],[DAY_CODE]]=1,"weekend","weekday"))</f>
        <v>weekday</v>
      </c>
      <c r="L781">
        <v>2</v>
      </c>
      <c r="M781" t="str">
        <f>IF(final_data787[[#This Row],[WEATHER_CODE]]=1,"clear",IF(final_data787[[#This Row],[WEATHER_CODE]]=2,"cloudy",IF(final_data787[[#This Row],[WEATHER_CODE]]=3,"light rain",IF(final_data787[[#This Row],[WEATHER_CODE]]=4,"heavy rain",0))))</f>
        <v>cloudy</v>
      </c>
      <c r="N781">
        <v>0.24</v>
      </c>
      <c r="O781">
        <v>0.2424</v>
      </c>
      <c r="P781">
        <v>0.65</v>
      </c>
      <c r="Q781">
        <v>0.16420000000000001</v>
      </c>
      <c r="R781">
        <v>1</v>
      </c>
      <c r="S781">
        <v>45</v>
      </c>
      <c r="T781">
        <v>46</v>
      </c>
    </row>
    <row r="782" spans="1:20" x14ac:dyDescent="0.35">
      <c r="A782">
        <v>781</v>
      </c>
      <c r="B782" s="1">
        <v>40578</v>
      </c>
      <c r="C782">
        <v>1</v>
      </c>
      <c r="D782">
        <v>0</v>
      </c>
      <c r="E782">
        <v>2</v>
      </c>
      <c r="F782" t="str">
        <f>IF(final_data787[[#This Row],[MONTH_CODE]]=1,"JANUARY",IF(final_data787[[#This Row],[MONTH_CODE]]=2,"FEBRUARY"))</f>
        <v>FEBRUARY</v>
      </c>
      <c r="G782">
        <v>23</v>
      </c>
      <c r="H782">
        <v>0</v>
      </c>
      <c r="I782">
        <v>5</v>
      </c>
      <c r="J7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782" t="str">
        <f>IF(final_data787[[#This Row],[DAY_CODE]]=0,"weekend",IF(final_data787[[#This Row],[DAY_CODE]]=1,"weekend","weekday"))</f>
        <v>weekday</v>
      </c>
      <c r="L782">
        <v>2</v>
      </c>
      <c r="M782" t="str">
        <f>IF(final_data787[[#This Row],[WEATHER_CODE]]=1,"clear",IF(final_data787[[#This Row],[WEATHER_CODE]]=2,"cloudy",IF(final_data787[[#This Row],[WEATHER_CODE]]=3,"light rain",IF(final_data787[[#This Row],[WEATHER_CODE]]=4,"heavy rain",0))))</f>
        <v>cloudy</v>
      </c>
      <c r="N782">
        <v>0.24</v>
      </c>
      <c r="O782">
        <v>0.2424</v>
      </c>
      <c r="P782">
        <v>0.7</v>
      </c>
      <c r="Q782">
        <v>0.1343</v>
      </c>
      <c r="R782">
        <v>1</v>
      </c>
      <c r="S782">
        <v>30</v>
      </c>
      <c r="T782">
        <v>31</v>
      </c>
    </row>
    <row r="783" spans="1:20" x14ac:dyDescent="0.35">
      <c r="A783">
        <v>782</v>
      </c>
      <c r="B783" s="1">
        <v>40579</v>
      </c>
      <c r="C783">
        <v>1</v>
      </c>
      <c r="D783">
        <v>0</v>
      </c>
      <c r="E783">
        <v>2</v>
      </c>
      <c r="F783" t="str">
        <f>IF(final_data787[[#This Row],[MONTH_CODE]]=1,"JANUARY",IF(final_data787[[#This Row],[MONTH_CODE]]=2,"FEBRUARY"))</f>
        <v>FEBRUARY</v>
      </c>
      <c r="G783">
        <v>0</v>
      </c>
      <c r="H783">
        <v>0</v>
      </c>
      <c r="I783">
        <v>6</v>
      </c>
      <c r="J7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3" t="str">
        <f>IF(final_data787[[#This Row],[DAY_CODE]]=0,"weekend",IF(final_data787[[#This Row],[DAY_CODE]]=1,"weekend","weekday"))</f>
        <v>weekday</v>
      </c>
      <c r="L783">
        <v>2</v>
      </c>
      <c r="M783" t="str">
        <f>IF(final_data787[[#This Row],[WEATHER_CODE]]=1,"clear",IF(final_data787[[#This Row],[WEATHER_CODE]]=2,"cloudy",IF(final_data787[[#This Row],[WEATHER_CODE]]=3,"light rain",IF(final_data787[[#This Row],[WEATHER_CODE]]=4,"heavy rain",0))))</f>
        <v>cloudy</v>
      </c>
      <c r="N783">
        <v>0.24</v>
      </c>
      <c r="O783">
        <v>0.2424</v>
      </c>
      <c r="P783">
        <v>0.7</v>
      </c>
      <c r="Q783">
        <v>0.16420000000000001</v>
      </c>
      <c r="R783">
        <v>3</v>
      </c>
      <c r="S783">
        <v>36</v>
      </c>
      <c r="T783">
        <v>39</v>
      </c>
    </row>
    <row r="784" spans="1:20" x14ac:dyDescent="0.35">
      <c r="A784">
        <v>783</v>
      </c>
      <c r="B784" s="1">
        <v>40579</v>
      </c>
      <c r="C784">
        <v>1</v>
      </c>
      <c r="D784">
        <v>0</v>
      </c>
      <c r="E784">
        <v>2</v>
      </c>
      <c r="F784" t="str">
        <f>IF(final_data787[[#This Row],[MONTH_CODE]]=1,"JANUARY",IF(final_data787[[#This Row],[MONTH_CODE]]=2,"FEBRUARY"))</f>
        <v>FEBRUARY</v>
      </c>
      <c r="G784">
        <v>1</v>
      </c>
      <c r="H784">
        <v>0</v>
      </c>
      <c r="I784">
        <v>6</v>
      </c>
      <c r="J7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4" t="str">
        <f>IF(final_data787[[#This Row],[DAY_CODE]]=0,"weekend",IF(final_data787[[#This Row],[DAY_CODE]]=1,"weekend","weekday"))</f>
        <v>weekday</v>
      </c>
      <c r="L784">
        <v>2</v>
      </c>
      <c r="M784" t="str">
        <f>IF(final_data787[[#This Row],[WEATHER_CODE]]=1,"clear",IF(final_data787[[#This Row],[WEATHER_CODE]]=2,"cloudy",IF(final_data787[[#This Row],[WEATHER_CODE]]=3,"light rain",IF(final_data787[[#This Row],[WEATHER_CODE]]=4,"heavy rain",0))))</f>
        <v>cloudy</v>
      </c>
      <c r="N784">
        <v>0.24</v>
      </c>
      <c r="O784">
        <v>0.2424</v>
      </c>
      <c r="P784">
        <v>0.65</v>
      </c>
      <c r="Q784">
        <v>0.16420000000000001</v>
      </c>
      <c r="R784">
        <v>1</v>
      </c>
      <c r="S784">
        <v>17</v>
      </c>
      <c r="T784">
        <v>18</v>
      </c>
    </row>
    <row r="785" spans="1:20" x14ac:dyDescent="0.35">
      <c r="A785">
        <v>784</v>
      </c>
      <c r="B785" s="1">
        <v>40579</v>
      </c>
      <c r="C785">
        <v>1</v>
      </c>
      <c r="D785">
        <v>0</v>
      </c>
      <c r="E785">
        <v>2</v>
      </c>
      <c r="F785" t="str">
        <f>IF(final_data787[[#This Row],[MONTH_CODE]]=1,"JANUARY",IF(final_data787[[#This Row],[MONTH_CODE]]=2,"FEBRUARY"))</f>
        <v>FEBRUARY</v>
      </c>
      <c r="G785">
        <v>2</v>
      </c>
      <c r="H785">
        <v>0</v>
      </c>
      <c r="I785">
        <v>6</v>
      </c>
      <c r="J7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5" t="str">
        <f>IF(final_data787[[#This Row],[DAY_CODE]]=0,"weekend",IF(final_data787[[#This Row],[DAY_CODE]]=1,"weekend","weekday"))</f>
        <v>weekday</v>
      </c>
      <c r="L785">
        <v>2</v>
      </c>
      <c r="M785" t="str">
        <f>IF(final_data787[[#This Row],[WEATHER_CODE]]=1,"clear",IF(final_data787[[#This Row],[WEATHER_CODE]]=2,"cloudy",IF(final_data787[[#This Row],[WEATHER_CODE]]=3,"light rain",IF(final_data787[[#This Row],[WEATHER_CODE]]=4,"heavy rain",0))))</f>
        <v>cloudy</v>
      </c>
      <c r="N785">
        <v>0.24</v>
      </c>
      <c r="O785">
        <v>0.2424</v>
      </c>
      <c r="P785">
        <v>0.75</v>
      </c>
      <c r="Q785">
        <v>0.16420000000000001</v>
      </c>
      <c r="R785">
        <v>5</v>
      </c>
      <c r="S785">
        <v>12</v>
      </c>
      <c r="T785">
        <v>17</v>
      </c>
    </row>
    <row r="786" spans="1:20" x14ac:dyDescent="0.35">
      <c r="A786">
        <v>785</v>
      </c>
      <c r="B786" s="1">
        <v>40579</v>
      </c>
      <c r="C786">
        <v>1</v>
      </c>
      <c r="D786">
        <v>0</v>
      </c>
      <c r="E786">
        <v>2</v>
      </c>
      <c r="F786" t="str">
        <f>IF(final_data787[[#This Row],[MONTH_CODE]]=1,"JANUARY",IF(final_data787[[#This Row],[MONTH_CODE]]=2,"FEBRUARY"))</f>
        <v>FEBRUARY</v>
      </c>
      <c r="G786">
        <v>3</v>
      </c>
      <c r="H786">
        <v>0</v>
      </c>
      <c r="I786">
        <v>6</v>
      </c>
      <c r="J7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6" t="str">
        <f>IF(final_data787[[#This Row],[DAY_CODE]]=0,"weekend",IF(final_data787[[#This Row],[DAY_CODE]]=1,"weekend","weekday"))</f>
        <v>weekday</v>
      </c>
      <c r="L786">
        <v>2</v>
      </c>
      <c r="M786" t="str">
        <f>IF(final_data787[[#This Row],[WEATHER_CODE]]=1,"clear",IF(final_data787[[#This Row],[WEATHER_CODE]]=2,"cloudy",IF(final_data787[[#This Row],[WEATHER_CODE]]=3,"light rain",IF(final_data787[[#This Row],[WEATHER_CODE]]=4,"heavy rain",0))))</f>
        <v>cloudy</v>
      </c>
      <c r="N786">
        <v>0.24</v>
      </c>
      <c r="O786">
        <v>0.2424</v>
      </c>
      <c r="P786">
        <v>0.75</v>
      </c>
      <c r="Q786">
        <v>0.16420000000000001</v>
      </c>
      <c r="R786">
        <v>1</v>
      </c>
      <c r="S786">
        <v>10</v>
      </c>
      <c r="T786">
        <v>11</v>
      </c>
    </row>
    <row r="787" spans="1:20" x14ac:dyDescent="0.35">
      <c r="A787">
        <v>786</v>
      </c>
      <c r="B787" s="1">
        <v>40579</v>
      </c>
      <c r="C787">
        <v>1</v>
      </c>
      <c r="D787">
        <v>0</v>
      </c>
      <c r="E787">
        <v>2</v>
      </c>
      <c r="F787" t="str">
        <f>IF(final_data787[[#This Row],[MONTH_CODE]]=1,"JANUARY",IF(final_data787[[#This Row],[MONTH_CODE]]=2,"FEBRUARY"))</f>
        <v>FEBRUARY</v>
      </c>
      <c r="G787">
        <v>4</v>
      </c>
      <c r="H787">
        <v>0</v>
      </c>
      <c r="I787">
        <v>6</v>
      </c>
      <c r="J7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7" t="str">
        <f>IF(final_data787[[#This Row],[DAY_CODE]]=0,"weekend",IF(final_data787[[#This Row],[DAY_CODE]]=1,"weekend","weekday"))</f>
        <v>weekday</v>
      </c>
      <c r="L787">
        <v>3</v>
      </c>
      <c r="M787" t="str">
        <f>IF(final_data787[[#This Row],[WEATHER_CODE]]=1,"clear",IF(final_data787[[#This Row],[WEATHER_CODE]]=2,"cloudy",IF(final_data787[[#This Row],[WEATHER_CODE]]=3,"light rain",IF(final_data787[[#This Row],[WEATHER_CODE]]=4,"heavy rain",0))))</f>
        <v>light rain</v>
      </c>
      <c r="N787">
        <v>0.22</v>
      </c>
      <c r="O787">
        <v>0.2273</v>
      </c>
      <c r="P787">
        <v>0.93</v>
      </c>
      <c r="Q787">
        <v>0.1343</v>
      </c>
      <c r="R787">
        <v>0</v>
      </c>
      <c r="S787">
        <v>8</v>
      </c>
      <c r="T787">
        <v>8</v>
      </c>
    </row>
    <row r="788" spans="1:20" x14ac:dyDescent="0.35">
      <c r="A788">
        <v>787</v>
      </c>
      <c r="B788" s="1">
        <v>40579</v>
      </c>
      <c r="C788">
        <v>1</v>
      </c>
      <c r="D788">
        <v>0</v>
      </c>
      <c r="E788">
        <v>2</v>
      </c>
      <c r="F788" t="str">
        <f>IF(final_data787[[#This Row],[MONTH_CODE]]=1,"JANUARY",IF(final_data787[[#This Row],[MONTH_CODE]]=2,"FEBRUARY"))</f>
        <v>FEBRUARY</v>
      </c>
      <c r="G788">
        <v>5</v>
      </c>
      <c r="H788">
        <v>0</v>
      </c>
      <c r="I788">
        <v>6</v>
      </c>
      <c r="J7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8" t="str">
        <f>IF(final_data787[[#This Row],[DAY_CODE]]=0,"weekend",IF(final_data787[[#This Row],[DAY_CODE]]=1,"weekend","weekday"))</f>
        <v>weekday</v>
      </c>
      <c r="L788">
        <v>3</v>
      </c>
      <c r="M788" t="str">
        <f>IF(final_data787[[#This Row],[WEATHER_CODE]]=1,"clear",IF(final_data787[[#This Row],[WEATHER_CODE]]=2,"cloudy",IF(final_data787[[#This Row],[WEATHER_CODE]]=3,"light rain",IF(final_data787[[#This Row],[WEATHER_CODE]]=4,"heavy rain",0))))</f>
        <v>light rain</v>
      </c>
      <c r="N788">
        <v>0.2</v>
      </c>
      <c r="O788">
        <v>0.2273</v>
      </c>
      <c r="P788">
        <v>1</v>
      </c>
      <c r="Q788">
        <v>8.9599999999999999E-2</v>
      </c>
      <c r="R788">
        <v>0</v>
      </c>
      <c r="S788">
        <v>9</v>
      </c>
      <c r="T788">
        <v>9</v>
      </c>
    </row>
    <row r="789" spans="1:20" x14ac:dyDescent="0.35">
      <c r="A789">
        <v>788</v>
      </c>
      <c r="B789" s="1">
        <v>40579</v>
      </c>
      <c r="C789">
        <v>1</v>
      </c>
      <c r="D789">
        <v>0</v>
      </c>
      <c r="E789">
        <v>2</v>
      </c>
      <c r="F789" t="str">
        <f>IF(final_data787[[#This Row],[MONTH_CODE]]=1,"JANUARY",IF(final_data787[[#This Row],[MONTH_CODE]]=2,"FEBRUARY"))</f>
        <v>FEBRUARY</v>
      </c>
      <c r="G789">
        <v>6</v>
      </c>
      <c r="H789">
        <v>0</v>
      </c>
      <c r="I789">
        <v>6</v>
      </c>
      <c r="J7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89" t="str">
        <f>IF(final_data787[[#This Row],[DAY_CODE]]=0,"weekend",IF(final_data787[[#This Row],[DAY_CODE]]=1,"weekend","weekday"))</f>
        <v>weekday</v>
      </c>
      <c r="L789">
        <v>3</v>
      </c>
      <c r="M789" t="str">
        <f>IF(final_data787[[#This Row],[WEATHER_CODE]]=1,"clear",IF(final_data787[[#This Row],[WEATHER_CODE]]=2,"cloudy",IF(final_data787[[#This Row],[WEATHER_CODE]]=3,"light rain",IF(final_data787[[#This Row],[WEATHER_CODE]]=4,"heavy rain",0))))</f>
        <v>light rain</v>
      </c>
      <c r="N789">
        <v>0.2</v>
      </c>
      <c r="O789">
        <v>0.2576</v>
      </c>
      <c r="P789">
        <v>1</v>
      </c>
      <c r="Q789">
        <v>0</v>
      </c>
      <c r="R789">
        <v>0</v>
      </c>
      <c r="S789">
        <v>4</v>
      </c>
      <c r="T789">
        <v>4</v>
      </c>
    </row>
    <row r="790" spans="1:20" x14ac:dyDescent="0.35">
      <c r="A790">
        <v>789</v>
      </c>
      <c r="B790" s="1">
        <v>40579</v>
      </c>
      <c r="C790">
        <v>1</v>
      </c>
      <c r="D790">
        <v>0</v>
      </c>
      <c r="E790">
        <v>2</v>
      </c>
      <c r="F790" t="str">
        <f>IF(final_data787[[#This Row],[MONTH_CODE]]=1,"JANUARY",IF(final_data787[[#This Row],[MONTH_CODE]]=2,"FEBRUARY"))</f>
        <v>FEBRUARY</v>
      </c>
      <c r="G790">
        <v>7</v>
      </c>
      <c r="H790">
        <v>0</v>
      </c>
      <c r="I790">
        <v>6</v>
      </c>
      <c r="J7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0" t="str">
        <f>IF(final_data787[[#This Row],[DAY_CODE]]=0,"weekend",IF(final_data787[[#This Row],[DAY_CODE]]=1,"weekend","weekday"))</f>
        <v>weekday</v>
      </c>
      <c r="L790">
        <v>3</v>
      </c>
      <c r="M790" t="str">
        <f>IF(final_data787[[#This Row],[WEATHER_CODE]]=1,"clear",IF(final_data787[[#This Row],[WEATHER_CODE]]=2,"cloudy",IF(final_data787[[#This Row],[WEATHER_CODE]]=3,"light rain",IF(final_data787[[#This Row],[WEATHER_CODE]]=4,"heavy rain",0))))</f>
        <v>light rain</v>
      </c>
      <c r="N790">
        <v>0.22</v>
      </c>
      <c r="O790">
        <v>0.2576</v>
      </c>
      <c r="P790">
        <v>0.93</v>
      </c>
      <c r="Q790">
        <v>8.9599999999999999E-2</v>
      </c>
      <c r="R790">
        <v>0</v>
      </c>
      <c r="S790">
        <v>4</v>
      </c>
      <c r="T790">
        <v>4</v>
      </c>
    </row>
    <row r="791" spans="1:20" x14ac:dyDescent="0.35">
      <c r="A791">
        <v>790</v>
      </c>
      <c r="B791" s="1">
        <v>40579</v>
      </c>
      <c r="C791">
        <v>1</v>
      </c>
      <c r="D791">
        <v>0</v>
      </c>
      <c r="E791">
        <v>2</v>
      </c>
      <c r="F791" t="str">
        <f>IF(final_data787[[#This Row],[MONTH_CODE]]=1,"JANUARY",IF(final_data787[[#This Row],[MONTH_CODE]]=2,"FEBRUARY"))</f>
        <v>FEBRUARY</v>
      </c>
      <c r="G791">
        <v>8</v>
      </c>
      <c r="H791">
        <v>0</v>
      </c>
      <c r="I791">
        <v>6</v>
      </c>
      <c r="J7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1" t="str">
        <f>IF(final_data787[[#This Row],[DAY_CODE]]=0,"weekend",IF(final_data787[[#This Row],[DAY_CODE]]=1,"weekend","weekday"))</f>
        <v>weekday</v>
      </c>
      <c r="L791">
        <v>3</v>
      </c>
      <c r="M791" t="str">
        <f>IF(final_data787[[#This Row],[WEATHER_CODE]]=1,"clear",IF(final_data787[[#This Row],[WEATHER_CODE]]=2,"cloudy",IF(final_data787[[#This Row],[WEATHER_CODE]]=3,"light rain",IF(final_data787[[#This Row],[WEATHER_CODE]]=4,"heavy rain",0))))</f>
        <v>light rain</v>
      </c>
      <c r="N791">
        <v>0.2</v>
      </c>
      <c r="O791">
        <v>0.2273</v>
      </c>
      <c r="P791">
        <v>1</v>
      </c>
      <c r="Q791">
        <v>8.9599999999999999E-2</v>
      </c>
      <c r="R791">
        <v>0</v>
      </c>
      <c r="S791">
        <v>10</v>
      </c>
      <c r="T791">
        <v>10</v>
      </c>
    </row>
    <row r="792" spans="1:20" x14ac:dyDescent="0.35">
      <c r="A792">
        <v>791</v>
      </c>
      <c r="B792" s="1">
        <v>40579</v>
      </c>
      <c r="C792">
        <v>1</v>
      </c>
      <c r="D792">
        <v>0</v>
      </c>
      <c r="E792">
        <v>2</v>
      </c>
      <c r="F792" t="str">
        <f>IF(final_data787[[#This Row],[MONTH_CODE]]=1,"JANUARY",IF(final_data787[[#This Row],[MONTH_CODE]]=2,"FEBRUARY"))</f>
        <v>FEBRUARY</v>
      </c>
      <c r="G792">
        <v>9</v>
      </c>
      <c r="H792">
        <v>0</v>
      </c>
      <c r="I792">
        <v>6</v>
      </c>
      <c r="J7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2" t="str">
        <f>IF(final_data787[[#This Row],[DAY_CODE]]=0,"weekend",IF(final_data787[[#This Row],[DAY_CODE]]=1,"weekend","weekday"))</f>
        <v>weekday</v>
      </c>
      <c r="L792">
        <v>3</v>
      </c>
      <c r="M792" t="str">
        <f>IF(final_data787[[#This Row],[WEATHER_CODE]]=1,"clear",IF(final_data787[[#This Row],[WEATHER_CODE]]=2,"cloudy",IF(final_data787[[#This Row],[WEATHER_CODE]]=3,"light rain",IF(final_data787[[#This Row],[WEATHER_CODE]]=4,"heavy rain",0))))</f>
        <v>light rain</v>
      </c>
      <c r="N792">
        <v>0.2</v>
      </c>
      <c r="O792">
        <v>0.2273</v>
      </c>
      <c r="P792">
        <v>1</v>
      </c>
      <c r="Q792">
        <v>8.9599999999999999E-2</v>
      </c>
      <c r="R792">
        <v>3</v>
      </c>
      <c r="S792">
        <v>17</v>
      </c>
      <c r="T792">
        <v>20</v>
      </c>
    </row>
    <row r="793" spans="1:20" x14ac:dyDescent="0.35">
      <c r="A793">
        <v>792</v>
      </c>
      <c r="B793" s="1">
        <v>40579</v>
      </c>
      <c r="C793">
        <v>1</v>
      </c>
      <c r="D793">
        <v>0</v>
      </c>
      <c r="E793">
        <v>2</v>
      </c>
      <c r="F793" t="str">
        <f>IF(final_data787[[#This Row],[MONTH_CODE]]=1,"JANUARY",IF(final_data787[[#This Row],[MONTH_CODE]]=2,"FEBRUARY"))</f>
        <v>FEBRUARY</v>
      </c>
      <c r="G793">
        <v>10</v>
      </c>
      <c r="H793">
        <v>0</v>
      </c>
      <c r="I793">
        <v>6</v>
      </c>
      <c r="J7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3" t="str">
        <f>IF(final_data787[[#This Row],[DAY_CODE]]=0,"weekend",IF(final_data787[[#This Row],[DAY_CODE]]=1,"weekend","weekday"))</f>
        <v>weekday</v>
      </c>
      <c r="L793">
        <v>3</v>
      </c>
      <c r="M793" t="str">
        <f>IF(final_data787[[#This Row],[WEATHER_CODE]]=1,"clear",IF(final_data787[[#This Row],[WEATHER_CODE]]=2,"cloudy",IF(final_data787[[#This Row],[WEATHER_CODE]]=3,"light rain",IF(final_data787[[#This Row],[WEATHER_CODE]]=4,"heavy rain",0))))</f>
        <v>light rain</v>
      </c>
      <c r="N793">
        <v>0.2</v>
      </c>
      <c r="O793">
        <v>0.21210000000000001</v>
      </c>
      <c r="P793">
        <v>1</v>
      </c>
      <c r="Q793">
        <v>0.1343</v>
      </c>
      <c r="R793">
        <v>3</v>
      </c>
      <c r="S793">
        <v>31</v>
      </c>
      <c r="T793">
        <v>34</v>
      </c>
    </row>
    <row r="794" spans="1:20" x14ac:dyDescent="0.35">
      <c r="A794">
        <v>793</v>
      </c>
      <c r="B794" s="1">
        <v>40579</v>
      </c>
      <c r="C794">
        <v>1</v>
      </c>
      <c r="D794">
        <v>0</v>
      </c>
      <c r="E794">
        <v>2</v>
      </c>
      <c r="F794" t="str">
        <f>IF(final_data787[[#This Row],[MONTH_CODE]]=1,"JANUARY",IF(final_data787[[#This Row],[MONTH_CODE]]=2,"FEBRUARY"))</f>
        <v>FEBRUARY</v>
      </c>
      <c r="G794">
        <v>11</v>
      </c>
      <c r="H794">
        <v>0</v>
      </c>
      <c r="I794">
        <v>6</v>
      </c>
      <c r="J7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4" t="str">
        <f>IF(final_data787[[#This Row],[DAY_CODE]]=0,"weekend",IF(final_data787[[#This Row],[DAY_CODE]]=1,"weekend","weekday"))</f>
        <v>weekday</v>
      </c>
      <c r="L794">
        <v>3</v>
      </c>
      <c r="M794" t="str">
        <f>IF(final_data787[[#This Row],[WEATHER_CODE]]=1,"clear",IF(final_data787[[#This Row],[WEATHER_CODE]]=2,"cloudy",IF(final_data787[[#This Row],[WEATHER_CODE]]=3,"light rain",IF(final_data787[[#This Row],[WEATHER_CODE]]=4,"heavy rain",0))))</f>
        <v>light rain</v>
      </c>
      <c r="N794">
        <v>0.22</v>
      </c>
      <c r="O794">
        <v>0.2273</v>
      </c>
      <c r="P794">
        <v>1</v>
      </c>
      <c r="Q794">
        <v>0.1343</v>
      </c>
      <c r="R794">
        <v>1</v>
      </c>
      <c r="S794">
        <v>46</v>
      </c>
      <c r="T794">
        <v>47</v>
      </c>
    </row>
    <row r="795" spans="1:20" x14ac:dyDescent="0.35">
      <c r="A795">
        <v>794</v>
      </c>
      <c r="B795" s="1">
        <v>40579</v>
      </c>
      <c r="C795">
        <v>1</v>
      </c>
      <c r="D795">
        <v>0</v>
      </c>
      <c r="E795">
        <v>2</v>
      </c>
      <c r="F795" t="str">
        <f>IF(final_data787[[#This Row],[MONTH_CODE]]=1,"JANUARY",IF(final_data787[[#This Row],[MONTH_CODE]]=2,"FEBRUARY"))</f>
        <v>FEBRUARY</v>
      </c>
      <c r="G795">
        <v>12</v>
      </c>
      <c r="H795">
        <v>0</v>
      </c>
      <c r="I795">
        <v>6</v>
      </c>
      <c r="J7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5" t="str">
        <f>IF(final_data787[[#This Row],[DAY_CODE]]=0,"weekend",IF(final_data787[[#This Row],[DAY_CODE]]=1,"weekend","weekday"))</f>
        <v>weekday</v>
      </c>
      <c r="L795">
        <v>3</v>
      </c>
      <c r="M795" t="str">
        <f>IF(final_data787[[#This Row],[WEATHER_CODE]]=1,"clear",IF(final_data787[[#This Row],[WEATHER_CODE]]=2,"cloudy",IF(final_data787[[#This Row],[WEATHER_CODE]]=3,"light rain",IF(final_data787[[#This Row],[WEATHER_CODE]]=4,"heavy rain",0))))</f>
        <v>light rain</v>
      </c>
      <c r="N795">
        <v>0.22</v>
      </c>
      <c r="O795">
        <v>0.2273</v>
      </c>
      <c r="P795">
        <v>1</v>
      </c>
      <c r="Q795">
        <v>0.16420000000000001</v>
      </c>
      <c r="R795">
        <v>10</v>
      </c>
      <c r="S795">
        <v>42</v>
      </c>
      <c r="T795">
        <v>52</v>
      </c>
    </row>
    <row r="796" spans="1:20" x14ac:dyDescent="0.35">
      <c r="A796">
        <v>795</v>
      </c>
      <c r="B796" s="1">
        <v>40579</v>
      </c>
      <c r="C796">
        <v>1</v>
      </c>
      <c r="D796">
        <v>0</v>
      </c>
      <c r="E796">
        <v>2</v>
      </c>
      <c r="F796" t="str">
        <f>IF(final_data787[[#This Row],[MONTH_CODE]]=1,"JANUARY",IF(final_data787[[#This Row],[MONTH_CODE]]=2,"FEBRUARY"))</f>
        <v>FEBRUARY</v>
      </c>
      <c r="G796">
        <v>13</v>
      </c>
      <c r="H796">
        <v>0</v>
      </c>
      <c r="I796">
        <v>6</v>
      </c>
      <c r="J7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6" t="str">
        <f>IF(final_data787[[#This Row],[DAY_CODE]]=0,"weekend",IF(final_data787[[#This Row],[DAY_CODE]]=1,"weekend","weekday"))</f>
        <v>weekday</v>
      </c>
      <c r="L796">
        <v>3</v>
      </c>
      <c r="M796" t="str">
        <f>IF(final_data787[[#This Row],[WEATHER_CODE]]=1,"clear",IF(final_data787[[#This Row],[WEATHER_CODE]]=2,"cloudy",IF(final_data787[[#This Row],[WEATHER_CODE]]=3,"light rain",IF(final_data787[[#This Row],[WEATHER_CODE]]=4,"heavy rain",0))))</f>
        <v>light rain</v>
      </c>
      <c r="N796">
        <v>0.22</v>
      </c>
      <c r="O796">
        <v>0.2273</v>
      </c>
      <c r="P796">
        <v>1</v>
      </c>
      <c r="Q796">
        <v>0.16420000000000001</v>
      </c>
      <c r="R796">
        <v>10</v>
      </c>
      <c r="S796">
        <v>62</v>
      </c>
      <c r="T796">
        <v>72</v>
      </c>
    </row>
    <row r="797" spans="1:20" x14ac:dyDescent="0.35">
      <c r="A797">
        <v>796</v>
      </c>
      <c r="B797" s="1">
        <v>40579</v>
      </c>
      <c r="C797">
        <v>1</v>
      </c>
      <c r="D797">
        <v>0</v>
      </c>
      <c r="E797">
        <v>2</v>
      </c>
      <c r="F797" t="str">
        <f>IF(final_data787[[#This Row],[MONTH_CODE]]=1,"JANUARY",IF(final_data787[[#This Row],[MONTH_CODE]]=2,"FEBRUARY"))</f>
        <v>FEBRUARY</v>
      </c>
      <c r="G797">
        <v>14</v>
      </c>
      <c r="H797">
        <v>0</v>
      </c>
      <c r="I797">
        <v>6</v>
      </c>
      <c r="J7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7" t="str">
        <f>IF(final_data787[[#This Row],[DAY_CODE]]=0,"weekend",IF(final_data787[[#This Row],[DAY_CODE]]=1,"weekend","weekday"))</f>
        <v>weekday</v>
      </c>
      <c r="L797">
        <v>3</v>
      </c>
      <c r="M797" t="str">
        <f>IF(final_data787[[#This Row],[WEATHER_CODE]]=1,"clear",IF(final_data787[[#This Row],[WEATHER_CODE]]=2,"cloudy",IF(final_data787[[#This Row],[WEATHER_CODE]]=3,"light rain",IF(final_data787[[#This Row],[WEATHER_CODE]]=4,"heavy rain",0))))</f>
        <v>light rain</v>
      </c>
      <c r="N797">
        <v>0.22</v>
      </c>
      <c r="O797">
        <v>0.2727</v>
      </c>
      <c r="P797">
        <v>1</v>
      </c>
      <c r="Q797">
        <v>0</v>
      </c>
      <c r="R797">
        <v>5</v>
      </c>
      <c r="S797">
        <v>50</v>
      </c>
      <c r="T797">
        <v>55</v>
      </c>
    </row>
    <row r="798" spans="1:20" x14ac:dyDescent="0.35">
      <c r="A798">
        <v>797</v>
      </c>
      <c r="B798" s="1">
        <v>40579</v>
      </c>
      <c r="C798">
        <v>1</v>
      </c>
      <c r="D798">
        <v>0</v>
      </c>
      <c r="E798">
        <v>2</v>
      </c>
      <c r="F798" t="str">
        <f>IF(final_data787[[#This Row],[MONTH_CODE]]=1,"JANUARY",IF(final_data787[[#This Row],[MONTH_CODE]]=2,"FEBRUARY"))</f>
        <v>FEBRUARY</v>
      </c>
      <c r="G798">
        <v>15</v>
      </c>
      <c r="H798">
        <v>0</v>
      </c>
      <c r="I798">
        <v>6</v>
      </c>
      <c r="J7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8" t="str">
        <f>IF(final_data787[[#This Row],[DAY_CODE]]=0,"weekend",IF(final_data787[[#This Row],[DAY_CODE]]=1,"weekend","weekday"))</f>
        <v>weekday</v>
      </c>
      <c r="L798">
        <v>3</v>
      </c>
      <c r="M798" t="str">
        <f>IF(final_data787[[#This Row],[WEATHER_CODE]]=1,"clear",IF(final_data787[[#This Row],[WEATHER_CODE]]=2,"cloudy",IF(final_data787[[#This Row],[WEATHER_CODE]]=3,"light rain",IF(final_data787[[#This Row],[WEATHER_CODE]]=4,"heavy rain",0))))</f>
        <v>light rain</v>
      </c>
      <c r="N798">
        <v>0.22</v>
      </c>
      <c r="O798">
        <v>0.2727</v>
      </c>
      <c r="P798">
        <v>1</v>
      </c>
      <c r="Q798">
        <v>0</v>
      </c>
      <c r="R798">
        <v>11</v>
      </c>
      <c r="S798">
        <v>49</v>
      </c>
      <c r="T798">
        <v>60</v>
      </c>
    </row>
    <row r="799" spans="1:20" x14ac:dyDescent="0.35">
      <c r="A799">
        <v>798</v>
      </c>
      <c r="B799" s="1">
        <v>40579</v>
      </c>
      <c r="C799">
        <v>1</v>
      </c>
      <c r="D799">
        <v>0</v>
      </c>
      <c r="E799">
        <v>2</v>
      </c>
      <c r="F799" t="str">
        <f>IF(final_data787[[#This Row],[MONTH_CODE]]=1,"JANUARY",IF(final_data787[[#This Row],[MONTH_CODE]]=2,"FEBRUARY"))</f>
        <v>FEBRUARY</v>
      </c>
      <c r="G799">
        <v>16</v>
      </c>
      <c r="H799">
        <v>0</v>
      </c>
      <c r="I799">
        <v>6</v>
      </c>
      <c r="J7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799" t="str">
        <f>IF(final_data787[[#This Row],[DAY_CODE]]=0,"weekend",IF(final_data787[[#This Row],[DAY_CODE]]=1,"weekend","weekday"))</f>
        <v>weekday</v>
      </c>
      <c r="L799">
        <v>3</v>
      </c>
      <c r="M799" t="str">
        <f>IF(final_data787[[#This Row],[WEATHER_CODE]]=1,"clear",IF(final_data787[[#This Row],[WEATHER_CODE]]=2,"cloudy",IF(final_data787[[#This Row],[WEATHER_CODE]]=3,"light rain",IF(final_data787[[#This Row],[WEATHER_CODE]]=4,"heavy rain",0))))</f>
        <v>light rain</v>
      </c>
      <c r="N799">
        <v>0.22</v>
      </c>
      <c r="O799">
        <v>0.2273</v>
      </c>
      <c r="P799">
        <v>1</v>
      </c>
      <c r="Q799">
        <v>0.1343</v>
      </c>
      <c r="R799">
        <v>8</v>
      </c>
      <c r="S799">
        <v>63</v>
      </c>
      <c r="T799">
        <v>71</v>
      </c>
    </row>
    <row r="800" spans="1:20" x14ac:dyDescent="0.35">
      <c r="A800">
        <v>799</v>
      </c>
      <c r="B800" s="1">
        <v>40579</v>
      </c>
      <c r="C800">
        <v>1</v>
      </c>
      <c r="D800">
        <v>0</v>
      </c>
      <c r="E800">
        <v>2</v>
      </c>
      <c r="F800" t="str">
        <f>IF(final_data787[[#This Row],[MONTH_CODE]]=1,"JANUARY",IF(final_data787[[#This Row],[MONTH_CODE]]=2,"FEBRUARY"))</f>
        <v>FEBRUARY</v>
      </c>
      <c r="G800">
        <v>17</v>
      </c>
      <c r="H800">
        <v>0</v>
      </c>
      <c r="I800">
        <v>6</v>
      </c>
      <c r="J8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0" t="str">
        <f>IF(final_data787[[#This Row],[DAY_CODE]]=0,"weekend",IF(final_data787[[#This Row],[DAY_CODE]]=1,"weekend","weekday"))</f>
        <v>weekday</v>
      </c>
      <c r="L800">
        <v>2</v>
      </c>
      <c r="M800" t="str">
        <f>IF(final_data787[[#This Row],[WEATHER_CODE]]=1,"clear",IF(final_data787[[#This Row],[WEATHER_CODE]]=2,"cloudy",IF(final_data787[[#This Row],[WEATHER_CODE]]=3,"light rain",IF(final_data787[[#This Row],[WEATHER_CODE]]=4,"heavy rain",0))))</f>
        <v>cloudy</v>
      </c>
      <c r="N800">
        <v>0.24</v>
      </c>
      <c r="O800">
        <v>0.21210000000000001</v>
      </c>
      <c r="P800">
        <v>1</v>
      </c>
      <c r="Q800">
        <v>0.28360000000000002</v>
      </c>
      <c r="R800">
        <v>14</v>
      </c>
      <c r="S800">
        <v>64</v>
      </c>
      <c r="T800">
        <v>78</v>
      </c>
    </row>
    <row r="801" spans="1:20" x14ac:dyDescent="0.35">
      <c r="A801">
        <v>800</v>
      </c>
      <c r="B801" s="1">
        <v>40579</v>
      </c>
      <c r="C801">
        <v>1</v>
      </c>
      <c r="D801">
        <v>0</v>
      </c>
      <c r="E801">
        <v>2</v>
      </c>
      <c r="F801" t="str">
        <f>IF(final_data787[[#This Row],[MONTH_CODE]]=1,"JANUARY",IF(final_data787[[#This Row],[MONTH_CODE]]=2,"FEBRUARY"))</f>
        <v>FEBRUARY</v>
      </c>
      <c r="G801">
        <v>18</v>
      </c>
      <c r="H801">
        <v>0</v>
      </c>
      <c r="I801">
        <v>6</v>
      </c>
      <c r="J8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1" t="str">
        <f>IF(final_data787[[#This Row],[DAY_CODE]]=0,"weekend",IF(final_data787[[#This Row],[DAY_CODE]]=1,"weekend","weekday"))</f>
        <v>weekday</v>
      </c>
      <c r="L801">
        <v>2</v>
      </c>
      <c r="M801" t="str">
        <f>IF(final_data787[[#This Row],[WEATHER_CODE]]=1,"clear",IF(final_data787[[#This Row],[WEATHER_CODE]]=2,"cloudy",IF(final_data787[[#This Row],[WEATHER_CODE]]=3,"light rain",IF(final_data787[[#This Row],[WEATHER_CODE]]=4,"heavy rain",0))))</f>
        <v>cloudy</v>
      </c>
      <c r="N801">
        <v>0.28000000000000003</v>
      </c>
      <c r="O801">
        <v>0.2424</v>
      </c>
      <c r="P801">
        <v>0.93</v>
      </c>
      <c r="Q801">
        <v>0.44779999999999998</v>
      </c>
      <c r="R801">
        <v>2</v>
      </c>
      <c r="S801">
        <v>81</v>
      </c>
      <c r="T801">
        <v>83</v>
      </c>
    </row>
    <row r="802" spans="1:20" x14ac:dyDescent="0.35">
      <c r="A802">
        <v>801</v>
      </c>
      <c r="B802" s="1">
        <v>40579</v>
      </c>
      <c r="C802">
        <v>1</v>
      </c>
      <c r="D802">
        <v>0</v>
      </c>
      <c r="E802">
        <v>2</v>
      </c>
      <c r="F802" t="str">
        <f>IF(final_data787[[#This Row],[MONTH_CODE]]=1,"JANUARY",IF(final_data787[[#This Row],[MONTH_CODE]]=2,"FEBRUARY"))</f>
        <v>FEBRUARY</v>
      </c>
      <c r="G802">
        <v>19</v>
      </c>
      <c r="H802">
        <v>0</v>
      </c>
      <c r="I802">
        <v>6</v>
      </c>
      <c r="J8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2" t="str">
        <f>IF(final_data787[[#This Row],[DAY_CODE]]=0,"weekend",IF(final_data787[[#This Row],[DAY_CODE]]=1,"weekend","weekday"))</f>
        <v>weekday</v>
      </c>
      <c r="L802">
        <v>2</v>
      </c>
      <c r="M802" t="str">
        <f>IF(final_data787[[#This Row],[WEATHER_CODE]]=1,"clear",IF(final_data787[[#This Row],[WEATHER_CODE]]=2,"cloudy",IF(final_data787[[#This Row],[WEATHER_CODE]]=3,"light rain",IF(final_data787[[#This Row],[WEATHER_CODE]]=4,"heavy rain",0))))</f>
        <v>cloudy</v>
      </c>
      <c r="N802">
        <v>0.28000000000000003</v>
      </c>
      <c r="O802">
        <v>0.2424</v>
      </c>
      <c r="P802">
        <v>0.93</v>
      </c>
      <c r="Q802">
        <v>0.44779999999999998</v>
      </c>
      <c r="R802">
        <v>6</v>
      </c>
      <c r="S802">
        <v>78</v>
      </c>
      <c r="T802">
        <v>84</v>
      </c>
    </row>
    <row r="803" spans="1:20" x14ac:dyDescent="0.35">
      <c r="A803">
        <v>802</v>
      </c>
      <c r="B803" s="1">
        <v>40579</v>
      </c>
      <c r="C803">
        <v>1</v>
      </c>
      <c r="D803">
        <v>0</v>
      </c>
      <c r="E803">
        <v>2</v>
      </c>
      <c r="F803" t="str">
        <f>IF(final_data787[[#This Row],[MONTH_CODE]]=1,"JANUARY",IF(final_data787[[#This Row],[MONTH_CODE]]=2,"FEBRUARY"))</f>
        <v>FEBRUARY</v>
      </c>
      <c r="G803">
        <v>20</v>
      </c>
      <c r="H803">
        <v>0</v>
      </c>
      <c r="I803">
        <v>6</v>
      </c>
      <c r="J8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3" t="str">
        <f>IF(final_data787[[#This Row],[DAY_CODE]]=0,"weekend",IF(final_data787[[#This Row],[DAY_CODE]]=1,"weekend","weekday"))</f>
        <v>weekday</v>
      </c>
      <c r="L803">
        <v>1</v>
      </c>
      <c r="M803" t="str">
        <f>IF(final_data787[[#This Row],[WEATHER_CODE]]=1,"clear",IF(final_data787[[#This Row],[WEATHER_CODE]]=2,"cloudy",IF(final_data787[[#This Row],[WEATHER_CODE]]=3,"light rain",IF(final_data787[[#This Row],[WEATHER_CODE]]=4,"heavy rain",0))))</f>
        <v>clear</v>
      </c>
      <c r="N803">
        <v>0.3</v>
      </c>
      <c r="O803">
        <v>0.28789999999999999</v>
      </c>
      <c r="P803">
        <v>0.87</v>
      </c>
      <c r="Q803">
        <v>0.25369999999999998</v>
      </c>
      <c r="R803">
        <v>5</v>
      </c>
      <c r="S803">
        <v>64</v>
      </c>
      <c r="T803">
        <v>69</v>
      </c>
    </row>
    <row r="804" spans="1:20" x14ac:dyDescent="0.35">
      <c r="A804">
        <v>803</v>
      </c>
      <c r="B804" s="1">
        <v>40579</v>
      </c>
      <c r="C804">
        <v>1</v>
      </c>
      <c r="D804">
        <v>0</v>
      </c>
      <c r="E804">
        <v>2</v>
      </c>
      <c r="F804" t="str">
        <f>IF(final_data787[[#This Row],[MONTH_CODE]]=1,"JANUARY",IF(final_data787[[#This Row],[MONTH_CODE]]=2,"FEBRUARY"))</f>
        <v>FEBRUARY</v>
      </c>
      <c r="G804">
        <v>21</v>
      </c>
      <c r="H804">
        <v>0</v>
      </c>
      <c r="I804">
        <v>6</v>
      </c>
      <c r="J8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4" t="str">
        <f>IF(final_data787[[#This Row],[DAY_CODE]]=0,"weekend",IF(final_data787[[#This Row],[DAY_CODE]]=1,"weekend","weekday"))</f>
        <v>weekday</v>
      </c>
      <c r="L804">
        <v>1</v>
      </c>
      <c r="M804" t="str">
        <f>IF(final_data787[[#This Row],[WEATHER_CODE]]=1,"clear",IF(final_data787[[#This Row],[WEATHER_CODE]]=2,"cloudy",IF(final_data787[[#This Row],[WEATHER_CODE]]=3,"light rain",IF(final_data787[[#This Row],[WEATHER_CODE]]=4,"heavy rain",0))))</f>
        <v>clear</v>
      </c>
      <c r="N804">
        <v>0.26</v>
      </c>
      <c r="O804">
        <v>0.2576</v>
      </c>
      <c r="P804">
        <v>1</v>
      </c>
      <c r="Q804">
        <v>0.19400000000000001</v>
      </c>
      <c r="R804">
        <v>3</v>
      </c>
      <c r="S804">
        <v>53</v>
      </c>
      <c r="T804">
        <v>56</v>
      </c>
    </row>
    <row r="805" spans="1:20" x14ac:dyDescent="0.35">
      <c r="A805">
        <v>804</v>
      </c>
      <c r="B805" s="1">
        <v>40579</v>
      </c>
      <c r="C805">
        <v>1</v>
      </c>
      <c r="D805">
        <v>0</v>
      </c>
      <c r="E805">
        <v>2</v>
      </c>
      <c r="F805" t="str">
        <f>IF(final_data787[[#This Row],[MONTH_CODE]]=1,"JANUARY",IF(final_data787[[#This Row],[MONTH_CODE]]=2,"FEBRUARY"))</f>
        <v>FEBRUARY</v>
      </c>
      <c r="G805">
        <v>22</v>
      </c>
      <c r="H805">
        <v>0</v>
      </c>
      <c r="I805">
        <v>6</v>
      </c>
      <c r="J8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5" t="str">
        <f>IF(final_data787[[#This Row],[DAY_CODE]]=0,"weekend",IF(final_data787[[#This Row],[DAY_CODE]]=1,"weekend","weekday"))</f>
        <v>weekday</v>
      </c>
      <c r="L805">
        <v>1</v>
      </c>
      <c r="M805" t="str">
        <f>IF(final_data787[[#This Row],[WEATHER_CODE]]=1,"clear",IF(final_data787[[#This Row],[WEATHER_CODE]]=2,"cloudy",IF(final_data787[[#This Row],[WEATHER_CODE]]=3,"light rain",IF(final_data787[[#This Row],[WEATHER_CODE]]=4,"heavy rain",0))))</f>
        <v>clear</v>
      </c>
      <c r="N805">
        <v>0.26</v>
      </c>
      <c r="O805">
        <v>0.2727</v>
      </c>
      <c r="P805">
        <v>0.93</v>
      </c>
      <c r="Q805">
        <v>0.1343</v>
      </c>
      <c r="R805">
        <v>2</v>
      </c>
      <c r="S805">
        <v>43</v>
      </c>
      <c r="T805">
        <v>45</v>
      </c>
    </row>
    <row r="806" spans="1:20" x14ac:dyDescent="0.35">
      <c r="A806">
        <v>805</v>
      </c>
      <c r="B806" s="1">
        <v>40579</v>
      </c>
      <c r="C806">
        <v>1</v>
      </c>
      <c r="D806">
        <v>0</v>
      </c>
      <c r="E806">
        <v>2</v>
      </c>
      <c r="F806" t="str">
        <f>IF(final_data787[[#This Row],[MONTH_CODE]]=1,"JANUARY",IF(final_data787[[#This Row],[MONTH_CODE]]=2,"FEBRUARY"))</f>
        <v>FEBRUARY</v>
      </c>
      <c r="G806">
        <v>23</v>
      </c>
      <c r="H806">
        <v>0</v>
      </c>
      <c r="I806">
        <v>6</v>
      </c>
      <c r="J8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806" t="str">
        <f>IF(final_data787[[#This Row],[DAY_CODE]]=0,"weekend",IF(final_data787[[#This Row],[DAY_CODE]]=1,"weekend","weekday"))</f>
        <v>weekday</v>
      </c>
      <c r="L806">
        <v>1</v>
      </c>
      <c r="M806" t="str">
        <f>IF(final_data787[[#This Row],[WEATHER_CODE]]=1,"clear",IF(final_data787[[#This Row],[WEATHER_CODE]]=2,"cloudy",IF(final_data787[[#This Row],[WEATHER_CODE]]=3,"light rain",IF(final_data787[[#This Row],[WEATHER_CODE]]=4,"heavy rain",0))))</f>
        <v>clear</v>
      </c>
      <c r="N806">
        <v>0.26</v>
      </c>
      <c r="O806">
        <v>0.2576</v>
      </c>
      <c r="P806">
        <v>0.93</v>
      </c>
      <c r="Q806">
        <v>0.22389999999999999</v>
      </c>
      <c r="R806">
        <v>7</v>
      </c>
      <c r="S806">
        <v>52</v>
      </c>
      <c r="T806">
        <v>59</v>
      </c>
    </row>
    <row r="807" spans="1:20" x14ac:dyDescent="0.35">
      <c r="A807">
        <v>806</v>
      </c>
      <c r="B807" s="1">
        <v>40580</v>
      </c>
      <c r="C807">
        <v>1</v>
      </c>
      <c r="D807">
        <v>0</v>
      </c>
      <c r="E807">
        <v>2</v>
      </c>
      <c r="F807" t="str">
        <f>IF(final_data787[[#This Row],[MONTH_CODE]]=1,"JANUARY",IF(final_data787[[#This Row],[MONTH_CODE]]=2,"FEBRUARY"))</f>
        <v>FEBRUARY</v>
      </c>
      <c r="G807">
        <v>0</v>
      </c>
      <c r="H807">
        <v>0</v>
      </c>
      <c r="I807">
        <v>0</v>
      </c>
      <c r="J8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07" t="str">
        <f>IF(final_data787[[#This Row],[DAY_CODE]]=0,"weekend",IF(final_data787[[#This Row],[DAY_CODE]]=1,"weekend","weekday"))</f>
        <v>weekend</v>
      </c>
      <c r="L807">
        <v>1</v>
      </c>
      <c r="M807" t="str">
        <f>IF(final_data787[[#This Row],[WEATHER_CODE]]=1,"clear",IF(final_data787[[#This Row],[WEATHER_CODE]]=2,"cloudy",IF(final_data787[[#This Row],[WEATHER_CODE]]=3,"light rain",IF(final_data787[[#This Row],[WEATHER_CODE]]=4,"heavy rain",0))))</f>
        <v>clear</v>
      </c>
      <c r="N807">
        <v>0.26</v>
      </c>
      <c r="O807">
        <v>0.2576</v>
      </c>
      <c r="P807">
        <v>0.7</v>
      </c>
      <c r="Q807">
        <v>0.19400000000000001</v>
      </c>
      <c r="R807">
        <v>2</v>
      </c>
      <c r="S807">
        <v>37</v>
      </c>
      <c r="T807">
        <v>39</v>
      </c>
    </row>
    <row r="808" spans="1:20" x14ac:dyDescent="0.35">
      <c r="A808">
        <v>807</v>
      </c>
      <c r="B808" s="1">
        <v>40580</v>
      </c>
      <c r="C808">
        <v>1</v>
      </c>
      <c r="D808">
        <v>0</v>
      </c>
      <c r="E808">
        <v>2</v>
      </c>
      <c r="F808" t="str">
        <f>IF(final_data787[[#This Row],[MONTH_CODE]]=1,"JANUARY",IF(final_data787[[#This Row],[MONTH_CODE]]=2,"FEBRUARY"))</f>
        <v>FEBRUARY</v>
      </c>
      <c r="G808">
        <v>1</v>
      </c>
      <c r="H808">
        <v>0</v>
      </c>
      <c r="I808">
        <v>0</v>
      </c>
      <c r="J8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08" t="str">
        <f>IF(final_data787[[#This Row],[DAY_CODE]]=0,"weekend",IF(final_data787[[#This Row],[DAY_CODE]]=1,"weekend","weekday"))</f>
        <v>weekend</v>
      </c>
      <c r="L808">
        <v>1</v>
      </c>
      <c r="M808" t="str">
        <f>IF(final_data787[[#This Row],[WEATHER_CODE]]=1,"clear",IF(final_data787[[#This Row],[WEATHER_CODE]]=2,"cloudy",IF(final_data787[[#This Row],[WEATHER_CODE]]=3,"light rain",IF(final_data787[[#This Row],[WEATHER_CODE]]=4,"heavy rain",0))))</f>
        <v>clear</v>
      </c>
      <c r="N808">
        <v>0.26</v>
      </c>
      <c r="O808">
        <v>0.2273</v>
      </c>
      <c r="P808">
        <v>0.65</v>
      </c>
      <c r="Q808">
        <v>0.41789999999999999</v>
      </c>
      <c r="R808">
        <v>4</v>
      </c>
      <c r="S808">
        <v>40</v>
      </c>
      <c r="T808">
        <v>44</v>
      </c>
    </row>
    <row r="809" spans="1:20" x14ac:dyDescent="0.35">
      <c r="A809">
        <v>808</v>
      </c>
      <c r="B809" s="1">
        <v>40580</v>
      </c>
      <c r="C809">
        <v>1</v>
      </c>
      <c r="D809">
        <v>0</v>
      </c>
      <c r="E809">
        <v>2</v>
      </c>
      <c r="F809" t="str">
        <f>IF(final_data787[[#This Row],[MONTH_CODE]]=1,"JANUARY",IF(final_data787[[#This Row],[MONTH_CODE]]=2,"FEBRUARY"))</f>
        <v>FEBRUARY</v>
      </c>
      <c r="G809">
        <v>2</v>
      </c>
      <c r="H809">
        <v>0</v>
      </c>
      <c r="I809">
        <v>0</v>
      </c>
      <c r="J8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09" t="str">
        <f>IF(final_data787[[#This Row],[DAY_CODE]]=0,"weekend",IF(final_data787[[#This Row],[DAY_CODE]]=1,"weekend","weekday"))</f>
        <v>weekend</v>
      </c>
      <c r="L809">
        <v>1</v>
      </c>
      <c r="M809" t="str">
        <f>IF(final_data787[[#This Row],[WEATHER_CODE]]=1,"clear",IF(final_data787[[#This Row],[WEATHER_CODE]]=2,"cloudy",IF(final_data787[[#This Row],[WEATHER_CODE]]=3,"light rain",IF(final_data787[[#This Row],[WEATHER_CODE]]=4,"heavy rain",0))))</f>
        <v>clear</v>
      </c>
      <c r="N809">
        <v>0.26</v>
      </c>
      <c r="O809">
        <v>0.2273</v>
      </c>
      <c r="P809">
        <v>0.6</v>
      </c>
      <c r="Q809">
        <v>0.32840000000000003</v>
      </c>
      <c r="R809">
        <v>0</v>
      </c>
      <c r="S809">
        <v>20</v>
      </c>
      <c r="T809">
        <v>20</v>
      </c>
    </row>
    <row r="810" spans="1:20" x14ac:dyDescent="0.35">
      <c r="A810">
        <v>809</v>
      </c>
      <c r="B810" s="1">
        <v>40580</v>
      </c>
      <c r="C810">
        <v>1</v>
      </c>
      <c r="D810">
        <v>0</v>
      </c>
      <c r="E810">
        <v>2</v>
      </c>
      <c r="F810" t="str">
        <f>IF(final_data787[[#This Row],[MONTH_CODE]]=1,"JANUARY",IF(final_data787[[#This Row],[MONTH_CODE]]=2,"FEBRUARY"))</f>
        <v>FEBRUARY</v>
      </c>
      <c r="G810">
        <v>3</v>
      </c>
      <c r="H810">
        <v>0</v>
      </c>
      <c r="I810">
        <v>0</v>
      </c>
      <c r="J8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0" t="str">
        <f>IF(final_data787[[#This Row],[DAY_CODE]]=0,"weekend",IF(final_data787[[#This Row],[DAY_CODE]]=1,"weekend","weekday"))</f>
        <v>weekend</v>
      </c>
      <c r="L810">
        <v>1</v>
      </c>
      <c r="M810" t="str">
        <f>IF(final_data787[[#This Row],[WEATHER_CODE]]=1,"clear",IF(final_data787[[#This Row],[WEATHER_CODE]]=2,"cloudy",IF(final_data787[[#This Row],[WEATHER_CODE]]=3,"light rain",IF(final_data787[[#This Row],[WEATHER_CODE]]=4,"heavy rain",0))))</f>
        <v>clear</v>
      </c>
      <c r="N810">
        <v>0.26</v>
      </c>
      <c r="O810">
        <v>0.28789999999999999</v>
      </c>
      <c r="P810">
        <v>0.6</v>
      </c>
      <c r="Q810">
        <v>8.9599999999999999E-2</v>
      </c>
      <c r="R810">
        <v>3</v>
      </c>
      <c r="S810">
        <v>10</v>
      </c>
      <c r="T810">
        <v>13</v>
      </c>
    </row>
    <row r="811" spans="1:20" x14ac:dyDescent="0.35">
      <c r="A811">
        <v>810</v>
      </c>
      <c r="B811" s="1">
        <v>40580</v>
      </c>
      <c r="C811">
        <v>1</v>
      </c>
      <c r="D811">
        <v>0</v>
      </c>
      <c r="E811">
        <v>2</v>
      </c>
      <c r="F811" t="str">
        <f>IF(final_data787[[#This Row],[MONTH_CODE]]=1,"JANUARY",IF(final_data787[[#This Row],[MONTH_CODE]]=2,"FEBRUARY"))</f>
        <v>FEBRUARY</v>
      </c>
      <c r="G811">
        <v>4</v>
      </c>
      <c r="H811">
        <v>0</v>
      </c>
      <c r="I811">
        <v>0</v>
      </c>
      <c r="J8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1" t="str">
        <f>IF(final_data787[[#This Row],[DAY_CODE]]=0,"weekend",IF(final_data787[[#This Row],[DAY_CODE]]=1,"weekend","weekday"))</f>
        <v>weekend</v>
      </c>
      <c r="L811">
        <v>1</v>
      </c>
      <c r="M811" t="str">
        <f>IF(final_data787[[#This Row],[WEATHER_CODE]]=1,"clear",IF(final_data787[[#This Row],[WEATHER_CODE]]=2,"cloudy",IF(final_data787[[#This Row],[WEATHER_CODE]]=3,"light rain",IF(final_data787[[#This Row],[WEATHER_CODE]]=4,"heavy rain",0))))</f>
        <v>clear</v>
      </c>
      <c r="N811">
        <v>0.26</v>
      </c>
      <c r="O811">
        <v>0.2273</v>
      </c>
      <c r="P811">
        <v>0.6</v>
      </c>
      <c r="Q811">
        <v>0.35820000000000002</v>
      </c>
      <c r="R811">
        <v>0</v>
      </c>
      <c r="S811">
        <v>2</v>
      </c>
      <c r="T811">
        <v>2</v>
      </c>
    </row>
    <row r="812" spans="1:20" x14ac:dyDescent="0.35">
      <c r="A812">
        <v>811</v>
      </c>
      <c r="B812" s="1">
        <v>40580</v>
      </c>
      <c r="C812">
        <v>1</v>
      </c>
      <c r="D812">
        <v>0</v>
      </c>
      <c r="E812">
        <v>2</v>
      </c>
      <c r="F812" t="str">
        <f>IF(final_data787[[#This Row],[MONTH_CODE]]=1,"JANUARY",IF(final_data787[[#This Row],[MONTH_CODE]]=2,"FEBRUARY"))</f>
        <v>FEBRUARY</v>
      </c>
      <c r="G812">
        <v>5</v>
      </c>
      <c r="H812">
        <v>0</v>
      </c>
      <c r="I812">
        <v>0</v>
      </c>
      <c r="J8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2" t="str">
        <f>IF(final_data787[[#This Row],[DAY_CODE]]=0,"weekend",IF(final_data787[[#This Row],[DAY_CODE]]=1,"weekend","weekday"))</f>
        <v>weekend</v>
      </c>
      <c r="L812">
        <v>1</v>
      </c>
      <c r="M812" t="str">
        <f>IF(final_data787[[#This Row],[WEATHER_CODE]]=1,"clear",IF(final_data787[[#This Row],[WEATHER_CODE]]=2,"cloudy",IF(final_data787[[#This Row],[WEATHER_CODE]]=3,"light rain",IF(final_data787[[#This Row],[WEATHER_CODE]]=4,"heavy rain",0))))</f>
        <v>clear</v>
      </c>
      <c r="N812">
        <v>0.26</v>
      </c>
      <c r="O812">
        <v>0.2576</v>
      </c>
      <c r="P812">
        <v>0.6</v>
      </c>
      <c r="Q812">
        <v>0.22389999999999999</v>
      </c>
      <c r="R812">
        <v>0</v>
      </c>
      <c r="S812">
        <v>1</v>
      </c>
      <c r="T812">
        <v>1</v>
      </c>
    </row>
    <row r="813" spans="1:20" x14ac:dyDescent="0.35">
      <c r="A813">
        <v>812</v>
      </c>
      <c r="B813" s="1">
        <v>40580</v>
      </c>
      <c r="C813">
        <v>1</v>
      </c>
      <c r="D813">
        <v>0</v>
      </c>
      <c r="E813">
        <v>2</v>
      </c>
      <c r="F813" t="str">
        <f>IF(final_data787[[#This Row],[MONTH_CODE]]=1,"JANUARY",IF(final_data787[[#This Row],[MONTH_CODE]]=2,"FEBRUARY"))</f>
        <v>FEBRUARY</v>
      </c>
      <c r="G813">
        <v>6</v>
      </c>
      <c r="H813">
        <v>0</v>
      </c>
      <c r="I813">
        <v>0</v>
      </c>
      <c r="J8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3" t="str">
        <f>IF(final_data787[[#This Row],[DAY_CODE]]=0,"weekend",IF(final_data787[[#This Row],[DAY_CODE]]=1,"weekend","weekday"))</f>
        <v>weekend</v>
      </c>
      <c r="L813">
        <v>1</v>
      </c>
      <c r="M813" t="str">
        <f>IF(final_data787[[#This Row],[WEATHER_CODE]]=1,"clear",IF(final_data787[[#This Row],[WEATHER_CODE]]=2,"cloudy",IF(final_data787[[#This Row],[WEATHER_CODE]]=3,"light rain",IF(final_data787[[#This Row],[WEATHER_CODE]]=4,"heavy rain",0))))</f>
        <v>clear</v>
      </c>
      <c r="N813">
        <v>0.26</v>
      </c>
      <c r="O813">
        <v>0.2576</v>
      </c>
      <c r="P813">
        <v>0.6</v>
      </c>
      <c r="Q813">
        <v>0.22389999999999999</v>
      </c>
      <c r="R813">
        <v>0</v>
      </c>
      <c r="S813">
        <v>1</v>
      </c>
      <c r="T813">
        <v>1</v>
      </c>
    </row>
    <row r="814" spans="1:20" x14ac:dyDescent="0.35">
      <c r="A814">
        <v>813</v>
      </c>
      <c r="B814" s="1">
        <v>40580</v>
      </c>
      <c r="C814">
        <v>1</v>
      </c>
      <c r="D814">
        <v>0</v>
      </c>
      <c r="E814">
        <v>2</v>
      </c>
      <c r="F814" t="str">
        <f>IF(final_data787[[#This Row],[MONTH_CODE]]=1,"JANUARY",IF(final_data787[[#This Row],[MONTH_CODE]]=2,"FEBRUARY"))</f>
        <v>FEBRUARY</v>
      </c>
      <c r="G814">
        <v>7</v>
      </c>
      <c r="H814">
        <v>0</v>
      </c>
      <c r="I814">
        <v>0</v>
      </c>
      <c r="J8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4" t="str">
        <f>IF(final_data787[[#This Row],[DAY_CODE]]=0,"weekend",IF(final_data787[[#This Row],[DAY_CODE]]=1,"weekend","weekday"))</f>
        <v>weekend</v>
      </c>
      <c r="L814">
        <v>1</v>
      </c>
      <c r="M814" t="str">
        <f>IF(final_data787[[#This Row],[WEATHER_CODE]]=1,"clear",IF(final_data787[[#This Row],[WEATHER_CODE]]=2,"cloudy",IF(final_data787[[#This Row],[WEATHER_CODE]]=3,"light rain",IF(final_data787[[#This Row],[WEATHER_CODE]]=4,"heavy rain",0))))</f>
        <v>clear</v>
      </c>
      <c r="N814">
        <v>0.24</v>
      </c>
      <c r="O814">
        <v>0.2424</v>
      </c>
      <c r="P814">
        <v>0.65</v>
      </c>
      <c r="Q814">
        <v>0.16420000000000001</v>
      </c>
      <c r="R814">
        <v>0</v>
      </c>
      <c r="S814">
        <v>8</v>
      </c>
      <c r="T814">
        <v>8</v>
      </c>
    </row>
    <row r="815" spans="1:20" x14ac:dyDescent="0.35">
      <c r="A815">
        <v>814</v>
      </c>
      <c r="B815" s="1">
        <v>40580</v>
      </c>
      <c r="C815">
        <v>1</v>
      </c>
      <c r="D815">
        <v>0</v>
      </c>
      <c r="E815">
        <v>2</v>
      </c>
      <c r="F815" t="str">
        <f>IF(final_data787[[#This Row],[MONTH_CODE]]=1,"JANUARY",IF(final_data787[[#This Row],[MONTH_CODE]]=2,"FEBRUARY"))</f>
        <v>FEBRUARY</v>
      </c>
      <c r="G815">
        <v>8</v>
      </c>
      <c r="H815">
        <v>0</v>
      </c>
      <c r="I815">
        <v>0</v>
      </c>
      <c r="J8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5" t="str">
        <f>IF(final_data787[[#This Row],[DAY_CODE]]=0,"weekend",IF(final_data787[[#This Row],[DAY_CODE]]=1,"weekend","weekday"))</f>
        <v>weekend</v>
      </c>
      <c r="L815">
        <v>1</v>
      </c>
      <c r="M815" t="str">
        <f>IF(final_data787[[#This Row],[WEATHER_CODE]]=1,"clear",IF(final_data787[[#This Row],[WEATHER_CODE]]=2,"cloudy",IF(final_data787[[#This Row],[WEATHER_CODE]]=3,"light rain",IF(final_data787[[#This Row],[WEATHER_CODE]]=4,"heavy rain",0))))</f>
        <v>clear</v>
      </c>
      <c r="N815">
        <v>0.24</v>
      </c>
      <c r="O815">
        <v>0.2576</v>
      </c>
      <c r="P815">
        <v>0.65</v>
      </c>
      <c r="Q815">
        <v>0.1045</v>
      </c>
      <c r="R815">
        <v>2</v>
      </c>
      <c r="S815">
        <v>21</v>
      </c>
      <c r="T815">
        <v>23</v>
      </c>
    </row>
    <row r="816" spans="1:20" x14ac:dyDescent="0.35">
      <c r="A816">
        <v>815</v>
      </c>
      <c r="B816" s="1">
        <v>40580</v>
      </c>
      <c r="C816">
        <v>1</v>
      </c>
      <c r="D816">
        <v>0</v>
      </c>
      <c r="E816">
        <v>2</v>
      </c>
      <c r="F816" t="str">
        <f>IF(final_data787[[#This Row],[MONTH_CODE]]=1,"JANUARY",IF(final_data787[[#This Row],[MONTH_CODE]]=2,"FEBRUARY"))</f>
        <v>FEBRUARY</v>
      </c>
      <c r="G816">
        <v>9</v>
      </c>
      <c r="H816">
        <v>0</v>
      </c>
      <c r="I816">
        <v>0</v>
      </c>
      <c r="J8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6" t="str">
        <f>IF(final_data787[[#This Row],[DAY_CODE]]=0,"weekend",IF(final_data787[[#This Row],[DAY_CODE]]=1,"weekend","weekday"))</f>
        <v>weekend</v>
      </c>
      <c r="L816">
        <v>1</v>
      </c>
      <c r="M816" t="str">
        <f>IF(final_data787[[#This Row],[WEATHER_CODE]]=1,"clear",IF(final_data787[[#This Row],[WEATHER_CODE]]=2,"cloudy",IF(final_data787[[#This Row],[WEATHER_CODE]]=3,"light rain",IF(final_data787[[#This Row],[WEATHER_CODE]]=4,"heavy rain",0))))</f>
        <v>clear</v>
      </c>
      <c r="N816">
        <v>0.28000000000000003</v>
      </c>
      <c r="O816">
        <v>0.28789999999999999</v>
      </c>
      <c r="P816">
        <v>0.56000000000000005</v>
      </c>
      <c r="Q816">
        <v>0.1045</v>
      </c>
      <c r="R816">
        <v>7</v>
      </c>
      <c r="S816">
        <v>38</v>
      </c>
      <c r="T816">
        <v>45</v>
      </c>
    </row>
    <row r="817" spans="1:20" x14ac:dyDescent="0.35">
      <c r="A817">
        <v>816</v>
      </c>
      <c r="B817" s="1">
        <v>40580</v>
      </c>
      <c r="C817">
        <v>1</v>
      </c>
      <c r="D817">
        <v>0</v>
      </c>
      <c r="E817">
        <v>2</v>
      </c>
      <c r="F817" t="str">
        <f>IF(final_data787[[#This Row],[MONTH_CODE]]=1,"JANUARY",IF(final_data787[[#This Row],[MONTH_CODE]]=2,"FEBRUARY"))</f>
        <v>FEBRUARY</v>
      </c>
      <c r="G817">
        <v>10</v>
      </c>
      <c r="H817">
        <v>0</v>
      </c>
      <c r="I817">
        <v>0</v>
      </c>
      <c r="J8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7" t="str">
        <f>IF(final_data787[[#This Row],[DAY_CODE]]=0,"weekend",IF(final_data787[[#This Row],[DAY_CODE]]=1,"weekend","weekday"))</f>
        <v>weekend</v>
      </c>
      <c r="L817">
        <v>1</v>
      </c>
      <c r="M817" t="str">
        <f>IF(final_data787[[#This Row],[WEATHER_CODE]]=1,"clear",IF(final_data787[[#This Row],[WEATHER_CODE]]=2,"cloudy",IF(final_data787[[#This Row],[WEATHER_CODE]]=3,"light rain",IF(final_data787[[#This Row],[WEATHER_CODE]]=4,"heavy rain",0))))</f>
        <v>clear</v>
      </c>
      <c r="N817">
        <v>0.3</v>
      </c>
      <c r="O817">
        <v>0.28789999999999999</v>
      </c>
      <c r="P817">
        <v>0.52</v>
      </c>
      <c r="Q817">
        <v>0.25369999999999998</v>
      </c>
      <c r="R817">
        <v>15</v>
      </c>
      <c r="S817">
        <v>74</v>
      </c>
      <c r="T817">
        <v>89</v>
      </c>
    </row>
    <row r="818" spans="1:20" x14ac:dyDescent="0.35">
      <c r="A818">
        <v>817</v>
      </c>
      <c r="B818" s="1">
        <v>40580</v>
      </c>
      <c r="C818">
        <v>1</v>
      </c>
      <c r="D818">
        <v>0</v>
      </c>
      <c r="E818">
        <v>2</v>
      </c>
      <c r="F818" t="str">
        <f>IF(final_data787[[#This Row],[MONTH_CODE]]=1,"JANUARY",IF(final_data787[[#This Row],[MONTH_CODE]]=2,"FEBRUARY"))</f>
        <v>FEBRUARY</v>
      </c>
      <c r="G818">
        <v>11</v>
      </c>
      <c r="H818">
        <v>0</v>
      </c>
      <c r="I818">
        <v>0</v>
      </c>
      <c r="J8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8" t="str">
        <f>IF(final_data787[[#This Row],[DAY_CODE]]=0,"weekend",IF(final_data787[[#This Row],[DAY_CODE]]=1,"weekend","weekday"))</f>
        <v>weekend</v>
      </c>
      <c r="L818">
        <v>1</v>
      </c>
      <c r="M818" t="str">
        <f>IF(final_data787[[#This Row],[WEATHER_CODE]]=1,"clear",IF(final_data787[[#This Row],[WEATHER_CODE]]=2,"cloudy",IF(final_data787[[#This Row],[WEATHER_CODE]]=3,"light rain",IF(final_data787[[#This Row],[WEATHER_CODE]]=4,"heavy rain",0))))</f>
        <v>clear</v>
      </c>
      <c r="N818">
        <v>0.32</v>
      </c>
      <c r="O818">
        <v>0.30299999999999999</v>
      </c>
      <c r="P818">
        <v>0.49</v>
      </c>
      <c r="Q818">
        <v>0.25369999999999998</v>
      </c>
      <c r="R818">
        <v>28</v>
      </c>
      <c r="S818">
        <v>89</v>
      </c>
      <c r="T818">
        <v>117</v>
      </c>
    </row>
    <row r="819" spans="1:20" x14ac:dyDescent="0.35">
      <c r="A819">
        <v>818</v>
      </c>
      <c r="B819" s="1">
        <v>40580</v>
      </c>
      <c r="C819">
        <v>1</v>
      </c>
      <c r="D819">
        <v>0</v>
      </c>
      <c r="E819">
        <v>2</v>
      </c>
      <c r="F819" t="str">
        <f>IF(final_data787[[#This Row],[MONTH_CODE]]=1,"JANUARY",IF(final_data787[[#This Row],[MONTH_CODE]]=2,"FEBRUARY"))</f>
        <v>FEBRUARY</v>
      </c>
      <c r="G819">
        <v>12</v>
      </c>
      <c r="H819">
        <v>0</v>
      </c>
      <c r="I819">
        <v>0</v>
      </c>
      <c r="J8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19" t="str">
        <f>IF(final_data787[[#This Row],[DAY_CODE]]=0,"weekend",IF(final_data787[[#This Row],[DAY_CODE]]=1,"weekend","weekday"))</f>
        <v>weekend</v>
      </c>
      <c r="L819">
        <v>1</v>
      </c>
      <c r="M819" t="str">
        <f>IF(final_data787[[#This Row],[WEATHER_CODE]]=1,"clear",IF(final_data787[[#This Row],[WEATHER_CODE]]=2,"cloudy",IF(final_data787[[#This Row],[WEATHER_CODE]]=3,"light rain",IF(final_data787[[#This Row],[WEATHER_CODE]]=4,"heavy rain",0))))</f>
        <v>clear</v>
      </c>
      <c r="N819">
        <v>0.34</v>
      </c>
      <c r="O819">
        <v>0.33329999999999999</v>
      </c>
      <c r="P819">
        <v>0.46</v>
      </c>
      <c r="Q819">
        <v>0</v>
      </c>
      <c r="R819">
        <v>48</v>
      </c>
      <c r="S819">
        <v>126</v>
      </c>
      <c r="T819">
        <v>174</v>
      </c>
    </row>
    <row r="820" spans="1:20" x14ac:dyDescent="0.35">
      <c r="A820">
        <v>819</v>
      </c>
      <c r="B820" s="1">
        <v>40580</v>
      </c>
      <c r="C820">
        <v>1</v>
      </c>
      <c r="D820">
        <v>0</v>
      </c>
      <c r="E820">
        <v>2</v>
      </c>
      <c r="F820" t="str">
        <f>IF(final_data787[[#This Row],[MONTH_CODE]]=1,"JANUARY",IF(final_data787[[#This Row],[MONTH_CODE]]=2,"FEBRUARY"))</f>
        <v>FEBRUARY</v>
      </c>
      <c r="G820">
        <v>13</v>
      </c>
      <c r="H820">
        <v>0</v>
      </c>
      <c r="I820">
        <v>0</v>
      </c>
      <c r="J8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0" t="str">
        <f>IF(final_data787[[#This Row],[DAY_CODE]]=0,"weekend",IF(final_data787[[#This Row],[DAY_CODE]]=1,"weekend","weekday"))</f>
        <v>weekend</v>
      </c>
      <c r="L820">
        <v>1</v>
      </c>
      <c r="M820" t="str">
        <f>IF(final_data787[[#This Row],[WEATHER_CODE]]=1,"clear",IF(final_data787[[#This Row],[WEATHER_CODE]]=2,"cloudy",IF(final_data787[[#This Row],[WEATHER_CODE]]=3,"light rain",IF(final_data787[[#This Row],[WEATHER_CODE]]=4,"heavy rain",0))))</f>
        <v>clear</v>
      </c>
      <c r="N820">
        <v>0.34</v>
      </c>
      <c r="O820">
        <v>0.36359999999999998</v>
      </c>
      <c r="P820">
        <v>0.46</v>
      </c>
      <c r="Q820">
        <v>0</v>
      </c>
      <c r="R820">
        <v>47</v>
      </c>
      <c r="S820">
        <v>135</v>
      </c>
      <c r="T820">
        <v>182</v>
      </c>
    </row>
    <row r="821" spans="1:20" x14ac:dyDescent="0.35">
      <c r="A821">
        <v>820</v>
      </c>
      <c r="B821" s="1">
        <v>40580</v>
      </c>
      <c r="C821">
        <v>1</v>
      </c>
      <c r="D821">
        <v>0</v>
      </c>
      <c r="E821">
        <v>2</v>
      </c>
      <c r="F821" t="str">
        <f>IF(final_data787[[#This Row],[MONTH_CODE]]=1,"JANUARY",IF(final_data787[[#This Row],[MONTH_CODE]]=2,"FEBRUARY"))</f>
        <v>FEBRUARY</v>
      </c>
      <c r="G821">
        <v>14</v>
      </c>
      <c r="H821">
        <v>0</v>
      </c>
      <c r="I821">
        <v>0</v>
      </c>
      <c r="J8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1" t="str">
        <f>IF(final_data787[[#This Row],[DAY_CODE]]=0,"weekend",IF(final_data787[[#This Row],[DAY_CODE]]=1,"weekend","weekday"))</f>
        <v>weekend</v>
      </c>
      <c r="L821">
        <v>1</v>
      </c>
      <c r="M821" t="str">
        <f>IF(final_data787[[#This Row],[WEATHER_CODE]]=1,"clear",IF(final_data787[[#This Row],[WEATHER_CODE]]=2,"cloudy",IF(final_data787[[#This Row],[WEATHER_CODE]]=3,"light rain",IF(final_data787[[#This Row],[WEATHER_CODE]]=4,"heavy rain",0))))</f>
        <v>clear</v>
      </c>
      <c r="N821">
        <v>0.34</v>
      </c>
      <c r="O821">
        <v>0.34849999999999998</v>
      </c>
      <c r="P821">
        <v>0.46</v>
      </c>
      <c r="Q821">
        <v>8.9599999999999999E-2</v>
      </c>
      <c r="R821">
        <v>47</v>
      </c>
      <c r="S821">
        <v>114</v>
      </c>
      <c r="T821">
        <v>161</v>
      </c>
    </row>
    <row r="822" spans="1:20" x14ac:dyDescent="0.35">
      <c r="A822">
        <v>821</v>
      </c>
      <c r="B822" s="1">
        <v>40580</v>
      </c>
      <c r="C822">
        <v>1</v>
      </c>
      <c r="D822">
        <v>0</v>
      </c>
      <c r="E822">
        <v>2</v>
      </c>
      <c r="F822" t="str">
        <f>IF(final_data787[[#This Row],[MONTH_CODE]]=1,"JANUARY",IF(final_data787[[#This Row],[MONTH_CODE]]=2,"FEBRUARY"))</f>
        <v>FEBRUARY</v>
      </c>
      <c r="G822">
        <v>15</v>
      </c>
      <c r="H822">
        <v>0</v>
      </c>
      <c r="I822">
        <v>0</v>
      </c>
      <c r="J8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2" t="str">
        <f>IF(final_data787[[#This Row],[DAY_CODE]]=0,"weekend",IF(final_data787[[#This Row],[DAY_CODE]]=1,"weekend","weekday"))</f>
        <v>weekend</v>
      </c>
      <c r="L822">
        <v>1</v>
      </c>
      <c r="M822" t="str">
        <f>IF(final_data787[[#This Row],[WEATHER_CODE]]=1,"clear",IF(final_data787[[#This Row],[WEATHER_CODE]]=2,"cloudy",IF(final_data787[[#This Row],[WEATHER_CODE]]=3,"light rain",IF(final_data787[[#This Row],[WEATHER_CODE]]=4,"heavy rain",0))))</f>
        <v>clear</v>
      </c>
      <c r="N822">
        <v>0.34</v>
      </c>
      <c r="O822">
        <v>0.34849999999999998</v>
      </c>
      <c r="P822">
        <v>0.46</v>
      </c>
      <c r="Q822">
        <v>8.9599999999999999E-2</v>
      </c>
      <c r="R822">
        <v>52</v>
      </c>
      <c r="S822">
        <v>130</v>
      </c>
      <c r="T822">
        <v>182</v>
      </c>
    </row>
    <row r="823" spans="1:20" x14ac:dyDescent="0.35">
      <c r="A823">
        <v>822</v>
      </c>
      <c r="B823" s="1">
        <v>40580</v>
      </c>
      <c r="C823">
        <v>1</v>
      </c>
      <c r="D823">
        <v>0</v>
      </c>
      <c r="E823">
        <v>2</v>
      </c>
      <c r="F823" t="str">
        <f>IF(final_data787[[#This Row],[MONTH_CODE]]=1,"JANUARY",IF(final_data787[[#This Row],[MONTH_CODE]]=2,"FEBRUARY"))</f>
        <v>FEBRUARY</v>
      </c>
      <c r="G823">
        <v>16</v>
      </c>
      <c r="H823">
        <v>0</v>
      </c>
      <c r="I823">
        <v>0</v>
      </c>
      <c r="J8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3" t="str">
        <f>IF(final_data787[[#This Row],[DAY_CODE]]=0,"weekend",IF(final_data787[[#This Row],[DAY_CODE]]=1,"weekend","weekday"))</f>
        <v>weekend</v>
      </c>
      <c r="L823">
        <v>1</v>
      </c>
      <c r="M823" t="str">
        <f>IF(final_data787[[#This Row],[WEATHER_CODE]]=1,"clear",IF(final_data787[[#This Row],[WEATHER_CODE]]=2,"cloudy",IF(final_data787[[#This Row],[WEATHER_CODE]]=3,"light rain",IF(final_data787[[#This Row],[WEATHER_CODE]]=4,"heavy rain",0))))</f>
        <v>clear</v>
      </c>
      <c r="N823">
        <v>0.34</v>
      </c>
      <c r="O823">
        <v>0.34849999999999998</v>
      </c>
      <c r="P823">
        <v>0.49</v>
      </c>
      <c r="Q823">
        <v>0.1045</v>
      </c>
      <c r="R823">
        <v>42</v>
      </c>
      <c r="S823">
        <v>115</v>
      </c>
      <c r="T823">
        <v>157</v>
      </c>
    </row>
    <row r="824" spans="1:20" x14ac:dyDescent="0.35">
      <c r="A824">
        <v>823</v>
      </c>
      <c r="B824" s="1">
        <v>40580</v>
      </c>
      <c r="C824">
        <v>1</v>
      </c>
      <c r="D824">
        <v>0</v>
      </c>
      <c r="E824">
        <v>2</v>
      </c>
      <c r="F824" t="str">
        <f>IF(final_data787[[#This Row],[MONTH_CODE]]=1,"JANUARY",IF(final_data787[[#This Row],[MONTH_CODE]]=2,"FEBRUARY"))</f>
        <v>FEBRUARY</v>
      </c>
      <c r="G824">
        <v>17</v>
      </c>
      <c r="H824">
        <v>0</v>
      </c>
      <c r="I824">
        <v>0</v>
      </c>
      <c r="J8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4" t="str">
        <f>IF(final_data787[[#This Row],[DAY_CODE]]=0,"weekend",IF(final_data787[[#This Row],[DAY_CODE]]=1,"weekend","weekday"))</f>
        <v>weekend</v>
      </c>
      <c r="L824">
        <v>1</v>
      </c>
      <c r="M824" t="str">
        <f>IF(final_data787[[#This Row],[WEATHER_CODE]]=1,"clear",IF(final_data787[[#This Row],[WEATHER_CODE]]=2,"cloudy",IF(final_data787[[#This Row],[WEATHER_CODE]]=3,"light rain",IF(final_data787[[#This Row],[WEATHER_CODE]]=4,"heavy rain",0))))</f>
        <v>clear</v>
      </c>
      <c r="N824">
        <v>0.34</v>
      </c>
      <c r="O824">
        <v>0.36359999999999998</v>
      </c>
      <c r="P824">
        <v>0.46</v>
      </c>
      <c r="Q824">
        <v>0</v>
      </c>
      <c r="R824">
        <v>24</v>
      </c>
      <c r="S824">
        <v>97</v>
      </c>
      <c r="T824">
        <v>121</v>
      </c>
    </row>
    <row r="825" spans="1:20" x14ac:dyDescent="0.35">
      <c r="A825">
        <v>824</v>
      </c>
      <c r="B825" s="1">
        <v>40580</v>
      </c>
      <c r="C825">
        <v>1</v>
      </c>
      <c r="D825">
        <v>0</v>
      </c>
      <c r="E825">
        <v>2</v>
      </c>
      <c r="F825" t="str">
        <f>IF(final_data787[[#This Row],[MONTH_CODE]]=1,"JANUARY",IF(final_data787[[#This Row],[MONTH_CODE]]=2,"FEBRUARY"))</f>
        <v>FEBRUARY</v>
      </c>
      <c r="G825">
        <v>18</v>
      </c>
      <c r="H825">
        <v>0</v>
      </c>
      <c r="I825">
        <v>0</v>
      </c>
      <c r="J8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5" t="str">
        <f>IF(final_data787[[#This Row],[DAY_CODE]]=0,"weekend",IF(final_data787[[#This Row],[DAY_CODE]]=1,"weekend","weekday"))</f>
        <v>weekend</v>
      </c>
      <c r="L825">
        <v>1</v>
      </c>
      <c r="M825" t="str">
        <f>IF(final_data787[[#This Row],[WEATHER_CODE]]=1,"clear",IF(final_data787[[#This Row],[WEATHER_CODE]]=2,"cloudy",IF(final_data787[[#This Row],[WEATHER_CODE]]=3,"light rain",IF(final_data787[[#This Row],[WEATHER_CODE]]=4,"heavy rain",0))))</f>
        <v>clear</v>
      </c>
      <c r="N825">
        <v>0.3</v>
      </c>
      <c r="O825">
        <v>0.30299999999999999</v>
      </c>
      <c r="P825">
        <v>0.56000000000000005</v>
      </c>
      <c r="Q825">
        <v>0.16420000000000001</v>
      </c>
      <c r="R825">
        <v>13</v>
      </c>
      <c r="S825">
        <v>65</v>
      </c>
      <c r="T825">
        <v>78</v>
      </c>
    </row>
    <row r="826" spans="1:20" x14ac:dyDescent="0.35">
      <c r="A826">
        <v>825</v>
      </c>
      <c r="B826" s="1">
        <v>40580</v>
      </c>
      <c r="C826">
        <v>1</v>
      </c>
      <c r="D826">
        <v>0</v>
      </c>
      <c r="E826">
        <v>2</v>
      </c>
      <c r="F826" t="str">
        <f>IF(final_data787[[#This Row],[MONTH_CODE]]=1,"JANUARY",IF(final_data787[[#This Row],[MONTH_CODE]]=2,"FEBRUARY"))</f>
        <v>FEBRUARY</v>
      </c>
      <c r="G826">
        <v>19</v>
      </c>
      <c r="H826">
        <v>0</v>
      </c>
      <c r="I826">
        <v>0</v>
      </c>
      <c r="J8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6" t="str">
        <f>IF(final_data787[[#This Row],[DAY_CODE]]=0,"weekend",IF(final_data787[[#This Row],[DAY_CODE]]=1,"weekend","weekday"))</f>
        <v>weekend</v>
      </c>
      <c r="L826">
        <v>1</v>
      </c>
      <c r="M826" t="str">
        <f>IF(final_data787[[#This Row],[WEATHER_CODE]]=1,"clear",IF(final_data787[[#This Row],[WEATHER_CODE]]=2,"cloudy",IF(final_data787[[#This Row],[WEATHER_CODE]]=3,"light rain",IF(final_data787[[#This Row],[WEATHER_CODE]]=4,"heavy rain",0))))</f>
        <v>clear</v>
      </c>
      <c r="N826">
        <v>0.28000000000000003</v>
      </c>
      <c r="O826">
        <v>0.28789999999999999</v>
      </c>
      <c r="P826">
        <v>0.61</v>
      </c>
      <c r="Q826">
        <v>0.1343</v>
      </c>
      <c r="R826">
        <v>1</v>
      </c>
      <c r="S826">
        <v>20</v>
      </c>
      <c r="T826">
        <v>21</v>
      </c>
    </row>
    <row r="827" spans="1:20" x14ac:dyDescent="0.35">
      <c r="A827">
        <v>826</v>
      </c>
      <c r="B827" s="1">
        <v>40580</v>
      </c>
      <c r="C827">
        <v>1</v>
      </c>
      <c r="D827">
        <v>0</v>
      </c>
      <c r="E827">
        <v>2</v>
      </c>
      <c r="F827" t="str">
        <f>IF(final_data787[[#This Row],[MONTH_CODE]]=1,"JANUARY",IF(final_data787[[#This Row],[MONTH_CODE]]=2,"FEBRUARY"))</f>
        <v>FEBRUARY</v>
      </c>
      <c r="G827">
        <v>20</v>
      </c>
      <c r="H827">
        <v>0</v>
      </c>
      <c r="I827">
        <v>0</v>
      </c>
      <c r="J8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7" t="str">
        <f>IF(final_data787[[#This Row],[DAY_CODE]]=0,"weekend",IF(final_data787[[#This Row],[DAY_CODE]]=1,"weekend","weekday"))</f>
        <v>weekend</v>
      </c>
      <c r="L827">
        <v>1</v>
      </c>
      <c r="M827" t="str">
        <f>IF(final_data787[[#This Row],[WEATHER_CODE]]=1,"clear",IF(final_data787[[#This Row],[WEATHER_CODE]]=2,"cloudy",IF(final_data787[[#This Row],[WEATHER_CODE]]=3,"light rain",IF(final_data787[[#This Row],[WEATHER_CODE]]=4,"heavy rain",0))))</f>
        <v>clear</v>
      </c>
      <c r="N827">
        <v>0.28000000000000003</v>
      </c>
      <c r="O827">
        <v>0.28789999999999999</v>
      </c>
      <c r="P827">
        <v>0.61</v>
      </c>
      <c r="Q827">
        <v>0.1045</v>
      </c>
      <c r="R827">
        <v>5</v>
      </c>
      <c r="S827">
        <v>21</v>
      </c>
      <c r="T827">
        <v>26</v>
      </c>
    </row>
    <row r="828" spans="1:20" x14ac:dyDescent="0.35">
      <c r="A828">
        <v>827</v>
      </c>
      <c r="B828" s="1">
        <v>40580</v>
      </c>
      <c r="C828">
        <v>1</v>
      </c>
      <c r="D828">
        <v>0</v>
      </c>
      <c r="E828">
        <v>2</v>
      </c>
      <c r="F828" t="str">
        <f>IF(final_data787[[#This Row],[MONTH_CODE]]=1,"JANUARY",IF(final_data787[[#This Row],[MONTH_CODE]]=2,"FEBRUARY"))</f>
        <v>FEBRUARY</v>
      </c>
      <c r="G828">
        <v>21</v>
      </c>
      <c r="H828">
        <v>0</v>
      </c>
      <c r="I828">
        <v>0</v>
      </c>
      <c r="J8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8" t="str">
        <f>IF(final_data787[[#This Row],[DAY_CODE]]=0,"weekend",IF(final_data787[[#This Row],[DAY_CODE]]=1,"weekend","weekday"))</f>
        <v>weekend</v>
      </c>
      <c r="L828">
        <v>1</v>
      </c>
      <c r="M828" t="str">
        <f>IF(final_data787[[#This Row],[WEATHER_CODE]]=1,"clear",IF(final_data787[[#This Row],[WEATHER_CODE]]=2,"cloudy",IF(final_data787[[#This Row],[WEATHER_CODE]]=3,"light rain",IF(final_data787[[#This Row],[WEATHER_CODE]]=4,"heavy rain",0))))</f>
        <v>clear</v>
      </c>
      <c r="N828">
        <v>0.26</v>
      </c>
      <c r="O828">
        <v>0.30299999999999999</v>
      </c>
      <c r="P828">
        <v>0.6</v>
      </c>
      <c r="Q828">
        <v>0</v>
      </c>
      <c r="R828">
        <v>5</v>
      </c>
      <c r="S828">
        <v>22</v>
      </c>
      <c r="T828">
        <v>27</v>
      </c>
    </row>
    <row r="829" spans="1:20" x14ac:dyDescent="0.35">
      <c r="A829">
        <v>828</v>
      </c>
      <c r="B829" s="1">
        <v>40580</v>
      </c>
      <c r="C829">
        <v>1</v>
      </c>
      <c r="D829">
        <v>0</v>
      </c>
      <c r="E829">
        <v>2</v>
      </c>
      <c r="F829" t="str">
        <f>IF(final_data787[[#This Row],[MONTH_CODE]]=1,"JANUARY",IF(final_data787[[#This Row],[MONTH_CODE]]=2,"FEBRUARY"))</f>
        <v>FEBRUARY</v>
      </c>
      <c r="G829">
        <v>22</v>
      </c>
      <c r="H829">
        <v>0</v>
      </c>
      <c r="I829">
        <v>0</v>
      </c>
      <c r="J8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29" t="str">
        <f>IF(final_data787[[#This Row],[DAY_CODE]]=0,"weekend",IF(final_data787[[#This Row],[DAY_CODE]]=1,"weekend","weekday"))</f>
        <v>weekend</v>
      </c>
      <c r="L829">
        <v>1</v>
      </c>
      <c r="M829" t="str">
        <f>IF(final_data787[[#This Row],[WEATHER_CODE]]=1,"clear",IF(final_data787[[#This Row],[WEATHER_CODE]]=2,"cloudy",IF(final_data787[[#This Row],[WEATHER_CODE]]=3,"light rain",IF(final_data787[[#This Row],[WEATHER_CODE]]=4,"heavy rain",0))))</f>
        <v>clear</v>
      </c>
      <c r="N829">
        <v>0.26</v>
      </c>
      <c r="O829">
        <v>0.30299999999999999</v>
      </c>
      <c r="P829">
        <v>0.6</v>
      </c>
      <c r="Q829">
        <v>0</v>
      </c>
      <c r="R829">
        <v>5</v>
      </c>
      <c r="S829">
        <v>57</v>
      </c>
      <c r="T829">
        <v>62</v>
      </c>
    </row>
    <row r="830" spans="1:20" x14ac:dyDescent="0.35">
      <c r="A830">
        <v>829</v>
      </c>
      <c r="B830" s="1">
        <v>40580</v>
      </c>
      <c r="C830">
        <v>1</v>
      </c>
      <c r="D830">
        <v>0</v>
      </c>
      <c r="E830">
        <v>2</v>
      </c>
      <c r="F830" t="str">
        <f>IF(final_data787[[#This Row],[MONTH_CODE]]=1,"JANUARY",IF(final_data787[[#This Row],[MONTH_CODE]]=2,"FEBRUARY"))</f>
        <v>FEBRUARY</v>
      </c>
      <c r="G830">
        <v>23</v>
      </c>
      <c r="H830">
        <v>0</v>
      </c>
      <c r="I830">
        <v>0</v>
      </c>
      <c r="J8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830" t="str">
        <f>IF(final_data787[[#This Row],[DAY_CODE]]=0,"weekend",IF(final_data787[[#This Row],[DAY_CODE]]=1,"weekend","weekday"))</f>
        <v>weekend</v>
      </c>
      <c r="L830">
        <v>1</v>
      </c>
      <c r="M830" t="str">
        <f>IF(final_data787[[#This Row],[WEATHER_CODE]]=1,"clear",IF(final_data787[[#This Row],[WEATHER_CODE]]=2,"cloudy",IF(final_data787[[#This Row],[WEATHER_CODE]]=3,"light rain",IF(final_data787[[#This Row],[WEATHER_CODE]]=4,"heavy rain",0))))</f>
        <v>clear</v>
      </c>
      <c r="N830">
        <v>0.24</v>
      </c>
      <c r="O830">
        <v>0.28789999999999999</v>
      </c>
      <c r="P830">
        <v>0.65</v>
      </c>
      <c r="Q830">
        <v>0</v>
      </c>
      <c r="R830">
        <v>4</v>
      </c>
      <c r="S830">
        <v>26</v>
      </c>
      <c r="T830">
        <v>30</v>
      </c>
    </row>
    <row r="831" spans="1:20" x14ac:dyDescent="0.35">
      <c r="A831">
        <v>830</v>
      </c>
      <c r="B831" s="1">
        <v>40581</v>
      </c>
      <c r="C831">
        <v>1</v>
      </c>
      <c r="D831">
        <v>0</v>
      </c>
      <c r="E831">
        <v>2</v>
      </c>
      <c r="F831" t="str">
        <f>IF(final_data787[[#This Row],[MONTH_CODE]]=1,"JANUARY",IF(final_data787[[#This Row],[MONTH_CODE]]=2,"FEBRUARY"))</f>
        <v>FEBRUARY</v>
      </c>
      <c r="G831">
        <v>0</v>
      </c>
      <c r="H831">
        <v>0</v>
      </c>
      <c r="I831">
        <v>1</v>
      </c>
      <c r="J8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1" t="str">
        <f>IF(final_data787[[#This Row],[DAY_CODE]]=0,"weekend",IF(final_data787[[#This Row],[DAY_CODE]]=1,"weekend","weekday"))</f>
        <v>weekend</v>
      </c>
      <c r="L831">
        <v>1</v>
      </c>
      <c r="M831" t="str">
        <f>IF(final_data787[[#This Row],[WEATHER_CODE]]=1,"clear",IF(final_data787[[#This Row],[WEATHER_CODE]]=2,"cloudy",IF(final_data787[[#This Row],[WEATHER_CODE]]=3,"light rain",IF(final_data787[[#This Row],[WEATHER_CODE]]=4,"heavy rain",0))))</f>
        <v>clear</v>
      </c>
      <c r="N831">
        <v>0.24</v>
      </c>
      <c r="O831">
        <v>0.28789999999999999</v>
      </c>
      <c r="P831">
        <v>0.65</v>
      </c>
      <c r="Q831">
        <v>0</v>
      </c>
      <c r="R831">
        <v>1</v>
      </c>
      <c r="S831">
        <v>14</v>
      </c>
      <c r="T831">
        <v>15</v>
      </c>
    </row>
    <row r="832" spans="1:20" x14ac:dyDescent="0.35">
      <c r="A832">
        <v>831</v>
      </c>
      <c r="B832" s="1">
        <v>40581</v>
      </c>
      <c r="C832">
        <v>1</v>
      </c>
      <c r="D832">
        <v>0</v>
      </c>
      <c r="E832">
        <v>2</v>
      </c>
      <c r="F832" t="str">
        <f>IF(final_data787[[#This Row],[MONTH_CODE]]=1,"JANUARY",IF(final_data787[[#This Row],[MONTH_CODE]]=2,"FEBRUARY"))</f>
        <v>FEBRUARY</v>
      </c>
      <c r="G832">
        <v>1</v>
      </c>
      <c r="H832">
        <v>0</v>
      </c>
      <c r="I832">
        <v>1</v>
      </c>
      <c r="J8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2" t="str">
        <f>IF(final_data787[[#This Row],[DAY_CODE]]=0,"weekend",IF(final_data787[[#This Row],[DAY_CODE]]=1,"weekend","weekday"))</f>
        <v>weekend</v>
      </c>
      <c r="L832">
        <v>1</v>
      </c>
      <c r="M832" t="str">
        <f>IF(final_data787[[#This Row],[WEATHER_CODE]]=1,"clear",IF(final_data787[[#This Row],[WEATHER_CODE]]=2,"cloudy",IF(final_data787[[#This Row],[WEATHER_CODE]]=3,"light rain",IF(final_data787[[#This Row],[WEATHER_CODE]]=4,"heavy rain",0))))</f>
        <v>clear</v>
      </c>
      <c r="N832">
        <v>0.22</v>
      </c>
      <c r="O832">
        <v>0.2727</v>
      </c>
      <c r="P832">
        <v>0.75</v>
      </c>
      <c r="Q832">
        <v>0</v>
      </c>
      <c r="R832">
        <v>1</v>
      </c>
      <c r="S832">
        <v>4</v>
      </c>
      <c r="T832">
        <v>5</v>
      </c>
    </row>
    <row r="833" spans="1:20" x14ac:dyDescent="0.35">
      <c r="A833">
        <v>832</v>
      </c>
      <c r="B833" s="1">
        <v>40581</v>
      </c>
      <c r="C833">
        <v>1</v>
      </c>
      <c r="D833">
        <v>0</v>
      </c>
      <c r="E833">
        <v>2</v>
      </c>
      <c r="F833" t="str">
        <f>IF(final_data787[[#This Row],[MONTH_CODE]]=1,"JANUARY",IF(final_data787[[#This Row],[MONTH_CODE]]=2,"FEBRUARY"))</f>
        <v>FEBRUARY</v>
      </c>
      <c r="G833">
        <v>2</v>
      </c>
      <c r="H833">
        <v>0</v>
      </c>
      <c r="I833">
        <v>1</v>
      </c>
      <c r="J8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3" t="str">
        <f>IF(final_data787[[#This Row],[DAY_CODE]]=0,"weekend",IF(final_data787[[#This Row],[DAY_CODE]]=1,"weekend","weekday"))</f>
        <v>weekend</v>
      </c>
      <c r="L833">
        <v>1</v>
      </c>
      <c r="M833" t="str">
        <f>IF(final_data787[[#This Row],[WEATHER_CODE]]=1,"clear",IF(final_data787[[#This Row],[WEATHER_CODE]]=2,"cloudy",IF(final_data787[[#This Row],[WEATHER_CODE]]=3,"light rain",IF(final_data787[[#This Row],[WEATHER_CODE]]=4,"heavy rain",0))))</f>
        <v>clear</v>
      </c>
      <c r="N833">
        <v>0.2</v>
      </c>
      <c r="O833">
        <v>0.2576</v>
      </c>
      <c r="P833">
        <v>0.8</v>
      </c>
      <c r="Q833">
        <v>0</v>
      </c>
      <c r="R833">
        <v>0</v>
      </c>
      <c r="S833">
        <v>3</v>
      </c>
      <c r="T833">
        <v>3</v>
      </c>
    </row>
    <row r="834" spans="1:20" x14ac:dyDescent="0.35">
      <c r="A834">
        <v>833</v>
      </c>
      <c r="B834" s="1">
        <v>40581</v>
      </c>
      <c r="C834">
        <v>1</v>
      </c>
      <c r="D834">
        <v>0</v>
      </c>
      <c r="E834">
        <v>2</v>
      </c>
      <c r="F834" t="str">
        <f>IF(final_data787[[#This Row],[MONTH_CODE]]=1,"JANUARY",IF(final_data787[[#This Row],[MONTH_CODE]]=2,"FEBRUARY"))</f>
        <v>FEBRUARY</v>
      </c>
      <c r="G834">
        <v>3</v>
      </c>
      <c r="H834">
        <v>0</v>
      </c>
      <c r="I834">
        <v>1</v>
      </c>
      <c r="J8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4" t="str">
        <f>IF(final_data787[[#This Row],[DAY_CODE]]=0,"weekend",IF(final_data787[[#This Row],[DAY_CODE]]=1,"weekend","weekday"))</f>
        <v>weekend</v>
      </c>
      <c r="L834">
        <v>1</v>
      </c>
      <c r="M834" t="str">
        <f>IF(final_data787[[#This Row],[WEATHER_CODE]]=1,"clear",IF(final_data787[[#This Row],[WEATHER_CODE]]=2,"cloudy",IF(final_data787[[#This Row],[WEATHER_CODE]]=3,"light rain",IF(final_data787[[#This Row],[WEATHER_CODE]]=4,"heavy rain",0))))</f>
        <v>clear</v>
      </c>
      <c r="N834">
        <v>0.2</v>
      </c>
      <c r="O834">
        <v>0.2576</v>
      </c>
      <c r="P834">
        <v>0.86</v>
      </c>
      <c r="Q834">
        <v>0</v>
      </c>
      <c r="R834">
        <v>0</v>
      </c>
      <c r="S834">
        <v>1</v>
      </c>
      <c r="T834">
        <v>1</v>
      </c>
    </row>
    <row r="835" spans="1:20" x14ac:dyDescent="0.35">
      <c r="A835">
        <v>834</v>
      </c>
      <c r="B835" s="1">
        <v>40581</v>
      </c>
      <c r="C835">
        <v>1</v>
      </c>
      <c r="D835">
        <v>0</v>
      </c>
      <c r="E835">
        <v>2</v>
      </c>
      <c r="F835" t="str">
        <f>IF(final_data787[[#This Row],[MONTH_CODE]]=1,"JANUARY",IF(final_data787[[#This Row],[MONTH_CODE]]=2,"FEBRUARY"))</f>
        <v>FEBRUARY</v>
      </c>
      <c r="G835">
        <v>4</v>
      </c>
      <c r="H835">
        <v>0</v>
      </c>
      <c r="I835">
        <v>1</v>
      </c>
      <c r="J8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5" t="str">
        <f>IF(final_data787[[#This Row],[DAY_CODE]]=0,"weekend",IF(final_data787[[#This Row],[DAY_CODE]]=1,"weekend","weekday"))</f>
        <v>weekend</v>
      </c>
      <c r="L835">
        <v>1</v>
      </c>
      <c r="M835" t="str">
        <f>IF(final_data787[[#This Row],[WEATHER_CODE]]=1,"clear",IF(final_data787[[#This Row],[WEATHER_CODE]]=2,"cloudy",IF(final_data787[[#This Row],[WEATHER_CODE]]=3,"light rain",IF(final_data787[[#This Row],[WEATHER_CODE]]=4,"heavy rain",0))))</f>
        <v>clear</v>
      </c>
      <c r="N835">
        <v>0.2</v>
      </c>
      <c r="O835">
        <v>0.2576</v>
      </c>
      <c r="P835">
        <v>0.86</v>
      </c>
      <c r="Q835">
        <v>0</v>
      </c>
      <c r="R835">
        <v>1</v>
      </c>
      <c r="S835">
        <v>1</v>
      </c>
      <c r="T835">
        <v>2</v>
      </c>
    </row>
    <row r="836" spans="1:20" x14ac:dyDescent="0.35">
      <c r="A836">
        <v>835</v>
      </c>
      <c r="B836" s="1">
        <v>40581</v>
      </c>
      <c r="C836">
        <v>1</v>
      </c>
      <c r="D836">
        <v>0</v>
      </c>
      <c r="E836">
        <v>2</v>
      </c>
      <c r="F836" t="str">
        <f>IF(final_data787[[#This Row],[MONTH_CODE]]=1,"JANUARY",IF(final_data787[[#This Row],[MONTH_CODE]]=2,"FEBRUARY"))</f>
        <v>FEBRUARY</v>
      </c>
      <c r="G836">
        <v>5</v>
      </c>
      <c r="H836">
        <v>0</v>
      </c>
      <c r="I836">
        <v>1</v>
      </c>
      <c r="J8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6" t="str">
        <f>IF(final_data787[[#This Row],[DAY_CODE]]=0,"weekend",IF(final_data787[[#This Row],[DAY_CODE]]=1,"weekend","weekday"))</f>
        <v>weekend</v>
      </c>
      <c r="L836">
        <v>1</v>
      </c>
      <c r="M836" t="str">
        <f>IF(final_data787[[#This Row],[WEATHER_CODE]]=1,"clear",IF(final_data787[[#This Row],[WEATHER_CODE]]=2,"cloudy",IF(final_data787[[#This Row],[WEATHER_CODE]]=3,"light rain",IF(final_data787[[#This Row],[WEATHER_CODE]]=4,"heavy rain",0))))</f>
        <v>clear</v>
      </c>
      <c r="N836">
        <v>0.2</v>
      </c>
      <c r="O836">
        <v>0.2576</v>
      </c>
      <c r="P836">
        <v>0.86</v>
      </c>
      <c r="Q836">
        <v>0</v>
      </c>
      <c r="R836">
        <v>1</v>
      </c>
      <c r="S836">
        <v>9</v>
      </c>
      <c r="T836">
        <v>10</v>
      </c>
    </row>
    <row r="837" spans="1:20" x14ac:dyDescent="0.35">
      <c r="A837">
        <v>836</v>
      </c>
      <c r="B837" s="1">
        <v>40581</v>
      </c>
      <c r="C837">
        <v>1</v>
      </c>
      <c r="D837">
        <v>0</v>
      </c>
      <c r="E837">
        <v>2</v>
      </c>
      <c r="F837" t="str">
        <f>IF(final_data787[[#This Row],[MONTH_CODE]]=1,"JANUARY",IF(final_data787[[#This Row],[MONTH_CODE]]=2,"FEBRUARY"))</f>
        <v>FEBRUARY</v>
      </c>
      <c r="G837">
        <v>6</v>
      </c>
      <c r="H837">
        <v>0</v>
      </c>
      <c r="I837">
        <v>1</v>
      </c>
      <c r="J8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7" t="str">
        <f>IF(final_data787[[#This Row],[DAY_CODE]]=0,"weekend",IF(final_data787[[#This Row],[DAY_CODE]]=1,"weekend","weekday"))</f>
        <v>weekend</v>
      </c>
      <c r="L837">
        <v>1</v>
      </c>
      <c r="M837" t="str">
        <f>IF(final_data787[[#This Row],[WEATHER_CODE]]=1,"clear",IF(final_data787[[#This Row],[WEATHER_CODE]]=2,"cloudy",IF(final_data787[[#This Row],[WEATHER_CODE]]=3,"light rain",IF(final_data787[[#This Row],[WEATHER_CODE]]=4,"heavy rain",0))))</f>
        <v>clear</v>
      </c>
      <c r="N837">
        <v>0.18</v>
      </c>
      <c r="O837">
        <v>0.2424</v>
      </c>
      <c r="P837">
        <v>0.93</v>
      </c>
      <c r="Q837">
        <v>0</v>
      </c>
      <c r="R837">
        <v>1</v>
      </c>
      <c r="S837">
        <v>29</v>
      </c>
      <c r="T837">
        <v>30</v>
      </c>
    </row>
    <row r="838" spans="1:20" x14ac:dyDescent="0.35">
      <c r="A838">
        <v>837</v>
      </c>
      <c r="B838" s="1">
        <v>40581</v>
      </c>
      <c r="C838">
        <v>1</v>
      </c>
      <c r="D838">
        <v>0</v>
      </c>
      <c r="E838">
        <v>2</v>
      </c>
      <c r="F838" t="str">
        <f>IF(final_data787[[#This Row],[MONTH_CODE]]=1,"JANUARY",IF(final_data787[[#This Row],[MONTH_CODE]]=2,"FEBRUARY"))</f>
        <v>FEBRUARY</v>
      </c>
      <c r="G838">
        <v>7</v>
      </c>
      <c r="H838">
        <v>0</v>
      </c>
      <c r="I838">
        <v>1</v>
      </c>
      <c r="J8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8" t="str">
        <f>IF(final_data787[[#This Row],[DAY_CODE]]=0,"weekend",IF(final_data787[[#This Row],[DAY_CODE]]=1,"weekend","weekday"))</f>
        <v>weekend</v>
      </c>
      <c r="L838">
        <v>1</v>
      </c>
      <c r="M838" t="str">
        <f>IF(final_data787[[#This Row],[WEATHER_CODE]]=1,"clear",IF(final_data787[[#This Row],[WEATHER_CODE]]=2,"cloudy",IF(final_data787[[#This Row],[WEATHER_CODE]]=3,"light rain",IF(final_data787[[#This Row],[WEATHER_CODE]]=4,"heavy rain",0))))</f>
        <v>clear</v>
      </c>
      <c r="N838">
        <v>0.18</v>
      </c>
      <c r="O838">
        <v>0.2424</v>
      </c>
      <c r="P838">
        <v>0.86</v>
      </c>
      <c r="Q838">
        <v>0</v>
      </c>
      <c r="R838">
        <v>6</v>
      </c>
      <c r="S838">
        <v>89</v>
      </c>
      <c r="T838">
        <v>95</v>
      </c>
    </row>
    <row r="839" spans="1:20" x14ac:dyDescent="0.35">
      <c r="A839">
        <v>838</v>
      </c>
      <c r="B839" s="1">
        <v>40581</v>
      </c>
      <c r="C839">
        <v>1</v>
      </c>
      <c r="D839">
        <v>0</v>
      </c>
      <c r="E839">
        <v>2</v>
      </c>
      <c r="F839" t="str">
        <f>IF(final_data787[[#This Row],[MONTH_CODE]]=1,"JANUARY",IF(final_data787[[#This Row],[MONTH_CODE]]=2,"FEBRUARY"))</f>
        <v>FEBRUARY</v>
      </c>
      <c r="G839">
        <v>8</v>
      </c>
      <c r="H839">
        <v>0</v>
      </c>
      <c r="I839">
        <v>1</v>
      </c>
      <c r="J8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39" t="str">
        <f>IF(final_data787[[#This Row],[DAY_CODE]]=0,"weekend",IF(final_data787[[#This Row],[DAY_CODE]]=1,"weekend","weekday"))</f>
        <v>weekend</v>
      </c>
      <c r="L839">
        <v>2</v>
      </c>
      <c r="M839" t="str">
        <f>IF(final_data787[[#This Row],[WEATHER_CODE]]=1,"clear",IF(final_data787[[#This Row],[WEATHER_CODE]]=2,"cloudy",IF(final_data787[[#This Row],[WEATHER_CODE]]=3,"light rain",IF(final_data787[[#This Row],[WEATHER_CODE]]=4,"heavy rain",0))))</f>
        <v>cloudy</v>
      </c>
      <c r="N839">
        <v>0.16</v>
      </c>
      <c r="O839">
        <v>0.2273</v>
      </c>
      <c r="P839">
        <v>1</v>
      </c>
      <c r="Q839">
        <v>0</v>
      </c>
      <c r="R839">
        <v>7</v>
      </c>
      <c r="S839">
        <v>223</v>
      </c>
      <c r="T839">
        <v>230</v>
      </c>
    </row>
    <row r="840" spans="1:20" x14ac:dyDescent="0.35">
      <c r="A840">
        <v>839</v>
      </c>
      <c r="B840" s="1">
        <v>40581</v>
      </c>
      <c r="C840">
        <v>1</v>
      </c>
      <c r="D840">
        <v>0</v>
      </c>
      <c r="E840">
        <v>2</v>
      </c>
      <c r="F840" t="str">
        <f>IF(final_data787[[#This Row],[MONTH_CODE]]=1,"JANUARY",IF(final_data787[[#This Row],[MONTH_CODE]]=2,"FEBRUARY"))</f>
        <v>FEBRUARY</v>
      </c>
      <c r="G840">
        <v>9</v>
      </c>
      <c r="H840">
        <v>0</v>
      </c>
      <c r="I840">
        <v>1</v>
      </c>
      <c r="J8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0" t="str">
        <f>IF(final_data787[[#This Row],[DAY_CODE]]=0,"weekend",IF(final_data787[[#This Row],[DAY_CODE]]=1,"weekend","weekday"))</f>
        <v>weekend</v>
      </c>
      <c r="L840">
        <v>1</v>
      </c>
      <c r="M840" t="str">
        <f>IF(final_data787[[#This Row],[WEATHER_CODE]]=1,"clear",IF(final_data787[[#This Row],[WEATHER_CODE]]=2,"cloudy",IF(final_data787[[#This Row],[WEATHER_CODE]]=3,"light rain",IF(final_data787[[#This Row],[WEATHER_CODE]]=4,"heavy rain",0))))</f>
        <v>clear</v>
      </c>
      <c r="N840">
        <v>0.22</v>
      </c>
      <c r="O840">
        <v>0.2727</v>
      </c>
      <c r="P840">
        <v>0.8</v>
      </c>
      <c r="Q840">
        <v>0</v>
      </c>
      <c r="R840">
        <v>3</v>
      </c>
      <c r="S840">
        <v>115</v>
      </c>
      <c r="T840">
        <v>118</v>
      </c>
    </row>
    <row r="841" spans="1:20" x14ac:dyDescent="0.35">
      <c r="A841">
        <v>840</v>
      </c>
      <c r="B841" s="1">
        <v>40581</v>
      </c>
      <c r="C841">
        <v>1</v>
      </c>
      <c r="D841">
        <v>0</v>
      </c>
      <c r="E841">
        <v>2</v>
      </c>
      <c r="F841" t="str">
        <f>IF(final_data787[[#This Row],[MONTH_CODE]]=1,"JANUARY",IF(final_data787[[#This Row],[MONTH_CODE]]=2,"FEBRUARY"))</f>
        <v>FEBRUARY</v>
      </c>
      <c r="G841">
        <v>10</v>
      </c>
      <c r="H841">
        <v>0</v>
      </c>
      <c r="I841">
        <v>1</v>
      </c>
      <c r="J8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1" t="str">
        <f>IF(final_data787[[#This Row],[DAY_CODE]]=0,"weekend",IF(final_data787[[#This Row],[DAY_CODE]]=1,"weekend","weekday"))</f>
        <v>weekend</v>
      </c>
      <c r="L841">
        <v>1</v>
      </c>
      <c r="M841" t="str">
        <f>IF(final_data787[[#This Row],[WEATHER_CODE]]=1,"clear",IF(final_data787[[#This Row],[WEATHER_CODE]]=2,"cloudy",IF(final_data787[[#This Row],[WEATHER_CODE]]=3,"light rain",IF(final_data787[[#This Row],[WEATHER_CODE]]=4,"heavy rain",0))))</f>
        <v>clear</v>
      </c>
      <c r="N841">
        <v>0.24</v>
      </c>
      <c r="O841">
        <v>0.2576</v>
      </c>
      <c r="P841">
        <v>0.75</v>
      </c>
      <c r="Q841">
        <v>0.1045</v>
      </c>
      <c r="R841">
        <v>6</v>
      </c>
      <c r="S841">
        <v>49</v>
      </c>
      <c r="T841">
        <v>55</v>
      </c>
    </row>
    <row r="842" spans="1:20" x14ac:dyDescent="0.35">
      <c r="A842">
        <v>841</v>
      </c>
      <c r="B842" s="1">
        <v>40581</v>
      </c>
      <c r="C842">
        <v>1</v>
      </c>
      <c r="D842">
        <v>0</v>
      </c>
      <c r="E842">
        <v>2</v>
      </c>
      <c r="F842" t="str">
        <f>IF(final_data787[[#This Row],[MONTH_CODE]]=1,"JANUARY",IF(final_data787[[#This Row],[MONTH_CODE]]=2,"FEBRUARY"))</f>
        <v>FEBRUARY</v>
      </c>
      <c r="G842">
        <v>11</v>
      </c>
      <c r="H842">
        <v>0</v>
      </c>
      <c r="I842">
        <v>1</v>
      </c>
      <c r="J8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2" t="str">
        <f>IF(final_data787[[#This Row],[DAY_CODE]]=0,"weekend",IF(final_data787[[#This Row],[DAY_CODE]]=1,"weekend","weekday"))</f>
        <v>weekend</v>
      </c>
      <c r="L842">
        <v>1</v>
      </c>
      <c r="M842" t="str">
        <f>IF(final_data787[[#This Row],[WEATHER_CODE]]=1,"clear",IF(final_data787[[#This Row],[WEATHER_CODE]]=2,"cloudy",IF(final_data787[[#This Row],[WEATHER_CODE]]=3,"light rain",IF(final_data787[[#This Row],[WEATHER_CODE]]=4,"heavy rain",0))))</f>
        <v>clear</v>
      </c>
      <c r="N842">
        <v>0.3</v>
      </c>
      <c r="O842">
        <v>0.31819999999999998</v>
      </c>
      <c r="P842">
        <v>0.65</v>
      </c>
      <c r="Q842">
        <v>8.9599999999999999E-2</v>
      </c>
      <c r="R842">
        <v>11</v>
      </c>
      <c r="S842">
        <v>36</v>
      </c>
      <c r="T842">
        <v>47</v>
      </c>
    </row>
    <row r="843" spans="1:20" x14ac:dyDescent="0.35">
      <c r="A843">
        <v>842</v>
      </c>
      <c r="B843" s="1">
        <v>40581</v>
      </c>
      <c r="C843">
        <v>1</v>
      </c>
      <c r="D843">
        <v>0</v>
      </c>
      <c r="E843">
        <v>2</v>
      </c>
      <c r="F843" t="str">
        <f>IF(final_data787[[#This Row],[MONTH_CODE]]=1,"JANUARY",IF(final_data787[[#This Row],[MONTH_CODE]]=2,"FEBRUARY"))</f>
        <v>FEBRUARY</v>
      </c>
      <c r="G843">
        <v>12</v>
      </c>
      <c r="H843">
        <v>0</v>
      </c>
      <c r="I843">
        <v>1</v>
      </c>
      <c r="J8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3" t="str">
        <f>IF(final_data787[[#This Row],[DAY_CODE]]=0,"weekend",IF(final_data787[[#This Row],[DAY_CODE]]=1,"weekend","weekday"))</f>
        <v>weekend</v>
      </c>
      <c r="L843">
        <v>2</v>
      </c>
      <c r="M843" t="str">
        <f>IF(final_data787[[#This Row],[WEATHER_CODE]]=1,"clear",IF(final_data787[[#This Row],[WEATHER_CODE]]=2,"cloudy",IF(final_data787[[#This Row],[WEATHER_CODE]]=3,"light rain",IF(final_data787[[#This Row],[WEATHER_CODE]]=4,"heavy rain",0))))</f>
        <v>cloudy</v>
      </c>
      <c r="N843">
        <v>0.32</v>
      </c>
      <c r="O843">
        <v>0.34849999999999998</v>
      </c>
      <c r="P843">
        <v>0.62</v>
      </c>
      <c r="Q843">
        <v>0</v>
      </c>
      <c r="R843">
        <v>7</v>
      </c>
      <c r="S843">
        <v>59</v>
      </c>
      <c r="T843">
        <v>66</v>
      </c>
    </row>
    <row r="844" spans="1:20" x14ac:dyDescent="0.35">
      <c r="A844">
        <v>843</v>
      </c>
      <c r="B844" s="1">
        <v>40581</v>
      </c>
      <c r="C844">
        <v>1</v>
      </c>
      <c r="D844">
        <v>0</v>
      </c>
      <c r="E844">
        <v>2</v>
      </c>
      <c r="F844" t="str">
        <f>IF(final_data787[[#This Row],[MONTH_CODE]]=1,"JANUARY",IF(final_data787[[#This Row],[MONTH_CODE]]=2,"FEBRUARY"))</f>
        <v>FEBRUARY</v>
      </c>
      <c r="G844">
        <v>13</v>
      </c>
      <c r="H844">
        <v>0</v>
      </c>
      <c r="I844">
        <v>1</v>
      </c>
      <c r="J8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4" t="str">
        <f>IF(final_data787[[#This Row],[DAY_CODE]]=0,"weekend",IF(final_data787[[#This Row],[DAY_CODE]]=1,"weekend","weekday"))</f>
        <v>weekend</v>
      </c>
      <c r="L844">
        <v>2</v>
      </c>
      <c r="M844" t="str">
        <f>IF(final_data787[[#This Row],[WEATHER_CODE]]=1,"clear",IF(final_data787[[#This Row],[WEATHER_CODE]]=2,"cloudy",IF(final_data787[[#This Row],[WEATHER_CODE]]=3,"light rain",IF(final_data787[[#This Row],[WEATHER_CODE]]=4,"heavy rain",0))))</f>
        <v>cloudy</v>
      </c>
      <c r="N844">
        <v>0.36</v>
      </c>
      <c r="O844">
        <v>0.36359999999999998</v>
      </c>
      <c r="P844">
        <v>0.56999999999999995</v>
      </c>
      <c r="Q844">
        <v>8.9599999999999999E-2</v>
      </c>
      <c r="R844">
        <v>10</v>
      </c>
      <c r="S844">
        <v>54</v>
      </c>
      <c r="T844">
        <v>64</v>
      </c>
    </row>
    <row r="845" spans="1:20" x14ac:dyDescent="0.35">
      <c r="A845">
        <v>844</v>
      </c>
      <c r="B845" s="1">
        <v>40581</v>
      </c>
      <c r="C845">
        <v>1</v>
      </c>
      <c r="D845">
        <v>0</v>
      </c>
      <c r="E845">
        <v>2</v>
      </c>
      <c r="F845" t="str">
        <f>IF(final_data787[[#This Row],[MONTH_CODE]]=1,"JANUARY",IF(final_data787[[#This Row],[MONTH_CODE]]=2,"FEBRUARY"))</f>
        <v>FEBRUARY</v>
      </c>
      <c r="G845">
        <v>14</v>
      </c>
      <c r="H845">
        <v>0</v>
      </c>
      <c r="I845">
        <v>1</v>
      </c>
      <c r="J8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5" t="str">
        <f>IF(final_data787[[#This Row],[DAY_CODE]]=0,"weekend",IF(final_data787[[#This Row],[DAY_CODE]]=1,"weekend","weekday"))</f>
        <v>weekend</v>
      </c>
      <c r="L845">
        <v>2</v>
      </c>
      <c r="M845" t="str">
        <f>IF(final_data787[[#This Row],[WEATHER_CODE]]=1,"clear",IF(final_data787[[#This Row],[WEATHER_CODE]]=2,"cloudy",IF(final_data787[[#This Row],[WEATHER_CODE]]=3,"light rain",IF(final_data787[[#This Row],[WEATHER_CODE]]=4,"heavy rain",0))))</f>
        <v>cloudy</v>
      </c>
      <c r="N845">
        <v>0.36</v>
      </c>
      <c r="O845">
        <v>0.36359999999999998</v>
      </c>
      <c r="P845">
        <v>0.56999999999999995</v>
      </c>
      <c r="Q845">
        <v>8.9599999999999999E-2</v>
      </c>
      <c r="R845">
        <v>8</v>
      </c>
      <c r="S845">
        <v>52</v>
      </c>
      <c r="T845">
        <v>60</v>
      </c>
    </row>
    <row r="846" spans="1:20" x14ac:dyDescent="0.35">
      <c r="A846">
        <v>845</v>
      </c>
      <c r="B846" s="1">
        <v>40581</v>
      </c>
      <c r="C846">
        <v>1</v>
      </c>
      <c r="D846">
        <v>0</v>
      </c>
      <c r="E846">
        <v>2</v>
      </c>
      <c r="F846" t="str">
        <f>IF(final_data787[[#This Row],[MONTH_CODE]]=1,"JANUARY",IF(final_data787[[#This Row],[MONTH_CODE]]=2,"FEBRUARY"))</f>
        <v>FEBRUARY</v>
      </c>
      <c r="G846">
        <v>15</v>
      </c>
      <c r="H846">
        <v>0</v>
      </c>
      <c r="I846">
        <v>1</v>
      </c>
      <c r="J8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6" t="str">
        <f>IF(final_data787[[#This Row],[DAY_CODE]]=0,"weekend",IF(final_data787[[#This Row],[DAY_CODE]]=1,"weekend","weekday"))</f>
        <v>weekend</v>
      </c>
      <c r="L846">
        <v>2</v>
      </c>
      <c r="M846" t="str">
        <f>IF(final_data787[[#This Row],[WEATHER_CODE]]=1,"clear",IF(final_data787[[#This Row],[WEATHER_CODE]]=2,"cloudy",IF(final_data787[[#This Row],[WEATHER_CODE]]=3,"light rain",IF(final_data787[[#This Row],[WEATHER_CODE]]=4,"heavy rain",0))))</f>
        <v>cloudy</v>
      </c>
      <c r="N846">
        <v>0.38</v>
      </c>
      <c r="O846">
        <v>0.39389999999999997</v>
      </c>
      <c r="P846">
        <v>0.54</v>
      </c>
      <c r="Q846">
        <v>8.9599999999999999E-2</v>
      </c>
      <c r="R846">
        <v>4</v>
      </c>
      <c r="S846">
        <v>46</v>
      </c>
      <c r="T846">
        <v>50</v>
      </c>
    </row>
    <row r="847" spans="1:20" x14ac:dyDescent="0.35">
      <c r="A847">
        <v>846</v>
      </c>
      <c r="B847" s="1">
        <v>40581</v>
      </c>
      <c r="C847">
        <v>1</v>
      </c>
      <c r="D847">
        <v>0</v>
      </c>
      <c r="E847">
        <v>2</v>
      </c>
      <c r="F847" t="str">
        <f>IF(final_data787[[#This Row],[MONTH_CODE]]=1,"JANUARY",IF(final_data787[[#This Row],[MONTH_CODE]]=2,"FEBRUARY"))</f>
        <v>FEBRUARY</v>
      </c>
      <c r="G847">
        <v>16</v>
      </c>
      <c r="H847">
        <v>0</v>
      </c>
      <c r="I847">
        <v>1</v>
      </c>
      <c r="J8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7" t="str">
        <f>IF(final_data787[[#This Row],[DAY_CODE]]=0,"weekend",IF(final_data787[[#This Row],[DAY_CODE]]=1,"weekend","weekday"))</f>
        <v>weekend</v>
      </c>
      <c r="L847">
        <v>2</v>
      </c>
      <c r="M847" t="str">
        <f>IF(final_data787[[#This Row],[WEATHER_CODE]]=1,"clear",IF(final_data787[[#This Row],[WEATHER_CODE]]=2,"cloudy",IF(final_data787[[#This Row],[WEATHER_CODE]]=3,"light rain",IF(final_data787[[#This Row],[WEATHER_CODE]]=4,"heavy rain",0))))</f>
        <v>cloudy</v>
      </c>
      <c r="N847">
        <v>0.36</v>
      </c>
      <c r="O847">
        <v>0.34849999999999998</v>
      </c>
      <c r="P847">
        <v>0.56999999999999995</v>
      </c>
      <c r="Q847">
        <v>0.1343</v>
      </c>
      <c r="R847">
        <v>16</v>
      </c>
      <c r="S847">
        <v>98</v>
      </c>
      <c r="T847">
        <v>114</v>
      </c>
    </row>
    <row r="848" spans="1:20" x14ac:dyDescent="0.35">
      <c r="A848">
        <v>847</v>
      </c>
      <c r="B848" s="1">
        <v>40581</v>
      </c>
      <c r="C848">
        <v>1</v>
      </c>
      <c r="D848">
        <v>0</v>
      </c>
      <c r="E848">
        <v>2</v>
      </c>
      <c r="F848" t="str">
        <f>IF(final_data787[[#This Row],[MONTH_CODE]]=1,"JANUARY",IF(final_data787[[#This Row],[MONTH_CODE]]=2,"FEBRUARY"))</f>
        <v>FEBRUARY</v>
      </c>
      <c r="G848">
        <v>17</v>
      </c>
      <c r="H848">
        <v>0</v>
      </c>
      <c r="I848">
        <v>1</v>
      </c>
      <c r="J8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8" t="str">
        <f>IF(final_data787[[#This Row],[DAY_CODE]]=0,"weekend",IF(final_data787[[#This Row],[DAY_CODE]]=1,"weekend","weekday"))</f>
        <v>weekend</v>
      </c>
      <c r="L848">
        <v>2</v>
      </c>
      <c r="M848" t="str">
        <f>IF(final_data787[[#This Row],[WEATHER_CODE]]=1,"clear",IF(final_data787[[#This Row],[WEATHER_CODE]]=2,"cloudy",IF(final_data787[[#This Row],[WEATHER_CODE]]=3,"light rain",IF(final_data787[[#This Row],[WEATHER_CODE]]=4,"heavy rain",0))))</f>
        <v>cloudy</v>
      </c>
      <c r="N848">
        <v>0.32</v>
      </c>
      <c r="O848">
        <v>0.31819999999999998</v>
      </c>
      <c r="P848">
        <v>0.7</v>
      </c>
      <c r="Q848">
        <v>0.16420000000000001</v>
      </c>
      <c r="R848">
        <v>9</v>
      </c>
      <c r="S848">
        <v>207</v>
      </c>
      <c r="T848">
        <v>216</v>
      </c>
    </row>
    <row r="849" spans="1:20" x14ac:dyDescent="0.35">
      <c r="A849">
        <v>848</v>
      </c>
      <c r="B849" s="1">
        <v>40581</v>
      </c>
      <c r="C849">
        <v>1</v>
      </c>
      <c r="D849">
        <v>0</v>
      </c>
      <c r="E849">
        <v>2</v>
      </c>
      <c r="F849" t="str">
        <f>IF(final_data787[[#This Row],[MONTH_CODE]]=1,"JANUARY",IF(final_data787[[#This Row],[MONTH_CODE]]=2,"FEBRUARY"))</f>
        <v>FEBRUARY</v>
      </c>
      <c r="G849">
        <v>18</v>
      </c>
      <c r="H849">
        <v>0</v>
      </c>
      <c r="I849">
        <v>1</v>
      </c>
      <c r="J8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49" t="str">
        <f>IF(final_data787[[#This Row],[DAY_CODE]]=0,"weekend",IF(final_data787[[#This Row],[DAY_CODE]]=1,"weekend","weekday"))</f>
        <v>weekend</v>
      </c>
      <c r="L849">
        <v>2</v>
      </c>
      <c r="M849" t="str">
        <f>IF(final_data787[[#This Row],[WEATHER_CODE]]=1,"clear",IF(final_data787[[#This Row],[WEATHER_CODE]]=2,"cloudy",IF(final_data787[[#This Row],[WEATHER_CODE]]=3,"light rain",IF(final_data787[[#This Row],[WEATHER_CODE]]=4,"heavy rain",0))))</f>
        <v>cloudy</v>
      </c>
      <c r="N849">
        <v>0.34</v>
      </c>
      <c r="O849">
        <v>0.33329999999999999</v>
      </c>
      <c r="P849">
        <v>0.66</v>
      </c>
      <c r="Q849">
        <v>0.1343</v>
      </c>
      <c r="R849">
        <v>5</v>
      </c>
      <c r="S849">
        <v>170</v>
      </c>
      <c r="T849">
        <v>175</v>
      </c>
    </row>
    <row r="850" spans="1:20" x14ac:dyDescent="0.35">
      <c r="A850">
        <v>849</v>
      </c>
      <c r="B850" s="1">
        <v>40581</v>
      </c>
      <c r="C850">
        <v>1</v>
      </c>
      <c r="D850">
        <v>0</v>
      </c>
      <c r="E850">
        <v>2</v>
      </c>
      <c r="F850" t="str">
        <f>IF(final_data787[[#This Row],[MONTH_CODE]]=1,"JANUARY",IF(final_data787[[#This Row],[MONTH_CODE]]=2,"FEBRUARY"))</f>
        <v>FEBRUARY</v>
      </c>
      <c r="G850">
        <v>19</v>
      </c>
      <c r="H850">
        <v>0</v>
      </c>
      <c r="I850">
        <v>1</v>
      </c>
      <c r="J8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50" t="str">
        <f>IF(final_data787[[#This Row],[DAY_CODE]]=0,"weekend",IF(final_data787[[#This Row],[DAY_CODE]]=1,"weekend","weekday"))</f>
        <v>weekend</v>
      </c>
      <c r="L850">
        <v>2</v>
      </c>
      <c r="M850" t="str">
        <f>IF(final_data787[[#This Row],[WEATHER_CODE]]=1,"clear",IF(final_data787[[#This Row],[WEATHER_CODE]]=2,"cloudy",IF(final_data787[[#This Row],[WEATHER_CODE]]=3,"light rain",IF(final_data787[[#This Row],[WEATHER_CODE]]=4,"heavy rain",0))))</f>
        <v>cloudy</v>
      </c>
      <c r="N850">
        <v>0.32</v>
      </c>
      <c r="O850">
        <v>0.34849999999999998</v>
      </c>
      <c r="P850">
        <v>0.7</v>
      </c>
      <c r="Q850">
        <v>0</v>
      </c>
      <c r="R850">
        <v>5</v>
      </c>
      <c r="S850">
        <v>123</v>
      </c>
      <c r="T850">
        <v>128</v>
      </c>
    </row>
    <row r="851" spans="1:20" x14ac:dyDescent="0.35">
      <c r="A851">
        <v>850</v>
      </c>
      <c r="B851" s="1">
        <v>40581</v>
      </c>
      <c r="C851">
        <v>1</v>
      </c>
      <c r="D851">
        <v>0</v>
      </c>
      <c r="E851">
        <v>2</v>
      </c>
      <c r="F851" t="str">
        <f>IF(final_data787[[#This Row],[MONTH_CODE]]=1,"JANUARY",IF(final_data787[[#This Row],[MONTH_CODE]]=2,"FEBRUARY"))</f>
        <v>FEBRUARY</v>
      </c>
      <c r="G851">
        <v>20</v>
      </c>
      <c r="H851">
        <v>0</v>
      </c>
      <c r="I851">
        <v>1</v>
      </c>
      <c r="J8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51" t="str">
        <f>IF(final_data787[[#This Row],[DAY_CODE]]=0,"weekend",IF(final_data787[[#This Row],[DAY_CODE]]=1,"weekend","weekday"))</f>
        <v>weekend</v>
      </c>
      <c r="L851">
        <v>2</v>
      </c>
      <c r="M851" t="str">
        <f>IF(final_data787[[#This Row],[WEATHER_CODE]]=1,"clear",IF(final_data787[[#This Row],[WEATHER_CODE]]=2,"cloudy",IF(final_data787[[#This Row],[WEATHER_CODE]]=3,"light rain",IF(final_data787[[#This Row],[WEATHER_CODE]]=4,"heavy rain",0))))</f>
        <v>cloudy</v>
      </c>
      <c r="N851">
        <v>0.32</v>
      </c>
      <c r="O851">
        <v>0.33329999999999999</v>
      </c>
      <c r="P851">
        <v>0.7</v>
      </c>
      <c r="Q851">
        <v>0.1045</v>
      </c>
      <c r="R851">
        <v>6</v>
      </c>
      <c r="S851">
        <v>82</v>
      </c>
      <c r="T851">
        <v>88</v>
      </c>
    </row>
    <row r="852" spans="1:20" x14ac:dyDescent="0.35">
      <c r="A852">
        <v>851</v>
      </c>
      <c r="B852" s="1">
        <v>40581</v>
      </c>
      <c r="C852">
        <v>1</v>
      </c>
      <c r="D852">
        <v>0</v>
      </c>
      <c r="E852">
        <v>2</v>
      </c>
      <c r="F852" t="str">
        <f>IF(final_data787[[#This Row],[MONTH_CODE]]=1,"JANUARY",IF(final_data787[[#This Row],[MONTH_CODE]]=2,"FEBRUARY"))</f>
        <v>FEBRUARY</v>
      </c>
      <c r="G852">
        <v>21</v>
      </c>
      <c r="H852">
        <v>0</v>
      </c>
      <c r="I852">
        <v>1</v>
      </c>
      <c r="J8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52" t="str">
        <f>IF(final_data787[[#This Row],[DAY_CODE]]=0,"weekend",IF(final_data787[[#This Row],[DAY_CODE]]=1,"weekend","weekday"))</f>
        <v>weekend</v>
      </c>
      <c r="L852">
        <v>1</v>
      </c>
      <c r="M852" t="str">
        <f>IF(final_data787[[#This Row],[WEATHER_CODE]]=1,"clear",IF(final_data787[[#This Row],[WEATHER_CODE]]=2,"cloudy",IF(final_data787[[#This Row],[WEATHER_CODE]]=3,"light rain",IF(final_data787[[#This Row],[WEATHER_CODE]]=4,"heavy rain",0))))</f>
        <v>clear</v>
      </c>
      <c r="N852">
        <v>0.32</v>
      </c>
      <c r="O852">
        <v>0.34849999999999998</v>
      </c>
      <c r="P852">
        <v>0.7</v>
      </c>
      <c r="Q852">
        <v>0</v>
      </c>
      <c r="R852">
        <v>3</v>
      </c>
      <c r="S852">
        <v>75</v>
      </c>
      <c r="T852">
        <v>78</v>
      </c>
    </row>
    <row r="853" spans="1:20" x14ac:dyDescent="0.35">
      <c r="A853">
        <v>852</v>
      </c>
      <c r="B853" s="1">
        <v>40581</v>
      </c>
      <c r="C853">
        <v>1</v>
      </c>
      <c r="D853">
        <v>0</v>
      </c>
      <c r="E853">
        <v>2</v>
      </c>
      <c r="F853" t="str">
        <f>IF(final_data787[[#This Row],[MONTH_CODE]]=1,"JANUARY",IF(final_data787[[#This Row],[MONTH_CODE]]=2,"FEBRUARY"))</f>
        <v>FEBRUARY</v>
      </c>
      <c r="G853">
        <v>22</v>
      </c>
      <c r="H853">
        <v>0</v>
      </c>
      <c r="I853">
        <v>1</v>
      </c>
      <c r="J8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53" t="str">
        <f>IF(final_data787[[#This Row],[DAY_CODE]]=0,"weekend",IF(final_data787[[#This Row],[DAY_CODE]]=1,"weekend","weekday"))</f>
        <v>weekend</v>
      </c>
      <c r="L853">
        <v>1</v>
      </c>
      <c r="M853" t="str">
        <f>IF(final_data787[[#This Row],[WEATHER_CODE]]=1,"clear",IF(final_data787[[#This Row],[WEATHER_CODE]]=2,"cloudy",IF(final_data787[[#This Row],[WEATHER_CODE]]=3,"light rain",IF(final_data787[[#This Row],[WEATHER_CODE]]=4,"heavy rain",0))))</f>
        <v>clear</v>
      </c>
      <c r="N853">
        <v>0.28000000000000003</v>
      </c>
      <c r="O853">
        <v>0.30299999999999999</v>
      </c>
      <c r="P853">
        <v>0.81</v>
      </c>
      <c r="Q853">
        <v>8.9599999999999999E-2</v>
      </c>
      <c r="R853">
        <v>3</v>
      </c>
      <c r="S853">
        <v>34</v>
      </c>
      <c r="T853">
        <v>37</v>
      </c>
    </row>
    <row r="854" spans="1:20" x14ac:dyDescent="0.35">
      <c r="A854">
        <v>853</v>
      </c>
      <c r="B854" s="1">
        <v>40581</v>
      </c>
      <c r="C854">
        <v>1</v>
      </c>
      <c r="D854">
        <v>0</v>
      </c>
      <c r="E854">
        <v>2</v>
      </c>
      <c r="F854" t="str">
        <f>IF(final_data787[[#This Row],[MONTH_CODE]]=1,"JANUARY",IF(final_data787[[#This Row],[MONTH_CODE]]=2,"FEBRUARY"))</f>
        <v>FEBRUARY</v>
      </c>
      <c r="G854">
        <v>23</v>
      </c>
      <c r="H854">
        <v>0</v>
      </c>
      <c r="I854">
        <v>1</v>
      </c>
      <c r="J8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854" t="str">
        <f>IF(final_data787[[#This Row],[DAY_CODE]]=0,"weekend",IF(final_data787[[#This Row],[DAY_CODE]]=1,"weekend","weekday"))</f>
        <v>weekend</v>
      </c>
      <c r="L854">
        <v>2</v>
      </c>
      <c r="M854" t="str">
        <f>IF(final_data787[[#This Row],[WEATHER_CODE]]=1,"clear",IF(final_data787[[#This Row],[WEATHER_CODE]]=2,"cloudy",IF(final_data787[[#This Row],[WEATHER_CODE]]=3,"light rain",IF(final_data787[[#This Row],[WEATHER_CODE]]=4,"heavy rain",0))))</f>
        <v>cloudy</v>
      </c>
      <c r="N854">
        <v>0.3</v>
      </c>
      <c r="O854">
        <v>0.33329999999999999</v>
      </c>
      <c r="P854">
        <v>0.81</v>
      </c>
      <c r="Q854">
        <v>0</v>
      </c>
      <c r="R854">
        <v>6</v>
      </c>
      <c r="S854">
        <v>19</v>
      </c>
      <c r="T854">
        <v>25</v>
      </c>
    </row>
    <row r="855" spans="1:20" x14ac:dyDescent="0.35">
      <c r="A855">
        <v>854</v>
      </c>
      <c r="B855" s="1">
        <v>40582</v>
      </c>
      <c r="C855">
        <v>1</v>
      </c>
      <c r="D855">
        <v>0</v>
      </c>
      <c r="E855">
        <v>2</v>
      </c>
      <c r="F855" t="str">
        <f>IF(final_data787[[#This Row],[MONTH_CODE]]=1,"JANUARY",IF(final_data787[[#This Row],[MONTH_CODE]]=2,"FEBRUARY"))</f>
        <v>FEBRUARY</v>
      </c>
      <c r="G855">
        <v>0</v>
      </c>
      <c r="H855">
        <v>0</v>
      </c>
      <c r="I855">
        <v>2</v>
      </c>
      <c r="J8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5" t="str">
        <f>IF(final_data787[[#This Row],[DAY_CODE]]=0,"weekend",IF(final_data787[[#This Row],[DAY_CODE]]=1,"weekend","weekday"))</f>
        <v>weekday</v>
      </c>
      <c r="L855">
        <v>2</v>
      </c>
      <c r="M855" t="str">
        <f>IF(final_data787[[#This Row],[WEATHER_CODE]]=1,"clear",IF(final_data787[[#This Row],[WEATHER_CODE]]=2,"cloudy",IF(final_data787[[#This Row],[WEATHER_CODE]]=3,"light rain",IF(final_data787[[#This Row],[WEATHER_CODE]]=4,"heavy rain",0))))</f>
        <v>cloudy</v>
      </c>
      <c r="N855">
        <v>0.28000000000000003</v>
      </c>
      <c r="O855">
        <v>0.31819999999999998</v>
      </c>
      <c r="P855">
        <v>0.87</v>
      </c>
      <c r="Q855">
        <v>0</v>
      </c>
      <c r="R855">
        <v>4</v>
      </c>
      <c r="S855">
        <v>6</v>
      </c>
      <c r="T855">
        <v>10</v>
      </c>
    </row>
    <row r="856" spans="1:20" x14ac:dyDescent="0.35">
      <c r="A856">
        <v>855</v>
      </c>
      <c r="B856" s="1">
        <v>40582</v>
      </c>
      <c r="C856">
        <v>1</v>
      </c>
      <c r="D856">
        <v>0</v>
      </c>
      <c r="E856">
        <v>2</v>
      </c>
      <c r="F856" t="str">
        <f>IF(final_data787[[#This Row],[MONTH_CODE]]=1,"JANUARY",IF(final_data787[[#This Row],[MONTH_CODE]]=2,"FEBRUARY"))</f>
        <v>FEBRUARY</v>
      </c>
      <c r="G856">
        <v>1</v>
      </c>
      <c r="H856">
        <v>0</v>
      </c>
      <c r="I856">
        <v>2</v>
      </c>
      <c r="J8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6" t="str">
        <f>IF(final_data787[[#This Row],[DAY_CODE]]=0,"weekend",IF(final_data787[[#This Row],[DAY_CODE]]=1,"weekend","weekday"))</f>
        <v>weekday</v>
      </c>
      <c r="L856">
        <v>2</v>
      </c>
      <c r="M856" t="str">
        <f>IF(final_data787[[#This Row],[WEATHER_CODE]]=1,"clear",IF(final_data787[[#This Row],[WEATHER_CODE]]=2,"cloudy",IF(final_data787[[#This Row],[WEATHER_CODE]]=3,"light rain",IF(final_data787[[#This Row],[WEATHER_CODE]]=4,"heavy rain",0))))</f>
        <v>cloudy</v>
      </c>
      <c r="N856">
        <v>0.28000000000000003</v>
      </c>
      <c r="O856">
        <v>0.31819999999999998</v>
      </c>
      <c r="P856">
        <v>0.87</v>
      </c>
      <c r="Q856">
        <v>0</v>
      </c>
      <c r="R856">
        <v>0</v>
      </c>
      <c r="S856">
        <v>4</v>
      </c>
      <c r="T856">
        <v>4</v>
      </c>
    </row>
    <row r="857" spans="1:20" x14ac:dyDescent="0.35">
      <c r="A857">
        <v>856</v>
      </c>
      <c r="B857" s="1">
        <v>40582</v>
      </c>
      <c r="C857">
        <v>1</v>
      </c>
      <c r="D857">
        <v>0</v>
      </c>
      <c r="E857">
        <v>2</v>
      </c>
      <c r="F857" t="str">
        <f>IF(final_data787[[#This Row],[MONTH_CODE]]=1,"JANUARY",IF(final_data787[[#This Row],[MONTH_CODE]]=2,"FEBRUARY"))</f>
        <v>FEBRUARY</v>
      </c>
      <c r="G857">
        <v>2</v>
      </c>
      <c r="H857">
        <v>0</v>
      </c>
      <c r="I857">
        <v>2</v>
      </c>
      <c r="J8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7" t="str">
        <f>IF(final_data787[[#This Row],[DAY_CODE]]=0,"weekend",IF(final_data787[[#This Row],[DAY_CODE]]=1,"weekend","weekday"))</f>
        <v>weekday</v>
      </c>
      <c r="L857">
        <v>2</v>
      </c>
      <c r="M857" t="str">
        <f>IF(final_data787[[#This Row],[WEATHER_CODE]]=1,"clear",IF(final_data787[[#This Row],[WEATHER_CODE]]=2,"cloudy",IF(final_data787[[#This Row],[WEATHER_CODE]]=3,"light rain",IF(final_data787[[#This Row],[WEATHER_CODE]]=4,"heavy rain",0))))</f>
        <v>cloudy</v>
      </c>
      <c r="N857">
        <v>0.26</v>
      </c>
      <c r="O857">
        <v>0.2727</v>
      </c>
      <c r="P857">
        <v>0.93</v>
      </c>
      <c r="Q857">
        <v>0.1045</v>
      </c>
      <c r="R857">
        <v>1</v>
      </c>
      <c r="S857">
        <v>1</v>
      </c>
      <c r="T857">
        <v>2</v>
      </c>
    </row>
    <row r="858" spans="1:20" x14ac:dyDescent="0.35">
      <c r="A858">
        <v>857</v>
      </c>
      <c r="B858" s="1">
        <v>40582</v>
      </c>
      <c r="C858">
        <v>1</v>
      </c>
      <c r="D858">
        <v>0</v>
      </c>
      <c r="E858">
        <v>2</v>
      </c>
      <c r="F858" t="str">
        <f>IF(final_data787[[#This Row],[MONTH_CODE]]=1,"JANUARY",IF(final_data787[[#This Row],[MONTH_CODE]]=2,"FEBRUARY"))</f>
        <v>FEBRUARY</v>
      </c>
      <c r="G858">
        <v>3</v>
      </c>
      <c r="H858">
        <v>0</v>
      </c>
      <c r="I858">
        <v>2</v>
      </c>
      <c r="J8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8" t="str">
        <f>IF(final_data787[[#This Row],[DAY_CODE]]=0,"weekend",IF(final_data787[[#This Row],[DAY_CODE]]=1,"weekend","weekday"))</f>
        <v>weekday</v>
      </c>
      <c r="L858">
        <v>3</v>
      </c>
      <c r="M858" t="str">
        <f>IF(final_data787[[#This Row],[WEATHER_CODE]]=1,"clear",IF(final_data787[[#This Row],[WEATHER_CODE]]=2,"cloudy",IF(final_data787[[#This Row],[WEATHER_CODE]]=3,"light rain",IF(final_data787[[#This Row],[WEATHER_CODE]]=4,"heavy rain",0))))</f>
        <v>light rain</v>
      </c>
      <c r="N858">
        <v>0.28000000000000003</v>
      </c>
      <c r="O858">
        <v>0.2727</v>
      </c>
      <c r="P858">
        <v>0.93</v>
      </c>
      <c r="Q858">
        <v>0.16420000000000001</v>
      </c>
      <c r="R858">
        <v>0</v>
      </c>
      <c r="S858">
        <v>1</v>
      </c>
      <c r="T858">
        <v>1</v>
      </c>
    </row>
    <row r="859" spans="1:20" x14ac:dyDescent="0.35">
      <c r="A859">
        <v>858</v>
      </c>
      <c r="B859" s="1">
        <v>40582</v>
      </c>
      <c r="C859">
        <v>1</v>
      </c>
      <c r="D859">
        <v>0</v>
      </c>
      <c r="E859">
        <v>2</v>
      </c>
      <c r="F859" t="str">
        <f>IF(final_data787[[#This Row],[MONTH_CODE]]=1,"JANUARY",IF(final_data787[[#This Row],[MONTH_CODE]]=2,"FEBRUARY"))</f>
        <v>FEBRUARY</v>
      </c>
      <c r="G859">
        <v>4</v>
      </c>
      <c r="H859">
        <v>0</v>
      </c>
      <c r="I859">
        <v>2</v>
      </c>
      <c r="J8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59" t="str">
        <f>IF(final_data787[[#This Row],[DAY_CODE]]=0,"weekend",IF(final_data787[[#This Row],[DAY_CODE]]=1,"weekend","weekday"))</f>
        <v>weekday</v>
      </c>
      <c r="L859">
        <v>1</v>
      </c>
      <c r="M859" t="str">
        <f>IF(final_data787[[#This Row],[WEATHER_CODE]]=1,"clear",IF(final_data787[[#This Row],[WEATHER_CODE]]=2,"cloudy",IF(final_data787[[#This Row],[WEATHER_CODE]]=3,"light rain",IF(final_data787[[#This Row],[WEATHER_CODE]]=4,"heavy rain",0))))</f>
        <v>clear</v>
      </c>
      <c r="N859">
        <v>0.26</v>
      </c>
      <c r="O859">
        <v>0.2576</v>
      </c>
      <c r="P859">
        <v>0.93</v>
      </c>
      <c r="Q859">
        <v>0.16420000000000001</v>
      </c>
      <c r="R859">
        <v>0</v>
      </c>
      <c r="S859">
        <v>3</v>
      </c>
      <c r="T859">
        <v>3</v>
      </c>
    </row>
    <row r="860" spans="1:20" x14ac:dyDescent="0.35">
      <c r="A860">
        <v>859</v>
      </c>
      <c r="B860" s="1">
        <v>40582</v>
      </c>
      <c r="C860">
        <v>1</v>
      </c>
      <c r="D860">
        <v>0</v>
      </c>
      <c r="E860">
        <v>2</v>
      </c>
      <c r="F860" t="str">
        <f>IF(final_data787[[#This Row],[MONTH_CODE]]=1,"JANUARY",IF(final_data787[[#This Row],[MONTH_CODE]]=2,"FEBRUARY"))</f>
        <v>FEBRUARY</v>
      </c>
      <c r="G860">
        <v>5</v>
      </c>
      <c r="H860">
        <v>0</v>
      </c>
      <c r="I860">
        <v>2</v>
      </c>
      <c r="J8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0" t="str">
        <f>IF(final_data787[[#This Row],[DAY_CODE]]=0,"weekend",IF(final_data787[[#This Row],[DAY_CODE]]=1,"weekend","weekday"))</f>
        <v>weekday</v>
      </c>
      <c r="L860">
        <v>1</v>
      </c>
      <c r="M860" t="str">
        <f>IF(final_data787[[#This Row],[WEATHER_CODE]]=1,"clear",IF(final_data787[[#This Row],[WEATHER_CODE]]=2,"cloudy",IF(final_data787[[#This Row],[WEATHER_CODE]]=3,"light rain",IF(final_data787[[#This Row],[WEATHER_CODE]]=4,"heavy rain",0))))</f>
        <v>clear</v>
      </c>
      <c r="N860">
        <v>0.26</v>
      </c>
      <c r="O860">
        <v>0.2273</v>
      </c>
      <c r="P860">
        <v>0.81</v>
      </c>
      <c r="Q860">
        <v>0.32840000000000003</v>
      </c>
      <c r="R860">
        <v>0</v>
      </c>
      <c r="S860">
        <v>2</v>
      </c>
      <c r="T860">
        <v>2</v>
      </c>
    </row>
    <row r="861" spans="1:20" x14ac:dyDescent="0.35">
      <c r="A861">
        <v>860</v>
      </c>
      <c r="B861" s="1">
        <v>40582</v>
      </c>
      <c r="C861">
        <v>1</v>
      </c>
      <c r="D861">
        <v>0</v>
      </c>
      <c r="E861">
        <v>2</v>
      </c>
      <c r="F861" t="str">
        <f>IF(final_data787[[#This Row],[MONTH_CODE]]=1,"JANUARY",IF(final_data787[[#This Row],[MONTH_CODE]]=2,"FEBRUARY"))</f>
        <v>FEBRUARY</v>
      </c>
      <c r="G861">
        <v>6</v>
      </c>
      <c r="H861">
        <v>0</v>
      </c>
      <c r="I861">
        <v>2</v>
      </c>
      <c r="J8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1" t="str">
        <f>IF(final_data787[[#This Row],[DAY_CODE]]=0,"weekend",IF(final_data787[[#This Row],[DAY_CODE]]=1,"weekend","weekday"))</f>
        <v>weekday</v>
      </c>
      <c r="L861">
        <v>1</v>
      </c>
      <c r="M861" t="str">
        <f>IF(final_data787[[#This Row],[WEATHER_CODE]]=1,"clear",IF(final_data787[[#This Row],[WEATHER_CODE]]=2,"cloudy",IF(final_data787[[#This Row],[WEATHER_CODE]]=3,"light rain",IF(final_data787[[#This Row],[WEATHER_CODE]]=4,"heavy rain",0))))</f>
        <v>clear</v>
      </c>
      <c r="N861">
        <v>0.26</v>
      </c>
      <c r="O861">
        <v>0.2273</v>
      </c>
      <c r="P861">
        <v>0.7</v>
      </c>
      <c r="Q861">
        <v>0.32840000000000003</v>
      </c>
      <c r="R861">
        <v>0</v>
      </c>
      <c r="S861">
        <v>39</v>
      </c>
      <c r="T861">
        <v>39</v>
      </c>
    </row>
    <row r="862" spans="1:20" x14ac:dyDescent="0.35">
      <c r="A862">
        <v>861</v>
      </c>
      <c r="B862" s="1">
        <v>40582</v>
      </c>
      <c r="C862">
        <v>1</v>
      </c>
      <c r="D862">
        <v>0</v>
      </c>
      <c r="E862">
        <v>2</v>
      </c>
      <c r="F862" t="str">
        <f>IF(final_data787[[#This Row],[MONTH_CODE]]=1,"JANUARY",IF(final_data787[[#This Row],[MONTH_CODE]]=2,"FEBRUARY"))</f>
        <v>FEBRUARY</v>
      </c>
      <c r="G862">
        <v>7</v>
      </c>
      <c r="H862">
        <v>0</v>
      </c>
      <c r="I862">
        <v>2</v>
      </c>
      <c r="J8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2" t="str">
        <f>IF(final_data787[[#This Row],[DAY_CODE]]=0,"weekend",IF(final_data787[[#This Row],[DAY_CODE]]=1,"weekend","weekday"))</f>
        <v>weekday</v>
      </c>
      <c r="L862">
        <v>1</v>
      </c>
      <c r="M862" t="str">
        <f>IF(final_data787[[#This Row],[WEATHER_CODE]]=1,"clear",IF(final_data787[[#This Row],[WEATHER_CODE]]=2,"cloudy",IF(final_data787[[#This Row],[WEATHER_CODE]]=3,"light rain",IF(final_data787[[#This Row],[WEATHER_CODE]]=4,"heavy rain",0))))</f>
        <v>clear</v>
      </c>
      <c r="N862">
        <v>0.24</v>
      </c>
      <c r="O862">
        <v>0.19700000000000001</v>
      </c>
      <c r="P862">
        <v>0.65</v>
      </c>
      <c r="Q862">
        <v>0.41789999999999999</v>
      </c>
      <c r="R862">
        <v>3</v>
      </c>
      <c r="S862">
        <v>97</v>
      </c>
      <c r="T862">
        <v>100</v>
      </c>
    </row>
    <row r="863" spans="1:20" x14ac:dyDescent="0.35">
      <c r="A863">
        <v>862</v>
      </c>
      <c r="B863" s="1">
        <v>40582</v>
      </c>
      <c r="C863">
        <v>1</v>
      </c>
      <c r="D863">
        <v>0</v>
      </c>
      <c r="E863">
        <v>2</v>
      </c>
      <c r="F863" t="str">
        <f>IF(final_data787[[#This Row],[MONTH_CODE]]=1,"JANUARY",IF(final_data787[[#This Row],[MONTH_CODE]]=2,"FEBRUARY"))</f>
        <v>FEBRUARY</v>
      </c>
      <c r="G863">
        <v>8</v>
      </c>
      <c r="H863">
        <v>0</v>
      </c>
      <c r="I863">
        <v>2</v>
      </c>
      <c r="J8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3" t="str">
        <f>IF(final_data787[[#This Row],[DAY_CODE]]=0,"weekend",IF(final_data787[[#This Row],[DAY_CODE]]=1,"weekend","weekday"))</f>
        <v>weekday</v>
      </c>
      <c r="L863">
        <v>1</v>
      </c>
      <c r="M863" t="str">
        <f>IF(final_data787[[#This Row],[WEATHER_CODE]]=1,"clear",IF(final_data787[[#This Row],[WEATHER_CODE]]=2,"cloudy",IF(final_data787[[#This Row],[WEATHER_CODE]]=3,"light rain",IF(final_data787[[#This Row],[WEATHER_CODE]]=4,"heavy rain",0))))</f>
        <v>clear</v>
      </c>
      <c r="N863">
        <v>0.24</v>
      </c>
      <c r="O863">
        <v>0.19700000000000001</v>
      </c>
      <c r="P863">
        <v>0.56000000000000005</v>
      </c>
      <c r="Q863">
        <v>0.49249999999999999</v>
      </c>
      <c r="R863">
        <v>7</v>
      </c>
      <c r="S863">
        <v>236</v>
      </c>
      <c r="T863">
        <v>243</v>
      </c>
    </row>
    <row r="864" spans="1:20" x14ac:dyDescent="0.35">
      <c r="A864">
        <v>863</v>
      </c>
      <c r="B864" s="1">
        <v>40582</v>
      </c>
      <c r="C864">
        <v>1</v>
      </c>
      <c r="D864">
        <v>0</v>
      </c>
      <c r="E864">
        <v>2</v>
      </c>
      <c r="F864" t="str">
        <f>IF(final_data787[[#This Row],[MONTH_CODE]]=1,"JANUARY",IF(final_data787[[#This Row],[MONTH_CODE]]=2,"FEBRUARY"))</f>
        <v>FEBRUARY</v>
      </c>
      <c r="G864">
        <v>9</v>
      </c>
      <c r="H864">
        <v>0</v>
      </c>
      <c r="I864">
        <v>2</v>
      </c>
      <c r="J8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4" t="str">
        <f>IF(final_data787[[#This Row],[DAY_CODE]]=0,"weekend",IF(final_data787[[#This Row],[DAY_CODE]]=1,"weekend","weekday"))</f>
        <v>weekday</v>
      </c>
      <c r="L864">
        <v>1</v>
      </c>
      <c r="M864" t="str">
        <f>IF(final_data787[[#This Row],[WEATHER_CODE]]=1,"clear",IF(final_data787[[#This Row],[WEATHER_CODE]]=2,"cloudy",IF(final_data787[[#This Row],[WEATHER_CODE]]=3,"light rain",IF(final_data787[[#This Row],[WEATHER_CODE]]=4,"heavy rain",0))))</f>
        <v>clear</v>
      </c>
      <c r="N864">
        <v>0.24</v>
      </c>
      <c r="O864">
        <v>0.19700000000000001</v>
      </c>
      <c r="P864">
        <v>0.52</v>
      </c>
      <c r="Q864">
        <v>0.49249999999999999</v>
      </c>
      <c r="R864">
        <v>7</v>
      </c>
      <c r="S864">
        <v>128</v>
      </c>
      <c r="T864">
        <v>135</v>
      </c>
    </row>
    <row r="865" spans="1:20" x14ac:dyDescent="0.35">
      <c r="A865">
        <v>864</v>
      </c>
      <c r="B865" s="1">
        <v>40582</v>
      </c>
      <c r="C865">
        <v>1</v>
      </c>
      <c r="D865">
        <v>0</v>
      </c>
      <c r="E865">
        <v>2</v>
      </c>
      <c r="F865" t="str">
        <f>IF(final_data787[[#This Row],[MONTH_CODE]]=1,"JANUARY",IF(final_data787[[#This Row],[MONTH_CODE]]=2,"FEBRUARY"))</f>
        <v>FEBRUARY</v>
      </c>
      <c r="G865">
        <v>10</v>
      </c>
      <c r="H865">
        <v>0</v>
      </c>
      <c r="I865">
        <v>2</v>
      </c>
      <c r="J8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5" t="str">
        <f>IF(final_data787[[#This Row],[DAY_CODE]]=0,"weekend",IF(final_data787[[#This Row],[DAY_CODE]]=1,"weekend","weekday"))</f>
        <v>weekday</v>
      </c>
      <c r="L865">
        <v>1</v>
      </c>
      <c r="M865" t="str">
        <f>IF(final_data787[[#This Row],[WEATHER_CODE]]=1,"clear",IF(final_data787[[#This Row],[WEATHER_CODE]]=2,"cloudy",IF(final_data787[[#This Row],[WEATHER_CODE]]=3,"light rain",IF(final_data787[[#This Row],[WEATHER_CODE]]=4,"heavy rain",0))))</f>
        <v>clear</v>
      </c>
      <c r="N865">
        <v>0.22</v>
      </c>
      <c r="O865">
        <v>0.18179999999999999</v>
      </c>
      <c r="P865">
        <v>0.47</v>
      </c>
      <c r="Q865">
        <v>0.55220000000000002</v>
      </c>
      <c r="R865">
        <v>4</v>
      </c>
      <c r="S865">
        <v>44</v>
      </c>
      <c r="T865">
        <v>48</v>
      </c>
    </row>
    <row r="866" spans="1:20" x14ac:dyDescent="0.35">
      <c r="A866">
        <v>865</v>
      </c>
      <c r="B866" s="1">
        <v>40582</v>
      </c>
      <c r="C866">
        <v>1</v>
      </c>
      <c r="D866">
        <v>0</v>
      </c>
      <c r="E866">
        <v>2</v>
      </c>
      <c r="F866" t="str">
        <f>IF(final_data787[[#This Row],[MONTH_CODE]]=1,"JANUARY",IF(final_data787[[#This Row],[MONTH_CODE]]=2,"FEBRUARY"))</f>
        <v>FEBRUARY</v>
      </c>
      <c r="G866">
        <v>11</v>
      </c>
      <c r="H866">
        <v>0</v>
      </c>
      <c r="I866">
        <v>2</v>
      </c>
      <c r="J8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6" t="str">
        <f>IF(final_data787[[#This Row],[DAY_CODE]]=0,"weekend",IF(final_data787[[#This Row],[DAY_CODE]]=1,"weekend","weekday"))</f>
        <v>weekday</v>
      </c>
      <c r="L866">
        <v>1</v>
      </c>
      <c r="M866" t="str">
        <f>IF(final_data787[[#This Row],[WEATHER_CODE]]=1,"clear",IF(final_data787[[#This Row],[WEATHER_CODE]]=2,"cloudy",IF(final_data787[[#This Row],[WEATHER_CODE]]=3,"light rain",IF(final_data787[[#This Row],[WEATHER_CODE]]=4,"heavy rain",0))))</f>
        <v>clear</v>
      </c>
      <c r="N866">
        <v>0.22</v>
      </c>
      <c r="O866">
        <v>0.18179999999999999</v>
      </c>
      <c r="P866">
        <v>0.47</v>
      </c>
      <c r="Q866">
        <v>0.4627</v>
      </c>
      <c r="R866">
        <v>1</v>
      </c>
      <c r="S866">
        <v>49</v>
      </c>
      <c r="T866">
        <v>50</v>
      </c>
    </row>
    <row r="867" spans="1:20" x14ac:dyDescent="0.35">
      <c r="A867">
        <v>866</v>
      </c>
      <c r="B867" s="1">
        <v>40582</v>
      </c>
      <c r="C867">
        <v>1</v>
      </c>
      <c r="D867">
        <v>0</v>
      </c>
      <c r="E867">
        <v>2</v>
      </c>
      <c r="F867" t="str">
        <f>IF(final_data787[[#This Row],[MONTH_CODE]]=1,"JANUARY",IF(final_data787[[#This Row],[MONTH_CODE]]=2,"FEBRUARY"))</f>
        <v>FEBRUARY</v>
      </c>
      <c r="G867">
        <v>12</v>
      </c>
      <c r="H867">
        <v>0</v>
      </c>
      <c r="I867">
        <v>2</v>
      </c>
      <c r="J8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7" t="str">
        <f>IF(final_data787[[#This Row],[DAY_CODE]]=0,"weekend",IF(final_data787[[#This Row],[DAY_CODE]]=1,"weekend","weekday"))</f>
        <v>weekday</v>
      </c>
      <c r="L867">
        <v>1</v>
      </c>
      <c r="M867" t="str">
        <f>IF(final_data787[[#This Row],[WEATHER_CODE]]=1,"clear",IF(final_data787[[#This Row],[WEATHER_CODE]]=2,"cloudy",IF(final_data787[[#This Row],[WEATHER_CODE]]=3,"light rain",IF(final_data787[[#This Row],[WEATHER_CODE]]=4,"heavy rain",0))))</f>
        <v>clear</v>
      </c>
      <c r="N867">
        <v>0.24</v>
      </c>
      <c r="O867">
        <v>0.19700000000000001</v>
      </c>
      <c r="P867">
        <v>0.38</v>
      </c>
      <c r="Q867">
        <v>0.49249999999999999</v>
      </c>
      <c r="R867">
        <v>2</v>
      </c>
      <c r="S867">
        <v>63</v>
      </c>
      <c r="T867">
        <v>65</v>
      </c>
    </row>
    <row r="868" spans="1:20" x14ac:dyDescent="0.35">
      <c r="A868">
        <v>867</v>
      </c>
      <c r="B868" s="1">
        <v>40582</v>
      </c>
      <c r="C868">
        <v>1</v>
      </c>
      <c r="D868">
        <v>0</v>
      </c>
      <c r="E868">
        <v>2</v>
      </c>
      <c r="F868" t="str">
        <f>IF(final_data787[[#This Row],[MONTH_CODE]]=1,"JANUARY",IF(final_data787[[#This Row],[MONTH_CODE]]=2,"FEBRUARY"))</f>
        <v>FEBRUARY</v>
      </c>
      <c r="G868">
        <v>13</v>
      </c>
      <c r="H868">
        <v>0</v>
      </c>
      <c r="I868">
        <v>2</v>
      </c>
      <c r="J8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8" t="str">
        <f>IF(final_data787[[#This Row],[DAY_CODE]]=0,"weekend",IF(final_data787[[#This Row],[DAY_CODE]]=1,"weekend","weekday"))</f>
        <v>weekday</v>
      </c>
      <c r="L868">
        <v>2</v>
      </c>
      <c r="M868" t="str">
        <f>IF(final_data787[[#This Row],[WEATHER_CODE]]=1,"clear",IF(final_data787[[#This Row],[WEATHER_CODE]]=2,"cloudy",IF(final_data787[[#This Row],[WEATHER_CODE]]=3,"light rain",IF(final_data787[[#This Row],[WEATHER_CODE]]=4,"heavy rain",0))))</f>
        <v>cloudy</v>
      </c>
      <c r="N868">
        <v>0.24</v>
      </c>
      <c r="O868">
        <v>0.19700000000000001</v>
      </c>
      <c r="P868">
        <v>0.32</v>
      </c>
      <c r="Q868">
        <v>0.44779999999999998</v>
      </c>
      <c r="R868">
        <v>2</v>
      </c>
      <c r="S868">
        <v>48</v>
      </c>
      <c r="T868">
        <v>50</v>
      </c>
    </row>
    <row r="869" spans="1:20" x14ac:dyDescent="0.35">
      <c r="A869">
        <v>868</v>
      </c>
      <c r="B869" s="1">
        <v>40582</v>
      </c>
      <c r="C869">
        <v>1</v>
      </c>
      <c r="D869">
        <v>0</v>
      </c>
      <c r="E869">
        <v>2</v>
      </c>
      <c r="F869" t="str">
        <f>IF(final_data787[[#This Row],[MONTH_CODE]]=1,"JANUARY",IF(final_data787[[#This Row],[MONTH_CODE]]=2,"FEBRUARY"))</f>
        <v>FEBRUARY</v>
      </c>
      <c r="G869">
        <v>14</v>
      </c>
      <c r="H869">
        <v>0</v>
      </c>
      <c r="I869">
        <v>2</v>
      </c>
      <c r="J8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69" t="str">
        <f>IF(final_data787[[#This Row],[DAY_CODE]]=0,"weekend",IF(final_data787[[#This Row],[DAY_CODE]]=1,"weekend","weekday"))</f>
        <v>weekday</v>
      </c>
      <c r="L869">
        <v>1</v>
      </c>
      <c r="M869" t="str">
        <f>IF(final_data787[[#This Row],[WEATHER_CODE]]=1,"clear",IF(final_data787[[#This Row],[WEATHER_CODE]]=2,"cloudy",IF(final_data787[[#This Row],[WEATHER_CODE]]=3,"light rain",IF(final_data787[[#This Row],[WEATHER_CODE]]=4,"heavy rain",0))))</f>
        <v>clear</v>
      </c>
      <c r="N869">
        <v>0.22</v>
      </c>
      <c r="O869">
        <v>0.19700000000000001</v>
      </c>
      <c r="P869">
        <v>0.37</v>
      </c>
      <c r="Q869">
        <v>0.41789999999999999</v>
      </c>
      <c r="R869">
        <v>3</v>
      </c>
      <c r="S869">
        <v>61</v>
      </c>
      <c r="T869">
        <v>64</v>
      </c>
    </row>
    <row r="870" spans="1:20" x14ac:dyDescent="0.35">
      <c r="A870">
        <v>869</v>
      </c>
      <c r="B870" s="1">
        <v>40582</v>
      </c>
      <c r="C870">
        <v>1</v>
      </c>
      <c r="D870">
        <v>0</v>
      </c>
      <c r="E870">
        <v>2</v>
      </c>
      <c r="F870" t="str">
        <f>IF(final_data787[[#This Row],[MONTH_CODE]]=1,"JANUARY",IF(final_data787[[#This Row],[MONTH_CODE]]=2,"FEBRUARY"))</f>
        <v>FEBRUARY</v>
      </c>
      <c r="G870">
        <v>15</v>
      </c>
      <c r="H870">
        <v>0</v>
      </c>
      <c r="I870">
        <v>2</v>
      </c>
      <c r="J8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0" t="str">
        <f>IF(final_data787[[#This Row],[DAY_CODE]]=0,"weekend",IF(final_data787[[#This Row],[DAY_CODE]]=1,"weekend","weekday"))</f>
        <v>weekday</v>
      </c>
      <c r="L870">
        <v>1</v>
      </c>
      <c r="M870" t="str">
        <f>IF(final_data787[[#This Row],[WEATHER_CODE]]=1,"clear",IF(final_data787[[#This Row],[WEATHER_CODE]]=2,"cloudy",IF(final_data787[[#This Row],[WEATHER_CODE]]=3,"light rain",IF(final_data787[[#This Row],[WEATHER_CODE]]=4,"heavy rain",0))))</f>
        <v>clear</v>
      </c>
      <c r="N870">
        <v>0.22</v>
      </c>
      <c r="O870">
        <v>0.19700000000000001</v>
      </c>
      <c r="P870">
        <v>0.35</v>
      </c>
      <c r="Q870">
        <v>0.3881</v>
      </c>
      <c r="R870">
        <v>6</v>
      </c>
      <c r="S870">
        <v>45</v>
      </c>
      <c r="T870">
        <v>51</v>
      </c>
    </row>
    <row r="871" spans="1:20" x14ac:dyDescent="0.35">
      <c r="A871">
        <v>870</v>
      </c>
      <c r="B871" s="1">
        <v>40582</v>
      </c>
      <c r="C871">
        <v>1</v>
      </c>
      <c r="D871">
        <v>0</v>
      </c>
      <c r="E871">
        <v>2</v>
      </c>
      <c r="F871" t="str">
        <f>IF(final_data787[[#This Row],[MONTH_CODE]]=1,"JANUARY",IF(final_data787[[#This Row],[MONTH_CODE]]=2,"FEBRUARY"))</f>
        <v>FEBRUARY</v>
      </c>
      <c r="G871">
        <v>16</v>
      </c>
      <c r="H871">
        <v>0</v>
      </c>
      <c r="I871">
        <v>2</v>
      </c>
      <c r="J8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1" t="str">
        <f>IF(final_data787[[#This Row],[DAY_CODE]]=0,"weekend",IF(final_data787[[#This Row],[DAY_CODE]]=1,"weekend","weekday"))</f>
        <v>weekday</v>
      </c>
      <c r="L871">
        <v>1</v>
      </c>
      <c r="M871" t="str">
        <f>IF(final_data787[[#This Row],[WEATHER_CODE]]=1,"clear",IF(final_data787[[#This Row],[WEATHER_CODE]]=2,"cloudy",IF(final_data787[[#This Row],[WEATHER_CODE]]=3,"light rain",IF(final_data787[[#This Row],[WEATHER_CODE]]=4,"heavy rain",0))))</f>
        <v>clear</v>
      </c>
      <c r="N871">
        <v>0.22</v>
      </c>
      <c r="O871">
        <v>0.18179999999999999</v>
      </c>
      <c r="P871">
        <v>0.35</v>
      </c>
      <c r="Q871">
        <v>0.52239999999999998</v>
      </c>
      <c r="R871">
        <v>4</v>
      </c>
      <c r="S871">
        <v>79</v>
      </c>
      <c r="T871">
        <v>83</v>
      </c>
    </row>
    <row r="872" spans="1:20" x14ac:dyDescent="0.35">
      <c r="A872">
        <v>871</v>
      </c>
      <c r="B872" s="1">
        <v>40582</v>
      </c>
      <c r="C872">
        <v>1</v>
      </c>
      <c r="D872">
        <v>0</v>
      </c>
      <c r="E872">
        <v>2</v>
      </c>
      <c r="F872" t="str">
        <f>IF(final_data787[[#This Row],[MONTH_CODE]]=1,"JANUARY",IF(final_data787[[#This Row],[MONTH_CODE]]=2,"FEBRUARY"))</f>
        <v>FEBRUARY</v>
      </c>
      <c r="G872">
        <v>17</v>
      </c>
      <c r="H872">
        <v>0</v>
      </c>
      <c r="I872">
        <v>2</v>
      </c>
      <c r="J8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2" t="str">
        <f>IF(final_data787[[#This Row],[DAY_CODE]]=0,"weekend",IF(final_data787[[#This Row],[DAY_CODE]]=1,"weekend","weekday"))</f>
        <v>weekday</v>
      </c>
      <c r="L872">
        <v>1</v>
      </c>
      <c r="M872" t="str">
        <f>IF(final_data787[[#This Row],[WEATHER_CODE]]=1,"clear",IF(final_data787[[#This Row],[WEATHER_CODE]]=2,"cloudy",IF(final_data787[[#This Row],[WEATHER_CODE]]=3,"light rain",IF(final_data787[[#This Row],[WEATHER_CODE]]=4,"heavy rain",0))))</f>
        <v>clear</v>
      </c>
      <c r="N872">
        <v>0.22</v>
      </c>
      <c r="O872">
        <v>0.18179999999999999</v>
      </c>
      <c r="P872">
        <v>0.32</v>
      </c>
      <c r="Q872">
        <v>0.58209999999999995</v>
      </c>
      <c r="R872">
        <v>4</v>
      </c>
      <c r="S872">
        <v>172</v>
      </c>
      <c r="T872">
        <v>176</v>
      </c>
    </row>
    <row r="873" spans="1:20" x14ac:dyDescent="0.35">
      <c r="A873">
        <v>872</v>
      </c>
      <c r="B873" s="1">
        <v>40582</v>
      </c>
      <c r="C873">
        <v>1</v>
      </c>
      <c r="D873">
        <v>0</v>
      </c>
      <c r="E873">
        <v>2</v>
      </c>
      <c r="F873" t="str">
        <f>IF(final_data787[[#This Row],[MONTH_CODE]]=1,"JANUARY",IF(final_data787[[#This Row],[MONTH_CODE]]=2,"FEBRUARY"))</f>
        <v>FEBRUARY</v>
      </c>
      <c r="G873">
        <v>18</v>
      </c>
      <c r="H873">
        <v>0</v>
      </c>
      <c r="I873">
        <v>2</v>
      </c>
      <c r="J8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3" t="str">
        <f>IF(final_data787[[#This Row],[DAY_CODE]]=0,"weekend",IF(final_data787[[#This Row],[DAY_CODE]]=1,"weekend","weekday"))</f>
        <v>weekday</v>
      </c>
      <c r="L873">
        <v>1</v>
      </c>
      <c r="M873" t="str">
        <f>IF(final_data787[[#This Row],[WEATHER_CODE]]=1,"clear",IF(final_data787[[#This Row],[WEATHER_CODE]]=2,"cloudy",IF(final_data787[[#This Row],[WEATHER_CODE]]=3,"light rain",IF(final_data787[[#This Row],[WEATHER_CODE]]=4,"heavy rain",0))))</f>
        <v>clear</v>
      </c>
      <c r="N873">
        <v>0.2</v>
      </c>
      <c r="O873">
        <v>0.18179999999999999</v>
      </c>
      <c r="P873">
        <v>0.32</v>
      </c>
      <c r="Q873">
        <v>0.3881</v>
      </c>
      <c r="R873">
        <v>1</v>
      </c>
      <c r="S873">
        <v>151</v>
      </c>
      <c r="T873">
        <v>152</v>
      </c>
    </row>
    <row r="874" spans="1:20" x14ac:dyDescent="0.35">
      <c r="A874">
        <v>873</v>
      </c>
      <c r="B874" s="1">
        <v>40582</v>
      </c>
      <c r="C874">
        <v>1</v>
      </c>
      <c r="D874">
        <v>0</v>
      </c>
      <c r="E874">
        <v>2</v>
      </c>
      <c r="F874" t="str">
        <f>IF(final_data787[[#This Row],[MONTH_CODE]]=1,"JANUARY",IF(final_data787[[#This Row],[MONTH_CODE]]=2,"FEBRUARY"))</f>
        <v>FEBRUARY</v>
      </c>
      <c r="G874">
        <v>19</v>
      </c>
      <c r="H874">
        <v>0</v>
      </c>
      <c r="I874">
        <v>2</v>
      </c>
      <c r="J8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4" t="str">
        <f>IF(final_data787[[#This Row],[DAY_CODE]]=0,"weekend",IF(final_data787[[#This Row],[DAY_CODE]]=1,"weekend","weekday"))</f>
        <v>weekday</v>
      </c>
      <c r="L874">
        <v>1</v>
      </c>
      <c r="M874" t="str">
        <f>IF(final_data787[[#This Row],[WEATHER_CODE]]=1,"clear",IF(final_data787[[#This Row],[WEATHER_CODE]]=2,"cloudy",IF(final_data787[[#This Row],[WEATHER_CODE]]=3,"light rain",IF(final_data787[[#This Row],[WEATHER_CODE]]=4,"heavy rain",0))))</f>
        <v>clear</v>
      </c>
      <c r="N874">
        <v>0.16</v>
      </c>
      <c r="O874">
        <v>0.1212</v>
      </c>
      <c r="P874">
        <v>0.4</v>
      </c>
      <c r="Q874">
        <v>0.4627</v>
      </c>
      <c r="R874">
        <v>1</v>
      </c>
      <c r="S874">
        <v>100</v>
      </c>
      <c r="T874">
        <v>101</v>
      </c>
    </row>
    <row r="875" spans="1:20" x14ac:dyDescent="0.35">
      <c r="A875">
        <v>874</v>
      </c>
      <c r="B875" s="1">
        <v>40582</v>
      </c>
      <c r="C875">
        <v>1</v>
      </c>
      <c r="D875">
        <v>0</v>
      </c>
      <c r="E875">
        <v>2</v>
      </c>
      <c r="F875" t="str">
        <f>IF(final_data787[[#This Row],[MONTH_CODE]]=1,"JANUARY",IF(final_data787[[#This Row],[MONTH_CODE]]=2,"FEBRUARY"))</f>
        <v>FEBRUARY</v>
      </c>
      <c r="G875">
        <v>20</v>
      </c>
      <c r="H875">
        <v>0</v>
      </c>
      <c r="I875">
        <v>2</v>
      </c>
      <c r="J8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5" t="str">
        <f>IF(final_data787[[#This Row],[DAY_CODE]]=0,"weekend",IF(final_data787[[#This Row],[DAY_CODE]]=1,"weekend","weekday"))</f>
        <v>weekday</v>
      </c>
      <c r="L875">
        <v>1</v>
      </c>
      <c r="M875" t="str">
        <f>IF(final_data787[[#This Row],[WEATHER_CODE]]=1,"clear",IF(final_data787[[#This Row],[WEATHER_CODE]]=2,"cloudy",IF(final_data787[[#This Row],[WEATHER_CODE]]=3,"light rain",IF(final_data787[[#This Row],[WEATHER_CODE]]=4,"heavy rain",0))))</f>
        <v>clear</v>
      </c>
      <c r="N875">
        <v>0.16</v>
      </c>
      <c r="O875">
        <v>0.13639999999999999</v>
      </c>
      <c r="P875">
        <v>0.4</v>
      </c>
      <c r="Q875">
        <v>0.32840000000000003</v>
      </c>
      <c r="R875">
        <v>3</v>
      </c>
      <c r="S875">
        <v>53</v>
      </c>
      <c r="T875">
        <v>56</v>
      </c>
    </row>
    <row r="876" spans="1:20" x14ac:dyDescent="0.35">
      <c r="A876">
        <v>875</v>
      </c>
      <c r="B876" s="1">
        <v>40582</v>
      </c>
      <c r="C876">
        <v>1</v>
      </c>
      <c r="D876">
        <v>0</v>
      </c>
      <c r="E876">
        <v>2</v>
      </c>
      <c r="F876" t="str">
        <f>IF(final_data787[[#This Row],[MONTH_CODE]]=1,"JANUARY",IF(final_data787[[#This Row],[MONTH_CODE]]=2,"FEBRUARY"))</f>
        <v>FEBRUARY</v>
      </c>
      <c r="G876">
        <v>21</v>
      </c>
      <c r="H876">
        <v>0</v>
      </c>
      <c r="I876">
        <v>2</v>
      </c>
      <c r="J8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6" t="str">
        <f>IF(final_data787[[#This Row],[DAY_CODE]]=0,"weekend",IF(final_data787[[#This Row],[DAY_CODE]]=1,"weekend","weekday"))</f>
        <v>weekday</v>
      </c>
      <c r="L876">
        <v>1</v>
      </c>
      <c r="M876" t="str">
        <f>IF(final_data787[[#This Row],[WEATHER_CODE]]=1,"clear",IF(final_data787[[#This Row],[WEATHER_CODE]]=2,"cloudy",IF(final_data787[[#This Row],[WEATHER_CODE]]=3,"light rain",IF(final_data787[[#This Row],[WEATHER_CODE]]=4,"heavy rain",0))))</f>
        <v>clear</v>
      </c>
      <c r="N876">
        <v>0.14000000000000001</v>
      </c>
      <c r="O876">
        <v>0.1061</v>
      </c>
      <c r="P876">
        <v>0.33</v>
      </c>
      <c r="Q876">
        <v>0.4627</v>
      </c>
      <c r="R876">
        <v>8</v>
      </c>
      <c r="S876">
        <v>46</v>
      </c>
      <c r="T876">
        <v>54</v>
      </c>
    </row>
    <row r="877" spans="1:20" x14ac:dyDescent="0.35">
      <c r="A877">
        <v>876</v>
      </c>
      <c r="B877" s="1">
        <v>40582</v>
      </c>
      <c r="C877">
        <v>1</v>
      </c>
      <c r="D877">
        <v>0</v>
      </c>
      <c r="E877">
        <v>2</v>
      </c>
      <c r="F877" t="str">
        <f>IF(final_data787[[#This Row],[MONTH_CODE]]=1,"JANUARY",IF(final_data787[[#This Row],[MONTH_CODE]]=2,"FEBRUARY"))</f>
        <v>FEBRUARY</v>
      </c>
      <c r="G877">
        <v>22</v>
      </c>
      <c r="H877">
        <v>0</v>
      </c>
      <c r="I877">
        <v>2</v>
      </c>
      <c r="J8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7" t="str">
        <f>IF(final_data787[[#This Row],[DAY_CODE]]=0,"weekend",IF(final_data787[[#This Row],[DAY_CODE]]=1,"weekend","weekday"))</f>
        <v>weekday</v>
      </c>
      <c r="L877">
        <v>1</v>
      </c>
      <c r="M877" t="str">
        <f>IF(final_data787[[#This Row],[WEATHER_CODE]]=1,"clear",IF(final_data787[[#This Row],[WEATHER_CODE]]=2,"cloudy",IF(final_data787[[#This Row],[WEATHER_CODE]]=3,"light rain",IF(final_data787[[#This Row],[WEATHER_CODE]]=4,"heavy rain",0))))</f>
        <v>clear</v>
      </c>
      <c r="N877">
        <v>0.12</v>
      </c>
      <c r="O877">
        <v>0.1061</v>
      </c>
      <c r="P877">
        <v>0.33</v>
      </c>
      <c r="Q877">
        <v>0.35820000000000002</v>
      </c>
      <c r="R877">
        <v>0</v>
      </c>
      <c r="S877">
        <v>29</v>
      </c>
      <c r="T877">
        <v>29</v>
      </c>
    </row>
    <row r="878" spans="1:20" x14ac:dyDescent="0.35">
      <c r="A878">
        <v>877</v>
      </c>
      <c r="B878" s="1">
        <v>40582</v>
      </c>
      <c r="C878">
        <v>1</v>
      </c>
      <c r="D878">
        <v>0</v>
      </c>
      <c r="E878">
        <v>2</v>
      </c>
      <c r="F878" t="str">
        <f>IF(final_data787[[#This Row],[MONTH_CODE]]=1,"JANUARY",IF(final_data787[[#This Row],[MONTH_CODE]]=2,"FEBRUARY"))</f>
        <v>FEBRUARY</v>
      </c>
      <c r="G878">
        <v>23</v>
      </c>
      <c r="H878">
        <v>0</v>
      </c>
      <c r="I878">
        <v>2</v>
      </c>
      <c r="J8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Tuesday</v>
      </c>
      <c r="K878" t="str">
        <f>IF(final_data787[[#This Row],[DAY_CODE]]=0,"weekend",IF(final_data787[[#This Row],[DAY_CODE]]=1,"weekend","weekday"))</f>
        <v>weekday</v>
      </c>
      <c r="L878">
        <v>1</v>
      </c>
      <c r="M878" t="str">
        <f>IF(final_data787[[#This Row],[WEATHER_CODE]]=1,"clear",IF(final_data787[[#This Row],[WEATHER_CODE]]=2,"cloudy",IF(final_data787[[#This Row],[WEATHER_CODE]]=3,"light rain",IF(final_data787[[#This Row],[WEATHER_CODE]]=4,"heavy rain",0))))</f>
        <v>clear</v>
      </c>
      <c r="N878">
        <v>0.12</v>
      </c>
      <c r="O878">
        <v>0.1061</v>
      </c>
      <c r="P878">
        <v>0.33</v>
      </c>
      <c r="Q878">
        <v>0.32840000000000003</v>
      </c>
      <c r="R878">
        <v>3</v>
      </c>
      <c r="S878">
        <v>9</v>
      </c>
      <c r="T878">
        <v>12</v>
      </c>
    </row>
    <row r="879" spans="1:20" x14ac:dyDescent="0.35">
      <c r="A879">
        <v>878</v>
      </c>
      <c r="B879" s="1">
        <v>40583</v>
      </c>
      <c r="C879">
        <v>1</v>
      </c>
      <c r="D879">
        <v>0</v>
      </c>
      <c r="E879">
        <v>2</v>
      </c>
      <c r="F879" t="str">
        <f>IF(final_data787[[#This Row],[MONTH_CODE]]=1,"JANUARY",IF(final_data787[[#This Row],[MONTH_CODE]]=2,"FEBRUARY"))</f>
        <v>FEBRUARY</v>
      </c>
      <c r="G879">
        <v>0</v>
      </c>
      <c r="H879">
        <v>0</v>
      </c>
      <c r="I879">
        <v>3</v>
      </c>
      <c r="J8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79" t="str">
        <f>IF(final_data787[[#This Row],[DAY_CODE]]=0,"weekend",IF(final_data787[[#This Row],[DAY_CODE]]=1,"weekend","weekday"))</f>
        <v>weekday</v>
      </c>
      <c r="L879">
        <v>1</v>
      </c>
      <c r="M879" t="str">
        <f>IF(final_data787[[#This Row],[WEATHER_CODE]]=1,"clear",IF(final_data787[[#This Row],[WEATHER_CODE]]=2,"cloudy",IF(final_data787[[#This Row],[WEATHER_CODE]]=3,"light rain",IF(final_data787[[#This Row],[WEATHER_CODE]]=4,"heavy rain",0))))</f>
        <v>clear</v>
      </c>
      <c r="N879">
        <v>0.1</v>
      </c>
      <c r="O879">
        <v>7.5800000000000006E-2</v>
      </c>
      <c r="P879">
        <v>0.36</v>
      </c>
      <c r="Q879">
        <v>0.35820000000000002</v>
      </c>
      <c r="R879">
        <v>0</v>
      </c>
      <c r="S879">
        <v>17</v>
      </c>
      <c r="T879">
        <v>17</v>
      </c>
    </row>
    <row r="880" spans="1:20" x14ac:dyDescent="0.35">
      <c r="A880">
        <v>879</v>
      </c>
      <c r="B880" s="1">
        <v>40583</v>
      </c>
      <c r="C880">
        <v>1</v>
      </c>
      <c r="D880">
        <v>0</v>
      </c>
      <c r="E880">
        <v>2</v>
      </c>
      <c r="F880" t="str">
        <f>IF(final_data787[[#This Row],[MONTH_CODE]]=1,"JANUARY",IF(final_data787[[#This Row],[MONTH_CODE]]=2,"FEBRUARY"))</f>
        <v>FEBRUARY</v>
      </c>
      <c r="G880">
        <v>1</v>
      </c>
      <c r="H880">
        <v>0</v>
      </c>
      <c r="I880">
        <v>3</v>
      </c>
      <c r="J8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0" t="str">
        <f>IF(final_data787[[#This Row],[DAY_CODE]]=0,"weekend",IF(final_data787[[#This Row],[DAY_CODE]]=1,"weekend","weekday"))</f>
        <v>weekday</v>
      </c>
      <c r="L880">
        <v>1</v>
      </c>
      <c r="M880" t="str">
        <f>IF(final_data787[[#This Row],[WEATHER_CODE]]=1,"clear",IF(final_data787[[#This Row],[WEATHER_CODE]]=2,"cloudy",IF(final_data787[[#This Row],[WEATHER_CODE]]=3,"light rain",IF(final_data787[[#This Row],[WEATHER_CODE]]=4,"heavy rain",0))))</f>
        <v>clear</v>
      </c>
      <c r="N880">
        <v>0.1</v>
      </c>
      <c r="O880">
        <v>0.1061</v>
      </c>
      <c r="P880">
        <v>0.36</v>
      </c>
      <c r="Q880">
        <v>0.22389999999999999</v>
      </c>
      <c r="R880">
        <v>0</v>
      </c>
      <c r="S880">
        <v>7</v>
      </c>
      <c r="T880">
        <v>7</v>
      </c>
    </row>
    <row r="881" spans="1:20" x14ac:dyDescent="0.35">
      <c r="A881">
        <v>880</v>
      </c>
      <c r="B881" s="1">
        <v>40583</v>
      </c>
      <c r="C881">
        <v>1</v>
      </c>
      <c r="D881">
        <v>0</v>
      </c>
      <c r="E881">
        <v>2</v>
      </c>
      <c r="F881" t="str">
        <f>IF(final_data787[[#This Row],[MONTH_CODE]]=1,"JANUARY",IF(final_data787[[#This Row],[MONTH_CODE]]=2,"FEBRUARY"))</f>
        <v>FEBRUARY</v>
      </c>
      <c r="G881">
        <v>2</v>
      </c>
      <c r="H881">
        <v>0</v>
      </c>
      <c r="I881">
        <v>3</v>
      </c>
      <c r="J8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1" t="str">
        <f>IF(final_data787[[#This Row],[DAY_CODE]]=0,"weekend",IF(final_data787[[#This Row],[DAY_CODE]]=1,"weekend","weekday"))</f>
        <v>weekday</v>
      </c>
      <c r="L881">
        <v>1</v>
      </c>
      <c r="M881" t="str">
        <f>IF(final_data787[[#This Row],[WEATHER_CODE]]=1,"clear",IF(final_data787[[#This Row],[WEATHER_CODE]]=2,"cloudy",IF(final_data787[[#This Row],[WEATHER_CODE]]=3,"light rain",IF(final_data787[[#This Row],[WEATHER_CODE]]=4,"heavy rain",0))))</f>
        <v>clear</v>
      </c>
      <c r="N881">
        <v>0.08</v>
      </c>
      <c r="O881">
        <v>7.5800000000000006E-2</v>
      </c>
      <c r="P881">
        <v>0.38</v>
      </c>
      <c r="Q881">
        <v>0.28360000000000002</v>
      </c>
      <c r="R881">
        <v>1</v>
      </c>
      <c r="S881">
        <v>2</v>
      </c>
      <c r="T881">
        <v>3</v>
      </c>
    </row>
    <row r="882" spans="1:20" x14ac:dyDescent="0.35">
      <c r="A882">
        <v>881</v>
      </c>
      <c r="B882" s="1">
        <v>40583</v>
      </c>
      <c r="C882">
        <v>1</v>
      </c>
      <c r="D882">
        <v>0</v>
      </c>
      <c r="E882">
        <v>2</v>
      </c>
      <c r="F882" t="str">
        <f>IF(final_data787[[#This Row],[MONTH_CODE]]=1,"JANUARY",IF(final_data787[[#This Row],[MONTH_CODE]]=2,"FEBRUARY"))</f>
        <v>FEBRUARY</v>
      </c>
      <c r="G882">
        <v>3</v>
      </c>
      <c r="H882">
        <v>0</v>
      </c>
      <c r="I882">
        <v>3</v>
      </c>
      <c r="J8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2" t="str">
        <f>IF(final_data787[[#This Row],[DAY_CODE]]=0,"weekend",IF(final_data787[[#This Row],[DAY_CODE]]=1,"weekend","weekday"))</f>
        <v>weekday</v>
      </c>
      <c r="L882">
        <v>1</v>
      </c>
      <c r="M882" t="str">
        <f>IF(final_data787[[#This Row],[WEATHER_CODE]]=1,"clear",IF(final_data787[[#This Row],[WEATHER_CODE]]=2,"cloudy",IF(final_data787[[#This Row],[WEATHER_CODE]]=3,"light rain",IF(final_data787[[#This Row],[WEATHER_CODE]]=4,"heavy rain",0))))</f>
        <v>clear</v>
      </c>
      <c r="N882">
        <v>0.06</v>
      </c>
      <c r="O882">
        <v>7.5800000000000006E-2</v>
      </c>
      <c r="P882">
        <v>0.45</v>
      </c>
      <c r="Q882">
        <v>0.1343</v>
      </c>
      <c r="R882">
        <v>0</v>
      </c>
      <c r="S882">
        <v>2</v>
      </c>
      <c r="T882">
        <v>2</v>
      </c>
    </row>
    <row r="883" spans="1:20" x14ac:dyDescent="0.35">
      <c r="A883">
        <v>882</v>
      </c>
      <c r="B883" s="1">
        <v>40583</v>
      </c>
      <c r="C883">
        <v>1</v>
      </c>
      <c r="D883">
        <v>0</v>
      </c>
      <c r="E883">
        <v>2</v>
      </c>
      <c r="F883" t="str">
        <f>IF(final_data787[[#This Row],[MONTH_CODE]]=1,"JANUARY",IF(final_data787[[#This Row],[MONTH_CODE]]=2,"FEBRUARY"))</f>
        <v>FEBRUARY</v>
      </c>
      <c r="G883">
        <v>5</v>
      </c>
      <c r="H883">
        <v>0</v>
      </c>
      <c r="I883">
        <v>3</v>
      </c>
      <c r="J8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3" t="str">
        <f>IF(final_data787[[#This Row],[DAY_CODE]]=0,"weekend",IF(final_data787[[#This Row],[DAY_CODE]]=1,"weekend","weekday"))</f>
        <v>weekday</v>
      </c>
      <c r="L883">
        <v>1</v>
      </c>
      <c r="M883" t="str">
        <f>IF(final_data787[[#This Row],[WEATHER_CODE]]=1,"clear",IF(final_data787[[#This Row],[WEATHER_CODE]]=2,"cloudy",IF(final_data787[[#This Row],[WEATHER_CODE]]=3,"light rain",IF(final_data787[[#This Row],[WEATHER_CODE]]=4,"heavy rain",0))))</f>
        <v>clear</v>
      </c>
      <c r="N883">
        <v>0.06</v>
      </c>
      <c r="O883">
        <v>0.1061</v>
      </c>
      <c r="P883">
        <v>0.45</v>
      </c>
      <c r="Q883">
        <v>0.1045</v>
      </c>
      <c r="R883">
        <v>0</v>
      </c>
      <c r="S883">
        <v>7</v>
      </c>
      <c r="T883">
        <v>7</v>
      </c>
    </row>
    <row r="884" spans="1:20" x14ac:dyDescent="0.35">
      <c r="A884">
        <v>883</v>
      </c>
      <c r="B884" s="1">
        <v>40583</v>
      </c>
      <c r="C884">
        <v>1</v>
      </c>
      <c r="D884">
        <v>0</v>
      </c>
      <c r="E884">
        <v>2</v>
      </c>
      <c r="F884" t="str">
        <f>IF(final_data787[[#This Row],[MONTH_CODE]]=1,"JANUARY",IF(final_data787[[#This Row],[MONTH_CODE]]=2,"FEBRUARY"))</f>
        <v>FEBRUARY</v>
      </c>
      <c r="G884">
        <v>6</v>
      </c>
      <c r="H884">
        <v>0</v>
      </c>
      <c r="I884">
        <v>3</v>
      </c>
      <c r="J8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4" t="str">
        <f>IF(final_data787[[#This Row],[DAY_CODE]]=0,"weekend",IF(final_data787[[#This Row],[DAY_CODE]]=1,"weekend","weekday"))</f>
        <v>weekday</v>
      </c>
      <c r="L884">
        <v>1</v>
      </c>
      <c r="M884" t="str">
        <f>IF(final_data787[[#This Row],[WEATHER_CODE]]=1,"clear",IF(final_data787[[#This Row],[WEATHER_CODE]]=2,"cloudy",IF(final_data787[[#This Row],[WEATHER_CODE]]=3,"light rain",IF(final_data787[[#This Row],[WEATHER_CODE]]=4,"heavy rain",0))))</f>
        <v>clear</v>
      </c>
      <c r="N884">
        <v>0.06</v>
      </c>
      <c r="O884">
        <v>0.1515</v>
      </c>
      <c r="P884">
        <v>0.45</v>
      </c>
      <c r="Q884">
        <v>0</v>
      </c>
      <c r="R884">
        <v>0</v>
      </c>
      <c r="S884">
        <v>43</v>
      </c>
      <c r="T884">
        <v>43</v>
      </c>
    </row>
    <row r="885" spans="1:20" x14ac:dyDescent="0.35">
      <c r="A885">
        <v>884</v>
      </c>
      <c r="B885" s="1">
        <v>40583</v>
      </c>
      <c r="C885">
        <v>1</v>
      </c>
      <c r="D885">
        <v>0</v>
      </c>
      <c r="E885">
        <v>2</v>
      </c>
      <c r="F885" t="str">
        <f>IF(final_data787[[#This Row],[MONTH_CODE]]=1,"JANUARY",IF(final_data787[[#This Row],[MONTH_CODE]]=2,"FEBRUARY"))</f>
        <v>FEBRUARY</v>
      </c>
      <c r="G885">
        <v>7</v>
      </c>
      <c r="H885">
        <v>0</v>
      </c>
      <c r="I885">
        <v>3</v>
      </c>
      <c r="J8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5" t="str">
        <f>IF(final_data787[[#This Row],[DAY_CODE]]=0,"weekend",IF(final_data787[[#This Row],[DAY_CODE]]=1,"weekend","weekday"))</f>
        <v>weekday</v>
      </c>
      <c r="L885">
        <v>1</v>
      </c>
      <c r="M885" t="str">
        <f>IF(final_data787[[#This Row],[WEATHER_CODE]]=1,"clear",IF(final_data787[[#This Row],[WEATHER_CODE]]=2,"cloudy",IF(final_data787[[#This Row],[WEATHER_CODE]]=3,"light rain",IF(final_data787[[#This Row],[WEATHER_CODE]]=4,"heavy rain",0))))</f>
        <v>clear</v>
      </c>
      <c r="N885">
        <v>0.06</v>
      </c>
      <c r="O885">
        <v>0.1061</v>
      </c>
      <c r="P885">
        <v>0.49</v>
      </c>
      <c r="Q885">
        <v>0.1045</v>
      </c>
      <c r="R885">
        <v>4</v>
      </c>
      <c r="S885">
        <v>95</v>
      </c>
      <c r="T885">
        <v>99</v>
      </c>
    </row>
    <row r="886" spans="1:20" x14ac:dyDescent="0.35">
      <c r="A886">
        <v>885</v>
      </c>
      <c r="B886" s="1">
        <v>40583</v>
      </c>
      <c r="C886">
        <v>1</v>
      </c>
      <c r="D886">
        <v>0</v>
      </c>
      <c r="E886">
        <v>2</v>
      </c>
      <c r="F886" t="str">
        <f>IF(final_data787[[#This Row],[MONTH_CODE]]=1,"JANUARY",IF(final_data787[[#This Row],[MONTH_CODE]]=2,"FEBRUARY"))</f>
        <v>FEBRUARY</v>
      </c>
      <c r="G886">
        <v>8</v>
      </c>
      <c r="H886">
        <v>0</v>
      </c>
      <c r="I886">
        <v>3</v>
      </c>
      <c r="J8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6" t="str">
        <f>IF(final_data787[[#This Row],[DAY_CODE]]=0,"weekend",IF(final_data787[[#This Row],[DAY_CODE]]=1,"weekend","weekday"))</f>
        <v>weekday</v>
      </c>
      <c r="L886">
        <v>1</v>
      </c>
      <c r="M886" t="str">
        <f>IF(final_data787[[#This Row],[WEATHER_CODE]]=1,"clear",IF(final_data787[[#This Row],[WEATHER_CODE]]=2,"cloudy",IF(final_data787[[#This Row],[WEATHER_CODE]]=3,"light rain",IF(final_data787[[#This Row],[WEATHER_CODE]]=4,"heavy rain",0))))</f>
        <v>clear</v>
      </c>
      <c r="N886">
        <v>0.1</v>
      </c>
      <c r="O886">
        <v>0.13639999999999999</v>
      </c>
      <c r="P886">
        <v>0.42</v>
      </c>
      <c r="Q886">
        <v>0</v>
      </c>
      <c r="R886">
        <v>1</v>
      </c>
      <c r="S886">
        <v>198</v>
      </c>
      <c r="T886">
        <v>199</v>
      </c>
    </row>
    <row r="887" spans="1:20" x14ac:dyDescent="0.35">
      <c r="A887">
        <v>886</v>
      </c>
      <c r="B887" s="1">
        <v>40583</v>
      </c>
      <c r="C887">
        <v>1</v>
      </c>
      <c r="D887">
        <v>0</v>
      </c>
      <c r="E887">
        <v>2</v>
      </c>
      <c r="F887" t="str">
        <f>IF(final_data787[[#This Row],[MONTH_CODE]]=1,"JANUARY",IF(final_data787[[#This Row],[MONTH_CODE]]=2,"FEBRUARY"))</f>
        <v>FEBRUARY</v>
      </c>
      <c r="G887">
        <v>9</v>
      </c>
      <c r="H887">
        <v>0</v>
      </c>
      <c r="I887">
        <v>3</v>
      </c>
      <c r="J8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7" t="str">
        <f>IF(final_data787[[#This Row],[DAY_CODE]]=0,"weekend",IF(final_data787[[#This Row],[DAY_CODE]]=1,"weekend","weekday"))</f>
        <v>weekday</v>
      </c>
      <c r="L887">
        <v>1</v>
      </c>
      <c r="M887" t="str">
        <f>IF(final_data787[[#This Row],[WEATHER_CODE]]=1,"clear",IF(final_data787[[#This Row],[WEATHER_CODE]]=2,"cloudy",IF(final_data787[[#This Row],[WEATHER_CODE]]=3,"light rain",IF(final_data787[[#This Row],[WEATHER_CODE]]=4,"heavy rain",0))))</f>
        <v>clear</v>
      </c>
      <c r="N887">
        <v>0.12</v>
      </c>
      <c r="O887">
        <v>0.13639999999999999</v>
      </c>
      <c r="P887">
        <v>0.39</v>
      </c>
      <c r="Q887">
        <v>0.16420000000000001</v>
      </c>
      <c r="R887">
        <v>4</v>
      </c>
      <c r="S887">
        <v>119</v>
      </c>
      <c r="T887">
        <v>123</v>
      </c>
    </row>
    <row r="888" spans="1:20" x14ac:dyDescent="0.35">
      <c r="A888">
        <v>887</v>
      </c>
      <c r="B888" s="1">
        <v>40583</v>
      </c>
      <c r="C888">
        <v>1</v>
      </c>
      <c r="D888">
        <v>0</v>
      </c>
      <c r="E888">
        <v>2</v>
      </c>
      <c r="F888" t="str">
        <f>IF(final_data787[[#This Row],[MONTH_CODE]]=1,"JANUARY",IF(final_data787[[#This Row],[MONTH_CODE]]=2,"FEBRUARY"))</f>
        <v>FEBRUARY</v>
      </c>
      <c r="G888">
        <v>10</v>
      </c>
      <c r="H888">
        <v>0</v>
      </c>
      <c r="I888">
        <v>3</v>
      </c>
      <c r="J8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8" t="str">
        <f>IF(final_data787[[#This Row],[DAY_CODE]]=0,"weekend",IF(final_data787[[#This Row],[DAY_CODE]]=1,"weekend","weekday"))</f>
        <v>weekday</v>
      </c>
      <c r="L888">
        <v>1</v>
      </c>
      <c r="M888" t="str">
        <f>IF(final_data787[[#This Row],[WEATHER_CODE]]=1,"clear",IF(final_data787[[#This Row],[WEATHER_CODE]]=2,"cloudy",IF(final_data787[[#This Row],[WEATHER_CODE]]=3,"light rain",IF(final_data787[[#This Row],[WEATHER_CODE]]=4,"heavy rain",0))))</f>
        <v>clear</v>
      </c>
      <c r="N888">
        <v>0.14000000000000001</v>
      </c>
      <c r="O888">
        <v>0.18179999999999999</v>
      </c>
      <c r="P888">
        <v>0.36</v>
      </c>
      <c r="Q888">
        <v>0</v>
      </c>
      <c r="R888">
        <v>8</v>
      </c>
      <c r="S888">
        <v>51</v>
      </c>
      <c r="T888">
        <v>59</v>
      </c>
    </row>
    <row r="889" spans="1:20" x14ac:dyDescent="0.35">
      <c r="A889">
        <v>888</v>
      </c>
      <c r="B889" s="1">
        <v>40583</v>
      </c>
      <c r="C889">
        <v>1</v>
      </c>
      <c r="D889">
        <v>0</v>
      </c>
      <c r="E889">
        <v>2</v>
      </c>
      <c r="F889" t="str">
        <f>IF(final_data787[[#This Row],[MONTH_CODE]]=1,"JANUARY",IF(final_data787[[#This Row],[MONTH_CODE]]=2,"FEBRUARY"))</f>
        <v>FEBRUARY</v>
      </c>
      <c r="G889">
        <v>11</v>
      </c>
      <c r="H889">
        <v>0</v>
      </c>
      <c r="I889">
        <v>3</v>
      </c>
      <c r="J8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89" t="str">
        <f>IF(final_data787[[#This Row],[DAY_CODE]]=0,"weekend",IF(final_data787[[#This Row],[DAY_CODE]]=1,"weekend","weekday"))</f>
        <v>weekday</v>
      </c>
      <c r="L889">
        <v>2</v>
      </c>
      <c r="M889" t="str">
        <f>IF(final_data787[[#This Row],[WEATHER_CODE]]=1,"clear",IF(final_data787[[#This Row],[WEATHER_CODE]]=2,"cloudy",IF(final_data787[[#This Row],[WEATHER_CODE]]=3,"light rain",IF(final_data787[[#This Row],[WEATHER_CODE]]=4,"heavy rain",0))))</f>
        <v>cloudy</v>
      </c>
      <c r="N889">
        <v>0.14000000000000001</v>
      </c>
      <c r="O889">
        <v>0.1515</v>
      </c>
      <c r="P889">
        <v>0.43</v>
      </c>
      <c r="Q889">
        <v>0.16420000000000001</v>
      </c>
      <c r="R889">
        <v>1</v>
      </c>
      <c r="S889">
        <v>40</v>
      </c>
      <c r="T889">
        <v>41</v>
      </c>
    </row>
    <row r="890" spans="1:20" x14ac:dyDescent="0.35">
      <c r="A890">
        <v>889</v>
      </c>
      <c r="B890" s="1">
        <v>40583</v>
      </c>
      <c r="C890">
        <v>1</v>
      </c>
      <c r="D890">
        <v>0</v>
      </c>
      <c r="E890">
        <v>2</v>
      </c>
      <c r="F890" t="str">
        <f>IF(final_data787[[#This Row],[MONTH_CODE]]=1,"JANUARY",IF(final_data787[[#This Row],[MONTH_CODE]]=2,"FEBRUARY"))</f>
        <v>FEBRUARY</v>
      </c>
      <c r="G890">
        <v>12</v>
      </c>
      <c r="H890">
        <v>0</v>
      </c>
      <c r="I890">
        <v>3</v>
      </c>
      <c r="J8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0" t="str">
        <f>IF(final_data787[[#This Row],[DAY_CODE]]=0,"weekend",IF(final_data787[[#This Row],[DAY_CODE]]=1,"weekend","weekday"))</f>
        <v>weekday</v>
      </c>
      <c r="L890">
        <v>2</v>
      </c>
      <c r="M890" t="str">
        <f>IF(final_data787[[#This Row],[WEATHER_CODE]]=1,"clear",IF(final_data787[[#This Row],[WEATHER_CODE]]=2,"cloudy",IF(final_data787[[#This Row],[WEATHER_CODE]]=3,"light rain",IF(final_data787[[#This Row],[WEATHER_CODE]]=4,"heavy rain",0))))</f>
        <v>cloudy</v>
      </c>
      <c r="N890">
        <v>0.18</v>
      </c>
      <c r="O890">
        <v>0.18179999999999999</v>
      </c>
      <c r="P890">
        <v>0.4</v>
      </c>
      <c r="Q890">
        <v>0.22389999999999999</v>
      </c>
      <c r="R890">
        <v>4</v>
      </c>
      <c r="S890">
        <v>57</v>
      </c>
      <c r="T890">
        <v>61</v>
      </c>
    </row>
    <row r="891" spans="1:20" x14ac:dyDescent="0.35">
      <c r="A891">
        <v>890</v>
      </c>
      <c r="B891" s="1">
        <v>40583</v>
      </c>
      <c r="C891">
        <v>1</v>
      </c>
      <c r="D891">
        <v>0</v>
      </c>
      <c r="E891">
        <v>2</v>
      </c>
      <c r="F891" t="str">
        <f>IF(final_data787[[#This Row],[MONTH_CODE]]=1,"JANUARY",IF(final_data787[[#This Row],[MONTH_CODE]]=2,"FEBRUARY"))</f>
        <v>FEBRUARY</v>
      </c>
      <c r="G891">
        <v>13</v>
      </c>
      <c r="H891">
        <v>0</v>
      </c>
      <c r="I891">
        <v>3</v>
      </c>
      <c r="J8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1" t="str">
        <f>IF(final_data787[[#This Row],[DAY_CODE]]=0,"weekend",IF(final_data787[[#This Row],[DAY_CODE]]=1,"weekend","weekday"))</f>
        <v>weekday</v>
      </c>
      <c r="L891">
        <v>1</v>
      </c>
      <c r="M891" t="str">
        <f>IF(final_data787[[#This Row],[WEATHER_CODE]]=1,"clear",IF(final_data787[[#This Row],[WEATHER_CODE]]=2,"cloudy",IF(final_data787[[#This Row],[WEATHER_CODE]]=3,"light rain",IF(final_data787[[#This Row],[WEATHER_CODE]]=4,"heavy rain",0))))</f>
        <v>clear</v>
      </c>
      <c r="N891">
        <v>0.18</v>
      </c>
      <c r="O891">
        <v>0.16669999999999999</v>
      </c>
      <c r="P891">
        <v>0.4</v>
      </c>
      <c r="Q891">
        <v>0.25369999999999998</v>
      </c>
      <c r="R891">
        <v>2</v>
      </c>
      <c r="S891">
        <v>67</v>
      </c>
      <c r="T891">
        <v>69</v>
      </c>
    </row>
    <row r="892" spans="1:20" x14ac:dyDescent="0.35">
      <c r="A892">
        <v>891</v>
      </c>
      <c r="B892" s="1">
        <v>40583</v>
      </c>
      <c r="C892">
        <v>1</v>
      </c>
      <c r="D892">
        <v>0</v>
      </c>
      <c r="E892">
        <v>2</v>
      </c>
      <c r="F892" t="str">
        <f>IF(final_data787[[#This Row],[MONTH_CODE]]=1,"JANUARY",IF(final_data787[[#This Row],[MONTH_CODE]]=2,"FEBRUARY"))</f>
        <v>FEBRUARY</v>
      </c>
      <c r="G892">
        <v>14</v>
      </c>
      <c r="H892">
        <v>0</v>
      </c>
      <c r="I892">
        <v>3</v>
      </c>
      <c r="J8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2" t="str">
        <f>IF(final_data787[[#This Row],[DAY_CODE]]=0,"weekend",IF(final_data787[[#This Row],[DAY_CODE]]=1,"weekend","weekday"))</f>
        <v>weekday</v>
      </c>
      <c r="L892">
        <v>1</v>
      </c>
      <c r="M892" t="str">
        <f>IF(final_data787[[#This Row],[WEATHER_CODE]]=1,"clear",IF(final_data787[[#This Row],[WEATHER_CODE]]=2,"cloudy",IF(final_data787[[#This Row],[WEATHER_CODE]]=3,"light rain",IF(final_data787[[#This Row],[WEATHER_CODE]]=4,"heavy rain",0))))</f>
        <v>clear</v>
      </c>
      <c r="N892">
        <v>0.2</v>
      </c>
      <c r="O892">
        <v>0.18179999999999999</v>
      </c>
      <c r="P892">
        <v>0.34</v>
      </c>
      <c r="Q892">
        <v>0.29849999999999999</v>
      </c>
      <c r="R892">
        <v>2</v>
      </c>
      <c r="S892">
        <v>56</v>
      </c>
      <c r="T892">
        <v>58</v>
      </c>
    </row>
    <row r="893" spans="1:20" x14ac:dyDescent="0.35">
      <c r="A893">
        <v>892</v>
      </c>
      <c r="B893" s="1">
        <v>40583</v>
      </c>
      <c r="C893">
        <v>1</v>
      </c>
      <c r="D893">
        <v>0</v>
      </c>
      <c r="E893">
        <v>2</v>
      </c>
      <c r="F893" t="str">
        <f>IF(final_data787[[#This Row],[MONTH_CODE]]=1,"JANUARY",IF(final_data787[[#This Row],[MONTH_CODE]]=2,"FEBRUARY"))</f>
        <v>FEBRUARY</v>
      </c>
      <c r="G893">
        <v>15</v>
      </c>
      <c r="H893">
        <v>0</v>
      </c>
      <c r="I893">
        <v>3</v>
      </c>
      <c r="J8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3" t="str">
        <f>IF(final_data787[[#This Row],[DAY_CODE]]=0,"weekend",IF(final_data787[[#This Row],[DAY_CODE]]=1,"weekend","weekday"))</f>
        <v>weekday</v>
      </c>
      <c r="L893">
        <v>2</v>
      </c>
      <c r="M893" t="str">
        <f>IF(final_data787[[#This Row],[WEATHER_CODE]]=1,"clear",IF(final_data787[[#This Row],[WEATHER_CODE]]=2,"cloudy",IF(final_data787[[#This Row],[WEATHER_CODE]]=3,"light rain",IF(final_data787[[#This Row],[WEATHER_CODE]]=4,"heavy rain",0))))</f>
        <v>cloudy</v>
      </c>
      <c r="N893">
        <v>0.2</v>
      </c>
      <c r="O893">
        <v>0.18179999999999999</v>
      </c>
      <c r="P893">
        <v>0.34</v>
      </c>
      <c r="Q893">
        <v>0.28360000000000002</v>
      </c>
      <c r="R893">
        <v>3</v>
      </c>
      <c r="S893">
        <v>61</v>
      </c>
      <c r="T893">
        <v>64</v>
      </c>
    </row>
    <row r="894" spans="1:20" x14ac:dyDescent="0.35">
      <c r="A894">
        <v>893</v>
      </c>
      <c r="B894" s="1">
        <v>40583</v>
      </c>
      <c r="C894">
        <v>1</v>
      </c>
      <c r="D894">
        <v>0</v>
      </c>
      <c r="E894">
        <v>2</v>
      </c>
      <c r="F894" t="str">
        <f>IF(final_data787[[#This Row],[MONTH_CODE]]=1,"JANUARY",IF(final_data787[[#This Row],[MONTH_CODE]]=2,"FEBRUARY"))</f>
        <v>FEBRUARY</v>
      </c>
      <c r="G894">
        <v>16</v>
      </c>
      <c r="H894">
        <v>0</v>
      </c>
      <c r="I894">
        <v>3</v>
      </c>
      <c r="J8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4" t="str">
        <f>IF(final_data787[[#This Row],[DAY_CODE]]=0,"weekend",IF(final_data787[[#This Row],[DAY_CODE]]=1,"weekend","weekday"))</f>
        <v>weekday</v>
      </c>
      <c r="L894">
        <v>2</v>
      </c>
      <c r="M894" t="str">
        <f>IF(final_data787[[#This Row],[WEATHER_CODE]]=1,"clear",IF(final_data787[[#This Row],[WEATHER_CODE]]=2,"cloudy",IF(final_data787[[#This Row],[WEATHER_CODE]]=3,"light rain",IF(final_data787[[#This Row],[WEATHER_CODE]]=4,"heavy rain",0))))</f>
        <v>cloudy</v>
      </c>
      <c r="N894">
        <v>0.2</v>
      </c>
      <c r="O894">
        <v>0.19700000000000001</v>
      </c>
      <c r="P894">
        <v>0.37</v>
      </c>
      <c r="Q894">
        <v>0.25369999999999998</v>
      </c>
      <c r="R894">
        <v>7</v>
      </c>
      <c r="S894">
        <v>72</v>
      </c>
      <c r="T894">
        <v>79</v>
      </c>
    </row>
    <row r="895" spans="1:20" x14ac:dyDescent="0.35">
      <c r="A895">
        <v>894</v>
      </c>
      <c r="B895" s="1">
        <v>40583</v>
      </c>
      <c r="C895">
        <v>1</v>
      </c>
      <c r="D895">
        <v>0</v>
      </c>
      <c r="E895">
        <v>2</v>
      </c>
      <c r="F895" t="str">
        <f>IF(final_data787[[#This Row],[MONTH_CODE]]=1,"JANUARY",IF(final_data787[[#This Row],[MONTH_CODE]]=2,"FEBRUARY"))</f>
        <v>FEBRUARY</v>
      </c>
      <c r="G895">
        <v>17</v>
      </c>
      <c r="H895">
        <v>0</v>
      </c>
      <c r="I895">
        <v>3</v>
      </c>
      <c r="J8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5" t="str">
        <f>IF(final_data787[[#This Row],[DAY_CODE]]=0,"weekend",IF(final_data787[[#This Row],[DAY_CODE]]=1,"weekend","weekday"))</f>
        <v>weekday</v>
      </c>
      <c r="L895">
        <v>2</v>
      </c>
      <c r="M895" t="str">
        <f>IF(final_data787[[#This Row],[WEATHER_CODE]]=1,"clear",IF(final_data787[[#This Row],[WEATHER_CODE]]=2,"cloudy",IF(final_data787[[#This Row],[WEATHER_CODE]]=3,"light rain",IF(final_data787[[#This Row],[WEATHER_CODE]]=4,"heavy rain",0))))</f>
        <v>cloudy</v>
      </c>
      <c r="N895">
        <v>0.2</v>
      </c>
      <c r="O895">
        <v>0.19700000000000001</v>
      </c>
      <c r="P895">
        <v>0.34</v>
      </c>
      <c r="Q895">
        <v>0.25369999999999998</v>
      </c>
      <c r="R895">
        <v>9</v>
      </c>
      <c r="S895">
        <v>157</v>
      </c>
      <c r="T895">
        <v>166</v>
      </c>
    </row>
    <row r="896" spans="1:20" x14ac:dyDescent="0.35">
      <c r="A896">
        <v>895</v>
      </c>
      <c r="B896" s="1">
        <v>40583</v>
      </c>
      <c r="C896">
        <v>1</v>
      </c>
      <c r="D896">
        <v>0</v>
      </c>
      <c r="E896">
        <v>2</v>
      </c>
      <c r="F896" t="str">
        <f>IF(final_data787[[#This Row],[MONTH_CODE]]=1,"JANUARY",IF(final_data787[[#This Row],[MONTH_CODE]]=2,"FEBRUARY"))</f>
        <v>FEBRUARY</v>
      </c>
      <c r="G896">
        <v>18</v>
      </c>
      <c r="H896">
        <v>0</v>
      </c>
      <c r="I896">
        <v>3</v>
      </c>
      <c r="J8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6" t="str">
        <f>IF(final_data787[[#This Row],[DAY_CODE]]=0,"weekend",IF(final_data787[[#This Row],[DAY_CODE]]=1,"weekend","weekday"))</f>
        <v>weekday</v>
      </c>
      <c r="L896">
        <v>2</v>
      </c>
      <c r="M896" t="str">
        <f>IF(final_data787[[#This Row],[WEATHER_CODE]]=1,"clear",IF(final_data787[[#This Row],[WEATHER_CODE]]=2,"cloudy",IF(final_data787[[#This Row],[WEATHER_CODE]]=3,"light rain",IF(final_data787[[#This Row],[WEATHER_CODE]]=4,"heavy rain",0))))</f>
        <v>cloudy</v>
      </c>
      <c r="N896">
        <v>0.18</v>
      </c>
      <c r="O896">
        <v>0.16669999999999999</v>
      </c>
      <c r="P896">
        <v>0.47</v>
      </c>
      <c r="Q896">
        <v>0.29849999999999999</v>
      </c>
      <c r="R896">
        <v>2</v>
      </c>
      <c r="S896">
        <v>168</v>
      </c>
      <c r="T896">
        <v>170</v>
      </c>
    </row>
    <row r="897" spans="1:20" x14ac:dyDescent="0.35">
      <c r="A897">
        <v>896</v>
      </c>
      <c r="B897" s="1">
        <v>40583</v>
      </c>
      <c r="C897">
        <v>1</v>
      </c>
      <c r="D897">
        <v>0</v>
      </c>
      <c r="E897">
        <v>2</v>
      </c>
      <c r="F897" t="str">
        <f>IF(final_data787[[#This Row],[MONTH_CODE]]=1,"JANUARY",IF(final_data787[[#This Row],[MONTH_CODE]]=2,"FEBRUARY"))</f>
        <v>FEBRUARY</v>
      </c>
      <c r="G897">
        <v>19</v>
      </c>
      <c r="H897">
        <v>0</v>
      </c>
      <c r="I897">
        <v>3</v>
      </c>
      <c r="J8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7" t="str">
        <f>IF(final_data787[[#This Row],[DAY_CODE]]=0,"weekend",IF(final_data787[[#This Row],[DAY_CODE]]=1,"weekend","weekday"))</f>
        <v>weekday</v>
      </c>
      <c r="L897">
        <v>3</v>
      </c>
      <c r="M897" t="str">
        <f>IF(final_data787[[#This Row],[WEATHER_CODE]]=1,"clear",IF(final_data787[[#This Row],[WEATHER_CODE]]=2,"cloudy",IF(final_data787[[#This Row],[WEATHER_CODE]]=3,"light rain",IF(final_data787[[#This Row],[WEATHER_CODE]]=4,"heavy rain",0))))</f>
        <v>light rain</v>
      </c>
      <c r="N897">
        <v>0.14000000000000001</v>
      </c>
      <c r="O897">
        <v>0.1212</v>
      </c>
      <c r="P897">
        <v>0.86</v>
      </c>
      <c r="Q897">
        <v>0.25369999999999998</v>
      </c>
      <c r="R897">
        <v>1</v>
      </c>
      <c r="S897">
        <v>87</v>
      </c>
      <c r="T897">
        <v>88</v>
      </c>
    </row>
    <row r="898" spans="1:20" x14ac:dyDescent="0.35">
      <c r="A898">
        <v>897</v>
      </c>
      <c r="B898" s="1">
        <v>40583</v>
      </c>
      <c r="C898">
        <v>1</v>
      </c>
      <c r="D898">
        <v>0</v>
      </c>
      <c r="E898">
        <v>2</v>
      </c>
      <c r="F898" t="str">
        <f>IF(final_data787[[#This Row],[MONTH_CODE]]=1,"JANUARY",IF(final_data787[[#This Row],[MONTH_CODE]]=2,"FEBRUARY"))</f>
        <v>FEBRUARY</v>
      </c>
      <c r="G898">
        <v>20</v>
      </c>
      <c r="H898">
        <v>0</v>
      </c>
      <c r="I898">
        <v>3</v>
      </c>
      <c r="J8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8" t="str">
        <f>IF(final_data787[[#This Row],[DAY_CODE]]=0,"weekend",IF(final_data787[[#This Row],[DAY_CODE]]=1,"weekend","weekday"))</f>
        <v>weekday</v>
      </c>
      <c r="L898">
        <v>3</v>
      </c>
      <c r="M898" t="str">
        <f>IF(final_data787[[#This Row],[WEATHER_CODE]]=1,"clear",IF(final_data787[[#This Row],[WEATHER_CODE]]=2,"cloudy",IF(final_data787[[#This Row],[WEATHER_CODE]]=3,"light rain",IF(final_data787[[#This Row],[WEATHER_CODE]]=4,"heavy rain",0))))</f>
        <v>light rain</v>
      </c>
      <c r="N898">
        <v>0.14000000000000001</v>
      </c>
      <c r="O898">
        <v>0.1515</v>
      </c>
      <c r="P898">
        <v>0.86</v>
      </c>
      <c r="Q898">
        <v>0.16420000000000001</v>
      </c>
      <c r="R898">
        <v>0</v>
      </c>
      <c r="S898">
        <v>84</v>
      </c>
      <c r="T898">
        <v>84</v>
      </c>
    </row>
    <row r="899" spans="1:20" x14ac:dyDescent="0.35">
      <c r="A899">
        <v>898</v>
      </c>
      <c r="B899" s="1">
        <v>40583</v>
      </c>
      <c r="C899">
        <v>1</v>
      </c>
      <c r="D899">
        <v>0</v>
      </c>
      <c r="E899">
        <v>2</v>
      </c>
      <c r="F899" t="str">
        <f>IF(final_data787[[#This Row],[MONTH_CODE]]=1,"JANUARY",IF(final_data787[[#This Row],[MONTH_CODE]]=2,"FEBRUARY"))</f>
        <v>FEBRUARY</v>
      </c>
      <c r="G899">
        <v>21</v>
      </c>
      <c r="H899">
        <v>0</v>
      </c>
      <c r="I899">
        <v>3</v>
      </c>
      <c r="J8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899" t="str">
        <f>IF(final_data787[[#This Row],[DAY_CODE]]=0,"weekend",IF(final_data787[[#This Row],[DAY_CODE]]=1,"weekend","weekday"))</f>
        <v>weekday</v>
      </c>
      <c r="L899">
        <v>2</v>
      </c>
      <c r="M899" t="str">
        <f>IF(final_data787[[#This Row],[WEATHER_CODE]]=1,"clear",IF(final_data787[[#This Row],[WEATHER_CODE]]=2,"cloudy",IF(final_data787[[#This Row],[WEATHER_CODE]]=3,"light rain",IF(final_data787[[#This Row],[WEATHER_CODE]]=4,"heavy rain",0))))</f>
        <v>cloudy</v>
      </c>
      <c r="N899">
        <v>0.14000000000000001</v>
      </c>
      <c r="O899">
        <v>0.1515</v>
      </c>
      <c r="P899">
        <v>0.86</v>
      </c>
      <c r="Q899">
        <v>0.16420000000000001</v>
      </c>
      <c r="R899">
        <v>0</v>
      </c>
      <c r="S899">
        <v>83</v>
      </c>
      <c r="T899">
        <v>83</v>
      </c>
    </row>
    <row r="900" spans="1:20" x14ac:dyDescent="0.35">
      <c r="A900">
        <v>899</v>
      </c>
      <c r="B900" s="1">
        <v>40583</v>
      </c>
      <c r="C900">
        <v>1</v>
      </c>
      <c r="D900">
        <v>0</v>
      </c>
      <c r="E900">
        <v>2</v>
      </c>
      <c r="F900" t="str">
        <f>IF(final_data787[[#This Row],[MONTH_CODE]]=1,"JANUARY",IF(final_data787[[#This Row],[MONTH_CODE]]=2,"FEBRUARY"))</f>
        <v>FEBRUARY</v>
      </c>
      <c r="G900">
        <v>22</v>
      </c>
      <c r="H900">
        <v>0</v>
      </c>
      <c r="I900">
        <v>3</v>
      </c>
      <c r="J9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00" t="str">
        <f>IF(final_data787[[#This Row],[DAY_CODE]]=0,"weekend",IF(final_data787[[#This Row],[DAY_CODE]]=1,"weekend","weekday"))</f>
        <v>weekday</v>
      </c>
      <c r="L900">
        <v>3</v>
      </c>
      <c r="M900" t="str">
        <f>IF(final_data787[[#This Row],[WEATHER_CODE]]=1,"clear",IF(final_data787[[#This Row],[WEATHER_CODE]]=2,"cloudy",IF(final_data787[[#This Row],[WEATHER_CODE]]=3,"light rain",IF(final_data787[[#This Row],[WEATHER_CODE]]=4,"heavy rain",0))))</f>
        <v>light rain</v>
      </c>
      <c r="N900">
        <v>0.16</v>
      </c>
      <c r="O900">
        <v>0.16669999999999999</v>
      </c>
      <c r="P900">
        <v>0.8</v>
      </c>
      <c r="Q900">
        <v>0.16420000000000001</v>
      </c>
      <c r="R900">
        <v>4</v>
      </c>
      <c r="S900">
        <v>42</v>
      </c>
      <c r="T900">
        <v>46</v>
      </c>
    </row>
    <row r="901" spans="1:20" x14ac:dyDescent="0.35">
      <c r="A901">
        <v>900</v>
      </c>
      <c r="B901" s="1">
        <v>40583</v>
      </c>
      <c r="C901">
        <v>1</v>
      </c>
      <c r="D901">
        <v>0</v>
      </c>
      <c r="E901">
        <v>2</v>
      </c>
      <c r="F901" t="str">
        <f>IF(final_data787[[#This Row],[MONTH_CODE]]=1,"JANUARY",IF(final_data787[[#This Row],[MONTH_CODE]]=2,"FEBRUARY"))</f>
        <v>FEBRUARY</v>
      </c>
      <c r="G901">
        <v>23</v>
      </c>
      <c r="H901">
        <v>0</v>
      </c>
      <c r="I901">
        <v>3</v>
      </c>
      <c r="J9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Wednesday</v>
      </c>
      <c r="K901" t="str">
        <f>IF(final_data787[[#This Row],[DAY_CODE]]=0,"weekend",IF(final_data787[[#This Row],[DAY_CODE]]=1,"weekend","weekday"))</f>
        <v>weekday</v>
      </c>
      <c r="L901">
        <v>3</v>
      </c>
      <c r="M901" t="str">
        <f>IF(final_data787[[#This Row],[WEATHER_CODE]]=1,"clear",IF(final_data787[[#This Row],[WEATHER_CODE]]=2,"cloudy",IF(final_data787[[#This Row],[WEATHER_CODE]]=3,"light rain",IF(final_data787[[#This Row],[WEATHER_CODE]]=4,"heavy rain",0))))</f>
        <v>light rain</v>
      </c>
      <c r="N901">
        <v>0.16</v>
      </c>
      <c r="O901">
        <v>0.1515</v>
      </c>
      <c r="P901">
        <v>0.8</v>
      </c>
      <c r="Q901">
        <v>0.19400000000000001</v>
      </c>
      <c r="R901">
        <v>0</v>
      </c>
      <c r="S901">
        <v>37</v>
      </c>
      <c r="T901">
        <v>37</v>
      </c>
    </row>
    <row r="902" spans="1:20" x14ac:dyDescent="0.35">
      <c r="A902">
        <v>901</v>
      </c>
      <c r="B902" s="1">
        <v>40584</v>
      </c>
      <c r="C902">
        <v>1</v>
      </c>
      <c r="D902">
        <v>0</v>
      </c>
      <c r="E902">
        <v>2</v>
      </c>
      <c r="F902" t="str">
        <f>IF(final_data787[[#This Row],[MONTH_CODE]]=1,"JANUARY",IF(final_data787[[#This Row],[MONTH_CODE]]=2,"FEBRUARY"))</f>
        <v>FEBRUARY</v>
      </c>
      <c r="G902">
        <v>0</v>
      </c>
      <c r="H902">
        <v>0</v>
      </c>
      <c r="I902">
        <v>4</v>
      </c>
      <c r="J90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2" t="str">
        <f>IF(final_data787[[#This Row],[DAY_CODE]]=0,"weekend",IF(final_data787[[#This Row],[DAY_CODE]]=1,"weekend","weekday"))</f>
        <v>weekday</v>
      </c>
      <c r="L902">
        <v>3</v>
      </c>
      <c r="M902" t="str">
        <f>IF(final_data787[[#This Row],[WEATHER_CODE]]=1,"clear",IF(final_data787[[#This Row],[WEATHER_CODE]]=2,"cloudy",IF(final_data787[[#This Row],[WEATHER_CODE]]=3,"light rain",IF(final_data787[[#This Row],[WEATHER_CODE]]=4,"heavy rain",0))))</f>
        <v>light rain</v>
      </c>
      <c r="N902">
        <v>0.14000000000000001</v>
      </c>
      <c r="O902">
        <v>0.13639999999999999</v>
      </c>
      <c r="P902">
        <v>0.86</v>
      </c>
      <c r="Q902">
        <v>0.19400000000000001</v>
      </c>
      <c r="R902">
        <v>0</v>
      </c>
      <c r="S902">
        <v>16</v>
      </c>
      <c r="T902">
        <v>16</v>
      </c>
    </row>
    <row r="903" spans="1:20" x14ac:dyDescent="0.35">
      <c r="A903">
        <v>902</v>
      </c>
      <c r="B903" s="1">
        <v>40584</v>
      </c>
      <c r="C903">
        <v>1</v>
      </c>
      <c r="D903">
        <v>0</v>
      </c>
      <c r="E903">
        <v>2</v>
      </c>
      <c r="F903" t="str">
        <f>IF(final_data787[[#This Row],[MONTH_CODE]]=1,"JANUARY",IF(final_data787[[#This Row],[MONTH_CODE]]=2,"FEBRUARY"))</f>
        <v>FEBRUARY</v>
      </c>
      <c r="G903">
        <v>1</v>
      </c>
      <c r="H903">
        <v>0</v>
      </c>
      <c r="I903">
        <v>4</v>
      </c>
      <c r="J90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3" t="str">
        <f>IF(final_data787[[#This Row],[DAY_CODE]]=0,"weekend",IF(final_data787[[#This Row],[DAY_CODE]]=1,"weekend","weekday"))</f>
        <v>weekday</v>
      </c>
      <c r="L903">
        <v>3</v>
      </c>
      <c r="M903" t="str">
        <f>IF(final_data787[[#This Row],[WEATHER_CODE]]=1,"clear",IF(final_data787[[#This Row],[WEATHER_CODE]]=2,"cloudy",IF(final_data787[[#This Row],[WEATHER_CODE]]=3,"light rain",IF(final_data787[[#This Row],[WEATHER_CODE]]=4,"heavy rain",0))))</f>
        <v>light rain</v>
      </c>
      <c r="N903">
        <v>0.14000000000000001</v>
      </c>
      <c r="O903">
        <v>0.1515</v>
      </c>
      <c r="P903">
        <v>0.8</v>
      </c>
      <c r="Q903">
        <v>0.1343</v>
      </c>
      <c r="R903">
        <v>0</v>
      </c>
      <c r="S903">
        <v>7</v>
      </c>
      <c r="T903">
        <v>7</v>
      </c>
    </row>
    <row r="904" spans="1:20" x14ac:dyDescent="0.35">
      <c r="A904">
        <v>903</v>
      </c>
      <c r="B904" s="1">
        <v>40584</v>
      </c>
      <c r="C904">
        <v>1</v>
      </c>
      <c r="D904">
        <v>0</v>
      </c>
      <c r="E904">
        <v>2</v>
      </c>
      <c r="F904" t="str">
        <f>IF(final_data787[[#This Row],[MONTH_CODE]]=1,"JANUARY",IF(final_data787[[#This Row],[MONTH_CODE]]=2,"FEBRUARY"))</f>
        <v>FEBRUARY</v>
      </c>
      <c r="G904">
        <v>2</v>
      </c>
      <c r="H904">
        <v>0</v>
      </c>
      <c r="I904">
        <v>4</v>
      </c>
      <c r="J90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4" t="str">
        <f>IF(final_data787[[#This Row],[DAY_CODE]]=0,"weekend",IF(final_data787[[#This Row],[DAY_CODE]]=1,"weekend","weekday"))</f>
        <v>weekday</v>
      </c>
      <c r="L904">
        <v>3</v>
      </c>
      <c r="M904" t="str">
        <f>IF(final_data787[[#This Row],[WEATHER_CODE]]=1,"clear",IF(final_data787[[#This Row],[WEATHER_CODE]]=2,"cloudy",IF(final_data787[[#This Row],[WEATHER_CODE]]=3,"light rain",IF(final_data787[[#This Row],[WEATHER_CODE]]=4,"heavy rain",0))))</f>
        <v>light rain</v>
      </c>
      <c r="N904">
        <v>0.14000000000000001</v>
      </c>
      <c r="O904">
        <v>0.1515</v>
      </c>
      <c r="P904">
        <v>0.8</v>
      </c>
      <c r="Q904">
        <v>0.1343</v>
      </c>
      <c r="R904">
        <v>0</v>
      </c>
      <c r="S904">
        <v>3</v>
      </c>
      <c r="T904">
        <v>3</v>
      </c>
    </row>
    <row r="905" spans="1:20" x14ac:dyDescent="0.35">
      <c r="A905">
        <v>904</v>
      </c>
      <c r="B905" s="1">
        <v>40584</v>
      </c>
      <c r="C905">
        <v>1</v>
      </c>
      <c r="D905">
        <v>0</v>
      </c>
      <c r="E905">
        <v>2</v>
      </c>
      <c r="F905" t="str">
        <f>IF(final_data787[[#This Row],[MONTH_CODE]]=1,"JANUARY",IF(final_data787[[#This Row],[MONTH_CODE]]=2,"FEBRUARY"))</f>
        <v>FEBRUARY</v>
      </c>
      <c r="G905">
        <v>4</v>
      </c>
      <c r="H905">
        <v>0</v>
      </c>
      <c r="I905">
        <v>4</v>
      </c>
      <c r="J90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5" t="str">
        <f>IF(final_data787[[#This Row],[DAY_CODE]]=0,"weekend",IF(final_data787[[#This Row],[DAY_CODE]]=1,"weekend","weekday"))</f>
        <v>weekday</v>
      </c>
      <c r="L905">
        <v>2</v>
      </c>
      <c r="M905" t="str">
        <f>IF(final_data787[[#This Row],[WEATHER_CODE]]=1,"clear",IF(final_data787[[#This Row],[WEATHER_CODE]]=2,"cloudy",IF(final_data787[[#This Row],[WEATHER_CODE]]=3,"light rain",IF(final_data787[[#This Row],[WEATHER_CODE]]=4,"heavy rain",0))))</f>
        <v>cloudy</v>
      </c>
      <c r="N905">
        <v>0.14000000000000001</v>
      </c>
      <c r="O905">
        <v>0.13639999999999999</v>
      </c>
      <c r="P905">
        <v>0.59</v>
      </c>
      <c r="Q905">
        <v>0.22389999999999999</v>
      </c>
      <c r="R905">
        <v>0</v>
      </c>
      <c r="S905">
        <v>1</v>
      </c>
      <c r="T905">
        <v>1</v>
      </c>
    </row>
    <row r="906" spans="1:20" x14ac:dyDescent="0.35">
      <c r="A906">
        <v>905</v>
      </c>
      <c r="B906" s="1">
        <v>40584</v>
      </c>
      <c r="C906">
        <v>1</v>
      </c>
      <c r="D906">
        <v>0</v>
      </c>
      <c r="E906">
        <v>2</v>
      </c>
      <c r="F906" t="str">
        <f>IF(final_data787[[#This Row],[MONTH_CODE]]=1,"JANUARY",IF(final_data787[[#This Row],[MONTH_CODE]]=2,"FEBRUARY"))</f>
        <v>FEBRUARY</v>
      </c>
      <c r="G906">
        <v>5</v>
      </c>
      <c r="H906">
        <v>0</v>
      </c>
      <c r="I906">
        <v>4</v>
      </c>
      <c r="J90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6" t="str">
        <f>IF(final_data787[[#This Row],[DAY_CODE]]=0,"weekend",IF(final_data787[[#This Row],[DAY_CODE]]=1,"weekend","weekday"))</f>
        <v>weekday</v>
      </c>
      <c r="L906">
        <v>2</v>
      </c>
      <c r="M906" t="str">
        <f>IF(final_data787[[#This Row],[WEATHER_CODE]]=1,"clear",IF(final_data787[[#This Row],[WEATHER_CODE]]=2,"cloudy",IF(final_data787[[#This Row],[WEATHER_CODE]]=3,"light rain",IF(final_data787[[#This Row],[WEATHER_CODE]]=4,"heavy rain",0))))</f>
        <v>cloudy</v>
      </c>
      <c r="N906">
        <v>0.12</v>
      </c>
      <c r="O906">
        <v>0.1212</v>
      </c>
      <c r="P906">
        <v>0.5</v>
      </c>
      <c r="Q906">
        <v>0.22389999999999999</v>
      </c>
      <c r="R906">
        <v>0</v>
      </c>
      <c r="S906">
        <v>6</v>
      </c>
      <c r="T906">
        <v>6</v>
      </c>
    </row>
    <row r="907" spans="1:20" x14ac:dyDescent="0.35">
      <c r="A907">
        <v>906</v>
      </c>
      <c r="B907" s="1">
        <v>40584</v>
      </c>
      <c r="C907">
        <v>1</v>
      </c>
      <c r="D907">
        <v>0</v>
      </c>
      <c r="E907">
        <v>2</v>
      </c>
      <c r="F907" t="str">
        <f>IF(final_data787[[#This Row],[MONTH_CODE]]=1,"JANUARY",IF(final_data787[[#This Row],[MONTH_CODE]]=2,"FEBRUARY"))</f>
        <v>FEBRUARY</v>
      </c>
      <c r="G907">
        <v>6</v>
      </c>
      <c r="H907">
        <v>0</v>
      </c>
      <c r="I907">
        <v>4</v>
      </c>
      <c r="J90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7" t="str">
        <f>IF(final_data787[[#This Row],[DAY_CODE]]=0,"weekend",IF(final_data787[[#This Row],[DAY_CODE]]=1,"weekend","weekday"))</f>
        <v>weekday</v>
      </c>
      <c r="L907">
        <v>2</v>
      </c>
      <c r="M907" t="str">
        <f>IF(final_data787[[#This Row],[WEATHER_CODE]]=1,"clear",IF(final_data787[[#This Row],[WEATHER_CODE]]=2,"cloudy",IF(final_data787[[#This Row],[WEATHER_CODE]]=3,"light rain",IF(final_data787[[#This Row],[WEATHER_CODE]]=4,"heavy rain",0))))</f>
        <v>cloudy</v>
      </c>
      <c r="N907">
        <v>0.12</v>
      </c>
      <c r="O907">
        <v>0.1212</v>
      </c>
      <c r="P907">
        <v>0.54</v>
      </c>
      <c r="Q907">
        <v>0.28360000000000002</v>
      </c>
      <c r="R907">
        <v>0</v>
      </c>
      <c r="S907">
        <v>26</v>
      </c>
      <c r="T907">
        <v>26</v>
      </c>
    </row>
    <row r="908" spans="1:20" x14ac:dyDescent="0.35">
      <c r="A908">
        <v>907</v>
      </c>
      <c r="B908" s="1">
        <v>40584</v>
      </c>
      <c r="C908">
        <v>1</v>
      </c>
      <c r="D908">
        <v>0</v>
      </c>
      <c r="E908">
        <v>2</v>
      </c>
      <c r="F908" t="str">
        <f>IF(final_data787[[#This Row],[MONTH_CODE]]=1,"JANUARY",IF(final_data787[[#This Row],[MONTH_CODE]]=2,"FEBRUARY"))</f>
        <v>FEBRUARY</v>
      </c>
      <c r="G908">
        <v>7</v>
      </c>
      <c r="H908">
        <v>0</v>
      </c>
      <c r="I908">
        <v>4</v>
      </c>
      <c r="J90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8" t="str">
        <f>IF(final_data787[[#This Row],[DAY_CODE]]=0,"weekend",IF(final_data787[[#This Row],[DAY_CODE]]=1,"weekend","weekday"))</f>
        <v>weekday</v>
      </c>
      <c r="L908">
        <v>1</v>
      </c>
      <c r="M908" t="str">
        <f>IF(final_data787[[#This Row],[WEATHER_CODE]]=1,"clear",IF(final_data787[[#This Row],[WEATHER_CODE]]=2,"cloudy",IF(final_data787[[#This Row],[WEATHER_CODE]]=3,"light rain",IF(final_data787[[#This Row],[WEATHER_CODE]]=4,"heavy rain",0))))</f>
        <v>clear</v>
      </c>
      <c r="N908">
        <v>0.1</v>
      </c>
      <c r="O908">
        <v>7.5800000000000006E-2</v>
      </c>
      <c r="P908">
        <v>0.5</v>
      </c>
      <c r="Q908">
        <v>0.41789999999999999</v>
      </c>
      <c r="R908">
        <v>0</v>
      </c>
      <c r="S908">
        <v>99</v>
      </c>
      <c r="T908">
        <v>99</v>
      </c>
    </row>
    <row r="909" spans="1:20" x14ac:dyDescent="0.35">
      <c r="A909">
        <v>908</v>
      </c>
      <c r="B909" s="1">
        <v>40584</v>
      </c>
      <c r="C909">
        <v>1</v>
      </c>
      <c r="D909">
        <v>0</v>
      </c>
      <c r="E909">
        <v>2</v>
      </c>
      <c r="F909" t="str">
        <f>IF(final_data787[[#This Row],[MONTH_CODE]]=1,"JANUARY",IF(final_data787[[#This Row],[MONTH_CODE]]=2,"FEBRUARY"))</f>
        <v>FEBRUARY</v>
      </c>
      <c r="G909">
        <v>8</v>
      </c>
      <c r="H909">
        <v>0</v>
      </c>
      <c r="I909">
        <v>4</v>
      </c>
      <c r="J90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09" t="str">
        <f>IF(final_data787[[#This Row],[DAY_CODE]]=0,"weekend",IF(final_data787[[#This Row],[DAY_CODE]]=1,"weekend","weekday"))</f>
        <v>weekday</v>
      </c>
      <c r="L909">
        <v>1</v>
      </c>
      <c r="M909" t="str">
        <f>IF(final_data787[[#This Row],[WEATHER_CODE]]=1,"clear",IF(final_data787[[#This Row],[WEATHER_CODE]]=2,"cloudy",IF(final_data787[[#This Row],[WEATHER_CODE]]=3,"light rain",IF(final_data787[[#This Row],[WEATHER_CODE]]=4,"heavy rain",0))))</f>
        <v>clear</v>
      </c>
      <c r="N909">
        <v>0.1</v>
      </c>
      <c r="O909">
        <v>7.5800000000000006E-2</v>
      </c>
      <c r="P909">
        <v>0.49</v>
      </c>
      <c r="Q909">
        <v>0.32840000000000003</v>
      </c>
      <c r="R909">
        <v>5</v>
      </c>
      <c r="S909">
        <v>173</v>
      </c>
      <c r="T909">
        <v>178</v>
      </c>
    </row>
    <row r="910" spans="1:20" x14ac:dyDescent="0.35">
      <c r="A910">
        <v>909</v>
      </c>
      <c r="B910" s="1">
        <v>40584</v>
      </c>
      <c r="C910">
        <v>1</v>
      </c>
      <c r="D910">
        <v>0</v>
      </c>
      <c r="E910">
        <v>2</v>
      </c>
      <c r="F910" t="str">
        <f>IF(final_data787[[#This Row],[MONTH_CODE]]=1,"JANUARY",IF(final_data787[[#This Row],[MONTH_CODE]]=2,"FEBRUARY"))</f>
        <v>FEBRUARY</v>
      </c>
      <c r="G910">
        <v>9</v>
      </c>
      <c r="H910">
        <v>0</v>
      </c>
      <c r="I910">
        <v>4</v>
      </c>
      <c r="J91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0" t="str">
        <f>IF(final_data787[[#This Row],[DAY_CODE]]=0,"weekend",IF(final_data787[[#This Row],[DAY_CODE]]=1,"weekend","weekday"))</f>
        <v>weekday</v>
      </c>
      <c r="L910">
        <v>1</v>
      </c>
      <c r="M910" t="str">
        <f>IF(final_data787[[#This Row],[WEATHER_CODE]]=1,"clear",IF(final_data787[[#This Row],[WEATHER_CODE]]=2,"cloudy",IF(final_data787[[#This Row],[WEATHER_CODE]]=3,"light rain",IF(final_data787[[#This Row],[WEATHER_CODE]]=4,"heavy rain",0))))</f>
        <v>clear</v>
      </c>
      <c r="N910">
        <v>0.12</v>
      </c>
      <c r="O910">
        <v>0.1061</v>
      </c>
      <c r="P910">
        <v>0.42</v>
      </c>
      <c r="Q910">
        <v>0.35820000000000002</v>
      </c>
      <c r="R910">
        <v>1</v>
      </c>
      <c r="S910">
        <v>121</v>
      </c>
      <c r="T910">
        <v>122</v>
      </c>
    </row>
    <row r="911" spans="1:20" x14ac:dyDescent="0.35">
      <c r="A911">
        <v>910</v>
      </c>
      <c r="B911" s="1">
        <v>40584</v>
      </c>
      <c r="C911">
        <v>1</v>
      </c>
      <c r="D911">
        <v>0</v>
      </c>
      <c r="E911">
        <v>2</v>
      </c>
      <c r="F911" t="str">
        <f>IF(final_data787[[#This Row],[MONTH_CODE]]=1,"JANUARY",IF(final_data787[[#This Row],[MONTH_CODE]]=2,"FEBRUARY"))</f>
        <v>FEBRUARY</v>
      </c>
      <c r="G911">
        <v>10</v>
      </c>
      <c r="H911">
        <v>0</v>
      </c>
      <c r="I911">
        <v>4</v>
      </c>
      <c r="J91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1" t="str">
        <f>IF(final_data787[[#This Row],[DAY_CODE]]=0,"weekend",IF(final_data787[[#This Row],[DAY_CODE]]=1,"weekend","weekday"))</f>
        <v>weekday</v>
      </c>
      <c r="L911">
        <v>1</v>
      </c>
      <c r="M911" t="str">
        <f>IF(final_data787[[#This Row],[WEATHER_CODE]]=1,"clear",IF(final_data787[[#This Row],[WEATHER_CODE]]=2,"cloudy",IF(final_data787[[#This Row],[WEATHER_CODE]]=3,"light rain",IF(final_data787[[#This Row],[WEATHER_CODE]]=4,"heavy rain",0))))</f>
        <v>clear</v>
      </c>
      <c r="N911">
        <v>0.12</v>
      </c>
      <c r="O911">
        <v>0.1061</v>
      </c>
      <c r="P911">
        <v>0.42</v>
      </c>
      <c r="Q911">
        <v>0.29849999999999999</v>
      </c>
      <c r="R911">
        <v>1</v>
      </c>
      <c r="S911">
        <v>34</v>
      </c>
      <c r="T911">
        <v>35</v>
      </c>
    </row>
    <row r="912" spans="1:20" x14ac:dyDescent="0.35">
      <c r="A912">
        <v>911</v>
      </c>
      <c r="B912" s="1">
        <v>40584</v>
      </c>
      <c r="C912">
        <v>1</v>
      </c>
      <c r="D912">
        <v>0</v>
      </c>
      <c r="E912">
        <v>2</v>
      </c>
      <c r="F912" t="str">
        <f>IF(final_data787[[#This Row],[MONTH_CODE]]=1,"JANUARY",IF(final_data787[[#This Row],[MONTH_CODE]]=2,"FEBRUARY"))</f>
        <v>FEBRUARY</v>
      </c>
      <c r="G912">
        <v>11</v>
      </c>
      <c r="H912">
        <v>0</v>
      </c>
      <c r="I912">
        <v>4</v>
      </c>
      <c r="J91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2" t="str">
        <f>IF(final_data787[[#This Row],[DAY_CODE]]=0,"weekend",IF(final_data787[[#This Row],[DAY_CODE]]=1,"weekend","weekday"))</f>
        <v>weekday</v>
      </c>
      <c r="L912">
        <v>1</v>
      </c>
      <c r="M912" t="str">
        <f>IF(final_data787[[#This Row],[WEATHER_CODE]]=1,"clear",IF(final_data787[[#This Row],[WEATHER_CODE]]=2,"cloudy",IF(final_data787[[#This Row],[WEATHER_CODE]]=3,"light rain",IF(final_data787[[#This Row],[WEATHER_CODE]]=4,"heavy rain",0))))</f>
        <v>clear</v>
      </c>
      <c r="N912">
        <v>0.14000000000000001</v>
      </c>
      <c r="O912">
        <v>0.1212</v>
      </c>
      <c r="P912">
        <v>0.39</v>
      </c>
      <c r="Q912">
        <v>0.35820000000000002</v>
      </c>
      <c r="R912">
        <v>1</v>
      </c>
      <c r="S912">
        <v>44</v>
      </c>
      <c r="T912">
        <v>45</v>
      </c>
    </row>
    <row r="913" spans="1:20" x14ac:dyDescent="0.35">
      <c r="A913">
        <v>912</v>
      </c>
      <c r="B913" s="1">
        <v>40584</v>
      </c>
      <c r="C913">
        <v>1</v>
      </c>
      <c r="D913">
        <v>0</v>
      </c>
      <c r="E913">
        <v>2</v>
      </c>
      <c r="F913" t="str">
        <f>IF(final_data787[[#This Row],[MONTH_CODE]]=1,"JANUARY",IF(final_data787[[#This Row],[MONTH_CODE]]=2,"FEBRUARY"))</f>
        <v>FEBRUARY</v>
      </c>
      <c r="G913">
        <v>12</v>
      </c>
      <c r="H913">
        <v>0</v>
      </c>
      <c r="I913">
        <v>4</v>
      </c>
      <c r="J91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3" t="str">
        <f>IF(final_data787[[#This Row],[DAY_CODE]]=0,"weekend",IF(final_data787[[#This Row],[DAY_CODE]]=1,"weekend","weekday"))</f>
        <v>weekday</v>
      </c>
      <c r="L913">
        <v>1</v>
      </c>
      <c r="M913" t="str">
        <f>IF(final_data787[[#This Row],[WEATHER_CODE]]=1,"clear",IF(final_data787[[#This Row],[WEATHER_CODE]]=2,"cloudy",IF(final_data787[[#This Row],[WEATHER_CODE]]=3,"light rain",IF(final_data787[[#This Row],[WEATHER_CODE]]=4,"heavy rain",0))))</f>
        <v>clear</v>
      </c>
      <c r="N913">
        <v>0.16</v>
      </c>
      <c r="O913">
        <v>0.13639999999999999</v>
      </c>
      <c r="P913">
        <v>0.34</v>
      </c>
      <c r="Q913">
        <v>0.3881</v>
      </c>
      <c r="R913">
        <v>4</v>
      </c>
      <c r="S913">
        <v>65</v>
      </c>
      <c r="T913">
        <v>69</v>
      </c>
    </row>
    <row r="914" spans="1:20" x14ac:dyDescent="0.35">
      <c r="A914">
        <v>913</v>
      </c>
      <c r="B914" s="1">
        <v>40584</v>
      </c>
      <c r="C914">
        <v>1</v>
      </c>
      <c r="D914">
        <v>0</v>
      </c>
      <c r="E914">
        <v>2</v>
      </c>
      <c r="F914" t="str">
        <f>IF(final_data787[[#This Row],[MONTH_CODE]]=1,"JANUARY",IF(final_data787[[#This Row],[MONTH_CODE]]=2,"FEBRUARY"))</f>
        <v>FEBRUARY</v>
      </c>
      <c r="G914">
        <v>13</v>
      </c>
      <c r="H914">
        <v>0</v>
      </c>
      <c r="I914">
        <v>4</v>
      </c>
      <c r="J91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4" t="str">
        <f>IF(final_data787[[#This Row],[DAY_CODE]]=0,"weekend",IF(final_data787[[#This Row],[DAY_CODE]]=1,"weekend","weekday"))</f>
        <v>weekday</v>
      </c>
      <c r="L914">
        <v>1</v>
      </c>
      <c r="M914" t="str">
        <f>IF(final_data787[[#This Row],[WEATHER_CODE]]=1,"clear",IF(final_data787[[#This Row],[WEATHER_CODE]]=2,"cloudy",IF(final_data787[[#This Row],[WEATHER_CODE]]=3,"light rain",IF(final_data787[[#This Row],[WEATHER_CODE]]=4,"heavy rain",0))))</f>
        <v>clear</v>
      </c>
      <c r="N914">
        <v>0.18</v>
      </c>
      <c r="O914">
        <v>0.16669999999999999</v>
      </c>
      <c r="P914">
        <v>0.28999999999999998</v>
      </c>
      <c r="Q914">
        <v>0.29849999999999999</v>
      </c>
      <c r="R914">
        <v>3</v>
      </c>
      <c r="S914">
        <v>59</v>
      </c>
      <c r="T914">
        <v>62</v>
      </c>
    </row>
    <row r="915" spans="1:20" x14ac:dyDescent="0.35">
      <c r="A915">
        <v>914</v>
      </c>
      <c r="B915" s="1">
        <v>40584</v>
      </c>
      <c r="C915">
        <v>1</v>
      </c>
      <c r="D915">
        <v>0</v>
      </c>
      <c r="E915">
        <v>2</v>
      </c>
      <c r="F915" t="str">
        <f>IF(final_data787[[#This Row],[MONTH_CODE]]=1,"JANUARY",IF(final_data787[[#This Row],[MONTH_CODE]]=2,"FEBRUARY"))</f>
        <v>FEBRUARY</v>
      </c>
      <c r="G915">
        <v>14</v>
      </c>
      <c r="H915">
        <v>0</v>
      </c>
      <c r="I915">
        <v>4</v>
      </c>
      <c r="J91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5" t="str">
        <f>IF(final_data787[[#This Row],[DAY_CODE]]=0,"weekend",IF(final_data787[[#This Row],[DAY_CODE]]=1,"weekend","weekday"))</f>
        <v>weekday</v>
      </c>
      <c r="L915">
        <v>1</v>
      </c>
      <c r="M915" t="str">
        <f>IF(final_data787[[#This Row],[WEATHER_CODE]]=1,"clear",IF(final_data787[[#This Row],[WEATHER_CODE]]=2,"cloudy",IF(final_data787[[#This Row],[WEATHER_CODE]]=3,"light rain",IF(final_data787[[#This Row],[WEATHER_CODE]]=4,"heavy rain",0))))</f>
        <v>clear</v>
      </c>
      <c r="N915">
        <v>0.2</v>
      </c>
      <c r="O915">
        <v>0.18179999999999999</v>
      </c>
      <c r="P915">
        <v>0.27</v>
      </c>
      <c r="Q915">
        <v>0.28360000000000002</v>
      </c>
      <c r="R915">
        <v>6</v>
      </c>
      <c r="S915">
        <v>42</v>
      </c>
      <c r="T915">
        <v>48</v>
      </c>
    </row>
    <row r="916" spans="1:20" x14ac:dyDescent="0.35">
      <c r="A916">
        <v>915</v>
      </c>
      <c r="B916" s="1">
        <v>40584</v>
      </c>
      <c r="C916">
        <v>1</v>
      </c>
      <c r="D916">
        <v>0</v>
      </c>
      <c r="E916">
        <v>2</v>
      </c>
      <c r="F916" t="str">
        <f>IF(final_data787[[#This Row],[MONTH_CODE]]=1,"JANUARY",IF(final_data787[[#This Row],[MONTH_CODE]]=2,"FEBRUARY"))</f>
        <v>FEBRUARY</v>
      </c>
      <c r="G916">
        <v>15</v>
      </c>
      <c r="H916">
        <v>0</v>
      </c>
      <c r="I916">
        <v>4</v>
      </c>
      <c r="J91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6" t="str">
        <f>IF(final_data787[[#This Row],[DAY_CODE]]=0,"weekend",IF(final_data787[[#This Row],[DAY_CODE]]=1,"weekend","weekday"))</f>
        <v>weekday</v>
      </c>
      <c r="L916">
        <v>1</v>
      </c>
      <c r="M916" t="str">
        <f>IF(final_data787[[#This Row],[WEATHER_CODE]]=1,"clear",IF(final_data787[[#This Row],[WEATHER_CODE]]=2,"cloudy",IF(final_data787[[#This Row],[WEATHER_CODE]]=3,"light rain",IF(final_data787[[#This Row],[WEATHER_CODE]]=4,"heavy rain",0))))</f>
        <v>clear</v>
      </c>
      <c r="N916">
        <v>0.2</v>
      </c>
      <c r="O916">
        <v>0.19700000000000001</v>
      </c>
      <c r="P916">
        <v>0.25</v>
      </c>
      <c r="Q916">
        <v>0.25369999999999998</v>
      </c>
      <c r="R916">
        <v>0</v>
      </c>
      <c r="S916">
        <v>50</v>
      </c>
      <c r="T916">
        <v>50</v>
      </c>
    </row>
    <row r="917" spans="1:20" x14ac:dyDescent="0.35">
      <c r="A917">
        <v>916</v>
      </c>
      <c r="B917" s="1">
        <v>40584</v>
      </c>
      <c r="C917">
        <v>1</v>
      </c>
      <c r="D917">
        <v>0</v>
      </c>
      <c r="E917">
        <v>2</v>
      </c>
      <c r="F917" t="str">
        <f>IF(final_data787[[#This Row],[MONTH_CODE]]=1,"JANUARY",IF(final_data787[[#This Row],[MONTH_CODE]]=2,"FEBRUARY"))</f>
        <v>FEBRUARY</v>
      </c>
      <c r="G917">
        <v>16</v>
      </c>
      <c r="H917">
        <v>0</v>
      </c>
      <c r="I917">
        <v>4</v>
      </c>
      <c r="J91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7" t="str">
        <f>IF(final_data787[[#This Row],[DAY_CODE]]=0,"weekend",IF(final_data787[[#This Row],[DAY_CODE]]=1,"weekend","weekday"))</f>
        <v>weekday</v>
      </c>
      <c r="L917">
        <v>1</v>
      </c>
      <c r="M917" t="str">
        <f>IF(final_data787[[#This Row],[WEATHER_CODE]]=1,"clear",IF(final_data787[[#This Row],[WEATHER_CODE]]=2,"cloudy",IF(final_data787[[#This Row],[WEATHER_CODE]]=3,"light rain",IF(final_data787[[#This Row],[WEATHER_CODE]]=4,"heavy rain",0))))</f>
        <v>clear</v>
      </c>
      <c r="N917">
        <v>0.2</v>
      </c>
      <c r="O917">
        <v>0.18179999999999999</v>
      </c>
      <c r="P917">
        <v>0.27</v>
      </c>
      <c r="Q917">
        <v>0.29849999999999999</v>
      </c>
      <c r="R917">
        <v>4</v>
      </c>
      <c r="S917">
        <v>76</v>
      </c>
      <c r="T917">
        <v>80</v>
      </c>
    </row>
    <row r="918" spans="1:20" x14ac:dyDescent="0.35">
      <c r="A918">
        <v>917</v>
      </c>
      <c r="B918" s="1">
        <v>40584</v>
      </c>
      <c r="C918">
        <v>1</v>
      </c>
      <c r="D918">
        <v>0</v>
      </c>
      <c r="E918">
        <v>2</v>
      </c>
      <c r="F918" t="str">
        <f>IF(final_data787[[#This Row],[MONTH_CODE]]=1,"JANUARY",IF(final_data787[[#This Row],[MONTH_CODE]]=2,"FEBRUARY"))</f>
        <v>FEBRUARY</v>
      </c>
      <c r="G918">
        <v>17</v>
      </c>
      <c r="H918">
        <v>0</v>
      </c>
      <c r="I918">
        <v>4</v>
      </c>
      <c r="J91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8" t="str">
        <f>IF(final_data787[[#This Row],[DAY_CODE]]=0,"weekend",IF(final_data787[[#This Row],[DAY_CODE]]=1,"weekend","weekday"))</f>
        <v>weekday</v>
      </c>
      <c r="L918">
        <v>1</v>
      </c>
      <c r="M918" t="str">
        <f>IF(final_data787[[#This Row],[WEATHER_CODE]]=1,"clear",IF(final_data787[[#This Row],[WEATHER_CODE]]=2,"cloudy",IF(final_data787[[#This Row],[WEATHER_CODE]]=3,"light rain",IF(final_data787[[#This Row],[WEATHER_CODE]]=4,"heavy rain",0))))</f>
        <v>clear</v>
      </c>
      <c r="N918">
        <v>0.18</v>
      </c>
      <c r="O918">
        <v>0.18179999999999999</v>
      </c>
      <c r="P918">
        <v>0.26</v>
      </c>
      <c r="Q918">
        <v>0.19400000000000001</v>
      </c>
      <c r="R918">
        <v>6</v>
      </c>
      <c r="S918">
        <v>159</v>
      </c>
      <c r="T918">
        <v>165</v>
      </c>
    </row>
    <row r="919" spans="1:20" x14ac:dyDescent="0.35">
      <c r="A919">
        <v>918</v>
      </c>
      <c r="B919" s="1">
        <v>40584</v>
      </c>
      <c r="C919">
        <v>1</v>
      </c>
      <c r="D919">
        <v>0</v>
      </c>
      <c r="E919">
        <v>2</v>
      </c>
      <c r="F919" t="str">
        <f>IF(final_data787[[#This Row],[MONTH_CODE]]=1,"JANUARY",IF(final_data787[[#This Row],[MONTH_CODE]]=2,"FEBRUARY"))</f>
        <v>FEBRUARY</v>
      </c>
      <c r="G919">
        <v>18</v>
      </c>
      <c r="H919">
        <v>0</v>
      </c>
      <c r="I919">
        <v>4</v>
      </c>
      <c r="J91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19" t="str">
        <f>IF(final_data787[[#This Row],[DAY_CODE]]=0,"weekend",IF(final_data787[[#This Row],[DAY_CODE]]=1,"weekend","weekday"))</f>
        <v>weekday</v>
      </c>
      <c r="L919">
        <v>1</v>
      </c>
      <c r="M919" t="str">
        <f>IF(final_data787[[#This Row],[WEATHER_CODE]]=1,"clear",IF(final_data787[[#This Row],[WEATHER_CODE]]=2,"cloudy",IF(final_data787[[#This Row],[WEATHER_CODE]]=3,"light rain",IF(final_data787[[#This Row],[WEATHER_CODE]]=4,"heavy rain",0))))</f>
        <v>clear</v>
      </c>
      <c r="N919">
        <v>0.16</v>
      </c>
      <c r="O919">
        <v>0.18179999999999999</v>
      </c>
      <c r="P919">
        <v>0.28000000000000003</v>
      </c>
      <c r="Q919">
        <v>0.1343</v>
      </c>
      <c r="R919">
        <v>3</v>
      </c>
      <c r="S919">
        <v>157</v>
      </c>
      <c r="T919">
        <v>160</v>
      </c>
    </row>
    <row r="920" spans="1:20" x14ac:dyDescent="0.35">
      <c r="A920">
        <v>919</v>
      </c>
      <c r="B920" s="1">
        <v>40584</v>
      </c>
      <c r="C920">
        <v>1</v>
      </c>
      <c r="D920">
        <v>0</v>
      </c>
      <c r="E920">
        <v>2</v>
      </c>
      <c r="F920" t="str">
        <f>IF(final_data787[[#This Row],[MONTH_CODE]]=1,"JANUARY",IF(final_data787[[#This Row],[MONTH_CODE]]=2,"FEBRUARY"))</f>
        <v>FEBRUARY</v>
      </c>
      <c r="G920">
        <v>19</v>
      </c>
      <c r="H920">
        <v>0</v>
      </c>
      <c r="I920">
        <v>4</v>
      </c>
      <c r="J92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20" t="str">
        <f>IF(final_data787[[#This Row],[DAY_CODE]]=0,"weekend",IF(final_data787[[#This Row],[DAY_CODE]]=1,"weekend","weekday"))</f>
        <v>weekday</v>
      </c>
      <c r="L920">
        <v>1</v>
      </c>
      <c r="M920" t="str">
        <f>IF(final_data787[[#This Row],[WEATHER_CODE]]=1,"clear",IF(final_data787[[#This Row],[WEATHER_CODE]]=2,"cloudy",IF(final_data787[[#This Row],[WEATHER_CODE]]=3,"light rain",IF(final_data787[[#This Row],[WEATHER_CODE]]=4,"heavy rain",0))))</f>
        <v>clear</v>
      </c>
      <c r="N920">
        <v>0.14000000000000001</v>
      </c>
      <c r="O920">
        <v>0.16669999999999999</v>
      </c>
      <c r="P920">
        <v>0.28000000000000003</v>
      </c>
      <c r="Q920">
        <v>0.1045</v>
      </c>
      <c r="R920">
        <v>2</v>
      </c>
      <c r="S920">
        <v>110</v>
      </c>
      <c r="T920">
        <v>112</v>
      </c>
    </row>
    <row r="921" spans="1:20" x14ac:dyDescent="0.35">
      <c r="A921">
        <v>920</v>
      </c>
      <c r="B921" s="1">
        <v>40584</v>
      </c>
      <c r="C921">
        <v>1</v>
      </c>
      <c r="D921">
        <v>0</v>
      </c>
      <c r="E921">
        <v>2</v>
      </c>
      <c r="F921" t="str">
        <f>IF(final_data787[[#This Row],[MONTH_CODE]]=1,"JANUARY",IF(final_data787[[#This Row],[MONTH_CODE]]=2,"FEBRUARY"))</f>
        <v>FEBRUARY</v>
      </c>
      <c r="G921">
        <v>20</v>
      </c>
      <c r="H921">
        <v>0</v>
      </c>
      <c r="I921">
        <v>4</v>
      </c>
      <c r="J92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21" t="str">
        <f>IF(final_data787[[#This Row],[DAY_CODE]]=0,"weekend",IF(final_data787[[#This Row],[DAY_CODE]]=1,"weekend","weekday"))</f>
        <v>weekday</v>
      </c>
      <c r="L921">
        <v>1</v>
      </c>
      <c r="M921" t="str">
        <f>IF(final_data787[[#This Row],[WEATHER_CODE]]=1,"clear",IF(final_data787[[#This Row],[WEATHER_CODE]]=2,"cloudy",IF(final_data787[[#This Row],[WEATHER_CODE]]=3,"light rain",IF(final_data787[[#This Row],[WEATHER_CODE]]=4,"heavy rain",0))))</f>
        <v>clear</v>
      </c>
      <c r="N921">
        <v>0.14000000000000001</v>
      </c>
      <c r="O921">
        <v>0.18179999999999999</v>
      </c>
      <c r="P921">
        <v>0.31</v>
      </c>
      <c r="Q921">
        <v>8.9599999999999999E-2</v>
      </c>
      <c r="R921">
        <v>4</v>
      </c>
      <c r="S921">
        <v>93</v>
      </c>
      <c r="T921">
        <v>97</v>
      </c>
    </row>
    <row r="922" spans="1:20" x14ac:dyDescent="0.35">
      <c r="A922">
        <v>921</v>
      </c>
      <c r="B922" s="1">
        <v>40584</v>
      </c>
      <c r="C922">
        <v>1</v>
      </c>
      <c r="D922">
        <v>0</v>
      </c>
      <c r="E922">
        <v>2</v>
      </c>
      <c r="F922" t="str">
        <f>IF(final_data787[[#This Row],[MONTH_CODE]]=1,"JANUARY",IF(final_data787[[#This Row],[MONTH_CODE]]=2,"FEBRUARY"))</f>
        <v>FEBRUARY</v>
      </c>
      <c r="G922">
        <v>21</v>
      </c>
      <c r="H922">
        <v>0</v>
      </c>
      <c r="I922">
        <v>4</v>
      </c>
      <c r="J92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22" t="str">
        <f>IF(final_data787[[#This Row],[DAY_CODE]]=0,"weekend",IF(final_data787[[#This Row],[DAY_CODE]]=1,"weekend","weekday"))</f>
        <v>weekday</v>
      </c>
      <c r="L922">
        <v>1</v>
      </c>
      <c r="M922" t="str">
        <f>IF(final_data787[[#This Row],[WEATHER_CODE]]=1,"clear",IF(final_data787[[#This Row],[WEATHER_CODE]]=2,"cloudy",IF(final_data787[[#This Row],[WEATHER_CODE]]=3,"light rain",IF(final_data787[[#This Row],[WEATHER_CODE]]=4,"heavy rain",0))))</f>
        <v>clear</v>
      </c>
      <c r="N922">
        <v>0.14000000000000001</v>
      </c>
      <c r="O922">
        <v>0.21210000000000001</v>
      </c>
      <c r="P922">
        <v>0.39</v>
      </c>
      <c r="Q922">
        <v>0</v>
      </c>
      <c r="R922">
        <v>2</v>
      </c>
      <c r="S922">
        <v>70</v>
      </c>
      <c r="T922">
        <v>72</v>
      </c>
    </row>
    <row r="923" spans="1:20" x14ac:dyDescent="0.35">
      <c r="A923">
        <v>922</v>
      </c>
      <c r="B923" s="1">
        <v>40584</v>
      </c>
      <c r="C923">
        <v>1</v>
      </c>
      <c r="D923">
        <v>0</v>
      </c>
      <c r="E923">
        <v>2</v>
      </c>
      <c r="F923" t="str">
        <f>IF(final_data787[[#This Row],[MONTH_CODE]]=1,"JANUARY",IF(final_data787[[#This Row],[MONTH_CODE]]=2,"FEBRUARY"))</f>
        <v>FEBRUARY</v>
      </c>
      <c r="G923">
        <v>22</v>
      </c>
      <c r="H923">
        <v>0</v>
      </c>
      <c r="I923">
        <v>4</v>
      </c>
      <c r="J92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23" t="str">
        <f>IF(final_data787[[#This Row],[DAY_CODE]]=0,"weekend",IF(final_data787[[#This Row],[DAY_CODE]]=1,"weekend","weekday"))</f>
        <v>weekday</v>
      </c>
      <c r="L923">
        <v>1</v>
      </c>
      <c r="M923" t="str">
        <f>IF(final_data787[[#This Row],[WEATHER_CODE]]=1,"clear",IF(final_data787[[#This Row],[WEATHER_CODE]]=2,"cloudy",IF(final_data787[[#This Row],[WEATHER_CODE]]=3,"light rain",IF(final_data787[[#This Row],[WEATHER_CODE]]=4,"heavy rain",0))))</f>
        <v>clear</v>
      </c>
      <c r="N923">
        <v>0.12</v>
      </c>
      <c r="O923">
        <v>0.19700000000000001</v>
      </c>
      <c r="P923">
        <v>0.39</v>
      </c>
      <c r="Q923">
        <v>0</v>
      </c>
      <c r="R923">
        <v>4</v>
      </c>
      <c r="S923">
        <v>47</v>
      </c>
      <c r="T923">
        <v>51</v>
      </c>
    </row>
    <row r="924" spans="1:20" x14ac:dyDescent="0.35">
      <c r="A924">
        <v>923</v>
      </c>
      <c r="B924" s="1">
        <v>40584</v>
      </c>
      <c r="C924">
        <v>1</v>
      </c>
      <c r="D924">
        <v>0</v>
      </c>
      <c r="E924">
        <v>2</v>
      </c>
      <c r="F924" t="str">
        <f>IF(final_data787[[#This Row],[MONTH_CODE]]=1,"JANUARY",IF(final_data787[[#This Row],[MONTH_CODE]]=2,"FEBRUARY"))</f>
        <v>FEBRUARY</v>
      </c>
      <c r="G924">
        <v>23</v>
      </c>
      <c r="H924">
        <v>0</v>
      </c>
      <c r="I924">
        <v>4</v>
      </c>
      <c r="J92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Thursday</v>
      </c>
      <c r="K924" t="str">
        <f>IF(final_data787[[#This Row],[DAY_CODE]]=0,"weekend",IF(final_data787[[#This Row],[DAY_CODE]]=1,"weekend","weekday"))</f>
        <v>weekday</v>
      </c>
      <c r="L924">
        <v>1</v>
      </c>
      <c r="M924" t="str">
        <f>IF(final_data787[[#This Row],[WEATHER_CODE]]=1,"clear",IF(final_data787[[#This Row],[WEATHER_CODE]]=2,"cloudy",IF(final_data787[[#This Row],[WEATHER_CODE]]=3,"light rain",IF(final_data787[[#This Row],[WEATHER_CODE]]=4,"heavy rain",0))))</f>
        <v>clear</v>
      </c>
      <c r="N924">
        <v>0.12</v>
      </c>
      <c r="O924">
        <v>0.1515</v>
      </c>
      <c r="P924">
        <v>0.42</v>
      </c>
      <c r="Q924">
        <v>0.1045</v>
      </c>
      <c r="R924">
        <v>1</v>
      </c>
      <c r="S924">
        <v>33</v>
      </c>
      <c r="T924">
        <v>34</v>
      </c>
    </row>
    <row r="925" spans="1:20" x14ac:dyDescent="0.35">
      <c r="A925">
        <v>924</v>
      </c>
      <c r="B925" s="1">
        <v>40585</v>
      </c>
      <c r="C925">
        <v>1</v>
      </c>
      <c r="D925">
        <v>0</v>
      </c>
      <c r="E925">
        <v>2</v>
      </c>
      <c r="F925" t="str">
        <f>IF(final_data787[[#This Row],[MONTH_CODE]]=1,"JANUARY",IF(final_data787[[#This Row],[MONTH_CODE]]=2,"FEBRUARY"))</f>
        <v>FEBRUARY</v>
      </c>
      <c r="G925">
        <v>0</v>
      </c>
      <c r="H925">
        <v>0</v>
      </c>
      <c r="I925">
        <v>5</v>
      </c>
      <c r="J92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25" t="str">
        <f>IF(final_data787[[#This Row],[DAY_CODE]]=0,"weekend",IF(final_data787[[#This Row],[DAY_CODE]]=1,"weekend","weekday"))</f>
        <v>weekday</v>
      </c>
      <c r="L925">
        <v>1</v>
      </c>
      <c r="M925" t="str">
        <f>IF(final_data787[[#This Row],[WEATHER_CODE]]=1,"clear",IF(final_data787[[#This Row],[WEATHER_CODE]]=2,"cloudy",IF(final_data787[[#This Row],[WEATHER_CODE]]=3,"light rain",IF(final_data787[[#This Row],[WEATHER_CODE]]=4,"heavy rain",0))))</f>
        <v>clear</v>
      </c>
      <c r="N925">
        <v>0.1</v>
      </c>
      <c r="O925">
        <v>0.13639999999999999</v>
      </c>
      <c r="P925">
        <v>0.49</v>
      </c>
      <c r="Q925">
        <v>0.1045</v>
      </c>
      <c r="R925">
        <v>2</v>
      </c>
      <c r="S925">
        <v>12</v>
      </c>
      <c r="T925">
        <v>14</v>
      </c>
    </row>
    <row r="926" spans="1:20" x14ac:dyDescent="0.35">
      <c r="A926">
        <v>925</v>
      </c>
      <c r="B926" s="1">
        <v>40585</v>
      </c>
      <c r="C926">
        <v>1</v>
      </c>
      <c r="D926">
        <v>0</v>
      </c>
      <c r="E926">
        <v>2</v>
      </c>
      <c r="F926" t="str">
        <f>IF(final_data787[[#This Row],[MONTH_CODE]]=1,"JANUARY",IF(final_data787[[#This Row],[MONTH_CODE]]=2,"FEBRUARY"))</f>
        <v>FEBRUARY</v>
      </c>
      <c r="G926">
        <v>1</v>
      </c>
      <c r="H926">
        <v>0</v>
      </c>
      <c r="I926">
        <v>5</v>
      </c>
      <c r="J92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26" t="str">
        <f>IF(final_data787[[#This Row],[DAY_CODE]]=0,"weekend",IF(final_data787[[#This Row],[DAY_CODE]]=1,"weekend","weekday"))</f>
        <v>weekday</v>
      </c>
      <c r="L926">
        <v>1</v>
      </c>
      <c r="M926" t="str">
        <f>IF(final_data787[[#This Row],[WEATHER_CODE]]=1,"clear",IF(final_data787[[#This Row],[WEATHER_CODE]]=2,"cloudy",IF(final_data787[[#This Row],[WEATHER_CODE]]=3,"light rain",IF(final_data787[[#This Row],[WEATHER_CODE]]=4,"heavy rain",0))))</f>
        <v>clear</v>
      </c>
      <c r="N926">
        <v>0.1</v>
      </c>
      <c r="O926">
        <v>0.13639999999999999</v>
      </c>
      <c r="P926">
        <v>0.54</v>
      </c>
      <c r="Q926">
        <v>8.9599999999999999E-2</v>
      </c>
      <c r="R926">
        <v>1</v>
      </c>
      <c r="S926">
        <v>6</v>
      </c>
      <c r="T926">
        <v>7</v>
      </c>
    </row>
    <row r="927" spans="1:20" x14ac:dyDescent="0.35">
      <c r="A927">
        <v>926</v>
      </c>
      <c r="B927" s="1">
        <v>40585</v>
      </c>
      <c r="C927">
        <v>1</v>
      </c>
      <c r="D927">
        <v>0</v>
      </c>
      <c r="E927">
        <v>2</v>
      </c>
      <c r="F927" t="str">
        <f>IF(final_data787[[#This Row],[MONTH_CODE]]=1,"JANUARY",IF(final_data787[[#This Row],[MONTH_CODE]]=2,"FEBRUARY"))</f>
        <v>FEBRUARY</v>
      </c>
      <c r="G927">
        <v>2</v>
      </c>
      <c r="H927">
        <v>0</v>
      </c>
      <c r="I927">
        <v>5</v>
      </c>
      <c r="J92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27" t="str">
        <f>IF(final_data787[[#This Row],[DAY_CODE]]=0,"weekend",IF(final_data787[[#This Row],[DAY_CODE]]=1,"weekend","weekday"))</f>
        <v>weekday</v>
      </c>
      <c r="L927">
        <v>1</v>
      </c>
      <c r="M927" t="str">
        <f>IF(final_data787[[#This Row],[WEATHER_CODE]]=1,"clear",IF(final_data787[[#This Row],[WEATHER_CODE]]=2,"cloudy",IF(final_data787[[#This Row],[WEATHER_CODE]]=3,"light rain",IF(final_data787[[#This Row],[WEATHER_CODE]]=4,"heavy rain",0))))</f>
        <v>clear</v>
      </c>
      <c r="N927">
        <v>0.1</v>
      </c>
      <c r="O927">
        <v>0.13639999999999999</v>
      </c>
      <c r="P927">
        <v>0.54</v>
      </c>
      <c r="Q927">
        <v>8.9599999999999999E-2</v>
      </c>
      <c r="R927">
        <v>0</v>
      </c>
      <c r="S927">
        <v>3</v>
      </c>
      <c r="T927">
        <v>3</v>
      </c>
    </row>
    <row r="928" spans="1:20" x14ac:dyDescent="0.35">
      <c r="A928">
        <v>927</v>
      </c>
      <c r="B928" s="1">
        <v>40585</v>
      </c>
      <c r="C928">
        <v>1</v>
      </c>
      <c r="D928">
        <v>0</v>
      </c>
      <c r="E928">
        <v>2</v>
      </c>
      <c r="F928" t="str">
        <f>IF(final_data787[[#This Row],[MONTH_CODE]]=1,"JANUARY",IF(final_data787[[#This Row],[MONTH_CODE]]=2,"FEBRUARY"))</f>
        <v>FEBRUARY</v>
      </c>
      <c r="G928">
        <v>5</v>
      </c>
      <c r="H928">
        <v>0</v>
      </c>
      <c r="I928">
        <v>5</v>
      </c>
      <c r="J92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28" t="str">
        <f>IF(final_data787[[#This Row],[DAY_CODE]]=0,"weekend",IF(final_data787[[#This Row],[DAY_CODE]]=1,"weekend","weekday"))</f>
        <v>weekday</v>
      </c>
      <c r="L928">
        <v>1</v>
      </c>
      <c r="M928" t="str">
        <f>IF(final_data787[[#This Row],[WEATHER_CODE]]=1,"clear",IF(final_data787[[#This Row],[WEATHER_CODE]]=2,"cloudy",IF(final_data787[[#This Row],[WEATHER_CODE]]=3,"light rain",IF(final_data787[[#This Row],[WEATHER_CODE]]=4,"heavy rain",0))))</f>
        <v>clear</v>
      </c>
      <c r="N928">
        <v>0.08</v>
      </c>
      <c r="O928">
        <v>0.1212</v>
      </c>
      <c r="P928">
        <v>0.63</v>
      </c>
      <c r="Q928">
        <v>8.9599999999999999E-2</v>
      </c>
      <c r="R928">
        <v>0</v>
      </c>
      <c r="S928">
        <v>4</v>
      </c>
      <c r="T928">
        <v>4</v>
      </c>
    </row>
    <row r="929" spans="1:20" x14ac:dyDescent="0.35">
      <c r="A929">
        <v>928</v>
      </c>
      <c r="B929" s="1">
        <v>40585</v>
      </c>
      <c r="C929">
        <v>1</v>
      </c>
      <c r="D929">
        <v>0</v>
      </c>
      <c r="E929">
        <v>2</v>
      </c>
      <c r="F929" t="str">
        <f>IF(final_data787[[#This Row],[MONTH_CODE]]=1,"JANUARY",IF(final_data787[[#This Row],[MONTH_CODE]]=2,"FEBRUARY"))</f>
        <v>FEBRUARY</v>
      </c>
      <c r="G929">
        <v>6</v>
      </c>
      <c r="H929">
        <v>0</v>
      </c>
      <c r="I929">
        <v>5</v>
      </c>
      <c r="J92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29" t="str">
        <f>IF(final_data787[[#This Row],[DAY_CODE]]=0,"weekend",IF(final_data787[[#This Row],[DAY_CODE]]=1,"weekend","weekday"))</f>
        <v>weekday</v>
      </c>
      <c r="L929">
        <v>1</v>
      </c>
      <c r="M929" t="str">
        <f>IF(final_data787[[#This Row],[WEATHER_CODE]]=1,"clear",IF(final_data787[[#This Row],[WEATHER_CODE]]=2,"cloudy",IF(final_data787[[#This Row],[WEATHER_CODE]]=3,"light rain",IF(final_data787[[#This Row],[WEATHER_CODE]]=4,"heavy rain",0))))</f>
        <v>clear</v>
      </c>
      <c r="N929">
        <v>0.1</v>
      </c>
      <c r="O929">
        <v>0.18179999999999999</v>
      </c>
      <c r="P929">
        <v>0.68</v>
      </c>
      <c r="Q929">
        <v>0</v>
      </c>
      <c r="R929">
        <v>1</v>
      </c>
      <c r="S929">
        <v>23</v>
      </c>
      <c r="T929">
        <v>24</v>
      </c>
    </row>
    <row r="930" spans="1:20" x14ac:dyDescent="0.35">
      <c r="A930">
        <v>929</v>
      </c>
      <c r="B930" s="1">
        <v>40585</v>
      </c>
      <c r="C930">
        <v>1</v>
      </c>
      <c r="D930">
        <v>0</v>
      </c>
      <c r="E930">
        <v>2</v>
      </c>
      <c r="F930" t="str">
        <f>IF(final_data787[[#This Row],[MONTH_CODE]]=1,"JANUARY",IF(final_data787[[#This Row],[MONTH_CODE]]=2,"FEBRUARY"))</f>
        <v>FEBRUARY</v>
      </c>
      <c r="G930">
        <v>7</v>
      </c>
      <c r="H930">
        <v>0</v>
      </c>
      <c r="I930">
        <v>5</v>
      </c>
      <c r="J93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0" t="str">
        <f>IF(final_data787[[#This Row],[DAY_CODE]]=0,"weekend",IF(final_data787[[#This Row],[DAY_CODE]]=1,"weekend","weekday"))</f>
        <v>weekday</v>
      </c>
      <c r="L930">
        <v>1</v>
      </c>
      <c r="M930" t="str">
        <f>IF(final_data787[[#This Row],[WEATHER_CODE]]=1,"clear",IF(final_data787[[#This Row],[WEATHER_CODE]]=2,"cloudy",IF(final_data787[[#This Row],[WEATHER_CODE]]=3,"light rain",IF(final_data787[[#This Row],[WEATHER_CODE]]=4,"heavy rain",0))))</f>
        <v>clear</v>
      </c>
      <c r="N930">
        <v>0.08</v>
      </c>
      <c r="O930">
        <v>0.16669999999999999</v>
      </c>
      <c r="P930">
        <v>0.73</v>
      </c>
      <c r="Q930">
        <v>0</v>
      </c>
      <c r="R930">
        <v>1</v>
      </c>
      <c r="S930">
        <v>73</v>
      </c>
      <c r="T930">
        <v>74</v>
      </c>
    </row>
    <row r="931" spans="1:20" x14ac:dyDescent="0.35">
      <c r="A931">
        <v>930</v>
      </c>
      <c r="B931" s="1">
        <v>40585</v>
      </c>
      <c r="C931">
        <v>1</v>
      </c>
      <c r="D931">
        <v>0</v>
      </c>
      <c r="E931">
        <v>2</v>
      </c>
      <c r="F931" t="str">
        <f>IF(final_data787[[#This Row],[MONTH_CODE]]=1,"JANUARY",IF(final_data787[[#This Row],[MONTH_CODE]]=2,"FEBRUARY"))</f>
        <v>FEBRUARY</v>
      </c>
      <c r="G931">
        <v>8</v>
      </c>
      <c r="H931">
        <v>0</v>
      </c>
      <c r="I931">
        <v>5</v>
      </c>
      <c r="J93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1" t="str">
        <f>IF(final_data787[[#This Row],[DAY_CODE]]=0,"weekend",IF(final_data787[[#This Row],[DAY_CODE]]=1,"weekend","weekday"))</f>
        <v>weekday</v>
      </c>
      <c r="L931">
        <v>1</v>
      </c>
      <c r="M931" t="str">
        <f>IF(final_data787[[#This Row],[WEATHER_CODE]]=1,"clear",IF(final_data787[[#This Row],[WEATHER_CODE]]=2,"cloudy",IF(final_data787[[#This Row],[WEATHER_CODE]]=3,"light rain",IF(final_data787[[#This Row],[WEATHER_CODE]]=4,"heavy rain",0))))</f>
        <v>clear</v>
      </c>
      <c r="N931">
        <v>0.1</v>
      </c>
      <c r="O931">
        <v>0.1212</v>
      </c>
      <c r="P931">
        <v>0.74</v>
      </c>
      <c r="Q931">
        <v>0.16420000000000001</v>
      </c>
      <c r="R931">
        <v>4</v>
      </c>
      <c r="S931">
        <v>212</v>
      </c>
      <c r="T931">
        <v>216</v>
      </c>
    </row>
    <row r="932" spans="1:20" x14ac:dyDescent="0.35">
      <c r="A932">
        <v>931</v>
      </c>
      <c r="B932" s="1">
        <v>40585</v>
      </c>
      <c r="C932">
        <v>1</v>
      </c>
      <c r="D932">
        <v>0</v>
      </c>
      <c r="E932">
        <v>2</v>
      </c>
      <c r="F932" t="str">
        <f>IF(final_data787[[#This Row],[MONTH_CODE]]=1,"JANUARY",IF(final_data787[[#This Row],[MONTH_CODE]]=2,"FEBRUARY"))</f>
        <v>FEBRUARY</v>
      </c>
      <c r="G932">
        <v>9</v>
      </c>
      <c r="H932">
        <v>0</v>
      </c>
      <c r="I932">
        <v>5</v>
      </c>
      <c r="J93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2" t="str">
        <f>IF(final_data787[[#This Row],[DAY_CODE]]=0,"weekend",IF(final_data787[[#This Row],[DAY_CODE]]=1,"weekend","weekday"))</f>
        <v>weekday</v>
      </c>
      <c r="L932">
        <v>1</v>
      </c>
      <c r="M932" t="str">
        <f>IF(final_data787[[#This Row],[WEATHER_CODE]]=1,"clear",IF(final_data787[[#This Row],[WEATHER_CODE]]=2,"cloudy",IF(final_data787[[#This Row],[WEATHER_CODE]]=3,"light rain",IF(final_data787[[#This Row],[WEATHER_CODE]]=4,"heavy rain",0))))</f>
        <v>clear</v>
      </c>
      <c r="N932">
        <v>0.12</v>
      </c>
      <c r="O932">
        <v>0.1212</v>
      </c>
      <c r="P932">
        <v>0.74</v>
      </c>
      <c r="Q932">
        <v>0.22389999999999999</v>
      </c>
      <c r="R932">
        <v>8</v>
      </c>
      <c r="S932">
        <v>132</v>
      </c>
      <c r="T932">
        <v>140</v>
      </c>
    </row>
    <row r="933" spans="1:20" x14ac:dyDescent="0.35">
      <c r="A933">
        <v>932</v>
      </c>
      <c r="B933" s="1">
        <v>40585</v>
      </c>
      <c r="C933">
        <v>1</v>
      </c>
      <c r="D933">
        <v>0</v>
      </c>
      <c r="E933">
        <v>2</v>
      </c>
      <c r="F933" t="str">
        <f>IF(final_data787[[#This Row],[MONTH_CODE]]=1,"JANUARY",IF(final_data787[[#This Row],[MONTH_CODE]]=2,"FEBRUARY"))</f>
        <v>FEBRUARY</v>
      </c>
      <c r="G933">
        <v>10</v>
      </c>
      <c r="H933">
        <v>0</v>
      </c>
      <c r="I933">
        <v>5</v>
      </c>
      <c r="J93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3" t="str">
        <f>IF(final_data787[[#This Row],[DAY_CODE]]=0,"weekend",IF(final_data787[[#This Row],[DAY_CODE]]=1,"weekend","weekday"))</f>
        <v>weekday</v>
      </c>
      <c r="L933">
        <v>1</v>
      </c>
      <c r="M933" t="str">
        <f>IF(final_data787[[#This Row],[WEATHER_CODE]]=1,"clear",IF(final_data787[[#This Row],[WEATHER_CODE]]=2,"cloudy",IF(final_data787[[#This Row],[WEATHER_CODE]]=3,"light rain",IF(final_data787[[#This Row],[WEATHER_CODE]]=4,"heavy rain",0))))</f>
        <v>clear</v>
      </c>
      <c r="N933">
        <v>0.14000000000000001</v>
      </c>
      <c r="O933">
        <v>0.13639999999999999</v>
      </c>
      <c r="P933">
        <v>0.69</v>
      </c>
      <c r="Q933">
        <v>0.19400000000000001</v>
      </c>
      <c r="R933">
        <v>5</v>
      </c>
      <c r="S933">
        <v>39</v>
      </c>
      <c r="T933">
        <v>44</v>
      </c>
    </row>
    <row r="934" spans="1:20" x14ac:dyDescent="0.35">
      <c r="A934">
        <v>933</v>
      </c>
      <c r="B934" s="1">
        <v>40585</v>
      </c>
      <c r="C934">
        <v>1</v>
      </c>
      <c r="D934">
        <v>0</v>
      </c>
      <c r="E934">
        <v>2</v>
      </c>
      <c r="F934" t="str">
        <f>IF(final_data787[[#This Row],[MONTH_CODE]]=1,"JANUARY",IF(final_data787[[#This Row],[MONTH_CODE]]=2,"FEBRUARY"))</f>
        <v>FEBRUARY</v>
      </c>
      <c r="G934">
        <v>11</v>
      </c>
      <c r="H934">
        <v>0</v>
      </c>
      <c r="I934">
        <v>5</v>
      </c>
      <c r="J93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4" t="str">
        <f>IF(final_data787[[#This Row],[DAY_CODE]]=0,"weekend",IF(final_data787[[#This Row],[DAY_CODE]]=1,"weekend","weekday"))</f>
        <v>weekday</v>
      </c>
      <c r="L934">
        <v>1</v>
      </c>
      <c r="M934" t="str">
        <f>IF(final_data787[[#This Row],[WEATHER_CODE]]=1,"clear",IF(final_data787[[#This Row],[WEATHER_CODE]]=2,"cloudy",IF(final_data787[[#This Row],[WEATHER_CODE]]=3,"light rain",IF(final_data787[[#This Row],[WEATHER_CODE]]=4,"heavy rain",0))))</f>
        <v>clear</v>
      </c>
      <c r="N934">
        <v>0.22</v>
      </c>
      <c r="O934">
        <v>0.2273</v>
      </c>
      <c r="P934">
        <v>0.47</v>
      </c>
      <c r="Q934">
        <v>0.1343</v>
      </c>
      <c r="R934">
        <v>12</v>
      </c>
      <c r="S934">
        <v>52</v>
      </c>
      <c r="T934">
        <v>64</v>
      </c>
    </row>
    <row r="935" spans="1:20" x14ac:dyDescent="0.35">
      <c r="A935">
        <v>934</v>
      </c>
      <c r="B935" s="1">
        <v>40585</v>
      </c>
      <c r="C935">
        <v>1</v>
      </c>
      <c r="D935">
        <v>0</v>
      </c>
      <c r="E935">
        <v>2</v>
      </c>
      <c r="F935" t="str">
        <f>IF(final_data787[[#This Row],[MONTH_CODE]]=1,"JANUARY",IF(final_data787[[#This Row],[MONTH_CODE]]=2,"FEBRUARY"))</f>
        <v>FEBRUARY</v>
      </c>
      <c r="G935">
        <v>12</v>
      </c>
      <c r="H935">
        <v>0</v>
      </c>
      <c r="I935">
        <v>5</v>
      </c>
      <c r="J93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5" t="str">
        <f>IF(final_data787[[#This Row],[DAY_CODE]]=0,"weekend",IF(final_data787[[#This Row],[DAY_CODE]]=1,"weekend","weekday"))</f>
        <v>weekday</v>
      </c>
      <c r="L935">
        <v>1</v>
      </c>
      <c r="M935" t="str">
        <f>IF(final_data787[[#This Row],[WEATHER_CODE]]=1,"clear",IF(final_data787[[#This Row],[WEATHER_CODE]]=2,"cloudy",IF(final_data787[[#This Row],[WEATHER_CODE]]=3,"light rain",IF(final_data787[[#This Row],[WEATHER_CODE]]=4,"heavy rain",0))))</f>
        <v>clear</v>
      </c>
      <c r="N935">
        <v>0.22</v>
      </c>
      <c r="O935">
        <v>0.2273</v>
      </c>
      <c r="P935">
        <v>0.47</v>
      </c>
      <c r="Q935">
        <v>0.1343</v>
      </c>
      <c r="R935">
        <v>7</v>
      </c>
      <c r="S935">
        <v>64</v>
      </c>
      <c r="T935">
        <v>71</v>
      </c>
    </row>
    <row r="936" spans="1:20" x14ac:dyDescent="0.35">
      <c r="A936">
        <v>935</v>
      </c>
      <c r="B936" s="1">
        <v>40585</v>
      </c>
      <c r="C936">
        <v>1</v>
      </c>
      <c r="D936">
        <v>0</v>
      </c>
      <c r="E936">
        <v>2</v>
      </c>
      <c r="F936" t="str">
        <f>IF(final_data787[[#This Row],[MONTH_CODE]]=1,"JANUARY",IF(final_data787[[#This Row],[MONTH_CODE]]=2,"FEBRUARY"))</f>
        <v>FEBRUARY</v>
      </c>
      <c r="G936">
        <v>13</v>
      </c>
      <c r="H936">
        <v>0</v>
      </c>
      <c r="I936">
        <v>5</v>
      </c>
      <c r="J93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6" t="str">
        <f>IF(final_data787[[#This Row],[DAY_CODE]]=0,"weekend",IF(final_data787[[#This Row],[DAY_CODE]]=1,"weekend","weekday"))</f>
        <v>weekday</v>
      </c>
      <c r="L936">
        <v>1</v>
      </c>
      <c r="M936" t="str">
        <f>IF(final_data787[[#This Row],[WEATHER_CODE]]=1,"clear",IF(final_data787[[#This Row],[WEATHER_CODE]]=2,"cloudy",IF(final_data787[[#This Row],[WEATHER_CODE]]=3,"light rain",IF(final_data787[[#This Row],[WEATHER_CODE]]=4,"heavy rain",0))))</f>
        <v>clear</v>
      </c>
      <c r="N936">
        <v>0.24</v>
      </c>
      <c r="O936">
        <v>0.2273</v>
      </c>
      <c r="P936">
        <v>0.35</v>
      </c>
      <c r="Q936">
        <v>0.19400000000000001</v>
      </c>
      <c r="R936">
        <v>21</v>
      </c>
      <c r="S936">
        <v>89</v>
      </c>
      <c r="T936">
        <v>110</v>
      </c>
    </row>
    <row r="937" spans="1:20" x14ac:dyDescent="0.35">
      <c r="A937">
        <v>936</v>
      </c>
      <c r="B937" s="1">
        <v>40585</v>
      </c>
      <c r="C937">
        <v>1</v>
      </c>
      <c r="D937">
        <v>0</v>
      </c>
      <c r="E937">
        <v>2</v>
      </c>
      <c r="F937" t="str">
        <f>IF(final_data787[[#This Row],[MONTH_CODE]]=1,"JANUARY",IF(final_data787[[#This Row],[MONTH_CODE]]=2,"FEBRUARY"))</f>
        <v>FEBRUARY</v>
      </c>
      <c r="G937">
        <v>14</v>
      </c>
      <c r="H937">
        <v>0</v>
      </c>
      <c r="I937">
        <v>5</v>
      </c>
      <c r="J93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7" t="str">
        <f>IF(final_data787[[#This Row],[DAY_CODE]]=0,"weekend",IF(final_data787[[#This Row],[DAY_CODE]]=1,"weekend","weekday"))</f>
        <v>weekday</v>
      </c>
      <c r="L937">
        <v>1</v>
      </c>
      <c r="M937" t="str">
        <f>IF(final_data787[[#This Row],[WEATHER_CODE]]=1,"clear",IF(final_data787[[#This Row],[WEATHER_CODE]]=2,"cloudy",IF(final_data787[[#This Row],[WEATHER_CODE]]=3,"light rain",IF(final_data787[[#This Row],[WEATHER_CODE]]=4,"heavy rain",0))))</f>
        <v>clear</v>
      </c>
      <c r="N937">
        <v>0.3</v>
      </c>
      <c r="O937">
        <v>0.28789999999999999</v>
      </c>
      <c r="P937">
        <v>0.26</v>
      </c>
      <c r="Q937">
        <v>0.25369999999999998</v>
      </c>
      <c r="R937">
        <v>17</v>
      </c>
      <c r="S937">
        <v>67</v>
      </c>
      <c r="T937">
        <v>84</v>
      </c>
    </row>
    <row r="938" spans="1:20" x14ac:dyDescent="0.35">
      <c r="A938">
        <v>937</v>
      </c>
      <c r="B938" s="1">
        <v>40585</v>
      </c>
      <c r="C938">
        <v>1</v>
      </c>
      <c r="D938">
        <v>0</v>
      </c>
      <c r="E938">
        <v>2</v>
      </c>
      <c r="F938" t="str">
        <f>IF(final_data787[[#This Row],[MONTH_CODE]]=1,"JANUARY",IF(final_data787[[#This Row],[MONTH_CODE]]=2,"FEBRUARY"))</f>
        <v>FEBRUARY</v>
      </c>
      <c r="G938">
        <v>15</v>
      </c>
      <c r="H938">
        <v>0</v>
      </c>
      <c r="I938">
        <v>5</v>
      </c>
      <c r="J93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8" t="str">
        <f>IF(final_data787[[#This Row],[DAY_CODE]]=0,"weekend",IF(final_data787[[#This Row],[DAY_CODE]]=1,"weekend","weekday"))</f>
        <v>weekday</v>
      </c>
      <c r="L938">
        <v>1</v>
      </c>
      <c r="M938" t="str">
        <f>IF(final_data787[[#This Row],[WEATHER_CODE]]=1,"clear",IF(final_data787[[#This Row],[WEATHER_CODE]]=2,"cloudy",IF(final_data787[[#This Row],[WEATHER_CODE]]=3,"light rain",IF(final_data787[[#This Row],[WEATHER_CODE]]=4,"heavy rain",0))))</f>
        <v>clear</v>
      </c>
      <c r="N938">
        <v>0.32</v>
      </c>
      <c r="O938">
        <v>0.31819999999999998</v>
      </c>
      <c r="P938">
        <v>0.21</v>
      </c>
      <c r="Q938">
        <v>0.16420000000000001</v>
      </c>
      <c r="R938">
        <v>12</v>
      </c>
      <c r="S938">
        <v>62</v>
      </c>
      <c r="T938">
        <v>74</v>
      </c>
    </row>
    <row r="939" spans="1:20" x14ac:dyDescent="0.35">
      <c r="A939">
        <v>938</v>
      </c>
      <c r="B939" s="1">
        <v>40585</v>
      </c>
      <c r="C939">
        <v>1</v>
      </c>
      <c r="D939">
        <v>0</v>
      </c>
      <c r="E939">
        <v>2</v>
      </c>
      <c r="F939" t="str">
        <f>IF(final_data787[[#This Row],[MONTH_CODE]]=1,"JANUARY",IF(final_data787[[#This Row],[MONTH_CODE]]=2,"FEBRUARY"))</f>
        <v>FEBRUARY</v>
      </c>
      <c r="G939">
        <v>16</v>
      </c>
      <c r="H939">
        <v>0</v>
      </c>
      <c r="I939">
        <v>5</v>
      </c>
      <c r="J93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39" t="str">
        <f>IF(final_data787[[#This Row],[DAY_CODE]]=0,"weekend",IF(final_data787[[#This Row],[DAY_CODE]]=1,"weekend","weekday"))</f>
        <v>weekday</v>
      </c>
      <c r="L939">
        <v>1</v>
      </c>
      <c r="M939" t="str">
        <f>IF(final_data787[[#This Row],[WEATHER_CODE]]=1,"clear",IF(final_data787[[#This Row],[WEATHER_CODE]]=2,"cloudy",IF(final_data787[[#This Row],[WEATHER_CODE]]=3,"light rain",IF(final_data787[[#This Row],[WEATHER_CODE]]=4,"heavy rain",0))))</f>
        <v>clear</v>
      </c>
      <c r="N939">
        <v>0.3</v>
      </c>
      <c r="O939">
        <v>0.28789999999999999</v>
      </c>
      <c r="P939">
        <v>0.28000000000000003</v>
      </c>
      <c r="Q939">
        <v>0.19400000000000001</v>
      </c>
      <c r="R939">
        <v>14</v>
      </c>
      <c r="S939">
        <v>111</v>
      </c>
      <c r="T939">
        <v>125</v>
      </c>
    </row>
    <row r="940" spans="1:20" x14ac:dyDescent="0.35">
      <c r="A940">
        <v>939</v>
      </c>
      <c r="B940" s="1">
        <v>40585</v>
      </c>
      <c r="C940">
        <v>1</v>
      </c>
      <c r="D940">
        <v>0</v>
      </c>
      <c r="E940">
        <v>2</v>
      </c>
      <c r="F940" t="str">
        <f>IF(final_data787[[#This Row],[MONTH_CODE]]=1,"JANUARY",IF(final_data787[[#This Row],[MONTH_CODE]]=2,"FEBRUARY"))</f>
        <v>FEBRUARY</v>
      </c>
      <c r="G940">
        <v>17</v>
      </c>
      <c r="H940">
        <v>0</v>
      </c>
      <c r="I940">
        <v>5</v>
      </c>
      <c r="J94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0" t="str">
        <f>IF(final_data787[[#This Row],[DAY_CODE]]=0,"weekend",IF(final_data787[[#This Row],[DAY_CODE]]=1,"weekend","weekday"))</f>
        <v>weekday</v>
      </c>
      <c r="L940">
        <v>1</v>
      </c>
      <c r="M940" t="str">
        <f>IF(final_data787[[#This Row],[WEATHER_CODE]]=1,"clear",IF(final_data787[[#This Row],[WEATHER_CODE]]=2,"cloudy",IF(final_data787[[#This Row],[WEATHER_CODE]]=3,"light rain",IF(final_data787[[#This Row],[WEATHER_CODE]]=4,"heavy rain",0))))</f>
        <v>clear</v>
      </c>
      <c r="N940">
        <v>0.3</v>
      </c>
      <c r="O940">
        <v>0.33329999999999999</v>
      </c>
      <c r="P940">
        <v>0.24</v>
      </c>
      <c r="Q940">
        <v>0</v>
      </c>
      <c r="R940">
        <v>18</v>
      </c>
      <c r="S940">
        <v>193</v>
      </c>
      <c r="T940">
        <v>211</v>
      </c>
    </row>
    <row r="941" spans="1:20" x14ac:dyDescent="0.35">
      <c r="A941">
        <v>940</v>
      </c>
      <c r="B941" s="1">
        <v>40585</v>
      </c>
      <c r="C941">
        <v>1</v>
      </c>
      <c r="D941">
        <v>0</v>
      </c>
      <c r="E941">
        <v>2</v>
      </c>
      <c r="F941" t="str">
        <f>IF(final_data787[[#This Row],[MONTH_CODE]]=1,"JANUARY",IF(final_data787[[#This Row],[MONTH_CODE]]=2,"FEBRUARY"))</f>
        <v>FEBRUARY</v>
      </c>
      <c r="G941">
        <v>18</v>
      </c>
      <c r="H941">
        <v>0</v>
      </c>
      <c r="I941">
        <v>5</v>
      </c>
      <c r="J94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1" t="str">
        <f>IF(final_data787[[#This Row],[DAY_CODE]]=0,"weekend",IF(final_data787[[#This Row],[DAY_CODE]]=1,"weekend","weekday"))</f>
        <v>weekday</v>
      </c>
      <c r="L941">
        <v>1</v>
      </c>
      <c r="M941" t="str">
        <f>IF(final_data787[[#This Row],[WEATHER_CODE]]=1,"clear",IF(final_data787[[#This Row],[WEATHER_CODE]]=2,"cloudy",IF(final_data787[[#This Row],[WEATHER_CODE]]=3,"light rain",IF(final_data787[[#This Row],[WEATHER_CODE]]=4,"heavy rain",0))))</f>
        <v>clear</v>
      </c>
      <c r="N941">
        <v>0.28000000000000003</v>
      </c>
      <c r="O941">
        <v>0.31819999999999998</v>
      </c>
      <c r="P941">
        <v>0.28000000000000003</v>
      </c>
      <c r="Q941">
        <v>0</v>
      </c>
      <c r="R941">
        <v>9</v>
      </c>
      <c r="S941">
        <v>165</v>
      </c>
      <c r="T941">
        <v>174</v>
      </c>
    </row>
    <row r="942" spans="1:20" x14ac:dyDescent="0.35">
      <c r="A942">
        <v>941</v>
      </c>
      <c r="B942" s="1">
        <v>40585</v>
      </c>
      <c r="C942">
        <v>1</v>
      </c>
      <c r="D942">
        <v>0</v>
      </c>
      <c r="E942">
        <v>2</v>
      </c>
      <c r="F942" t="str">
        <f>IF(final_data787[[#This Row],[MONTH_CODE]]=1,"JANUARY",IF(final_data787[[#This Row],[MONTH_CODE]]=2,"FEBRUARY"))</f>
        <v>FEBRUARY</v>
      </c>
      <c r="G942">
        <v>19</v>
      </c>
      <c r="H942">
        <v>0</v>
      </c>
      <c r="I942">
        <v>5</v>
      </c>
      <c r="J94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2" t="str">
        <f>IF(final_data787[[#This Row],[DAY_CODE]]=0,"weekend",IF(final_data787[[#This Row],[DAY_CODE]]=1,"weekend","weekday"))</f>
        <v>weekday</v>
      </c>
      <c r="L942">
        <v>1</v>
      </c>
      <c r="M942" t="str">
        <f>IF(final_data787[[#This Row],[WEATHER_CODE]]=1,"clear",IF(final_data787[[#This Row],[WEATHER_CODE]]=2,"cloudy",IF(final_data787[[#This Row],[WEATHER_CODE]]=3,"light rain",IF(final_data787[[#This Row],[WEATHER_CODE]]=4,"heavy rain",0))))</f>
        <v>clear</v>
      </c>
      <c r="N942">
        <v>0.26</v>
      </c>
      <c r="O942">
        <v>0.30299999999999999</v>
      </c>
      <c r="P942">
        <v>0.33</v>
      </c>
      <c r="Q942">
        <v>0</v>
      </c>
      <c r="R942">
        <v>7</v>
      </c>
      <c r="S942">
        <v>94</v>
      </c>
      <c r="T942">
        <v>101</v>
      </c>
    </row>
    <row r="943" spans="1:20" x14ac:dyDescent="0.35">
      <c r="A943">
        <v>942</v>
      </c>
      <c r="B943" s="1">
        <v>40585</v>
      </c>
      <c r="C943">
        <v>1</v>
      </c>
      <c r="D943">
        <v>0</v>
      </c>
      <c r="E943">
        <v>2</v>
      </c>
      <c r="F943" t="str">
        <f>IF(final_data787[[#This Row],[MONTH_CODE]]=1,"JANUARY",IF(final_data787[[#This Row],[MONTH_CODE]]=2,"FEBRUARY"))</f>
        <v>FEBRUARY</v>
      </c>
      <c r="G943">
        <v>20</v>
      </c>
      <c r="H943">
        <v>0</v>
      </c>
      <c r="I943">
        <v>5</v>
      </c>
      <c r="J94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3" t="str">
        <f>IF(final_data787[[#This Row],[DAY_CODE]]=0,"weekend",IF(final_data787[[#This Row],[DAY_CODE]]=1,"weekend","weekday"))</f>
        <v>weekday</v>
      </c>
      <c r="L943">
        <v>1</v>
      </c>
      <c r="M943" t="str">
        <f>IF(final_data787[[#This Row],[WEATHER_CODE]]=1,"clear",IF(final_data787[[#This Row],[WEATHER_CODE]]=2,"cloudy",IF(final_data787[[#This Row],[WEATHER_CODE]]=3,"light rain",IF(final_data787[[#This Row],[WEATHER_CODE]]=4,"heavy rain",0))))</f>
        <v>clear</v>
      </c>
      <c r="N943">
        <v>0.22</v>
      </c>
      <c r="O943">
        <v>0.2273</v>
      </c>
      <c r="P943">
        <v>0.55000000000000004</v>
      </c>
      <c r="Q943">
        <v>0.1343</v>
      </c>
      <c r="R943">
        <v>2</v>
      </c>
      <c r="S943">
        <v>61</v>
      </c>
      <c r="T943">
        <v>63</v>
      </c>
    </row>
    <row r="944" spans="1:20" x14ac:dyDescent="0.35">
      <c r="A944">
        <v>943</v>
      </c>
      <c r="B944" s="1">
        <v>40585</v>
      </c>
      <c r="C944">
        <v>1</v>
      </c>
      <c r="D944">
        <v>0</v>
      </c>
      <c r="E944">
        <v>2</v>
      </c>
      <c r="F944" t="str">
        <f>IF(final_data787[[#This Row],[MONTH_CODE]]=1,"JANUARY",IF(final_data787[[#This Row],[MONTH_CODE]]=2,"FEBRUARY"))</f>
        <v>FEBRUARY</v>
      </c>
      <c r="G944">
        <v>21</v>
      </c>
      <c r="H944">
        <v>0</v>
      </c>
      <c r="I944">
        <v>5</v>
      </c>
      <c r="J94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4" t="str">
        <f>IF(final_data787[[#This Row],[DAY_CODE]]=0,"weekend",IF(final_data787[[#This Row],[DAY_CODE]]=1,"weekend","weekday"))</f>
        <v>weekday</v>
      </c>
      <c r="L944">
        <v>1</v>
      </c>
      <c r="M944" t="str">
        <f>IF(final_data787[[#This Row],[WEATHER_CODE]]=1,"clear",IF(final_data787[[#This Row],[WEATHER_CODE]]=2,"cloudy",IF(final_data787[[#This Row],[WEATHER_CODE]]=3,"light rain",IF(final_data787[[#This Row],[WEATHER_CODE]]=4,"heavy rain",0))))</f>
        <v>clear</v>
      </c>
      <c r="N944">
        <v>0.2</v>
      </c>
      <c r="O944">
        <v>0.21210000000000001</v>
      </c>
      <c r="P944">
        <v>0.59</v>
      </c>
      <c r="Q944">
        <v>0.1343</v>
      </c>
      <c r="R944">
        <v>1</v>
      </c>
      <c r="S944">
        <v>46</v>
      </c>
      <c r="T944">
        <v>47</v>
      </c>
    </row>
    <row r="945" spans="1:20" x14ac:dyDescent="0.35">
      <c r="A945">
        <v>944</v>
      </c>
      <c r="B945" s="1">
        <v>40585</v>
      </c>
      <c r="C945">
        <v>1</v>
      </c>
      <c r="D945">
        <v>0</v>
      </c>
      <c r="E945">
        <v>2</v>
      </c>
      <c r="F945" t="str">
        <f>IF(final_data787[[#This Row],[MONTH_CODE]]=1,"JANUARY",IF(final_data787[[#This Row],[MONTH_CODE]]=2,"FEBRUARY"))</f>
        <v>FEBRUARY</v>
      </c>
      <c r="G945">
        <v>22</v>
      </c>
      <c r="H945">
        <v>0</v>
      </c>
      <c r="I945">
        <v>5</v>
      </c>
      <c r="J94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5" t="str">
        <f>IF(final_data787[[#This Row],[DAY_CODE]]=0,"weekend",IF(final_data787[[#This Row],[DAY_CODE]]=1,"weekend","weekday"))</f>
        <v>weekday</v>
      </c>
      <c r="L945">
        <v>1</v>
      </c>
      <c r="M945" t="str">
        <f>IF(final_data787[[#This Row],[WEATHER_CODE]]=1,"clear",IF(final_data787[[#This Row],[WEATHER_CODE]]=2,"cloudy",IF(final_data787[[#This Row],[WEATHER_CODE]]=3,"light rain",IF(final_data787[[#This Row],[WEATHER_CODE]]=4,"heavy rain",0))))</f>
        <v>clear</v>
      </c>
      <c r="N945">
        <v>0.2</v>
      </c>
      <c r="O945">
        <v>0.2273</v>
      </c>
      <c r="P945">
        <v>0.64</v>
      </c>
      <c r="Q945">
        <v>8.9599999999999999E-2</v>
      </c>
      <c r="R945">
        <v>2</v>
      </c>
      <c r="S945">
        <v>41</v>
      </c>
      <c r="T945">
        <v>43</v>
      </c>
    </row>
    <row r="946" spans="1:20" x14ac:dyDescent="0.35">
      <c r="A946">
        <v>945</v>
      </c>
      <c r="B946" s="1">
        <v>40585</v>
      </c>
      <c r="C946">
        <v>1</v>
      </c>
      <c r="D946">
        <v>0</v>
      </c>
      <c r="E946">
        <v>2</v>
      </c>
      <c r="F946" t="str">
        <f>IF(final_data787[[#This Row],[MONTH_CODE]]=1,"JANUARY",IF(final_data787[[#This Row],[MONTH_CODE]]=2,"FEBRUARY"))</f>
        <v>FEBRUARY</v>
      </c>
      <c r="G946">
        <v>23</v>
      </c>
      <c r="H946">
        <v>0</v>
      </c>
      <c r="I946">
        <v>5</v>
      </c>
      <c r="J94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Friday</v>
      </c>
      <c r="K946" t="str">
        <f>IF(final_data787[[#This Row],[DAY_CODE]]=0,"weekend",IF(final_data787[[#This Row],[DAY_CODE]]=1,"weekend","weekday"))</f>
        <v>weekday</v>
      </c>
      <c r="L946">
        <v>1</v>
      </c>
      <c r="M946" t="str">
        <f>IF(final_data787[[#This Row],[WEATHER_CODE]]=1,"clear",IF(final_data787[[#This Row],[WEATHER_CODE]]=2,"cloudy",IF(final_data787[[#This Row],[WEATHER_CODE]]=3,"light rain",IF(final_data787[[#This Row],[WEATHER_CODE]]=4,"heavy rain",0))))</f>
        <v>clear</v>
      </c>
      <c r="N946">
        <v>0.18</v>
      </c>
      <c r="O946">
        <v>0.2424</v>
      </c>
      <c r="P946">
        <v>0.69</v>
      </c>
      <c r="Q946">
        <v>0</v>
      </c>
      <c r="R946">
        <v>5</v>
      </c>
      <c r="S946">
        <v>48</v>
      </c>
      <c r="T946">
        <v>53</v>
      </c>
    </row>
    <row r="947" spans="1:20" x14ac:dyDescent="0.35">
      <c r="A947">
        <v>946</v>
      </c>
      <c r="B947" s="1">
        <v>40586</v>
      </c>
      <c r="C947">
        <v>1</v>
      </c>
      <c r="D947">
        <v>0</v>
      </c>
      <c r="E947">
        <v>2</v>
      </c>
      <c r="F947" t="str">
        <f>IF(final_data787[[#This Row],[MONTH_CODE]]=1,"JANUARY",IF(final_data787[[#This Row],[MONTH_CODE]]=2,"FEBRUARY"))</f>
        <v>FEBRUARY</v>
      </c>
      <c r="G947">
        <v>0</v>
      </c>
      <c r="H947">
        <v>0</v>
      </c>
      <c r="I947">
        <v>6</v>
      </c>
      <c r="J94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47" t="str">
        <f>IF(final_data787[[#This Row],[DAY_CODE]]=0,"weekend",IF(final_data787[[#This Row],[DAY_CODE]]=1,"weekend","weekday"))</f>
        <v>weekday</v>
      </c>
      <c r="L947">
        <v>1</v>
      </c>
      <c r="M947" t="str">
        <f>IF(final_data787[[#This Row],[WEATHER_CODE]]=1,"clear",IF(final_data787[[#This Row],[WEATHER_CODE]]=2,"cloudy",IF(final_data787[[#This Row],[WEATHER_CODE]]=3,"light rain",IF(final_data787[[#This Row],[WEATHER_CODE]]=4,"heavy rain",0))))</f>
        <v>clear</v>
      </c>
      <c r="N947">
        <v>0.16</v>
      </c>
      <c r="O947">
        <v>0.19700000000000001</v>
      </c>
      <c r="P947">
        <v>0.69</v>
      </c>
      <c r="Q947">
        <v>8.9599999999999999E-2</v>
      </c>
      <c r="R947">
        <v>3</v>
      </c>
      <c r="S947">
        <v>27</v>
      </c>
      <c r="T947">
        <v>30</v>
      </c>
    </row>
    <row r="948" spans="1:20" x14ac:dyDescent="0.35">
      <c r="A948">
        <v>947</v>
      </c>
      <c r="B948" s="1">
        <v>40586</v>
      </c>
      <c r="C948">
        <v>1</v>
      </c>
      <c r="D948">
        <v>0</v>
      </c>
      <c r="E948">
        <v>2</v>
      </c>
      <c r="F948" t="str">
        <f>IF(final_data787[[#This Row],[MONTH_CODE]]=1,"JANUARY",IF(final_data787[[#This Row],[MONTH_CODE]]=2,"FEBRUARY"))</f>
        <v>FEBRUARY</v>
      </c>
      <c r="G948">
        <v>1</v>
      </c>
      <c r="H948">
        <v>0</v>
      </c>
      <c r="I948">
        <v>6</v>
      </c>
      <c r="J94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48" t="str">
        <f>IF(final_data787[[#This Row],[DAY_CODE]]=0,"weekend",IF(final_data787[[#This Row],[DAY_CODE]]=1,"weekend","weekday"))</f>
        <v>weekday</v>
      </c>
      <c r="L948">
        <v>1</v>
      </c>
      <c r="M948" t="str">
        <f>IF(final_data787[[#This Row],[WEATHER_CODE]]=1,"clear",IF(final_data787[[#This Row],[WEATHER_CODE]]=2,"cloudy",IF(final_data787[[#This Row],[WEATHER_CODE]]=3,"light rain",IF(final_data787[[#This Row],[WEATHER_CODE]]=4,"heavy rain",0))))</f>
        <v>clear</v>
      </c>
      <c r="N948">
        <v>0.14000000000000001</v>
      </c>
      <c r="O948">
        <v>0.21210000000000001</v>
      </c>
      <c r="P948">
        <v>0.86</v>
      </c>
      <c r="Q948">
        <v>0</v>
      </c>
      <c r="R948">
        <v>2</v>
      </c>
      <c r="S948">
        <v>22</v>
      </c>
      <c r="T948">
        <v>24</v>
      </c>
    </row>
    <row r="949" spans="1:20" x14ac:dyDescent="0.35">
      <c r="A949">
        <v>948</v>
      </c>
      <c r="B949" s="1">
        <v>40586</v>
      </c>
      <c r="C949">
        <v>1</v>
      </c>
      <c r="D949">
        <v>0</v>
      </c>
      <c r="E949">
        <v>2</v>
      </c>
      <c r="F949" t="str">
        <f>IF(final_data787[[#This Row],[MONTH_CODE]]=1,"JANUARY",IF(final_data787[[#This Row],[MONTH_CODE]]=2,"FEBRUARY"))</f>
        <v>FEBRUARY</v>
      </c>
      <c r="G949">
        <v>2</v>
      </c>
      <c r="H949">
        <v>0</v>
      </c>
      <c r="I949">
        <v>6</v>
      </c>
      <c r="J94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49" t="str">
        <f>IF(final_data787[[#This Row],[DAY_CODE]]=0,"weekend",IF(final_data787[[#This Row],[DAY_CODE]]=1,"weekend","weekday"))</f>
        <v>weekday</v>
      </c>
      <c r="L949">
        <v>1</v>
      </c>
      <c r="M949" t="str">
        <f>IF(final_data787[[#This Row],[WEATHER_CODE]]=1,"clear",IF(final_data787[[#This Row],[WEATHER_CODE]]=2,"cloudy",IF(final_data787[[#This Row],[WEATHER_CODE]]=3,"light rain",IF(final_data787[[#This Row],[WEATHER_CODE]]=4,"heavy rain",0))))</f>
        <v>clear</v>
      </c>
      <c r="N949">
        <v>0.14000000000000001</v>
      </c>
      <c r="O949">
        <v>0.21210000000000001</v>
      </c>
      <c r="P949">
        <v>0.8</v>
      </c>
      <c r="Q949">
        <v>0</v>
      </c>
      <c r="R949">
        <v>2</v>
      </c>
      <c r="S949">
        <v>13</v>
      </c>
      <c r="T949">
        <v>15</v>
      </c>
    </row>
    <row r="950" spans="1:20" x14ac:dyDescent="0.35">
      <c r="A950">
        <v>949</v>
      </c>
      <c r="B950" s="1">
        <v>40586</v>
      </c>
      <c r="C950">
        <v>1</v>
      </c>
      <c r="D950">
        <v>0</v>
      </c>
      <c r="E950">
        <v>2</v>
      </c>
      <c r="F950" t="str">
        <f>IF(final_data787[[#This Row],[MONTH_CODE]]=1,"JANUARY",IF(final_data787[[#This Row],[MONTH_CODE]]=2,"FEBRUARY"))</f>
        <v>FEBRUARY</v>
      </c>
      <c r="G950">
        <v>3</v>
      </c>
      <c r="H950">
        <v>0</v>
      </c>
      <c r="I950">
        <v>6</v>
      </c>
      <c r="J95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0" t="str">
        <f>IF(final_data787[[#This Row],[DAY_CODE]]=0,"weekend",IF(final_data787[[#This Row],[DAY_CODE]]=1,"weekend","weekday"))</f>
        <v>weekday</v>
      </c>
      <c r="L950">
        <v>1</v>
      </c>
      <c r="M950" t="str">
        <f>IF(final_data787[[#This Row],[WEATHER_CODE]]=1,"clear",IF(final_data787[[#This Row],[WEATHER_CODE]]=2,"cloudy",IF(final_data787[[#This Row],[WEATHER_CODE]]=3,"light rain",IF(final_data787[[#This Row],[WEATHER_CODE]]=4,"heavy rain",0))))</f>
        <v>clear</v>
      </c>
      <c r="N950">
        <v>0.12</v>
      </c>
      <c r="O950">
        <v>0.19700000000000001</v>
      </c>
      <c r="P950">
        <v>0.8</v>
      </c>
      <c r="Q950">
        <v>0</v>
      </c>
      <c r="R950">
        <v>3</v>
      </c>
      <c r="S950">
        <v>7</v>
      </c>
      <c r="T950">
        <v>10</v>
      </c>
    </row>
    <row r="951" spans="1:20" x14ac:dyDescent="0.35">
      <c r="A951">
        <v>950</v>
      </c>
      <c r="B951" s="1">
        <v>40586</v>
      </c>
      <c r="C951">
        <v>1</v>
      </c>
      <c r="D951">
        <v>0</v>
      </c>
      <c r="E951">
        <v>2</v>
      </c>
      <c r="F951" t="str">
        <f>IF(final_data787[[#This Row],[MONTH_CODE]]=1,"JANUARY",IF(final_data787[[#This Row],[MONTH_CODE]]=2,"FEBRUARY"))</f>
        <v>FEBRUARY</v>
      </c>
      <c r="G951">
        <v>4</v>
      </c>
      <c r="H951">
        <v>0</v>
      </c>
      <c r="I951">
        <v>6</v>
      </c>
      <c r="J95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1" t="str">
        <f>IF(final_data787[[#This Row],[DAY_CODE]]=0,"weekend",IF(final_data787[[#This Row],[DAY_CODE]]=1,"weekend","weekday"))</f>
        <v>weekday</v>
      </c>
      <c r="L951">
        <v>1</v>
      </c>
      <c r="M951" t="str">
        <f>IF(final_data787[[#This Row],[WEATHER_CODE]]=1,"clear",IF(final_data787[[#This Row],[WEATHER_CODE]]=2,"cloudy",IF(final_data787[[#This Row],[WEATHER_CODE]]=3,"light rain",IF(final_data787[[#This Row],[WEATHER_CODE]]=4,"heavy rain",0))))</f>
        <v>clear</v>
      </c>
      <c r="N951">
        <v>0.12</v>
      </c>
      <c r="O951">
        <v>0.16669999999999999</v>
      </c>
      <c r="P951">
        <v>0.74</v>
      </c>
      <c r="Q951">
        <v>8.9599999999999999E-2</v>
      </c>
      <c r="R951">
        <v>0</v>
      </c>
      <c r="S951">
        <v>4</v>
      </c>
      <c r="T951">
        <v>4</v>
      </c>
    </row>
    <row r="952" spans="1:20" x14ac:dyDescent="0.35">
      <c r="A952">
        <v>951</v>
      </c>
      <c r="B952" s="1">
        <v>40586</v>
      </c>
      <c r="C952">
        <v>1</v>
      </c>
      <c r="D952">
        <v>0</v>
      </c>
      <c r="E952">
        <v>2</v>
      </c>
      <c r="F952" t="str">
        <f>IF(final_data787[[#This Row],[MONTH_CODE]]=1,"JANUARY",IF(final_data787[[#This Row],[MONTH_CODE]]=2,"FEBRUARY"))</f>
        <v>FEBRUARY</v>
      </c>
      <c r="G952">
        <v>5</v>
      </c>
      <c r="H952">
        <v>0</v>
      </c>
      <c r="I952">
        <v>6</v>
      </c>
      <c r="J95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2" t="str">
        <f>IF(final_data787[[#This Row],[DAY_CODE]]=0,"weekend",IF(final_data787[[#This Row],[DAY_CODE]]=1,"weekend","weekday"))</f>
        <v>weekday</v>
      </c>
      <c r="L952">
        <v>1</v>
      </c>
      <c r="M952" t="str">
        <f>IF(final_data787[[#This Row],[WEATHER_CODE]]=1,"clear",IF(final_data787[[#This Row],[WEATHER_CODE]]=2,"cloudy",IF(final_data787[[#This Row],[WEATHER_CODE]]=3,"light rain",IF(final_data787[[#This Row],[WEATHER_CODE]]=4,"heavy rain",0))))</f>
        <v>clear</v>
      </c>
      <c r="N952">
        <v>0.12</v>
      </c>
      <c r="O952">
        <v>0.16669999999999999</v>
      </c>
      <c r="P952">
        <v>0.74</v>
      </c>
      <c r="Q952">
        <v>8.9599999999999999E-2</v>
      </c>
      <c r="R952">
        <v>0</v>
      </c>
      <c r="S952">
        <v>1</v>
      </c>
      <c r="T952">
        <v>1</v>
      </c>
    </row>
    <row r="953" spans="1:20" x14ac:dyDescent="0.35">
      <c r="A953">
        <v>952</v>
      </c>
      <c r="B953" s="1">
        <v>40586</v>
      </c>
      <c r="C953">
        <v>1</v>
      </c>
      <c r="D953">
        <v>0</v>
      </c>
      <c r="E953">
        <v>2</v>
      </c>
      <c r="F953" t="str">
        <f>IF(final_data787[[#This Row],[MONTH_CODE]]=1,"JANUARY",IF(final_data787[[#This Row],[MONTH_CODE]]=2,"FEBRUARY"))</f>
        <v>FEBRUARY</v>
      </c>
      <c r="G953">
        <v>6</v>
      </c>
      <c r="H953">
        <v>0</v>
      </c>
      <c r="I953">
        <v>6</v>
      </c>
      <c r="J95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3" t="str">
        <f>IF(final_data787[[#This Row],[DAY_CODE]]=0,"weekend",IF(final_data787[[#This Row],[DAY_CODE]]=1,"weekend","weekday"))</f>
        <v>weekday</v>
      </c>
      <c r="L953">
        <v>1</v>
      </c>
      <c r="M953" t="str">
        <f>IF(final_data787[[#This Row],[WEATHER_CODE]]=1,"clear",IF(final_data787[[#This Row],[WEATHER_CODE]]=2,"cloudy",IF(final_data787[[#This Row],[WEATHER_CODE]]=3,"light rain",IF(final_data787[[#This Row],[WEATHER_CODE]]=4,"heavy rain",0))))</f>
        <v>clear</v>
      </c>
      <c r="N953">
        <v>0.12</v>
      </c>
      <c r="O953">
        <v>0.13639999999999999</v>
      </c>
      <c r="P953">
        <v>0.93</v>
      </c>
      <c r="Q953">
        <v>0.19400000000000001</v>
      </c>
      <c r="R953">
        <v>1</v>
      </c>
      <c r="S953">
        <v>1</v>
      </c>
      <c r="T953">
        <v>2</v>
      </c>
    </row>
    <row r="954" spans="1:20" x14ac:dyDescent="0.35">
      <c r="A954">
        <v>953</v>
      </c>
      <c r="B954" s="1">
        <v>40586</v>
      </c>
      <c r="C954">
        <v>1</v>
      </c>
      <c r="D954">
        <v>0</v>
      </c>
      <c r="E954">
        <v>2</v>
      </c>
      <c r="F954" t="str">
        <f>IF(final_data787[[#This Row],[MONTH_CODE]]=1,"JANUARY",IF(final_data787[[#This Row],[MONTH_CODE]]=2,"FEBRUARY"))</f>
        <v>FEBRUARY</v>
      </c>
      <c r="G954">
        <v>7</v>
      </c>
      <c r="H954">
        <v>0</v>
      </c>
      <c r="I954">
        <v>6</v>
      </c>
      <c r="J95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4" t="str">
        <f>IF(final_data787[[#This Row],[DAY_CODE]]=0,"weekend",IF(final_data787[[#This Row],[DAY_CODE]]=1,"weekend","weekday"))</f>
        <v>weekday</v>
      </c>
      <c r="L954">
        <v>1</v>
      </c>
      <c r="M954" t="str">
        <f>IF(final_data787[[#This Row],[WEATHER_CODE]]=1,"clear",IF(final_data787[[#This Row],[WEATHER_CODE]]=2,"cloudy",IF(final_data787[[#This Row],[WEATHER_CODE]]=3,"light rain",IF(final_data787[[#This Row],[WEATHER_CODE]]=4,"heavy rain",0))))</f>
        <v>clear</v>
      </c>
      <c r="N954">
        <v>0.12</v>
      </c>
      <c r="O954">
        <v>0.1515</v>
      </c>
      <c r="P954">
        <v>0.8</v>
      </c>
      <c r="Q954">
        <v>0.1045</v>
      </c>
      <c r="R954">
        <v>2</v>
      </c>
      <c r="S954">
        <v>9</v>
      </c>
      <c r="T954">
        <v>11</v>
      </c>
    </row>
    <row r="955" spans="1:20" x14ac:dyDescent="0.35">
      <c r="A955">
        <v>954</v>
      </c>
      <c r="B955" s="1">
        <v>40586</v>
      </c>
      <c r="C955">
        <v>1</v>
      </c>
      <c r="D955">
        <v>0</v>
      </c>
      <c r="E955">
        <v>2</v>
      </c>
      <c r="F955" t="str">
        <f>IF(final_data787[[#This Row],[MONTH_CODE]]=1,"JANUARY",IF(final_data787[[#This Row],[MONTH_CODE]]=2,"FEBRUARY"))</f>
        <v>FEBRUARY</v>
      </c>
      <c r="G955">
        <v>8</v>
      </c>
      <c r="H955">
        <v>0</v>
      </c>
      <c r="I955">
        <v>6</v>
      </c>
      <c r="J95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5" t="str">
        <f>IF(final_data787[[#This Row],[DAY_CODE]]=0,"weekend",IF(final_data787[[#This Row],[DAY_CODE]]=1,"weekend","weekday"))</f>
        <v>weekday</v>
      </c>
      <c r="L955">
        <v>1</v>
      </c>
      <c r="M955" t="str">
        <f>IF(final_data787[[#This Row],[WEATHER_CODE]]=1,"clear",IF(final_data787[[#This Row],[WEATHER_CODE]]=2,"cloudy",IF(final_data787[[#This Row],[WEATHER_CODE]]=3,"light rain",IF(final_data787[[#This Row],[WEATHER_CODE]]=4,"heavy rain",0))))</f>
        <v>clear</v>
      </c>
      <c r="N955">
        <v>0.14000000000000001</v>
      </c>
      <c r="O955">
        <v>0.1515</v>
      </c>
      <c r="P955">
        <v>0.86</v>
      </c>
      <c r="Q955">
        <v>0.1343</v>
      </c>
      <c r="R955">
        <v>2</v>
      </c>
      <c r="S955">
        <v>28</v>
      </c>
      <c r="T955">
        <v>30</v>
      </c>
    </row>
    <row r="956" spans="1:20" x14ac:dyDescent="0.35">
      <c r="A956">
        <v>955</v>
      </c>
      <c r="B956" s="1">
        <v>40586</v>
      </c>
      <c r="C956">
        <v>1</v>
      </c>
      <c r="D956">
        <v>0</v>
      </c>
      <c r="E956">
        <v>2</v>
      </c>
      <c r="F956" t="str">
        <f>IF(final_data787[[#This Row],[MONTH_CODE]]=1,"JANUARY",IF(final_data787[[#This Row],[MONTH_CODE]]=2,"FEBRUARY"))</f>
        <v>FEBRUARY</v>
      </c>
      <c r="G956">
        <v>9</v>
      </c>
      <c r="H956">
        <v>0</v>
      </c>
      <c r="I956">
        <v>6</v>
      </c>
      <c r="J95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6" t="str">
        <f>IF(final_data787[[#This Row],[DAY_CODE]]=0,"weekend",IF(final_data787[[#This Row],[DAY_CODE]]=1,"weekend","weekday"))</f>
        <v>weekday</v>
      </c>
      <c r="L956">
        <v>1</v>
      </c>
      <c r="M956" t="str">
        <f>IF(final_data787[[#This Row],[WEATHER_CODE]]=1,"clear",IF(final_data787[[#This Row],[WEATHER_CODE]]=2,"cloudy",IF(final_data787[[#This Row],[WEATHER_CODE]]=3,"light rain",IF(final_data787[[#This Row],[WEATHER_CODE]]=4,"heavy rain",0))))</f>
        <v>clear</v>
      </c>
      <c r="N956">
        <v>0.16</v>
      </c>
      <c r="O956">
        <v>0.18179999999999999</v>
      </c>
      <c r="P956">
        <v>0.64</v>
      </c>
      <c r="Q956">
        <v>0.1343</v>
      </c>
      <c r="R956">
        <v>5</v>
      </c>
      <c r="S956">
        <v>38</v>
      </c>
      <c r="T956">
        <v>43</v>
      </c>
    </row>
    <row r="957" spans="1:20" x14ac:dyDescent="0.35">
      <c r="A957">
        <v>956</v>
      </c>
      <c r="B957" s="1">
        <v>40586</v>
      </c>
      <c r="C957">
        <v>1</v>
      </c>
      <c r="D957">
        <v>0</v>
      </c>
      <c r="E957">
        <v>2</v>
      </c>
      <c r="F957" t="str">
        <f>IF(final_data787[[#This Row],[MONTH_CODE]]=1,"JANUARY",IF(final_data787[[#This Row],[MONTH_CODE]]=2,"FEBRUARY"))</f>
        <v>FEBRUARY</v>
      </c>
      <c r="G957">
        <v>10</v>
      </c>
      <c r="H957">
        <v>0</v>
      </c>
      <c r="I957">
        <v>6</v>
      </c>
      <c r="J95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7" t="str">
        <f>IF(final_data787[[#This Row],[DAY_CODE]]=0,"weekend",IF(final_data787[[#This Row],[DAY_CODE]]=1,"weekend","weekday"))</f>
        <v>weekday</v>
      </c>
      <c r="L957">
        <v>1</v>
      </c>
      <c r="M957" t="str">
        <f>IF(final_data787[[#This Row],[WEATHER_CODE]]=1,"clear",IF(final_data787[[#This Row],[WEATHER_CODE]]=2,"cloudy",IF(final_data787[[#This Row],[WEATHER_CODE]]=3,"light rain",IF(final_data787[[#This Row],[WEATHER_CODE]]=4,"heavy rain",0))))</f>
        <v>clear</v>
      </c>
      <c r="N957">
        <v>0.22</v>
      </c>
      <c r="O957">
        <v>0.21210000000000001</v>
      </c>
      <c r="P957">
        <v>0.41</v>
      </c>
      <c r="Q957">
        <v>0.25369999999999998</v>
      </c>
      <c r="R957">
        <v>13</v>
      </c>
      <c r="S957">
        <v>71</v>
      </c>
      <c r="T957">
        <v>84</v>
      </c>
    </row>
    <row r="958" spans="1:20" x14ac:dyDescent="0.35">
      <c r="A958">
        <v>957</v>
      </c>
      <c r="B958" s="1">
        <v>40586</v>
      </c>
      <c r="C958">
        <v>1</v>
      </c>
      <c r="D958">
        <v>0</v>
      </c>
      <c r="E958">
        <v>2</v>
      </c>
      <c r="F958" t="str">
        <f>IF(final_data787[[#This Row],[MONTH_CODE]]=1,"JANUARY",IF(final_data787[[#This Row],[MONTH_CODE]]=2,"FEBRUARY"))</f>
        <v>FEBRUARY</v>
      </c>
      <c r="G958">
        <v>11</v>
      </c>
      <c r="H958">
        <v>0</v>
      </c>
      <c r="I958">
        <v>6</v>
      </c>
      <c r="J95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8" t="str">
        <f>IF(final_data787[[#This Row],[DAY_CODE]]=0,"weekend",IF(final_data787[[#This Row],[DAY_CODE]]=1,"weekend","weekday"))</f>
        <v>weekday</v>
      </c>
      <c r="L958">
        <v>1</v>
      </c>
      <c r="M958" t="str">
        <f>IF(final_data787[[#This Row],[WEATHER_CODE]]=1,"clear",IF(final_data787[[#This Row],[WEATHER_CODE]]=2,"cloudy",IF(final_data787[[#This Row],[WEATHER_CODE]]=3,"light rain",IF(final_data787[[#This Row],[WEATHER_CODE]]=4,"heavy rain",0))))</f>
        <v>clear</v>
      </c>
      <c r="N958">
        <v>0.3</v>
      </c>
      <c r="O958">
        <v>0.2727</v>
      </c>
      <c r="P958">
        <v>0.28000000000000003</v>
      </c>
      <c r="Q958">
        <v>0.32840000000000003</v>
      </c>
      <c r="R958">
        <v>30</v>
      </c>
      <c r="S958">
        <v>84</v>
      </c>
      <c r="T958">
        <v>114</v>
      </c>
    </row>
    <row r="959" spans="1:20" x14ac:dyDescent="0.35">
      <c r="A959">
        <v>958</v>
      </c>
      <c r="B959" s="1">
        <v>40586</v>
      </c>
      <c r="C959">
        <v>1</v>
      </c>
      <c r="D959">
        <v>0</v>
      </c>
      <c r="E959">
        <v>2</v>
      </c>
      <c r="F959" t="str">
        <f>IF(final_data787[[#This Row],[MONTH_CODE]]=1,"JANUARY",IF(final_data787[[#This Row],[MONTH_CODE]]=2,"FEBRUARY"))</f>
        <v>FEBRUARY</v>
      </c>
      <c r="G959">
        <v>12</v>
      </c>
      <c r="H959">
        <v>0</v>
      </c>
      <c r="I959">
        <v>6</v>
      </c>
      <c r="J95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59" t="str">
        <f>IF(final_data787[[#This Row],[DAY_CODE]]=0,"weekend",IF(final_data787[[#This Row],[DAY_CODE]]=1,"weekend","weekday"))</f>
        <v>weekday</v>
      </c>
      <c r="L959">
        <v>1</v>
      </c>
      <c r="M959" t="str">
        <f>IF(final_data787[[#This Row],[WEATHER_CODE]]=1,"clear",IF(final_data787[[#This Row],[WEATHER_CODE]]=2,"cloudy",IF(final_data787[[#This Row],[WEATHER_CODE]]=3,"light rain",IF(final_data787[[#This Row],[WEATHER_CODE]]=4,"heavy rain",0))))</f>
        <v>clear</v>
      </c>
      <c r="N959">
        <v>0.3</v>
      </c>
      <c r="O959">
        <v>0.2727</v>
      </c>
      <c r="P959">
        <v>0.39</v>
      </c>
      <c r="Q959">
        <v>0.4627</v>
      </c>
      <c r="R959">
        <v>27</v>
      </c>
      <c r="S959">
        <v>93</v>
      </c>
      <c r="T959">
        <v>120</v>
      </c>
    </row>
    <row r="960" spans="1:20" x14ac:dyDescent="0.35">
      <c r="A960">
        <v>959</v>
      </c>
      <c r="B960" s="1">
        <v>40586</v>
      </c>
      <c r="C960">
        <v>1</v>
      </c>
      <c r="D960">
        <v>0</v>
      </c>
      <c r="E960">
        <v>2</v>
      </c>
      <c r="F960" t="str">
        <f>IF(final_data787[[#This Row],[MONTH_CODE]]=1,"JANUARY",IF(final_data787[[#This Row],[MONTH_CODE]]=2,"FEBRUARY"))</f>
        <v>FEBRUARY</v>
      </c>
      <c r="G960">
        <v>13</v>
      </c>
      <c r="H960">
        <v>0</v>
      </c>
      <c r="I960">
        <v>6</v>
      </c>
      <c r="J96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0" t="str">
        <f>IF(final_data787[[#This Row],[DAY_CODE]]=0,"weekend",IF(final_data787[[#This Row],[DAY_CODE]]=1,"weekend","weekday"))</f>
        <v>weekday</v>
      </c>
      <c r="L960">
        <v>1</v>
      </c>
      <c r="M960" t="str">
        <f>IF(final_data787[[#This Row],[WEATHER_CODE]]=1,"clear",IF(final_data787[[#This Row],[WEATHER_CODE]]=2,"cloudy",IF(final_data787[[#This Row],[WEATHER_CODE]]=3,"light rain",IF(final_data787[[#This Row],[WEATHER_CODE]]=4,"heavy rain",0))))</f>
        <v>clear</v>
      </c>
      <c r="N960">
        <v>0.3</v>
      </c>
      <c r="O960">
        <v>0.2727</v>
      </c>
      <c r="P960">
        <v>0.39</v>
      </c>
      <c r="Q960">
        <v>0.41789999999999999</v>
      </c>
      <c r="R960">
        <v>32</v>
      </c>
      <c r="S960">
        <v>103</v>
      </c>
      <c r="T960">
        <v>135</v>
      </c>
    </row>
    <row r="961" spans="1:20" x14ac:dyDescent="0.35">
      <c r="A961">
        <v>960</v>
      </c>
      <c r="B961" s="1">
        <v>40586</v>
      </c>
      <c r="C961">
        <v>1</v>
      </c>
      <c r="D961">
        <v>0</v>
      </c>
      <c r="E961">
        <v>2</v>
      </c>
      <c r="F961" t="str">
        <f>IF(final_data787[[#This Row],[MONTH_CODE]]=1,"JANUARY",IF(final_data787[[#This Row],[MONTH_CODE]]=2,"FEBRUARY"))</f>
        <v>FEBRUARY</v>
      </c>
      <c r="G961">
        <v>14</v>
      </c>
      <c r="H961">
        <v>0</v>
      </c>
      <c r="I961">
        <v>6</v>
      </c>
      <c r="J96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1" t="str">
        <f>IF(final_data787[[#This Row],[DAY_CODE]]=0,"weekend",IF(final_data787[[#This Row],[DAY_CODE]]=1,"weekend","weekday"))</f>
        <v>weekday</v>
      </c>
      <c r="L961">
        <v>1</v>
      </c>
      <c r="M961" t="str">
        <f>IF(final_data787[[#This Row],[WEATHER_CODE]]=1,"clear",IF(final_data787[[#This Row],[WEATHER_CODE]]=2,"cloudy",IF(final_data787[[#This Row],[WEATHER_CODE]]=3,"light rain",IF(final_data787[[#This Row],[WEATHER_CODE]]=4,"heavy rain",0))))</f>
        <v>clear</v>
      </c>
      <c r="N961">
        <v>0.34</v>
      </c>
      <c r="O961">
        <v>0.31819999999999998</v>
      </c>
      <c r="P961">
        <v>0.31</v>
      </c>
      <c r="Q961">
        <v>0.28360000000000002</v>
      </c>
      <c r="R961">
        <v>30</v>
      </c>
      <c r="S961">
        <v>90</v>
      </c>
      <c r="T961">
        <v>120</v>
      </c>
    </row>
    <row r="962" spans="1:20" x14ac:dyDescent="0.35">
      <c r="A962">
        <v>961</v>
      </c>
      <c r="B962" s="1">
        <v>40586</v>
      </c>
      <c r="C962">
        <v>1</v>
      </c>
      <c r="D962">
        <v>0</v>
      </c>
      <c r="E962">
        <v>2</v>
      </c>
      <c r="F962" t="str">
        <f>IF(final_data787[[#This Row],[MONTH_CODE]]=1,"JANUARY",IF(final_data787[[#This Row],[MONTH_CODE]]=2,"FEBRUARY"))</f>
        <v>FEBRUARY</v>
      </c>
      <c r="G962">
        <v>15</v>
      </c>
      <c r="H962">
        <v>0</v>
      </c>
      <c r="I962">
        <v>6</v>
      </c>
      <c r="J96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2" t="str">
        <f>IF(final_data787[[#This Row],[DAY_CODE]]=0,"weekend",IF(final_data787[[#This Row],[DAY_CODE]]=1,"weekend","weekday"))</f>
        <v>weekday</v>
      </c>
      <c r="L962">
        <v>1</v>
      </c>
      <c r="M962" t="str">
        <f>IF(final_data787[[#This Row],[WEATHER_CODE]]=1,"clear",IF(final_data787[[#This Row],[WEATHER_CODE]]=2,"cloudy",IF(final_data787[[#This Row],[WEATHER_CODE]]=3,"light rain",IF(final_data787[[#This Row],[WEATHER_CODE]]=4,"heavy rain",0))))</f>
        <v>clear</v>
      </c>
      <c r="N962">
        <v>0.34</v>
      </c>
      <c r="O962">
        <v>0.30299999999999999</v>
      </c>
      <c r="P962">
        <v>0.28999999999999998</v>
      </c>
      <c r="Q962">
        <v>0.41789999999999999</v>
      </c>
      <c r="R962">
        <v>47</v>
      </c>
      <c r="S962">
        <v>127</v>
      </c>
      <c r="T962">
        <v>174</v>
      </c>
    </row>
    <row r="963" spans="1:20" x14ac:dyDescent="0.35">
      <c r="A963">
        <v>962</v>
      </c>
      <c r="B963" s="1">
        <v>40586</v>
      </c>
      <c r="C963">
        <v>1</v>
      </c>
      <c r="D963">
        <v>0</v>
      </c>
      <c r="E963">
        <v>2</v>
      </c>
      <c r="F963" t="str">
        <f>IF(final_data787[[#This Row],[MONTH_CODE]]=1,"JANUARY",IF(final_data787[[#This Row],[MONTH_CODE]]=2,"FEBRUARY"))</f>
        <v>FEBRUARY</v>
      </c>
      <c r="G963">
        <v>16</v>
      </c>
      <c r="H963">
        <v>0</v>
      </c>
      <c r="I963">
        <v>6</v>
      </c>
      <c r="J96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3" t="str">
        <f>IF(final_data787[[#This Row],[DAY_CODE]]=0,"weekend",IF(final_data787[[#This Row],[DAY_CODE]]=1,"weekend","weekday"))</f>
        <v>weekday</v>
      </c>
      <c r="L963">
        <v>1</v>
      </c>
      <c r="M963" t="str">
        <f>IF(final_data787[[#This Row],[WEATHER_CODE]]=1,"clear",IF(final_data787[[#This Row],[WEATHER_CODE]]=2,"cloudy",IF(final_data787[[#This Row],[WEATHER_CODE]]=3,"light rain",IF(final_data787[[#This Row],[WEATHER_CODE]]=4,"heavy rain",0))))</f>
        <v>clear</v>
      </c>
      <c r="N963">
        <v>0.34</v>
      </c>
      <c r="O963">
        <v>0.30299999999999999</v>
      </c>
      <c r="P963">
        <v>0.28999999999999998</v>
      </c>
      <c r="Q963">
        <v>0.41789999999999999</v>
      </c>
      <c r="R963">
        <v>42</v>
      </c>
      <c r="S963">
        <v>103</v>
      </c>
      <c r="T963">
        <v>145</v>
      </c>
    </row>
    <row r="964" spans="1:20" x14ac:dyDescent="0.35">
      <c r="A964">
        <v>963</v>
      </c>
      <c r="B964" s="1">
        <v>40586</v>
      </c>
      <c r="C964">
        <v>1</v>
      </c>
      <c r="D964">
        <v>0</v>
      </c>
      <c r="E964">
        <v>2</v>
      </c>
      <c r="F964" t="str">
        <f>IF(final_data787[[#This Row],[MONTH_CODE]]=1,"JANUARY",IF(final_data787[[#This Row],[MONTH_CODE]]=2,"FEBRUARY"))</f>
        <v>FEBRUARY</v>
      </c>
      <c r="G964">
        <v>17</v>
      </c>
      <c r="H964">
        <v>0</v>
      </c>
      <c r="I964">
        <v>6</v>
      </c>
      <c r="J96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4" t="str">
        <f>IF(final_data787[[#This Row],[DAY_CODE]]=0,"weekend",IF(final_data787[[#This Row],[DAY_CODE]]=1,"weekend","weekday"))</f>
        <v>weekday</v>
      </c>
      <c r="L964">
        <v>1</v>
      </c>
      <c r="M964" t="str">
        <f>IF(final_data787[[#This Row],[WEATHER_CODE]]=1,"clear",IF(final_data787[[#This Row],[WEATHER_CODE]]=2,"cloudy",IF(final_data787[[#This Row],[WEATHER_CODE]]=3,"light rain",IF(final_data787[[#This Row],[WEATHER_CODE]]=4,"heavy rain",0))))</f>
        <v>clear</v>
      </c>
      <c r="N964">
        <v>0.32</v>
      </c>
      <c r="O964">
        <v>0.28789999999999999</v>
      </c>
      <c r="P964">
        <v>0.31</v>
      </c>
      <c r="Q964">
        <v>0.52239999999999998</v>
      </c>
      <c r="R964">
        <v>24</v>
      </c>
      <c r="S964">
        <v>113</v>
      </c>
      <c r="T964">
        <v>137</v>
      </c>
    </row>
    <row r="965" spans="1:20" x14ac:dyDescent="0.35">
      <c r="A965">
        <v>964</v>
      </c>
      <c r="B965" s="1">
        <v>40586</v>
      </c>
      <c r="C965">
        <v>1</v>
      </c>
      <c r="D965">
        <v>0</v>
      </c>
      <c r="E965">
        <v>2</v>
      </c>
      <c r="F965" t="str">
        <f>IF(final_data787[[#This Row],[MONTH_CODE]]=1,"JANUARY",IF(final_data787[[#This Row],[MONTH_CODE]]=2,"FEBRUARY"))</f>
        <v>FEBRUARY</v>
      </c>
      <c r="G965">
        <v>18</v>
      </c>
      <c r="H965">
        <v>0</v>
      </c>
      <c r="I965">
        <v>6</v>
      </c>
      <c r="J96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5" t="str">
        <f>IF(final_data787[[#This Row],[DAY_CODE]]=0,"weekend",IF(final_data787[[#This Row],[DAY_CODE]]=1,"weekend","weekday"))</f>
        <v>weekday</v>
      </c>
      <c r="L965">
        <v>1</v>
      </c>
      <c r="M965" t="str">
        <f>IF(final_data787[[#This Row],[WEATHER_CODE]]=1,"clear",IF(final_data787[[#This Row],[WEATHER_CODE]]=2,"cloudy",IF(final_data787[[#This Row],[WEATHER_CODE]]=3,"light rain",IF(final_data787[[#This Row],[WEATHER_CODE]]=4,"heavy rain",0))))</f>
        <v>clear</v>
      </c>
      <c r="N965">
        <v>0.28000000000000003</v>
      </c>
      <c r="O965">
        <v>0.2576</v>
      </c>
      <c r="P965">
        <v>0.38</v>
      </c>
      <c r="Q965">
        <v>0.32840000000000003</v>
      </c>
      <c r="R965">
        <v>4</v>
      </c>
      <c r="S965">
        <v>60</v>
      </c>
      <c r="T965">
        <v>64</v>
      </c>
    </row>
    <row r="966" spans="1:20" x14ac:dyDescent="0.35">
      <c r="A966">
        <v>965</v>
      </c>
      <c r="B966" s="1">
        <v>40586</v>
      </c>
      <c r="C966">
        <v>1</v>
      </c>
      <c r="D966">
        <v>0</v>
      </c>
      <c r="E966">
        <v>2</v>
      </c>
      <c r="F966" t="str">
        <f>IF(final_data787[[#This Row],[MONTH_CODE]]=1,"JANUARY",IF(final_data787[[#This Row],[MONTH_CODE]]=2,"FEBRUARY"))</f>
        <v>FEBRUARY</v>
      </c>
      <c r="G966">
        <v>19</v>
      </c>
      <c r="H966">
        <v>0</v>
      </c>
      <c r="I966">
        <v>6</v>
      </c>
      <c r="J96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6" t="str">
        <f>IF(final_data787[[#This Row],[DAY_CODE]]=0,"weekend",IF(final_data787[[#This Row],[DAY_CODE]]=1,"weekend","weekday"))</f>
        <v>weekday</v>
      </c>
      <c r="L966">
        <v>1</v>
      </c>
      <c r="M966" t="str">
        <f>IF(final_data787[[#This Row],[WEATHER_CODE]]=1,"clear",IF(final_data787[[#This Row],[WEATHER_CODE]]=2,"cloudy",IF(final_data787[[#This Row],[WEATHER_CODE]]=3,"light rain",IF(final_data787[[#This Row],[WEATHER_CODE]]=4,"heavy rain",0))))</f>
        <v>clear</v>
      </c>
      <c r="N966">
        <v>0.28000000000000003</v>
      </c>
      <c r="O966">
        <v>0.2727</v>
      </c>
      <c r="P966">
        <v>0.38</v>
      </c>
      <c r="Q966">
        <v>0.16420000000000001</v>
      </c>
      <c r="R966">
        <v>2</v>
      </c>
      <c r="S966">
        <v>39</v>
      </c>
      <c r="T966">
        <v>41</v>
      </c>
    </row>
    <row r="967" spans="1:20" x14ac:dyDescent="0.35">
      <c r="A967">
        <v>966</v>
      </c>
      <c r="B967" s="1">
        <v>40586</v>
      </c>
      <c r="C967">
        <v>1</v>
      </c>
      <c r="D967">
        <v>0</v>
      </c>
      <c r="E967">
        <v>2</v>
      </c>
      <c r="F967" t="str">
        <f>IF(final_data787[[#This Row],[MONTH_CODE]]=1,"JANUARY",IF(final_data787[[#This Row],[MONTH_CODE]]=2,"FEBRUARY"))</f>
        <v>FEBRUARY</v>
      </c>
      <c r="G967">
        <v>20</v>
      </c>
      <c r="H967">
        <v>0</v>
      </c>
      <c r="I967">
        <v>6</v>
      </c>
      <c r="J96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7" t="str">
        <f>IF(final_data787[[#This Row],[DAY_CODE]]=0,"weekend",IF(final_data787[[#This Row],[DAY_CODE]]=1,"weekend","weekday"))</f>
        <v>weekday</v>
      </c>
      <c r="L967">
        <v>1</v>
      </c>
      <c r="M967" t="str">
        <f>IF(final_data787[[#This Row],[WEATHER_CODE]]=1,"clear",IF(final_data787[[#This Row],[WEATHER_CODE]]=2,"cloudy",IF(final_data787[[#This Row],[WEATHER_CODE]]=3,"light rain",IF(final_data787[[#This Row],[WEATHER_CODE]]=4,"heavy rain",0))))</f>
        <v>clear</v>
      </c>
      <c r="N967">
        <v>0.26</v>
      </c>
      <c r="O967">
        <v>0.2576</v>
      </c>
      <c r="P967">
        <v>0.41</v>
      </c>
      <c r="Q967">
        <v>0.22389999999999999</v>
      </c>
      <c r="R967">
        <v>1</v>
      </c>
      <c r="S967">
        <v>39</v>
      </c>
      <c r="T967">
        <v>40</v>
      </c>
    </row>
    <row r="968" spans="1:20" x14ac:dyDescent="0.35">
      <c r="A968">
        <v>967</v>
      </c>
      <c r="B968" s="1">
        <v>40586</v>
      </c>
      <c r="C968">
        <v>1</v>
      </c>
      <c r="D968">
        <v>0</v>
      </c>
      <c r="E968">
        <v>2</v>
      </c>
      <c r="F968" t="str">
        <f>IF(final_data787[[#This Row],[MONTH_CODE]]=1,"JANUARY",IF(final_data787[[#This Row],[MONTH_CODE]]=2,"FEBRUARY"))</f>
        <v>FEBRUARY</v>
      </c>
      <c r="G968">
        <v>21</v>
      </c>
      <c r="H968">
        <v>0</v>
      </c>
      <c r="I968">
        <v>6</v>
      </c>
      <c r="J96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8" t="str">
        <f>IF(final_data787[[#This Row],[DAY_CODE]]=0,"weekend",IF(final_data787[[#This Row],[DAY_CODE]]=1,"weekend","weekday"))</f>
        <v>weekday</v>
      </c>
      <c r="L968">
        <v>1</v>
      </c>
      <c r="M968" t="str">
        <f>IF(final_data787[[#This Row],[WEATHER_CODE]]=1,"clear",IF(final_data787[[#This Row],[WEATHER_CODE]]=2,"cloudy",IF(final_data787[[#This Row],[WEATHER_CODE]]=3,"light rain",IF(final_data787[[#This Row],[WEATHER_CODE]]=4,"heavy rain",0))))</f>
        <v>clear</v>
      </c>
      <c r="N968">
        <v>0.26</v>
      </c>
      <c r="O968">
        <v>0.30299999999999999</v>
      </c>
      <c r="P968">
        <v>0.41</v>
      </c>
      <c r="Q968">
        <v>0</v>
      </c>
      <c r="R968">
        <v>9</v>
      </c>
      <c r="S968">
        <v>42</v>
      </c>
      <c r="T968">
        <v>51</v>
      </c>
    </row>
    <row r="969" spans="1:20" x14ac:dyDescent="0.35">
      <c r="A969">
        <v>968</v>
      </c>
      <c r="B969" s="1">
        <v>40586</v>
      </c>
      <c r="C969">
        <v>1</v>
      </c>
      <c r="D969">
        <v>0</v>
      </c>
      <c r="E969">
        <v>2</v>
      </c>
      <c r="F969" t="str">
        <f>IF(final_data787[[#This Row],[MONTH_CODE]]=1,"JANUARY",IF(final_data787[[#This Row],[MONTH_CODE]]=2,"FEBRUARY"))</f>
        <v>FEBRUARY</v>
      </c>
      <c r="G969">
        <v>22</v>
      </c>
      <c r="H969">
        <v>0</v>
      </c>
      <c r="I969">
        <v>6</v>
      </c>
      <c r="J96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69" t="str">
        <f>IF(final_data787[[#This Row],[DAY_CODE]]=0,"weekend",IF(final_data787[[#This Row],[DAY_CODE]]=1,"weekend","weekday"))</f>
        <v>weekday</v>
      </c>
      <c r="L969">
        <v>1</v>
      </c>
      <c r="M969" t="str">
        <f>IF(final_data787[[#This Row],[WEATHER_CODE]]=1,"clear",IF(final_data787[[#This Row],[WEATHER_CODE]]=2,"cloudy",IF(final_data787[[#This Row],[WEATHER_CODE]]=3,"light rain",IF(final_data787[[#This Row],[WEATHER_CODE]]=4,"heavy rain",0))))</f>
        <v>clear</v>
      </c>
      <c r="N969">
        <v>0.24</v>
      </c>
      <c r="O969">
        <v>0.2576</v>
      </c>
      <c r="P969">
        <v>0.44</v>
      </c>
      <c r="Q969">
        <v>8.9599999999999999E-2</v>
      </c>
      <c r="R969">
        <v>6</v>
      </c>
      <c r="S969">
        <v>39</v>
      </c>
      <c r="T969">
        <v>45</v>
      </c>
    </row>
    <row r="970" spans="1:20" x14ac:dyDescent="0.35">
      <c r="A970">
        <v>969</v>
      </c>
      <c r="B970" s="1">
        <v>40586</v>
      </c>
      <c r="C970">
        <v>1</v>
      </c>
      <c r="D970">
        <v>0</v>
      </c>
      <c r="E970">
        <v>2</v>
      </c>
      <c r="F970" t="str">
        <f>IF(final_data787[[#This Row],[MONTH_CODE]]=1,"JANUARY",IF(final_data787[[#This Row],[MONTH_CODE]]=2,"FEBRUARY"))</f>
        <v>FEBRUARY</v>
      </c>
      <c r="G970">
        <v>23</v>
      </c>
      <c r="H970">
        <v>0</v>
      </c>
      <c r="I970">
        <v>6</v>
      </c>
      <c r="J97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Saturday</v>
      </c>
      <c r="K970" t="str">
        <f>IF(final_data787[[#This Row],[DAY_CODE]]=0,"weekend",IF(final_data787[[#This Row],[DAY_CODE]]=1,"weekend","weekday"))</f>
        <v>weekday</v>
      </c>
      <c r="L970">
        <v>1</v>
      </c>
      <c r="M970" t="str">
        <f>IF(final_data787[[#This Row],[WEATHER_CODE]]=1,"clear",IF(final_data787[[#This Row],[WEATHER_CODE]]=2,"cloudy",IF(final_data787[[#This Row],[WEATHER_CODE]]=3,"light rain",IF(final_data787[[#This Row],[WEATHER_CODE]]=4,"heavy rain",0))))</f>
        <v>clear</v>
      </c>
      <c r="N970">
        <v>0.22</v>
      </c>
      <c r="O970">
        <v>0.2273</v>
      </c>
      <c r="P970">
        <v>0.51</v>
      </c>
      <c r="Q970">
        <v>0.1343</v>
      </c>
      <c r="R970">
        <v>1</v>
      </c>
      <c r="S970">
        <v>31</v>
      </c>
      <c r="T970">
        <v>32</v>
      </c>
    </row>
    <row r="971" spans="1:20" x14ac:dyDescent="0.35">
      <c r="A971">
        <v>970</v>
      </c>
      <c r="B971" s="1">
        <v>40587</v>
      </c>
      <c r="C971">
        <v>1</v>
      </c>
      <c r="D971">
        <v>0</v>
      </c>
      <c r="E971">
        <v>2</v>
      </c>
      <c r="F971" t="str">
        <f>IF(final_data787[[#This Row],[MONTH_CODE]]=1,"JANUARY",IF(final_data787[[#This Row],[MONTH_CODE]]=2,"FEBRUARY"))</f>
        <v>FEBRUARY</v>
      </c>
      <c r="G971">
        <v>0</v>
      </c>
      <c r="H971">
        <v>0</v>
      </c>
      <c r="I971">
        <v>0</v>
      </c>
      <c r="J97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1" t="str">
        <f>IF(final_data787[[#This Row],[DAY_CODE]]=0,"weekend",IF(final_data787[[#This Row],[DAY_CODE]]=1,"weekend","weekday"))</f>
        <v>weekend</v>
      </c>
      <c r="L971">
        <v>1</v>
      </c>
      <c r="M971" t="str">
        <f>IF(final_data787[[#This Row],[WEATHER_CODE]]=1,"clear",IF(final_data787[[#This Row],[WEATHER_CODE]]=2,"cloudy",IF(final_data787[[#This Row],[WEATHER_CODE]]=3,"light rain",IF(final_data787[[#This Row],[WEATHER_CODE]]=4,"heavy rain",0))))</f>
        <v>clear</v>
      </c>
      <c r="N971">
        <v>0.2</v>
      </c>
      <c r="O971">
        <v>0.2273</v>
      </c>
      <c r="P971">
        <v>0.64</v>
      </c>
      <c r="Q971">
        <v>0.1045</v>
      </c>
      <c r="R971">
        <v>5</v>
      </c>
      <c r="S971">
        <v>34</v>
      </c>
      <c r="T971">
        <v>39</v>
      </c>
    </row>
    <row r="972" spans="1:20" x14ac:dyDescent="0.35">
      <c r="A972">
        <v>971</v>
      </c>
      <c r="B972" s="1">
        <v>40587</v>
      </c>
      <c r="C972">
        <v>1</v>
      </c>
      <c r="D972">
        <v>0</v>
      </c>
      <c r="E972">
        <v>2</v>
      </c>
      <c r="F972" t="str">
        <f>IF(final_data787[[#This Row],[MONTH_CODE]]=1,"JANUARY",IF(final_data787[[#This Row],[MONTH_CODE]]=2,"FEBRUARY"))</f>
        <v>FEBRUARY</v>
      </c>
      <c r="G972">
        <v>1</v>
      </c>
      <c r="H972">
        <v>0</v>
      </c>
      <c r="I972">
        <v>0</v>
      </c>
      <c r="J97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2" t="str">
        <f>IF(final_data787[[#This Row],[DAY_CODE]]=0,"weekend",IF(final_data787[[#This Row],[DAY_CODE]]=1,"weekend","weekday"))</f>
        <v>weekend</v>
      </c>
      <c r="L972">
        <v>1</v>
      </c>
      <c r="M972" t="str">
        <f>IF(final_data787[[#This Row],[WEATHER_CODE]]=1,"clear",IF(final_data787[[#This Row],[WEATHER_CODE]]=2,"cloudy",IF(final_data787[[#This Row],[WEATHER_CODE]]=3,"light rain",IF(final_data787[[#This Row],[WEATHER_CODE]]=4,"heavy rain",0))))</f>
        <v>clear</v>
      </c>
      <c r="N972">
        <v>0.2</v>
      </c>
      <c r="O972">
        <v>0.2273</v>
      </c>
      <c r="P972">
        <v>0.59</v>
      </c>
      <c r="Q972">
        <v>8.9599999999999999E-2</v>
      </c>
      <c r="R972">
        <v>1</v>
      </c>
      <c r="S972">
        <v>23</v>
      </c>
      <c r="T972">
        <v>24</v>
      </c>
    </row>
    <row r="973" spans="1:20" x14ac:dyDescent="0.35">
      <c r="A973">
        <v>972</v>
      </c>
      <c r="B973" s="1">
        <v>40587</v>
      </c>
      <c r="C973">
        <v>1</v>
      </c>
      <c r="D973">
        <v>0</v>
      </c>
      <c r="E973">
        <v>2</v>
      </c>
      <c r="F973" t="str">
        <f>IF(final_data787[[#This Row],[MONTH_CODE]]=1,"JANUARY",IF(final_data787[[#This Row],[MONTH_CODE]]=2,"FEBRUARY"))</f>
        <v>FEBRUARY</v>
      </c>
      <c r="G973">
        <v>2</v>
      </c>
      <c r="H973">
        <v>0</v>
      </c>
      <c r="I973">
        <v>0</v>
      </c>
      <c r="J97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3" t="str">
        <f>IF(final_data787[[#This Row],[DAY_CODE]]=0,"weekend",IF(final_data787[[#This Row],[DAY_CODE]]=1,"weekend","weekday"))</f>
        <v>weekend</v>
      </c>
      <c r="L973">
        <v>2</v>
      </c>
      <c r="M973" t="str">
        <f>IF(final_data787[[#This Row],[WEATHER_CODE]]=1,"clear",IF(final_data787[[#This Row],[WEATHER_CODE]]=2,"cloudy",IF(final_data787[[#This Row],[WEATHER_CODE]]=3,"light rain",IF(final_data787[[#This Row],[WEATHER_CODE]]=4,"heavy rain",0))))</f>
        <v>cloudy</v>
      </c>
      <c r="N973">
        <v>0.2</v>
      </c>
      <c r="O973">
        <v>0.2273</v>
      </c>
      <c r="P973">
        <v>0.75</v>
      </c>
      <c r="Q973">
        <v>8.9599999999999999E-2</v>
      </c>
      <c r="R973">
        <v>1</v>
      </c>
      <c r="S973">
        <v>19</v>
      </c>
      <c r="T973">
        <v>20</v>
      </c>
    </row>
    <row r="974" spans="1:20" x14ac:dyDescent="0.35">
      <c r="A974">
        <v>973</v>
      </c>
      <c r="B974" s="1">
        <v>40587</v>
      </c>
      <c r="C974">
        <v>1</v>
      </c>
      <c r="D974">
        <v>0</v>
      </c>
      <c r="E974">
        <v>2</v>
      </c>
      <c r="F974" t="str">
        <f>IF(final_data787[[#This Row],[MONTH_CODE]]=1,"JANUARY",IF(final_data787[[#This Row],[MONTH_CODE]]=2,"FEBRUARY"))</f>
        <v>FEBRUARY</v>
      </c>
      <c r="G974">
        <v>3</v>
      </c>
      <c r="H974">
        <v>0</v>
      </c>
      <c r="I974">
        <v>0</v>
      </c>
      <c r="J97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4" t="str">
        <f>IF(final_data787[[#This Row],[DAY_CODE]]=0,"weekend",IF(final_data787[[#This Row],[DAY_CODE]]=1,"weekend","weekday"))</f>
        <v>weekend</v>
      </c>
      <c r="L974">
        <v>2</v>
      </c>
      <c r="M974" t="str">
        <f>IF(final_data787[[#This Row],[WEATHER_CODE]]=1,"clear",IF(final_data787[[#This Row],[WEATHER_CODE]]=2,"cloudy",IF(final_data787[[#This Row],[WEATHER_CODE]]=3,"light rain",IF(final_data787[[#This Row],[WEATHER_CODE]]=4,"heavy rain",0))))</f>
        <v>cloudy</v>
      </c>
      <c r="N974">
        <v>0.2</v>
      </c>
      <c r="O974">
        <v>0.2273</v>
      </c>
      <c r="P974">
        <v>0.69</v>
      </c>
      <c r="Q974">
        <v>0.1045</v>
      </c>
      <c r="R974">
        <v>4</v>
      </c>
      <c r="S974">
        <v>8</v>
      </c>
      <c r="T974">
        <v>12</v>
      </c>
    </row>
    <row r="975" spans="1:20" x14ac:dyDescent="0.35">
      <c r="A975">
        <v>974</v>
      </c>
      <c r="B975" s="1">
        <v>40587</v>
      </c>
      <c r="C975">
        <v>1</v>
      </c>
      <c r="D975">
        <v>0</v>
      </c>
      <c r="E975">
        <v>2</v>
      </c>
      <c r="F975" t="str">
        <f>IF(final_data787[[#This Row],[MONTH_CODE]]=1,"JANUARY",IF(final_data787[[#This Row],[MONTH_CODE]]=2,"FEBRUARY"))</f>
        <v>FEBRUARY</v>
      </c>
      <c r="G975">
        <v>4</v>
      </c>
      <c r="H975">
        <v>0</v>
      </c>
      <c r="I975">
        <v>0</v>
      </c>
      <c r="J97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5" t="str">
        <f>IF(final_data787[[#This Row],[DAY_CODE]]=0,"weekend",IF(final_data787[[#This Row],[DAY_CODE]]=1,"weekend","weekday"))</f>
        <v>weekend</v>
      </c>
      <c r="L975">
        <v>2</v>
      </c>
      <c r="M975" t="str">
        <f>IF(final_data787[[#This Row],[WEATHER_CODE]]=1,"clear",IF(final_data787[[#This Row],[WEATHER_CODE]]=2,"cloudy",IF(final_data787[[#This Row],[WEATHER_CODE]]=3,"light rain",IF(final_data787[[#This Row],[WEATHER_CODE]]=4,"heavy rain",0))))</f>
        <v>cloudy</v>
      </c>
      <c r="N975">
        <v>0.2</v>
      </c>
      <c r="O975">
        <v>0.21210000000000001</v>
      </c>
      <c r="P975">
        <v>0.69</v>
      </c>
      <c r="Q975">
        <v>0.16420000000000001</v>
      </c>
      <c r="R975">
        <v>0</v>
      </c>
      <c r="S975">
        <v>2</v>
      </c>
      <c r="T975">
        <v>2</v>
      </c>
    </row>
    <row r="976" spans="1:20" x14ac:dyDescent="0.35">
      <c r="A976">
        <v>975</v>
      </c>
      <c r="B976" s="1">
        <v>40587</v>
      </c>
      <c r="C976">
        <v>1</v>
      </c>
      <c r="D976">
        <v>0</v>
      </c>
      <c r="E976">
        <v>2</v>
      </c>
      <c r="F976" t="str">
        <f>IF(final_data787[[#This Row],[MONTH_CODE]]=1,"JANUARY",IF(final_data787[[#This Row],[MONTH_CODE]]=2,"FEBRUARY"))</f>
        <v>FEBRUARY</v>
      </c>
      <c r="G976">
        <v>6</v>
      </c>
      <c r="H976">
        <v>0</v>
      </c>
      <c r="I976">
        <v>0</v>
      </c>
      <c r="J97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6" t="str">
        <f>IF(final_data787[[#This Row],[DAY_CODE]]=0,"weekend",IF(final_data787[[#This Row],[DAY_CODE]]=1,"weekend","weekday"))</f>
        <v>weekend</v>
      </c>
      <c r="L976">
        <v>2</v>
      </c>
      <c r="M976" t="str">
        <f>IF(final_data787[[#This Row],[WEATHER_CODE]]=1,"clear",IF(final_data787[[#This Row],[WEATHER_CODE]]=2,"cloudy",IF(final_data787[[#This Row],[WEATHER_CODE]]=3,"light rain",IF(final_data787[[#This Row],[WEATHER_CODE]]=4,"heavy rain",0))))</f>
        <v>cloudy</v>
      </c>
      <c r="N976">
        <v>0.2</v>
      </c>
      <c r="O976">
        <v>0.21210000000000001</v>
      </c>
      <c r="P976">
        <v>0.69</v>
      </c>
      <c r="Q976">
        <v>0.1343</v>
      </c>
      <c r="R976">
        <v>2</v>
      </c>
      <c r="S976">
        <v>3</v>
      </c>
      <c r="T976">
        <v>5</v>
      </c>
    </row>
    <row r="977" spans="1:20" x14ac:dyDescent="0.35">
      <c r="A977">
        <v>976</v>
      </c>
      <c r="B977" s="1">
        <v>40587</v>
      </c>
      <c r="C977">
        <v>1</v>
      </c>
      <c r="D977">
        <v>0</v>
      </c>
      <c r="E977">
        <v>2</v>
      </c>
      <c r="F977" t="str">
        <f>IF(final_data787[[#This Row],[MONTH_CODE]]=1,"JANUARY",IF(final_data787[[#This Row],[MONTH_CODE]]=2,"FEBRUARY"))</f>
        <v>FEBRUARY</v>
      </c>
      <c r="G977">
        <v>7</v>
      </c>
      <c r="H977">
        <v>0</v>
      </c>
      <c r="I977">
        <v>0</v>
      </c>
      <c r="J97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7" t="str">
        <f>IF(final_data787[[#This Row],[DAY_CODE]]=0,"weekend",IF(final_data787[[#This Row],[DAY_CODE]]=1,"weekend","weekday"))</f>
        <v>weekend</v>
      </c>
      <c r="L977">
        <v>2</v>
      </c>
      <c r="M977" t="str">
        <f>IF(final_data787[[#This Row],[WEATHER_CODE]]=1,"clear",IF(final_data787[[#This Row],[WEATHER_CODE]]=2,"cloudy",IF(final_data787[[#This Row],[WEATHER_CODE]]=3,"light rain",IF(final_data787[[#This Row],[WEATHER_CODE]]=4,"heavy rain",0))))</f>
        <v>cloudy</v>
      </c>
      <c r="N977">
        <v>0.22</v>
      </c>
      <c r="O977">
        <v>0.2727</v>
      </c>
      <c r="P977">
        <v>0.55000000000000004</v>
      </c>
      <c r="Q977">
        <v>0</v>
      </c>
      <c r="R977">
        <v>0</v>
      </c>
      <c r="S977">
        <v>3</v>
      </c>
      <c r="T977">
        <v>3</v>
      </c>
    </row>
    <row r="978" spans="1:20" x14ac:dyDescent="0.35">
      <c r="A978">
        <v>977</v>
      </c>
      <c r="B978" s="1">
        <v>40587</v>
      </c>
      <c r="C978">
        <v>1</v>
      </c>
      <c r="D978">
        <v>0</v>
      </c>
      <c r="E978">
        <v>2</v>
      </c>
      <c r="F978" t="str">
        <f>IF(final_data787[[#This Row],[MONTH_CODE]]=1,"JANUARY",IF(final_data787[[#This Row],[MONTH_CODE]]=2,"FEBRUARY"))</f>
        <v>FEBRUARY</v>
      </c>
      <c r="G978">
        <v>8</v>
      </c>
      <c r="H978">
        <v>0</v>
      </c>
      <c r="I978">
        <v>0</v>
      </c>
      <c r="J97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8" t="str">
        <f>IF(final_data787[[#This Row],[DAY_CODE]]=0,"weekend",IF(final_data787[[#This Row],[DAY_CODE]]=1,"weekend","weekday"))</f>
        <v>weekend</v>
      </c>
      <c r="L978">
        <v>2</v>
      </c>
      <c r="M978" t="str">
        <f>IF(final_data787[[#This Row],[WEATHER_CODE]]=1,"clear",IF(final_data787[[#This Row],[WEATHER_CODE]]=2,"cloudy",IF(final_data787[[#This Row],[WEATHER_CODE]]=3,"light rain",IF(final_data787[[#This Row],[WEATHER_CODE]]=4,"heavy rain",0))))</f>
        <v>cloudy</v>
      </c>
      <c r="N978">
        <v>0.22</v>
      </c>
      <c r="O978">
        <v>0.2273</v>
      </c>
      <c r="P978">
        <v>0.64</v>
      </c>
      <c r="Q978">
        <v>0.19400000000000001</v>
      </c>
      <c r="R978">
        <v>1</v>
      </c>
      <c r="S978">
        <v>11</v>
      </c>
      <c r="T978">
        <v>12</v>
      </c>
    </row>
    <row r="979" spans="1:20" x14ac:dyDescent="0.35">
      <c r="A979">
        <v>978</v>
      </c>
      <c r="B979" s="1">
        <v>40587</v>
      </c>
      <c r="C979">
        <v>1</v>
      </c>
      <c r="D979">
        <v>0</v>
      </c>
      <c r="E979">
        <v>2</v>
      </c>
      <c r="F979" t="str">
        <f>IF(final_data787[[#This Row],[MONTH_CODE]]=1,"JANUARY",IF(final_data787[[#This Row],[MONTH_CODE]]=2,"FEBRUARY"))</f>
        <v>FEBRUARY</v>
      </c>
      <c r="G979">
        <v>9</v>
      </c>
      <c r="H979">
        <v>0</v>
      </c>
      <c r="I979">
        <v>0</v>
      </c>
      <c r="J97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79" t="str">
        <f>IF(final_data787[[#This Row],[DAY_CODE]]=0,"weekend",IF(final_data787[[#This Row],[DAY_CODE]]=1,"weekend","weekday"))</f>
        <v>weekend</v>
      </c>
      <c r="L979">
        <v>2</v>
      </c>
      <c r="M979" t="str">
        <f>IF(final_data787[[#This Row],[WEATHER_CODE]]=1,"clear",IF(final_data787[[#This Row],[WEATHER_CODE]]=2,"cloudy",IF(final_data787[[#This Row],[WEATHER_CODE]]=3,"light rain",IF(final_data787[[#This Row],[WEATHER_CODE]]=4,"heavy rain",0))))</f>
        <v>cloudy</v>
      </c>
      <c r="N979">
        <v>0.24</v>
      </c>
      <c r="O979">
        <v>0.2273</v>
      </c>
      <c r="P979">
        <v>0.6</v>
      </c>
      <c r="Q979">
        <v>0.22389999999999999</v>
      </c>
      <c r="R979">
        <v>12</v>
      </c>
      <c r="S979">
        <v>35</v>
      </c>
      <c r="T979">
        <v>47</v>
      </c>
    </row>
    <row r="980" spans="1:20" x14ac:dyDescent="0.35">
      <c r="A980">
        <v>979</v>
      </c>
      <c r="B980" s="1">
        <v>40587</v>
      </c>
      <c r="C980">
        <v>1</v>
      </c>
      <c r="D980">
        <v>0</v>
      </c>
      <c r="E980">
        <v>2</v>
      </c>
      <c r="F980" t="str">
        <f>IF(final_data787[[#This Row],[MONTH_CODE]]=1,"JANUARY",IF(final_data787[[#This Row],[MONTH_CODE]]=2,"FEBRUARY"))</f>
        <v>FEBRUARY</v>
      </c>
      <c r="G980">
        <v>10</v>
      </c>
      <c r="H980">
        <v>0</v>
      </c>
      <c r="I980">
        <v>0</v>
      </c>
      <c r="J98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0" t="str">
        <f>IF(final_data787[[#This Row],[DAY_CODE]]=0,"weekend",IF(final_data787[[#This Row],[DAY_CODE]]=1,"weekend","weekday"))</f>
        <v>weekend</v>
      </c>
      <c r="L980">
        <v>1</v>
      </c>
      <c r="M980" t="str">
        <f>IF(final_data787[[#This Row],[WEATHER_CODE]]=1,"clear",IF(final_data787[[#This Row],[WEATHER_CODE]]=2,"cloudy",IF(final_data787[[#This Row],[WEATHER_CODE]]=3,"light rain",IF(final_data787[[#This Row],[WEATHER_CODE]]=4,"heavy rain",0))))</f>
        <v>clear</v>
      </c>
      <c r="N980">
        <v>0.3</v>
      </c>
      <c r="O980">
        <v>0.2727</v>
      </c>
      <c r="P980">
        <v>0.45</v>
      </c>
      <c r="Q980">
        <v>0.32840000000000003</v>
      </c>
      <c r="R980">
        <v>19</v>
      </c>
      <c r="S980">
        <v>86</v>
      </c>
      <c r="T980">
        <v>105</v>
      </c>
    </row>
    <row r="981" spans="1:20" x14ac:dyDescent="0.35">
      <c r="A981">
        <v>980</v>
      </c>
      <c r="B981" s="1">
        <v>40587</v>
      </c>
      <c r="C981">
        <v>1</v>
      </c>
      <c r="D981">
        <v>0</v>
      </c>
      <c r="E981">
        <v>2</v>
      </c>
      <c r="F981" t="str">
        <f>IF(final_data787[[#This Row],[MONTH_CODE]]=1,"JANUARY",IF(final_data787[[#This Row],[MONTH_CODE]]=2,"FEBRUARY"))</f>
        <v>FEBRUARY</v>
      </c>
      <c r="G981">
        <v>11</v>
      </c>
      <c r="H981">
        <v>0</v>
      </c>
      <c r="I981">
        <v>0</v>
      </c>
      <c r="J98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1" t="str">
        <f>IF(final_data787[[#This Row],[DAY_CODE]]=0,"weekend",IF(final_data787[[#This Row],[DAY_CODE]]=1,"weekend","weekday"))</f>
        <v>weekend</v>
      </c>
      <c r="L981">
        <v>1</v>
      </c>
      <c r="M981" t="str">
        <f>IF(final_data787[[#This Row],[WEATHER_CODE]]=1,"clear",IF(final_data787[[#This Row],[WEATHER_CODE]]=2,"cloudy",IF(final_data787[[#This Row],[WEATHER_CODE]]=3,"light rain",IF(final_data787[[#This Row],[WEATHER_CODE]]=4,"heavy rain",0))))</f>
        <v>clear</v>
      </c>
      <c r="N981">
        <v>0.32</v>
      </c>
      <c r="O981">
        <v>0.28789999999999999</v>
      </c>
      <c r="P981">
        <v>0.39</v>
      </c>
      <c r="Q981">
        <v>0.44779999999999998</v>
      </c>
      <c r="R981">
        <v>26</v>
      </c>
      <c r="S981">
        <v>86</v>
      </c>
      <c r="T981">
        <v>112</v>
      </c>
    </row>
    <row r="982" spans="1:20" x14ac:dyDescent="0.35">
      <c r="A982">
        <v>981</v>
      </c>
      <c r="B982" s="1">
        <v>40587</v>
      </c>
      <c r="C982">
        <v>1</v>
      </c>
      <c r="D982">
        <v>0</v>
      </c>
      <c r="E982">
        <v>2</v>
      </c>
      <c r="F982" t="str">
        <f>IF(final_data787[[#This Row],[MONTH_CODE]]=1,"JANUARY",IF(final_data787[[#This Row],[MONTH_CODE]]=2,"FEBRUARY"))</f>
        <v>FEBRUARY</v>
      </c>
      <c r="G982">
        <v>12</v>
      </c>
      <c r="H982">
        <v>0</v>
      </c>
      <c r="I982">
        <v>0</v>
      </c>
      <c r="J98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2" t="str">
        <f>IF(final_data787[[#This Row],[DAY_CODE]]=0,"weekend",IF(final_data787[[#This Row],[DAY_CODE]]=1,"weekend","weekday"))</f>
        <v>weekend</v>
      </c>
      <c r="L982">
        <v>1</v>
      </c>
      <c r="M982" t="str">
        <f>IF(final_data787[[#This Row],[WEATHER_CODE]]=1,"clear",IF(final_data787[[#This Row],[WEATHER_CODE]]=2,"cloudy",IF(final_data787[[#This Row],[WEATHER_CODE]]=3,"light rain",IF(final_data787[[#This Row],[WEATHER_CODE]]=4,"heavy rain",0))))</f>
        <v>clear</v>
      </c>
      <c r="N982">
        <v>0.36</v>
      </c>
      <c r="O982">
        <v>0.31819999999999998</v>
      </c>
      <c r="P982">
        <v>0.32</v>
      </c>
      <c r="Q982">
        <v>0.4627</v>
      </c>
      <c r="R982">
        <v>58</v>
      </c>
      <c r="S982">
        <v>94</v>
      </c>
      <c r="T982">
        <v>152</v>
      </c>
    </row>
    <row r="983" spans="1:20" x14ac:dyDescent="0.35">
      <c r="A983">
        <v>982</v>
      </c>
      <c r="B983" s="1">
        <v>40587</v>
      </c>
      <c r="C983">
        <v>1</v>
      </c>
      <c r="D983">
        <v>0</v>
      </c>
      <c r="E983">
        <v>2</v>
      </c>
      <c r="F983" t="str">
        <f>IF(final_data787[[#This Row],[MONTH_CODE]]=1,"JANUARY",IF(final_data787[[#This Row],[MONTH_CODE]]=2,"FEBRUARY"))</f>
        <v>FEBRUARY</v>
      </c>
      <c r="G983">
        <v>13</v>
      </c>
      <c r="H983">
        <v>0</v>
      </c>
      <c r="I983">
        <v>0</v>
      </c>
      <c r="J98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3" t="str">
        <f>IF(final_data787[[#This Row],[DAY_CODE]]=0,"weekend",IF(final_data787[[#This Row],[DAY_CODE]]=1,"weekend","weekday"))</f>
        <v>weekend</v>
      </c>
      <c r="L983">
        <v>1</v>
      </c>
      <c r="M983" t="str">
        <f>IF(final_data787[[#This Row],[WEATHER_CODE]]=1,"clear",IF(final_data787[[#This Row],[WEATHER_CODE]]=2,"cloudy",IF(final_data787[[#This Row],[WEATHER_CODE]]=3,"light rain",IF(final_data787[[#This Row],[WEATHER_CODE]]=4,"heavy rain",0))))</f>
        <v>clear</v>
      </c>
      <c r="N983">
        <v>0.38</v>
      </c>
      <c r="O983">
        <v>0.39389999999999997</v>
      </c>
      <c r="P983">
        <v>0.28999999999999998</v>
      </c>
      <c r="Q983">
        <v>0.35820000000000002</v>
      </c>
      <c r="R983">
        <v>62</v>
      </c>
      <c r="S983">
        <v>92</v>
      </c>
      <c r="T983">
        <v>154</v>
      </c>
    </row>
    <row r="984" spans="1:20" x14ac:dyDescent="0.35">
      <c r="A984">
        <v>983</v>
      </c>
      <c r="B984" s="1">
        <v>40587</v>
      </c>
      <c r="C984">
        <v>1</v>
      </c>
      <c r="D984">
        <v>0</v>
      </c>
      <c r="E984">
        <v>2</v>
      </c>
      <c r="F984" t="str">
        <f>IF(final_data787[[#This Row],[MONTH_CODE]]=1,"JANUARY",IF(final_data787[[#This Row],[MONTH_CODE]]=2,"FEBRUARY"))</f>
        <v>FEBRUARY</v>
      </c>
      <c r="G984">
        <v>14</v>
      </c>
      <c r="H984">
        <v>0</v>
      </c>
      <c r="I984">
        <v>0</v>
      </c>
      <c r="J98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4" t="str">
        <f>IF(final_data787[[#This Row],[DAY_CODE]]=0,"weekend",IF(final_data787[[#This Row],[DAY_CODE]]=1,"weekend","weekday"))</f>
        <v>weekend</v>
      </c>
      <c r="L984">
        <v>2</v>
      </c>
      <c r="M984" t="str">
        <f>IF(final_data787[[#This Row],[WEATHER_CODE]]=1,"clear",IF(final_data787[[#This Row],[WEATHER_CODE]]=2,"cloudy",IF(final_data787[[#This Row],[WEATHER_CODE]]=3,"light rain",IF(final_data787[[#This Row],[WEATHER_CODE]]=4,"heavy rain",0))))</f>
        <v>cloudy</v>
      </c>
      <c r="N984">
        <v>0.4</v>
      </c>
      <c r="O984">
        <v>0.40910000000000002</v>
      </c>
      <c r="P984">
        <v>0.3</v>
      </c>
      <c r="Q984">
        <v>0.41789999999999999</v>
      </c>
      <c r="R984">
        <v>51</v>
      </c>
      <c r="S984">
        <v>110</v>
      </c>
      <c r="T984">
        <v>161</v>
      </c>
    </row>
    <row r="985" spans="1:20" x14ac:dyDescent="0.35">
      <c r="A985">
        <v>984</v>
      </c>
      <c r="B985" s="1">
        <v>40587</v>
      </c>
      <c r="C985">
        <v>1</v>
      </c>
      <c r="D985">
        <v>0</v>
      </c>
      <c r="E985">
        <v>2</v>
      </c>
      <c r="F985" t="str">
        <f>IF(final_data787[[#This Row],[MONTH_CODE]]=1,"JANUARY",IF(final_data787[[#This Row],[MONTH_CODE]]=2,"FEBRUARY"))</f>
        <v>FEBRUARY</v>
      </c>
      <c r="G985">
        <v>15</v>
      </c>
      <c r="H985">
        <v>0</v>
      </c>
      <c r="I985">
        <v>0</v>
      </c>
      <c r="J98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5" t="str">
        <f>IF(final_data787[[#This Row],[DAY_CODE]]=0,"weekend",IF(final_data787[[#This Row],[DAY_CODE]]=1,"weekend","weekday"))</f>
        <v>weekend</v>
      </c>
      <c r="L985">
        <v>2</v>
      </c>
      <c r="M985" t="str">
        <f>IF(final_data787[[#This Row],[WEATHER_CODE]]=1,"clear",IF(final_data787[[#This Row],[WEATHER_CODE]]=2,"cloudy",IF(final_data787[[#This Row],[WEATHER_CODE]]=3,"light rain",IF(final_data787[[#This Row],[WEATHER_CODE]]=4,"heavy rain",0))))</f>
        <v>cloudy</v>
      </c>
      <c r="N985">
        <v>0.4</v>
      </c>
      <c r="O985">
        <v>0.40910000000000002</v>
      </c>
      <c r="P985">
        <v>0.3</v>
      </c>
      <c r="Q985">
        <v>0.29849999999999999</v>
      </c>
      <c r="R985">
        <v>40</v>
      </c>
      <c r="S985">
        <v>122</v>
      </c>
      <c r="T985">
        <v>162</v>
      </c>
    </row>
    <row r="986" spans="1:20" x14ac:dyDescent="0.35">
      <c r="A986">
        <v>985</v>
      </c>
      <c r="B986" s="1">
        <v>40587</v>
      </c>
      <c r="C986">
        <v>1</v>
      </c>
      <c r="D986">
        <v>0</v>
      </c>
      <c r="E986">
        <v>2</v>
      </c>
      <c r="F986" t="str">
        <f>IF(final_data787[[#This Row],[MONTH_CODE]]=1,"JANUARY",IF(final_data787[[#This Row],[MONTH_CODE]]=2,"FEBRUARY"))</f>
        <v>FEBRUARY</v>
      </c>
      <c r="G986">
        <v>16</v>
      </c>
      <c r="H986">
        <v>0</v>
      </c>
      <c r="I986">
        <v>0</v>
      </c>
      <c r="J98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6" t="str">
        <f>IF(final_data787[[#This Row],[DAY_CODE]]=0,"weekend",IF(final_data787[[#This Row],[DAY_CODE]]=1,"weekend","weekday"))</f>
        <v>weekend</v>
      </c>
      <c r="L986">
        <v>2</v>
      </c>
      <c r="M986" t="str">
        <f>IF(final_data787[[#This Row],[WEATHER_CODE]]=1,"clear",IF(final_data787[[#This Row],[WEATHER_CODE]]=2,"cloudy",IF(final_data787[[#This Row],[WEATHER_CODE]]=3,"light rain",IF(final_data787[[#This Row],[WEATHER_CODE]]=4,"heavy rain",0))))</f>
        <v>cloudy</v>
      </c>
      <c r="N986">
        <v>0.42</v>
      </c>
      <c r="O986">
        <v>0.42420000000000002</v>
      </c>
      <c r="P986">
        <v>0.28000000000000003</v>
      </c>
      <c r="Q986">
        <v>0.32840000000000003</v>
      </c>
      <c r="R986">
        <v>28</v>
      </c>
      <c r="S986">
        <v>106</v>
      </c>
      <c r="T986">
        <v>134</v>
      </c>
    </row>
    <row r="987" spans="1:20" x14ac:dyDescent="0.35">
      <c r="A987">
        <v>986</v>
      </c>
      <c r="B987" s="1">
        <v>40587</v>
      </c>
      <c r="C987">
        <v>1</v>
      </c>
      <c r="D987">
        <v>0</v>
      </c>
      <c r="E987">
        <v>2</v>
      </c>
      <c r="F987" t="str">
        <f>IF(final_data787[[#This Row],[MONTH_CODE]]=1,"JANUARY",IF(final_data787[[#This Row],[MONTH_CODE]]=2,"FEBRUARY"))</f>
        <v>FEBRUARY</v>
      </c>
      <c r="G987">
        <v>17</v>
      </c>
      <c r="H987">
        <v>0</v>
      </c>
      <c r="I987">
        <v>0</v>
      </c>
      <c r="J98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7" t="str">
        <f>IF(final_data787[[#This Row],[DAY_CODE]]=0,"weekend",IF(final_data787[[#This Row],[DAY_CODE]]=1,"weekend","weekday"))</f>
        <v>weekend</v>
      </c>
      <c r="L987">
        <v>1</v>
      </c>
      <c r="M987" t="str">
        <f>IF(final_data787[[#This Row],[WEATHER_CODE]]=1,"clear",IF(final_data787[[#This Row],[WEATHER_CODE]]=2,"cloudy",IF(final_data787[[#This Row],[WEATHER_CODE]]=3,"light rain",IF(final_data787[[#This Row],[WEATHER_CODE]]=4,"heavy rain",0))))</f>
        <v>clear</v>
      </c>
      <c r="N987">
        <v>0.42</v>
      </c>
      <c r="O987">
        <v>0.42420000000000002</v>
      </c>
      <c r="P987">
        <v>0.28000000000000003</v>
      </c>
      <c r="Q987">
        <v>0.32840000000000003</v>
      </c>
      <c r="R987">
        <v>30</v>
      </c>
      <c r="S987">
        <v>95</v>
      </c>
      <c r="T987">
        <v>125</v>
      </c>
    </row>
    <row r="988" spans="1:20" x14ac:dyDescent="0.35">
      <c r="A988">
        <v>987</v>
      </c>
      <c r="B988" s="1">
        <v>40587</v>
      </c>
      <c r="C988">
        <v>1</v>
      </c>
      <c r="D988">
        <v>0</v>
      </c>
      <c r="E988">
        <v>2</v>
      </c>
      <c r="F988" t="str">
        <f>IF(final_data787[[#This Row],[MONTH_CODE]]=1,"JANUARY",IF(final_data787[[#This Row],[MONTH_CODE]]=2,"FEBRUARY"))</f>
        <v>FEBRUARY</v>
      </c>
      <c r="G988">
        <v>18</v>
      </c>
      <c r="H988">
        <v>0</v>
      </c>
      <c r="I988">
        <v>0</v>
      </c>
      <c r="J98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8" t="str">
        <f>IF(final_data787[[#This Row],[DAY_CODE]]=0,"weekend",IF(final_data787[[#This Row],[DAY_CODE]]=1,"weekend","weekday"))</f>
        <v>weekend</v>
      </c>
      <c r="L988">
        <v>1</v>
      </c>
      <c r="M988" t="str">
        <f>IF(final_data787[[#This Row],[WEATHER_CODE]]=1,"clear",IF(final_data787[[#This Row],[WEATHER_CODE]]=2,"cloudy",IF(final_data787[[#This Row],[WEATHER_CODE]]=3,"light rain",IF(final_data787[[#This Row],[WEATHER_CODE]]=4,"heavy rain",0))))</f>
        <v>clear</v>
      </c>
      <c r="N988">
        <v>0.4</v>
      </c>
      <c r="O988">
        <v>0.40910000000000002</v>
      </c>
      <c r="P988">
        <v>0.32</v>
      </c>
      <c r="Q988">
        <v>0.29849999999999999</v>
      </c>
      <c r="R988">
        <v>17</v>
      </c>
      <c r="S988">
        <v>78</v>
      </c>
      <c r="T988">
        <v>95</v>
      </c>
    </row>
    <row r="989" spans="1:20" x14ac:dyDescent="0.35">
      <c r="A989">
        <v>988</v>
      </c>
      <c r="B989" s="1">
        <v>40587</v>
      </c>
      <c r="C989">
        <v>1</v>
      </c>
      <c r="D989">
        <v>0</v>
      </c>
      <c r="E989">
        <v>2</v>
      </c>
      <c r="F989" t="str">
        <f>IF(final_data787[[#This Row],[MONTH_CODE]]=1,"JANUARY",IF(final_data787[[#This Row],[MONTH_CODE]]=2,"FEBRUARY"))</f>
        <v>FEBRUARY</v>
      </c>
      <c r="G989">
        <v>19</v>
      </c>
      <c r="H989">
        <v>0</v>
      </c>
      <c r="I989">
        <v>0</v>
      </c>
      <c r="J98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89" t="str">
        <f>IF(final_data787[[#This Row],[DAY_CODE]]=0,"weekend",IF(final_data787[[#This Row],[DAY_CODE]]=1,"weekend","weekday"))</f>
        <v>weekend</v>
      </c>
      <c r="L989">
        <v>1</v>
      </c>
      <c r="M989" t="str">
        <f>IF(final_data787[[#This Row],[WEATHER_CODE]]=1,"clear",IF(final_data787[[#This Row],[WEATHER_CODE]]=2,"cloudy",IF(final_data787[[#This Row],[WEATHER_CODE]]=3,"light rain",IF(final_data787[[#This Row],[WEATHER_CODE]]=4,"heavy rain",0))))</f>
        <v>clear</v>
      </c>
      <c r="N989">
        <v>0.4</v>
      </c>
      <c r="O989">
        <v>0.40910000000000002</v>
      </c>
      <c r="P989">
        <v>0.35</v>
      </c>
      <c r="Q989">
        <v>0.28360000000000002</v>
      </c>
      <c r="R989">
        <v>11</v>
      </c>
      <c r="S989">
        <v>50</v>
      </c>
      <c r="T989">
        <v>61</v>
      </c>
    </row>
    <row r="990" spans="1:20" x14ac:dyDescent="0.35">
      <c r="A990">
        <v>989</v>
      </c>
      <c r="B990" s="1">
        <v>40587</v>
      </c>
      <c r="C990">
        <v>1</v>
      </c>
      <c r="D990">
        <v>0</v>
      </c>
      <c r="E990">
        <v>2</v>
      </c>
      <c r="F990" t="str">
        <f>IF(final_data787[[#This Row],[MONTH_CODE]]=1,"JANUARY",IF(final_data787[[#This Row],[MONTH_CODE]]=2,"FEBRUARY"))</f>
        <v>FEBRUARY</v>
      </c>
      <c r="G990">
        <v>20</v>
      </c>
      <c r="H990">
        <v>0</v>
      </c>
      <c r="I990">
        <v>0</v>
      </c>
      <c r="J99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90" t="str">
        <f>IF(final_data787[[#This Row],[DAY_CODE]]=0,"weekend",IF(final_data787[[#This Row],[DAY_CODE]]=1,"weekend","weekday"))</f>
        <v>weekend</v>
      </c>
      <c r="L990">
        <v>1</v>
      </c>
      <c r="M990" t="str">
        <f>IF(final_data787[[#This Row],[WEATHER_CODE]]=1,"clear",IF(final_data787[[#This Row],[WEATHER_CODE]]=2,"cloudy",IF(final_data787[[#This Row],[WEATHER_CODE]]=3,"light rain",IF(final_data787[[#This Row],[WEATHER_CODE]]=4,"heavy rain",0))))</f>
        <v>clear</v>
      </c>
      <c r="N990">
        <v>0.4</v>
      </c>
      <c r="O990">
        <v>0.40910000000000002</v>
      </c>
      <c r="P990">
        <v>0.35</v>
      </c>
      <c r="Q990">
        <v>0.32840000000000003</v>
      </c>
      <c r="R990">
        <v>15</v>
      </c>
      <c r="S990">
        <v>32</v>
      </c>
      <c r="T990">
        <v>47</v>
      </c>
    </row>
    <row r="991" spans="1:20" x14ac:dyDescent="0.35">
      <c r="A991">
        <v>990</v>
      </c>
      <c r="B991" s="1">
        <v>40587</v>
      </c>
      <c r="C991">
        <v>1</v>
      </c>
      <c r="D991">
        <v>0</v>
      </c>
      <c r="E991">
        <v>2</v>
      </c>
      <c r="F991" t="str">
        <f>IF(final_data787[[#This Row],[MONTH_CODE]]=1,"JANUARY",IF(final_data787[[#This Row],[MONTH_CODE]]=2,"FEBRUARY"))</f>
        <v>FEBRUARY</v>
      </c>
      <c r="G991">
        <v>21</v>
      </c>
      <c r="H991">
        <v>0</v>
      </c>
      <c r="I991">
        <v>0</v>
      </c>
      <c r="J99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91" t="str">
        <f>IF(final_data787[[#This Row],[DAY_CODE]]=0,"weekend",IF(final_data787[[#This Row],[DAY_CODE]]=1,"weekend","weekday"))</f>
        <v>weekend</v>
      </c>
      <c r="L991">
        <v>1</v>
      </c>
      <c r="M991" t="str">
        <f>IF(final_data787[[#This Row],[WEATHER_CODE]]=1,"clear",IF(final_data787[[#This Row],[WEATHER_CODE]]=2,"cloudy",IF(final_data787[[#This Row],[WEATHER_CODE]]=3,"light rain",IF(final_data787[[#This Row],[WEATHER_CODE]]=4,"heavy rain",0))))</f>
        <v>clear</v>
      </c>
      <c r="N991">
        <v>0.4</v>
      </c>
      <c r="O991">
        <v>0.40910000000000002</v>
      </c>
      <c r="P991">
        <v>0.35</v>
      </c>
      <c r="Q991">
        <v>0.35820000000000002</v>
      </c>
      <c r="R991">
        <v>6</v>
      </c>
      <c r="S991">
        <v>45</v>
      </c>
      <c r="T991">
        <v>51</v>
      </c>
    </row>
    <row r="992" spans="1:20" x14ac:dyDescent="0.35">
      <c r="A992">
        <v>991</v>
      </c>
      <c r="B992" s="1">
        <v>40587</v>
      </c>
      <c r="C992">
        <v>1</v>
      </c>
      <c r="D992">
        <v>0</v>
      </c>
      <c r="E992">
        <v>2</v>
      </c>
      <c r="F992" t="str">
        <f>IF(final_data787[[#This Row],[MONTH_CODE]]=1,"JANUARY",IF(final_data787[[#This Row],[MONTH_CODE]]=2,"FEBRUARY"))</f>
        <v>FEBRUARY</v>
      </c>
      <c r="G992">
        <v>22</v>
      </c>
      <c r="H992">
        <v>0</v>
      </c>
      <c r="I992">
        <v>0</v>
      </c>
      <c r="J992"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92" t="str">
        <f>IF(final_data787[[#This Row],[DAY_CODE]]=0,"weekend",IF(final_data787[[#This Row],[DAY_CODE]]=1,"weekend","weekday"))</f>
        <v>weekend</v>
      </c>
      <c r="L992">
        <v>1</v>
      </c>
      <c r="M992" t="str">
        <f>IF(final_data787[[#This Row],[WEATHER_CODE]]=1,"clear",IF(final_data787[[#This Row],[WEATHER_CODE]]=2,"cloudy",IF(final_data787[[#This Row],[WEATHER_CODE]]=3,"light rain",IF(final_data787[[#This Row],[WEATHER_CODE]]=4,"heavy rain",0))))</f>
        <v>clear</v>
      </c>
      <c r="N992">
        <v>0.4</v>
      </c>
      <c r="O992">
        <v>0.40910000000000002</v>
      </c>
      <c r="P992">
        <v>0.35</v>
      </c>
      <c r="Q992">
        <v>0.29849999999999999</v>
      </c>
      <c r="R992">
        <v>5</v>
      </c>
      <c r="S992">
        <v>31</v>
      </c>
      <c r="T992">
        <v>36</v>
      </c>
    </row>
    <row r="993" spans="1:20" x14ac:dyDescent="0.35">
      <c r="A993">
        <v>992</v>
      </c>
      <c r="B993" s="1">
        <v>40587</v>
      </c>
      <c r="C993">
        <v>1</v>
      </c>
      <c r="D993">
        <v>0</v>
      </c>
      <c r="E993">
        <v>2</v>
      </c>
      <c r="F993" t="str">
        <f>IF(final_data787[[#This Row],[MONTH_CODE]]=1,"JANUARY",IF(final_data787[[#This Row],[MONTH_CODE]]=2,"FEBRUARY"))</f>
        <v>FEBRUARY</v>
      </c>
      <c r="G993">
        <v>23</v>
      </c>
      <c r="H993">
        <v>0</v>
      </c>
      <c r="I993">
        <v>0</v>
      </c>
      <c r="J993"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Sunday</v>
      </c>
      <c r="K993" t="str">
        <f>IF(final_data787[[#This Row],[DAY_CODE]]=0,"weekend",IF(final_data787[[#This Row],[DAY_CODE]]=1,"weekend","weekday"))</f>
        <v>weekend</v>
      </c>
      <c r="L993">
        <v>1</v>
      </c>
      <c r="M993" t="str">
        <f>IF(final_data787[[#This Row],[WEATHER_CODE]]=1,"clear",IF(final_data787[[#This Row],[WEATHER_CODE]]=2,"cloudy",IF(final_data787[[#This Row],[WEATHER_CODE]]=3,"light rain",IF(final_data787[[#This Row],[WEATHER_CODE]]=4,"heavy rain",0))))</f>
        <v>clear</v>
      </c>
      <c r="N993">
        <v>0.4</v>
      </c>
      <c r="O993">
        <v>0.40910000000000002</v>
      </c>
      <c r="P993">
        <v>0.35</v>
      </c>
      <c r="Q993">
        <v>0.35820000000000002</v>
      </c>
      <c r="R993">
        <v>3</v>
      </c>
      <c r="S993">
        <v>27</v>
      </c>
      <c r="T993">
        <v>30</v>
      </c>
    </row>
    <row r="994" spans="1:20" x14ac:dyDescent="0.35">
      <c r="A994">
        <v>993</v>
      </c>
      <c r="B994" s="1">
        <v>40588</v>
      </c>
      <c r="C994">
        <v>1</v>
      </c>
      <c r="D994">
        <v>0</v>
      </c>
      <c r="E994">
        <v>2</v>
      </c>
      <c r="F994" t="str">
        <f>IF(final_data787[[#This Row],[MONTH_CODE]]=1,"JANUARY",IF(final_data787[[#This Row],[MONTH_CODE]]=2,"FEBRUARY"))</f>
        <v>FEBRUARY</v>
      </c>
      <c r="G994">
        <v>0</v>
      </c>
      <c r="H994">
        <v>0</v>
      </c>
      <c r="I994">
        <v>1</v>
      </c>
      <c r="J994"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4" t="str">
        <f>IF(final_data787[[#This Row],[DAY_CODE]]=0,"weekend",IF(final_data787[[#This Row],[DAY_CODE]]=1,"weekend","weekday"))</f>
        <v>weekend</v>
      </c>
      <c r="L994">
        <v>1</v>
      </c>
      <c r="M994" t="str">
        <f>IF(final_data787[[#This Row],[WEATHER_CODE]]=1,"clear",IF(final_data787[[#This Row],[WEATHER_CODE]]=2,"cloudy",IF(final_data787[[#This Row],[WEATHER_CODE]]=3,"light rain",IF(final_data787[[#This Row],[WEATHER_CODE]]=4,"heavy rain",0))))</f>
        <v>clear</v>
      </c>
      <c r="N994">
        <v>0.38</v>
      </c>
      <c r="O994">
        <v>0.39389999999999997</v>
      </c>
      <c r="P994">
        <v>0.37</v>
      </c>
      <c r="Q994">
        <v>0.35820000000000002</v>
      </c>
      <c r="R994">
        <v>3</v>
      </c>
      <c r="S994">
        <v>8</v>
      </c>
      <c r="T994">
        <v>11</v>
      </c>
    </row>
    <row r="995" spans="1:20" x14ac:dyDescent="0.35">
      <c r="A995">
        <v>994</v>
      </c>
      <c r="B995" s="1">
        <v>40588</v>
      </c>
      <c r="C995">
        <v>1</v>
      </c>
      <c r="D995">
        <v>0</v>
      </c>
      <c r="E995">
        <v>2</v>
      </c>
      <c r="F995" t="str">
        <f>IF(final_data787[[#This Row],[MONTH_CODE]]=1,"JANUARY",IF(final_data787[[#This Row],[MONTH_CODE]]=2,"FEBRUARY"))</f>
        <v>FEBRUARY</v>
      </c>
      <c r="G995">
        <v>1</v>
      </c>
      <c r="H995">
        <v>0</v>
      </c>
      <c r="I995">
        <v>1</v>
      </c>
      <c r="J995"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5" t="str">
        <f>IF(final_data787[[#This Row],[DAY_CODE]]=0,"weekend",IF(final_data787[[#This Row],[DAY_CODE]]=1,"weekend","weekday"))</f>
        <v>weekend</v>
      </c>
      <c r="L995">
        <v>1</v>
      </c>
      <c r="M995" t="str">
        <f>IF(final_data787[[#This Row],[WEATHER_CODE]]=1,"clear",IF(final_data787[[#This Row],[WEATHER_CODE]]=2,"cloudy",IF(final_data787[[#This Row],[WEATHER_CODE]]=3,"light rain",IF(final_data787[[#This Row],[WEATHER_CODE]]=4,"heavy rain",0))))</f>
        <v>clear</v>
      </c>
      <c r="N995">
        <v>0.38</v>
      </c>
      <c r="O995">
        <v>0.39389999999999997</v>
      </c>
      <c r="P995">
        <v>0.37</v>
      </c>
      <c r="Q995">
        <v>0.35820000000000002</v>
      </c>
      <c r="R995">
        <v>1</v>
      </c>
      <c r="S995">
        <v>6</v>
      </c>
      <c r="T995">
        <v>7</v>
      </c>
    </row>
    <row r="996" spans="1:20" x14ac:dyDescent="0.35">
      <c r="A996">
        <v>995</v>
      </c>
      <c r="B996" s="1">
        <v>40588</v>
      </c>
      <c r="C996">
        <v>1</v>
      </c>
      <c r="D996">
        <v>0</v>
      </c>
      <c r="E996">
        <v>2</v>
      </c>
      <c r="F996" t="str">
        <f>IF(final_data787[[#This Row],[MONTH_CODE]]=1,"JANUARY",IF(final_data787[[#This Row],[MONTH_CODE]]=2,"FEBRUARY"))</f>
        <v>FEBRUARY</v>
      </c>
      <c r="G996">
        <v>2</v>
      </c>
      <c r="H996">
        <v>0</v>
      </c>
      <c r="I996">
        <v>1</v>
      </c>
      <c r="J996"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6" t="str">
        <f>IF(final_data787[[#This Row],[DAY_CODE]]=0,"weekend",IF(final_data787[[#This Row],[DAY_CODE]]=1,"weekend","weekday"))</f>
        <v>weekend</v>
      </c>
      <c r="L996">
        <v>1</v>
      </c>
      <c r="M996" t="str">
        <f>IF(final_data787[[#This Row],[WEATHER_CODE]]=1,"clear",IF(final_data787[[#This Row],[WEATHER_CODE]]=2,"cloudy",IF(final_data787[[#This Row],[WEATHER_CODE]]=3,"light rain",IF(final_data787[[#This Row],[WEATHER_CODE]]=4,"heavy rain",0))))</f>
        <v>clear</v>
      </c>
      <c r="N996">
        <v>0.36</v>
      </c>
      <c r="O996">
        <v>0.33329999999999999</v>
      </c>
      <c r="P996">
        <v>0.4</v>
      </c>
      <c r="Q996">
        <v>0.29849999999999999</v>
      </c>
      <c r="R996">
        <v>0</v>
      </c>
      <c r="S996">
        <v>2</v>
      </c>
      <c r="T996">
        <v>2</v>
      </c>
    </row>
    <row r="997" spans="1:20" x14ac:dyDescent="0.35">
      <c r="A997">
        <v>996</v>
      </c>
      <c r="B997" s="1">
        <v>40588</v>
      </c>
      <c r="C997">
        <v>1</v>
      </c>
      <c r="D997">
        <v>0</v>
      </c>
      <c r="E997">
        <v>2</v>
      </c>
      <c r="F997" t="str">
        <f>IF(final_data787[[#This Row],[MONTH_CODE]]=1,"JANUARY",IF(final_data787[[#This Row],[MONTH_CODE]]=2,"FEBRUARY"))</f>
        <v>FEBRUARY</v>
      </c>
      <c r="G997">
        <v>3</v>
      </c>
      <c r="H997">
        <v>0</v>
      </c>
      <c r="I997">
        <v>1</v>
      </c>
      <c r="J997"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7" t="str">
        <f>IF(final_data787[[#This Row],[DAY_CODE]]=0,"weekend",IF(final_data787[[#This Row],[DAY_CODE]]=1,"weekend","weekday"))</f>
        <v>weekend</v>
      </c>
      <c r="L997">
        <v>1</v>
      </c>
      <c r="M997" t="str">
        <f>IF(final_data787[[#This Row],[WEATHER_CODE]]=1,"clear",IF(final_data787[[#This Row],[WEATHER_CODE]]=2,"cloudy",IF(final_data787[[#This Row],[WEATHER_CODE]]=3,"light rain",IF(final_data787[[#This Row],[WEATHER_CODE]]=4,"heavy rain",0))))</f>
        <v>clear</v>
      </c>
      <c r="N997">
        <v>0.34</v>
      </c>
      <c r="O997">
        <v>0.31819999999999998</v>
      </c>
      <c r="P997">
        <v>0.46</v>
      </c>
      <c r="Q997">
        <v>0.22389999999999999</v>
      </c>
      <c r="R997">
        <v>1</v>
      </c>
      <c r="S997">
        <v>1</v>
      </c>
      <c r="T997">
        <v>2</v>
      </c>
    </row>
    <row r="998" spans="1:20" x14ac:dyDescent="0.35">
      <c r="A998">
        <v>997</v>
      </c>
      <c r="B998" s="1">
        <v>40588</v>
      </c>
      <c r="C998">
        <v>1</v>
      </c>
      <c r="D998">
        <v>0</v>
      </c>
      <c r="E998">
        <v>2</v>
      </c>
      <c r="F998" t="str">
        <f>IF(final_data787[[#This Row],[MONTH_CODE]]=1,"JANUARY",IF(final_data787[[#This Row],[MONTH_CODE]]=2,"FEBRUARY"))</f>
        <v>FEBRUARY</v>
      </c>
      <c r="G998">
        <v>4</v>
      </c>
      <c r="H998">
        <v>0</v>
      </c>
      <c r="I998">
        <v>1</v>
      </c>
      <c r="J998"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8" t="str">
        <f>IF(final_data787[[#This Row],[DAY_CODE]]=0,"weekend",IF(final_data787[[#This Row],[DAY_CODE]]=1,"weekend","weekday"))</f>
        <v>weekend</v>
      </c>
      <c r="L998">
        <v>1</v>
      </c>
      <c r="M998" t="str">
        <f>IF(final_data787[[#This Row],[WEATHER_CODE]]=1,"clear",IF(final_data787[[#This Row],[WEATHER_CODE]]=2,"cloudy",IF(final_data787[[#This Row],[WEATHER_CODE]]=3,"light rain",IF(final_data787[[#This Row],[WEATHER_CODE]]=4,"heavy rain",0))))</f>
        <v>clear</v>
      </c>
      <c r="N998">
        <v>0.32</v>
      </c>
      <c r="O998">
        <v>0.30299999999999999</v>
      </c>
      <c r="P998">
        <v>0.53</v>
      </c>
      <c r="Q998">
        <v>0.28360000000000002</v>
      </c>
      <c r="R998">
        <v>0</v>
      </c>
      <c r="S998">
        <v>2</v>
      </c>
      <c r="T998">
        <v>2</v>
      </c>
    </row>
    <row r="999" spans="1:20" x14ac:dyDescent="0.35">
      <c r="A999">
        <v>998</v>
      </c>
      <c r="B999" s="1">
        <v>40588</v>
      </c>
      <c r="C999">
        <v>1</v>
      </c>
      <c r="D999">
        <v>0</v>
      </c>
      <c r="E999">
        <v>2</v>
      </c>
      <c r="F999" t="str">
        <f>IF(final_data787[[#This Row],[MONTH_CODE]]=1,"JANUARY",IF(final_data787[[#This Row],[MONTH_CODE]]=2,"FEBRUARY"))</f>
        <v>FEBRUARY</v>
      </c>
      <c r="G999">
        <v>5</v>
      </c>
      <c r="H999">
        <v>0</v>
      </c>
      <c r="I999">
        <v>1</v>
      </c>
      <c r="J999"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999" t="str">
        <f>IF(final_data787[[#This Row],[DAY_CODE]]=0,"weekend",IF(final_data787[[#This Row],[DAY_CODE]]=1,"weekend","weekday"))</f>
        <v>weekend</v>
      </c>
      <c r="L999">
        <v>1</v>
      </c>
      <c r="M999" t="str">
        <f>IF(final_data787[[#This Row],[WEATHER_CODE]]=1,"clear",IF(final_data787[[#This Row],[WEATHER_CODE]]=2,"cloudy",IF(final_data787[[#This Row],[WEATHER_CODE]]=3,"light rain",IF(final_data787[[#This Row],[WEATHER_CODE]]=4,"heavy rain",0))))</f>
        <v>clear</v>
      </c>
      <c r="N999">
        <v>0.32</v>
      </c>
      <c r="O999">
        <v>0.30299999999999999</v>
      </c>
      <c r="P999">
        <v>0.53</v>
      </c>
      <c r="Q999">
        <v>0.28360000000000002</v>
      </c>
      <c r="R999">
        <v>0</v>
      </c>
      <c r="S999">
        <v>3</v>
      </c>
      <c r="T999">
        <v>3</v>
      </c>
    </row>
    <row r="1000" spans="1:20" x14ac:dyDescent="0.35">
      <c r="A1000">
        <v>999</v>
      </c>
      <c r="B1000" s="1">
        <v>40588</v>
      </c>
      <c r="C1000">
        <v>1</v>
      </c>
      <c r="D1000">
        <v>0</v>
      </c>
      <c r="E1000">
        <v>2</v>
      </c>
      <c r="F1000" t="str">
        <f>IF(final_data787[[#This Row],[MONTH_CODE]]=1,"JANUARY",IF(final_data787[[#This Row],[MONTH_CODE]]=2,"FEBRUARY"))</f>
        <v>FEBRUARY</v>
      </c>
      <c r="G1000">
        <v>6</v>
      </c>
      <c r="H1000">
        <v>0</v>
      </c>
      <c r="I1000">
        <v>1</v>
      </c>
      <c r="J1000"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1000" t="str">
        <f>IF(final_data787[[#This Row],[DAY_CODE]]=0,"weekend",IF(final_data787[[#This Row],[DAY_CODE]]=1,"weekend","weekday"))</f>
        <v>weekend</v>
      </c>
      <c r="L1000">
        <v>1</v>
      </c>
      <c r="M1000" t="str">
        <f>IF(final_data787[[#This Row],[WEATHER_CODE]]=1,"clear",IF(final_data787[[#This Row],[WEATHER_CODE]]=2,"cloudy",IF(final_data787[[#This Row],[WEATHER_CODE]]=3,"light rain",IF(final_data787[[#This Row],[WEATHER_CODE]]=4,"heavy rain",0))))</f>
        <v>clear</v>
      </c>
      <c r="N1000">
        <v>0.34</v>
      </c>
      <c r="O1000">
        <v>0.30299999999999999</v>
      </c>
      <c r="P1000">
        <v>0.46</v>
      </c>
      <c r="Q1000">
        <v>0.29849999999999999</v>
      </c>
      <c r="R1000">
        <v>1</v>
      </c>
      <c r="S1000">
        <v>25</v>
      </c>
      <c r="T1000">
        <v>26</v>
      </c>
    </row>
    <row r="1001" spans="1:20" x14ac:dyDescent="0.35">
      <c r="A1001">
        <v>1000</v>
      </c>
      <c r="B1001" s="1">
        <v>40588</v>
      </c>
      <c r="C1001">
        <v>1</v>
      </c>
      <c r="D1001">
        <v>0</v>
      </c>
      <c r="E1001">
        <v>2</v>
      </c>
      <c r="F1001" t="str">
        <f>IF(final_data787[[#This Row],[MONTH_CODE]]=1,"JANUARY",IF(final_data787[[#This Row],[MONTH_CODE]]=2,"FEBRUARY"))</f>
        <v>FEBRUARY</v>
      </c>
      <c r="G1001">
        <v>7</v>
      </c>
      <c r="H1001">
        <v>0</v>
      </c>
      <c r="I1001">
        <v>1</v>
      </c>
      <c r="J1001" t="str">
        <f>IF(final_data787[[#This Row],[DAY_CODE]]=6,"Saturday",IF(final_data787[[#This Row],[DAY_CODE]]=5,"Friday",IF(final_data787[[#This Row],[DAY_CODE]]=4,"Thursday",IF(final_data787[[#This Row],[DAY_CODE]]=3,"Wednesday",IF(final_data787[[#This Row],[DAY_CODE]]=2,"Tuesday",IF(final_data787[[#This Row],[DAY_CODE]]=1,"monday",IF(final_data787[[#This Row],[DAY_CODE]]=0,"Sunday",0)))))))</f>
        <v>monday</v>
      </c>
      <c r="K1001" t="str">
        <f>IF(final_data787[[#This Row],[DAY_CODE]]=0,"weekend",IF(final_data787[[#This Row],[DAY_CODE]]=1,"weekend","weekday"))</f>
        <v>weekend</v>
      </c>
      <c r="L1001">
        <v>1</v>
      </c>
      <c r="M1001" t="str">
        <f>IF(final_data787[[#This Row],[WEATHER_CODE]]=1,"clear",IF(final_data787[[#This Row],[WEATHER_CODE]]=2,"cloudy",IF(final_data787[[#This Row],[WEATHER_CODE]]=3,"light rain",IF(final_data787[[#This Row],[WEATHER_CODE]]=4,"heavy rain",0))))</f>
        <v>clear</v>
      </c>
      <c r="N1001">
        <v>0.34</v>
      </c>
      <c r="O1001">
        <v>0.30299999999999999</v>
      </c>
      <c r="P1001">
        <v>0.46</v>
      </c>
      <c r="Q1001">
        <v>0.29849999999999999</v>
      </c>
      <c r="R1001">
        <v>2</v>
      </c>
      <c r="S1001">
        <v>96</v>
      </c>
      <c r="T1001">
        <v>98</v>
      </c>
    </row>
  </sheetData>
  <conditionalFormatting sqref="P2:P1001">
    <cfRule type="dataBar" priority="1">
      <dataBar>
        <cfvo type="min"/>
        <cfvo type="max"/>
        <color rgb="FFFF555A"/>
      </dataBar>
      <extLst>
        <ext xmlns:x14="http://schemas.microsoft.com/office/spreadsheetml/2009/9/main" uri="{B025F937-C7B1-47D3-B67F-A62EFF666E3E}">
          <x14:id>{DDDDBE4C-A1DC-413D-B5B8-3C4B5C0C3170}</x14:id>
        </ext>
      </extLst>
    </cfRule>
  </conditionalFormatting>
  <conditionalFormatting sqref="Q2:Q1001">
    <cfRule type="dataBar" priority="2">
      <dataBar>
        <cfvo type="min"/>
        <cfvo type="max"/>
        <color rgb="FF638EC6"/>
      </dataBar>
      <extLst>
        <ext xmlns:x14="http://schemas.microsoft.com/office/spreadsheetml/2009/9/main" uri="{B025F937-C7B1-47D3-B67F-A62EFF666E3E}">
          <x14:id>{4CDF55D5-741D-4A8A-BCDC-102B7D925D5D}</x14:id>
        </ext>
      </extLst>
    </cfRule>
  </conditionalFormatting>
  <conditionalFormatting sqref="T1:T1001">
    <cfRule type="colorScale" priority="3">
      <colorScale>
        <cfvo type="min"/>
        <cfvo type="percentile" val="50"/>
        <cfvo type="max"/>
        <color rgb="FFF8696B"/>
        <color rgb="FFFFEB84"/>
        <color rgb="FF63BE7B"/>
      </colorScale>
    </cfRule>
  </conditionalFormatting>
  <dataValidations count="3">
    <dataValidation type="list" allowBlank="1" showInputMessage="1" showErrorMessage="1" sqref="AE38" xr:uid="{82E53524-09AB-4C3F-A1C2-665861429FC0}">
      <formula1>"B1:B1001"</formula1>
    </dataValidation>
    <dataValidation type="list" allowBlank="1" showInputMessage="1" showErrorMessage="1" sqref="B15 AO6:AO13" xr:uid="{CFF16AF0-DF8D-4A64-92AF-200E6EB1533A}">
      <formula1>$B$1:$B$1001</formula1>
    </dataValidation>
    <dataValidation type="date" allowBlank="1" showInputMessage="1" showErrorMessage="1" sqref="Y37" xr:uid="{ACC04A54-3148-44B7-B1D0-F598B16B4EAB}">
      <formula1>40544</formula1>
      <formula2>40588</formula2>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DDDBE4C-A1DC-413D-B5B8-3C4B5C0C3170}">
            <x14:dataBar minLength="0" maxLength="100" border="1" negativeBarBorderColorSameAsPositive="0">
              <x14:cfvo type="autoMin"/>
              <x14:cfvo type="autoMax"/>
              <x14:borderColor rgb="FFFF555A"/>
              <x14:negativeFillColor rgb="FFFF0000"/>
              <x14:negativeBorderColor rgb="FFFF0000"/>
              <x14:axisColor rgb="FF000000"/>
            </x14:dataBar>
          </x14:cfRule>
          <xm:sqref>P2:P1001</xm:sqref>
        </x14:conditionalFormatting>
        <x14:conditionalFormatting xmlns:xm="http://schemas.microsoft.com/office/excel/2006/main">
          <x14:cfRule type="dataBar" id="{4CDF55D5-741D-4A8A-BCDC-102B7D925D5D}">
            <x14:dataBar minLength="0" maxLength="100" border="1" negativeBarBorderColorSameAsPositive="0">
              <x14:cfvo type="autoMin"/>
              <x14:cfvo type="autoMax"/>
              <x14:borderColor rgb="FF638EC6"/>
              <x14:negativeFillColor rgb="FFFF0000"/>
              <x14:negativeBorderColor rgb="FFFF0000"/>
              <x14:axisColor rgb="FF000000"/>
            </x14:dataBar>
          </x14:cfRule>
          <xm:sqref>Q2:Q1001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6C45-2C17-4F63-B47E-4B16207071AA}">
  <dimension ref="A1:P57"/>
  <sheetViews>
    <sheetView zoomScale="98" zoomScaleNormal="98" workbookViewId="0">
      <selection activeCell="F5" sqref="F5"/>
    </sheetView>
  </sheetViews>
  <sheetFormatPr defaultRowHeight="14.5" x14ac:dyDescent="0.35"/>
  <cols>
    <col min="1" max="1" width="14.90625" bestFit="1" customWidth="1"/>
    <col min="2" max="2" width="22.54296875" bestFit="1" customWidth="1"/>
    <col min="3" max="3" width="26.453125" bestFit="1" customWidth="1"/>
    <col min="4" max="4" width="21.36328125" bestFit="1" customWidth="1"/>
    <col min="6" max="6" width="6.6328125" customWidth="1"/>
    <col min="7" max="7" width="15.81640625" bestFit="1" customWidth="1"/>
    <col min="8" max="8" width="22.54296875" bestFit="1" customWidth="1"/>
    <col min="9" max="9" width="26.453125" bestFit="1" customWidth="1"/>
    <col min="10" max="10" width="24.54296875" bestFit="1" customWidth="1"/>
    <col min="11" max="11" width="25.453125" customWidth="1"/>
    <col min="12" max="12" width="11.54296875" bestFit="1" customWidth="1"/>
    <col min="13" max="13" width="22.54296875" bestFit="1" customWidth="1"/>
    <col min="14" max="14" width="26.453125" bestFit="1" customWidth="1"/>
    <col min="15" max="15" width="26.1796875" bestFit="1" customWidth="1"/>
    <col min="16" max="16" width="17.6328125" bestFit="1" customWidth="1"/>
  </cols>
  <sheetData>
    <row r="1" spans="1:16" s="2" customFormat="1" x14ac:dyDescent="0.35"/>
    <row r="2" spans="1:16" s="2" customFormat="1" x14ac:dyDescent="0.35"/>
    <row r="3" spans="1:16" s="2" customFormat="1" ht="28.5" x14ac:dyDescent="0.35">
      <c r="B3" s="73"/>
      <c r="C3" s="74" t="s">
        <v>91</v>
      </c>
      <c r="D3" s="73"/>
      <c r="E3" s="73"/>
      <c r="F3" s="73"/>
      <c r="G3" s="73"/>
      <c r="H3" s="73"/>
      <c r="I3" s="75"/>
      <c r="J3" s="75"/>
      <c r="K3" s="75"/>
      <c r="L3" s="75"/>
      <c r="M3" s="75"/>
      <c r="N3" s="75"/>
      <c r="O3" s="75"/>
      <c r="P3" s="75"/>
    </row>
    <row r="4" spans="1:16" s="2" customFormat="1" x14ac:dyDescent="0.35">
      <c r="B4" s="73"/>
      <c r="C4" s="73"/>
      <c r="D4" s="73"/>
      <c r="E4" s="73"/>
      <c r="F4" s="73"/>
      <c r="G4" s="73"/>
      <c r="H4" s="73"/>
      <c r="I4" s="73"/>
      <c r="J4" s="73"/>
      <c r="K4" s="73"/>
      <c r="L4" s="73"/>
      <c r="M4" s="73"/>
      <c r="N4" s="73"/>
      <c r="O4" s="73"/>
      <c r="P4" s="73"/>
    </row>
    <row r="5" spans="1:16" s="2" customFormat="1" x14ac:dyDescent="0.35"/>
    <row r="6" spans="1:16" s="2" customFormat="1" ht="15" thickBot="1" x14ac:dyDescent="0.4"/>
    <row r="7" spans="1:16" s="2" customFormat="1" ht="15.5" x14ac:dyDescent="0.35">
      <c r="A7" s="76"/>
      <c r="B7" s="77" t="s">
        <v>88</v>
      </c>
      <c r="C7" s="77"/>
      <c r="D7" s="78"/>
      <c r="G7" s="80"/>
      <c r="H7" s="109" t="s">
        <v>89</v>
      </c>
      <c r="I7" s="113"/>
      <c r="J7" s="80"/>
      <c r="L7" s="80" t="s">
        <v>84</v>
      </c>
      <c r="M7" s="80"/>
      <c r="N7" s="80"/>
    </row>
    <row r="8" spans="1:16" s="2" customFormat="1" x14ac:dyDescent="0.35">
      <c r="A8" s="81"/>
      <c r="B8" s="82"/>
      <c r="C8" s="82"/>
      <c r="D8" s="83"/>
      <c r="G8" s="82"/>
      <c r="H8" s="82"/>
      <c r="I8" s="82"/>
      <c r="J8" s="82"/>
      <c r="L8" s="82"/>
      <c r="M8" s="82"/>
      <c r="N8" s="82"/>
    </row>
    <row r="9" spans="1:16" s="2" customFormat="1" ht="15" thickBot="1" x14ac:dyDescent="0.4">
      <c r="A9" s="81"/>
      <c r="B9" s="82"/>
      <c r="C9" s="82"/>
      <c r="D9" s="83"/>
      <c r="G9" s="82"/>
      <c r="H9" s="82"/>
      <c r="I9" s="82"/>
      <c r="J9" s="82"/>
      <c r="L9" s="82"/>
      <c r="M9" s="82"/>
      <c r="N9" s="82"/>
    </row>
    <row r="10" spans="1:16" s="71" customFormat="1" ht="29.5" thickBot="1" x14ac:dyDescent="0.4">
      <c r="A10" s="67" t="s">
        <v>26</v>
      </c>
      <c r="B10" s="68" t="s">
        <v>69</v>
      </c>
      <c r="C10" s="69" t="s">
        <v>70</v>
      </c>
      <c r="D10" s="70" t="s">
        <v>71</v>
      </c>
      <c r="G10" s="72" t="s">
        <v>166</v>
      </c>
      <c r="H10" s="66" t="s">
        <v>74</v>
      </c>
      <c r="I10" s="66" t="s">
        <v>75</v>
      </c>
      <c r="J10" s="66" t="s">
        <v>76</v>
      </c>
      <c r="L10" s="72" t="s">
        <v>92</v>
      </c>
      <c r="M10" s="66" t="s">
        <v>69</v>
      </c>
      <c r="N10" s="66" t="s">
        <v>70</v>
      </c>
    </row>
    <row r="11" spans="1:16" s="71" customFormat="1" ht="29" x14ac:dyDescent="0.35">
      <c r="A11" s="84" t="s">
        <v>46</v>
      </c>
      <c r="B11" s="85">
        <v>3073</v>
      </c>
      <c r="C11" s="86">
        <v>35116</v>
      </c>
      <c r="D11" s="87">
        <v>38189</v>
      </c>
      <c r="G11" s="66" t="s">
        <v>77</v>
      </c>
      <c r="H11" s="66">
        <v>4.9221311475409832</v>
      </c>
      <c r="I11" s="66">
        <v>53.790983606557376</v>
      </c>
      <c r="J11" s="66">
        <v>58.713114754098363</v>
      </c>
      <c r="L11" s="66">
        <v>0</v>
      </c>
      <c r="M11" s="66">
        <v>74</v>
      </c>
      <c r="N11" s="66">
        <v>629</v>
      </c>
    </row>
    <row r="12" spans="1:16" s="71" customFormat="1" ht="15" thickBot="1" x14ac:dyDescent="0.4">
      <c r="A12" s="88" t="s">
        <v>68</v>
      </c>
      <c r="B12" s="89">
        <v>1848</v>
      </c>
      <c r="C12" s="90">
        <v>18267</v>
      </c>
      <c r="D12" s="91">
        <v>20115</v>
      </c>
      <c r="G12" s="66" t="s">
        <v>78</v>
      </c>
      <c r="H12" s="66">
        <v>4.875</v>
      </c>
      <c r="I12" s="66">
        <v>36.791666666666664</v>
      </c>
      <c r="J12" s="66">
        <v>41.666666666666664</v>
      </c>
      <c r="L12" s="66">
        <v>1</v>
      </c>
      <c r="M12" s="66">
        <v>48</v>
      </c>
      <c r="N12" s="66">
        <v>412</v>
      </c>
    </row>
    <row r="13" spans="1:16" s="71" customFormat="1" ht="15" thickBot="1" x14ac:dyDescent="0.4">
      <c r="A13" s="92" t="s">
        <v>0</v>
      </c>
      <c r="B13" s="93">
        <v>4921</v>
      </c>
      <c r="C13" s="94">
        <v>53383</v>
      </c>
      <c r="D13" s="95">
        <v>58304</v>
      </c>
      <c r="G13" s="66" t="s">
        <v>0</v>
      </c>
      <c r="H13" s="66">
        <v>4.9210000000000003</v>
      </c>
      <c r="I13" s="66">
        <v>53.383000000000003</v>
      </c>
      <c r="J13" s="66">
        <v>58.304000000000002</v>
      </c>
      <c r="L13" s="66">
        <v>2</v>
      </c>
      <c r="M13" s="66">
        <v>33</v>
      </c>
      <c r="N13" s="66">
        <v>261</v>
      </c>
    </row>
    <row r="14" spans="1:16" s="71" customFormat="1" x14ac:dyDescent="0.35">
      <c r="L14" s="66">
        <v>3</v>
      </c>
      <c r="M14" s="66">
        <v>34</v>
      </c>
      <c r="N14" s="66">
        <v>117</v>
      </c>
    </row>
    <row r="15" spans="1:16" s="71" customFormat="1" ht="15" thickBot="1" x14ac:dyDescent="0.4">
      <c r="L15" s="66">
        <v>4</v>
      </c>
      <c r="M15" s="66">
        <v>7</v>
      </c>
      <c r="N15" s="66">
        <v>62</v>
      </c>
    </row>
    <row r="16" spans="1:16" s="71" customFormat="1" ht="15.5" x14ac:dyDescent="0.35">
      <c r="A16" s="144" t="s">
        <v>90</v>
      </c>
      <c r="B16" s="145"/>
      <c r="C16" s="146"/>
      <c r="G16" s="141" t="s">
        <v>87</v>
      </c>
      <c r="H16" s="142"/>
      <c r="I16" s="142"/>
      <c r="J16" s="143"/>
      <c r="L16" s="66">
        <v>5</v>
      </c>
      <c r="M16" s="66">
        <v>3</v>
      </c>
      <c r="N16" s="66">
        <v>161</v>
      </c>
    </row>
    <row r="17" spans="1:14" s="71" customFormat="1" x14ac:dyDescent="0.35">
      <c r="A17" s="96"/>
      <c r="B17" s="97"/>
      <c r="C17" s="98"/>
      <c r="G17" s="97"/>
      <c r="H17" s="97"/>
      <c r="I17" s="97"/>
      <c r="J17" s="97"/>
      <c r="L17" s="66">
        <v>6</v>
      </c>
      <c r="M17" s="66">
        <v>21</v>
      </c>
      <c r="N17" s="66">
        <v>801</v>
      </c>
    </row>
    <row r="18" spans="1:14" s="71" customFormat="1" ht="15" thickBot="1" x14ac:dyDescent="0.4">
      <c r="A18" s="96"/>
      <c r="B18" s="97"/>
      <c r="C18" s="98"/>
      <c r="G18" s="97"/>
      <c r="H18" s="97"/>
      <c r="I18" s="97"/>
      <c r="J18" s="97"/>
      <c r="L18" s="66">
        <v>7</v>
      </c>
      <c r="M18" s="66">
        <v>64</v>
      </c>
      <c r="N18" s="66">
        <v>2275</v>
      </c>
    </row>
    <row r="19" spans="1:14" s="71" customFormat="1" ht="29.5" thickBot="1" x14ac:dyDescent="0.4">
      <c r="A19" s="67" t="s">
        <v>93</v>
      </c>
      <c r="B19" s="68" t="s">
        <v>72</v>
      </c>
      <c r="C19" s="70" t="s">
        <v>73</v>
      </c>
      <c r="G19" s="72" t="s">
        <v>37</v>
      </c>
      <c r="H19" s="66" t="s">
        <v>74</v>
      </c>
      <c r="I19" s="66" t="s">
        <v>75</v>
      </c>
      <c r="J19" s="66" t="s">
        <v>76</v>
      </c>
      <c r="L19" s="66">
        <v>8</v>
      </c>
      <c r="M19" s="66">
        <v>127</v>
      </c>
      <c r="N19" s="66">
        <v>5261</v>
      </c>
    </row>
    <row r="20" spans="1:14" s="71" customFormat="1" x14ac:dyDescent="0.35">
      <c r="A20" s="84" t="s">
        <v>19</v>
      </c>
      <c r="B20" s="85">
        <v>21</v>
      </c>
      <c r="C20" s="87">
        <v>223</v>
      </c>
      <c r="G20" s="66" t="s">
        <v>79</v>
      </c>
      <c r="H20" s="66">
        <v>5.2986798679867988</v>
      </c>
      <c r="I20" s="66">
        <v>56.372937293729372</v>
      </c>
      <c r="J20" s="66">
        <v>61.671617161716171</v>
      </c>
      <c r="L20" s="66">
        <v>9</v>
      </c>
      <c r="M20" s="66">
        <v>172</v>
      </c>
      <c r="N20" s="66">
        <v>3500</v>
      </c>
    </row>
    <row r="21" spans="1:14" s="71" customFormat="1" x14ac:dyDescent="0.35">
      <c r="A21" s="99" t="s">
        <v>20</v>
      </c>
      <c r="B21" s="89">
        <v>21</v>
      </c>
      <c r="C21" s="91">
        <v>236</v>
      </c>
      <c r="G21" s="66" t="s">
        <v>80</v>
      </c>
      <c r="H21" s="66">
        <v>4.9773462783171523</v>
      </c>
      <c r="I21" s="66">
        <v>53.618122977346282</v>
      </c>
      <c r="J21" s="66">
        <v>58.595469255663431</v>
      </c>
      <c r="L21" s="66">
        <v>10</v>
      </c>
      <c r="M21" s="66">
        <v>216</v>
      </c>
      <c r="N21" s="66">
        <v>2037</v>
      </c>
    </row>
    <row r="22" spans="1:14" s="71" customFormat="1" x14ac:dyDescent="0.35">
      <c r="A22" s="99" t="s">
        <v>21</v>
      </c>
      <c r="B22" s="89">
        <v>12</v>
      </c>
      <c r="C22" s="91">
        <v>198</v>
      </c>
      <c r="G22" s="66" t="s">
        <v>81</v>
      </c>
      <c r="H22" s="66">
        <v>1</v>
      </c>
      <c r="I22" s="66">
        <v>35</v>
      </c>
      <c r="J22" s="66">
        <v>36</v>
      </c>
      <c r="L22" s="66">
        <v>11</v>
      </c>
      <c r="M22" s="66">
        <v>367</v>
      </c>
      <c r="N22" s="66">
        <v>2127</v>
      </c>
    </row>
    <row r="23" spans="1:14" s="2" customFormat="1" x14ac:dyDescent="0.35">
      <c r="A23" s="100" t="s">
        <v>22</v>
      </c>
      <c r="B23" s="101">
        <v>12</v>
      </c>
      <c r="C23" s="102">
        <v>247</v>
      </c>
      <c r="G23" s="34" t="s">
        <v>82</v>
      </c>
      <c r="H23" s="34">
        <v>2.0357142857142856</v>
      </c>
      <c r="I23" s="34">
        <v>31.166666666666668</v>
      </c>
      <c r="J23" s="34">
        <v>33.202380952380949</v>
      </c>
      <c r="L23" s="34">
        <v>12</v>
      </c>
      <c r="M23" s="34">
        <v>482</v>
      </c>
      <c r="N23" s="34">
        <v>2801</v>
      </c>
    </row>
    <row r="24" spans="1:14" s="2" customFormat="1" x14ac:dyDescent="0.35">
      <c r="A24" s="100" t="s">
        <v>23</v>
      </c>
      <c r="B24" s="101">
        <v>21</v>
      </c>
      <c r="C24" s="102">
        <v>217</v>
      </c>
      <c r="G24" s="34" t="s">
        <v>0</v>
      </c>
      <c r="H24" s="34">
        <v>4.9210000000000003</v>
      </c>
      <c r="I24" s="34">
        <v>53.383000000000003</v>
      </c>
      <c r="J24" s="34">
        <v>58.304000000000002</v>
      </c>
      <c r="L24" s="34">
        <v>13</v>
      </c>
      <c r="M24" s="34">
        <v>513</v>
      </c>
      <c r="N24" s="34">
        <v>2863</v>
      </c>
    </row>
    <row r="25" spans="1:14" s="2" customFormat="1" x14ac:dyDescent="0.35">
      <c r="A25" s="100" t="s">
        <v>24</v>
      </c>
      <c r="B25" s="101">
        <v>47</v>
      </c>
      <c r="C25" s="102">
        <v>127</v>
      </c>
      <c r="E25" s="103"/>
      <c r="L25" s="34">
        <v>14</v>
      </c>
      <c r="M25" s="34">
        <v>466</v>
      </c>
      <c r="N25" s="34">
        <v>2734</v>
      </c>
    </row>
    <row r="26" spans="1:14" s="2" customFormat="1" ht="15" thickBot="1" x14ac:dyDescent="0.4">
      <c r="A26" s="104" t="s">
        <v>25</v>
      </c>
      <c r="B26" s="101">
        <v>62</v>
      </c>
      <c r="C26" s="102">
        <v>135</v>
      </c>
      <c r="L26" s="34">
        <v>15</v>
      </c>
      <c r="M26" s="34">
        <v>536</v>
      </c>
      <c r="N26" s="34">
        <v>2816</v>
      </c>
    </row>
    <row r="27" spans="1:14" s="2" customFormat="1" ht="15" thickBot="1" x14ac:dyDescent="0.4">
      <c r="A27" s="105" t="s">
        <v>0</v>
      </c>
      <c r="B27" s="106">
        <v>62</v>
      </c>
      <c r="C27" s="107">
        <v>247</v>
      </c>
      <c r="L27" s="34">
        <v>16</v>
      </c>
      <c r="M27" s="34">
        <v>493</v>
      </c>
      <c r="N27" s="34">
        <v>3435</v>
      </c>
    </row>
    <row r="28" spans="1:14" s="2" customFormat="1" x14ac:dyDescent="0.35">
      <c r="L28" s="34">
        <v>17</v>
      </c>
      <c r="M28" s="34">
        <v>395</v>
      </c>
      <c r="N28" s="34">
        <v>5774</v>
      </c>
    </row>
    <row r="29" spans="1:14" s="2" customFormat="1" ht="15" thickBot="1" x14ac:dyDescent="0.4">
      <c r="L29" s="34">
        <v>18</v>
      </c>
      <c r="M29" s="34">
        <v>222</v>
      </c>
      <c r="N29" s="34">
        <v>5061</v>
      </c>
    </row>
    <row r="30" spans="1:14" s="2" customFormat="1" ht="15.5" x14ac:dyDescent="0.35">
      <c r="A30" s="108" t="s">
        <v>86</v>
      </c>
      <c r="B30" s="79"/>
      <c r="C30" s="78"/>
      <c r="G30" s="109" t="s">
        <v>85</v>
      </c>
      <c r="H30" s="109"/>
      <c r="I30" s="80"/>
      <c r="L30" s="34">
        <v>19</v>
      </c>
      <c r="M30" s="34">
        <v>187</v>
      </c>
      <c r="N30" s="34">
        <v>3474</v>
      </c>
    </row>
    <row r="31" spans="1:14" s="2" customFormat="1" x14ac:dyDescent="0.35">
      <c r="A31" s="81"/>
      <c r="B31" s="82"/>
      <c r="C31" s="83"/>
      <c r="G31" s="82"/>
      <c r="H31" s="82"/>
      <c r="I31" s="82"/>
      <c r="L31" s="34">
        <v>20</v>
      </c>
      <c r="M31" s="34">
        <v>140</v>
      </c>
      <c r="N31" s="34">
        <v>2516</v>
      </c>
    </row>
    <row r="32" spans="1:14" s="2" customFormat="1" ht="15" thickBot="1" x14ac:dyDescent="0.4">
      <c r="A32" s="81"/>
      <c r="B32" s="82"/>
      <c r="C32" s="83"/>
      <c r="G32" s="82"/>
      <c r="H32" s="82"/>
      <c r="I32" s="82"/>
      <c r="L32" s="34">
        <v>21</v>
      </c>
      <c r="M32" s="34">
        <v>117</v>
      </c>
      <c r="N32" s="34">
        <v>1879</v>
      </c>
    </row>
    <row r="33" spans="1:14" s="71" customFormat="1" ht="15" thickBot="1" x14ac:dyDescent="0.4">
      <c r="A33" s="67" t="s">
        <v>1</v>
      </c>
      <c r="B33" s="68" t="s">
        <v>69</v>
      </c>
      <c r="C33" s="70" t="s">
        <v>70</v>
      </c>
      <c r="G33" s="72" t="s">
        <v>41</v>
      </c>
      <c r="H33" s="66" t="s">
        <v>69</v>
      </c>
      <c r="I33" s="66" t="s">
        <v>70</v>
      </c>
      <c r="L33" s="66">
        <v>22</v>
      </c>
      <c r="M33" s="66">
        <v>103</v>
      </c>
      <c r="N33" s="66">
        <v>1405</v>
      </c>
    </row>
    <row r="34" spans="1:14" s="2" customFormat="1" x14ac:dyDescent="0.35">
      <c r="A34" s="110" t="s">
        <v>83</v>
      </c>
      <c r="B34" s="111">
        <v>10</v>
      </c>
      <c r="C34" s="112">
        <v>158</v>
      </c>
      <c r="G34" s="34">
        <v>0</v>
      </c>
      <c r="H34" s="34">
        <v>638</v>
      </c>
      <c r="I34" s="34">
        <v>7207</v>
      </c>
      <c r="L34" s="34">
        <v>23</v>
      </c>
      <c r="M34" s="34">
        <v>101</v>
      </c>
      <c r="N34" s="34">
        <v>982</v>
      </c>
    </row>
    <row r="35" spans="1:14" s="2" customFormat="1" x14ac:dyDescent="0.35">
      <c r="A35" s="100">
        <v>0.04</v>
      </c>
      <c r="B35" s="101">
        <v>21</v>
      </c>
      <c r="C35" s="102">
        <v>366</v>
      </c>
      <c r="G35" s="34">
        <v>8.9599999999999999E-2</v>
      </c>
      <c r="H35" s="34">
        <v>321</v>
      </c>
      <c r="I35" s="34">
        <v>3828</v>
      </c>
      <c r="L35" s="34" t="s">
        <v>0</v>
      </c>
      <c r="M35" s="34">
        <v>4921</v>
      </c>
      <c r="N35" s="34">
        <v>53383</v>
      </c>
    </row>
    <row r="36" spans="1:14" s="2" customFormat="1" x14ac:dyDescent="0.35">
      <c r="A36" s="100">
        <v>0.06</v>
      </c>
      <c r="B36" s="101">
        <v>37</v>
      </c>
      <c r="C36" s="102">
        <v>571</v>
      </c>
      <c r="G36" s="34">
        <v>0.1045</v>
      </c>
      <c r="H36" s="34">
        <v>266</v>
      </c>
      <c r="I36" s="34">
        <v>4084</v>
      </c>
      <c r="M36" s="35"/>
    </row>
    <row r="37" spans="1:14" s="2" customFormat="1" x14ac:dyDescent="0.35">
      <c r="A37" s="100">
        <v>0.08</v>
      </c>
      <c r="B37" s="101">
        <v>27</v>
      </c>
      <c r="C37" s="102">
        <v>330</v>
      </c>
      <c r="G37" s="34">
        <v>0.1343</v>
      </c>
      <c r="H37" s="34">
        <v>311</v>
      </c>
      <c r="I37" s="34">
        <v>4950</v>
      </c>
    </row>
    <row r="38" spans="1:14" s="2" customFormat="1" x14ac:dyDescent="0.35">
      <c r="A38" s="100">
        <v>0.1</v>
      </c>
      <c r="B38" s="101">
        <v>49</v>
      </c>
      <c r="C38" s="102">
        <v>1210</v>
      </c>
      <c r="G38" s="34">
        <v>0.16420000000000001</v>
      </c>
      <c r="H38" s="34">
        <v>406</v>
      </c>
      <c r="I38" s="34">
        <v>5203</v>
      </c>
    </row>
    <row r="39" spans="1:14" s="2" customFormat="1" x14ac:dyDescent="0.35">
      <c r="A39" s="100">
        <v>0.12</v>
      </c>
      <c r="B39" s="101">
        <v>99</v>
      </c>
      <c r="C39" s="102">
        <v>2005</v>
      </c>
      <c r="G39" s="34">
        <v>0.19400000000000001</v>
      </c>
      <c r="H39" s="34">
        <v>346</v>
      </c>
      <c r="I39" s="34">
        <v>4322</v>
      </c>
    </row>
    <row r="40" spans="1:14" s="2" customFormat="1" x14ac:dyDescent="0.35">
      <c r="A40" s="100">
        <v>0.14000000000000001</v>
      </c>
      <c r="B40" s="101">
        <v>184</v>
      </c>
      <c r="C40" s="102">
        <v>4151</v>
      </c>
      <c r="G40" s="34">
        <v>0.22389999999999999</v>
      </c>
      <c r="H40" s="34">
        <v>266</v>
      </c>
      <c r="I40" s="34">
        <v>3280</v>
      </c>
    </row>
    <row r="41" spans="1:14" s="2" customFormat="1" x14ac:dyDescent="0.35">
      <c r="A41" s="100">
        <v>0.16</v>
      </c>
      <c r="B41" s="101">
        <v>311</v>
      </c>
      <c r="C41" s="102">
        <v>6692</v>
      </c>
      <c r="G41" s="34">
        <v>0.25369999999999998</v>
      </c>
      <c r="H41" s="34">
        <v>504</v>
      </c>
      <c r="I41" s="34">
        <v>3570</v>
      </c>
    </row>
    <row r="42" spans="1:14" s="2" customFormat="1" x14ac:dyDescent="0.35">
      <c r="A42" s="100">
        <v>0.18</v>
      </c>
      <c r="B42" s="101">
        <v>232</v>
      </c>
      <c r="C42" s="102">
        <v>3813</v>
      </c>
      <c r="G42" s="34">
        <v>0.28360000000000002</v>
      </c>
      <c r="H42" s="34">
        <v>379</v>
      </c>
      <c r="I42" s="34">
        <v>3137</v>
      </c>
    </row>
    <row r="43" spans="1:14" s="2" customFormat="1" x14ac:dyDescent="0.35">
      <c r="A43" s="100">
        <v>0.2</v>
      </c>
      <c r="B43" s="101">
        <v>517</v>
      </c>
      <c r="C43" s="102">
        <v>7409</v>
      </c>
      <c r="G43" s="34">
        <v>0.29849999999999999</v>
      </c>
      <c r="H43" s="34">
        <v>363</v>
      </c>
      <c r="I43" s="34">
        <v>2509</v>
      </c>
    </row>
    <row r="44" spans="1:14" s="2" customFormat="1" x14ac:dyDescent="0.35">
      <c r="A44" s="100">
        <v>0.22</v>
      </c>
      <c r="B44" s="101">
        <v>496</v>
      </c>
      <c r="C44" s="102">
        <v>6716</v>
      </c>
      <c r="G44" s="34">
        <v>0.32840000000000003</v>
      </c>
      <c r="H44" s="34">
        <v>315</v>
      </c>
      <c r="I44" s="34">
        <v>3293</v>
      </c>
    </row>
    <row r="45" spans="1:14" s="2" customFormat="1" x14ac:dyDescent="0.35">
      <c r="A45" s="100">
        <v>0.24</v>
      </c>
      <c r="B45" s="101">
        <v>416</v>
      </c>
      <c r="C45" s="102">
        <v>5549</v>
      </c>
      <c r="G45" s="34">
        <v>0.35820000000000002</v>
      </c>
      <c r="H45" s="34">
        <v>159</v>
      </c>
      <c r="I45" s="34">
        <v>1910</v>
      </c>
    </row>
    <row r="46" spans="1:14" s="2" customFormat="1" x14ac:dyDescent="0.35">
      <c r="A46" s="100">
        <v>0.26</v>
      </c>
      <c r="B46" s="101">
        <v>337</v>
      </c>
      <c r="C46" s="102">
        <v>2820</v>
      </c>
      <c r="G46" s="34">
        <v>0.3881</v>
      </c>
      <c r="H46" s="34">
        <v>84</v>
      </c>
      <c r="I46" s="34">
        <v>1166</v>
      </c>
    </row>
    <row r="47" spans="1:14" s="2" customFormat="1" x14ac:dyDescent="0.35">
      <c r="A47" s="100">
        <v>0.28000000000000003</v>
      </c>
      <c r="B47" s="101">
        <v>218</v>
      </c>
      <c r="C47" s="102">
        <v>1740</v>
      </c>
      <c r="G47" s="34">
        <v>0.41789999999999999</v>
      </c>
      <c r="H47" s="34">
        <v>203</v>
      </c>
      <c r="I47" s="34">
        <v>1229</v>
      </c>
    </row>
    <row r="48" spans="1:14" s="2" customFormat="1" x14ac:dyDescent="0.35">
      <c r="A48" s="100">
        <v>0.3</v>
      </c>
      <c r="B48" s="101">
        <v>427</v>
      </c>
      <c r="C48" s="102">
        <v>3124</v>
      </c>
      <c r="G48" s="34">
        <v>0.44779999999999998</v>
      </c>
      <c r="H48" s="34">
        <v>97</v>
      </c>
      <c r="I48" s="34">
        <v>1010</v>
      </c>
    </row>
    <row r="49" spans="1:9" s="2" customFormat="1" x14ac:dyDescent="0.35">
      <c r="A49" s="100">
        <v>0.32</v>
      </c>
      <c r="B49" s="101">
        <v>258</v>
      </c>
      <c r="C49" s="102">
        <v>1708</v>
      </c>
      <c r="G49" s="34">
        <v>0.4627</v>
      </c>
      <c r="H49" s="34">
        <v>141</v>
      </c>
      <c r="I49" s="34">
        <v>740</v>
      </c>
    </row>
    <row r="50" spans="1:9" s="2" customFormat="1" x14ac:dyDescent="0.35">
      <c r="A50" s="100">
        <v>0.34</v>
      </c>
      <c r="B50" s="101">
        <v>469</v>
      </c>
      <c r="C50" s="102">
        <v>2009</v>
      </c>
      <c r="G50" s="34">
        <v>0.49249999999999999</v>
      </c>
      <c r="H50" s="34">
        <v>31</v>
      </c>
      <c r="I50" s="34">
        <v>598</v>
      </c>
    </row>
    <row r="51" spans="1:9" s="2" customFormat="1" x14ac:dyDescent="0.35">
      <c r="A51" s="100">
        <v>0.36</v>
      </c>
      <c r="B51" s="101">
        <v>208</v>
      </c>
      <c r="C51" s="102">
        <v>1133</v>
      </c>
      <c r="G51" s="34">
        <v>0.52239999999999998</v>
      </c>
      <c r="H51" s="34">
        <v>45</v>
      </c>
      <c r="I51" s="34">
        <v>637</v>
      </c>
    </row>
    <row r="52" spans="1:9" s="2" customFormat="1" x14ac:dyDescent="0.35">
      <c r="A52" s="100">
        <v>0.38</v>
      </c>
      <c r="B52" s="101">
        <v>105</v>
      </c>
      <c r="C52" s="102">
        <v>416</v>
      </c>
      <c r="G52" s="34">
        <v>0.55220000000000002</v>
      </c>
      <c r="H52" s="34">
        <v>20</v>
      </c>
      <c r="I52" s="34">
        <v>354</v>
      </c>
    </row>
    <row r="53" spans="1:9" s="2" customFormat="1" x14ac:dyDescent="0.35">
      <c r="A53" s="100">
        <v>0.4</v>
      </c>
      <c r="B53" s="101">
        <v>195</v>
      </c>
      <c r="C53" s="102">
        <v>790</v>
      </c>
      <c r="G53" s="34">
        <v>0.58209999999999995</v>
      </c>
      <c r="H53" s="34">
        <v>26</v>
      </c>
      <c r="I53" s="34">
        <v>356</v>
      </c>
    </row>
    <row r="54" spans="1:9" s="2" customFormat="1" x14ac:dyDescent="0.35">
      <c r="A54" s="100">
        <v>0.42</v>
      </c>
      <c r="B54" s="101">
        <v>144</v>
      </c>
      <c r="C54" s="102">
        <v>375</v>
      </c>
      <c r="G54" s="34" t="s">
        <v>0</v>
      </c>
      <c r="H54" s="34">
        <v>4921</v>
      </c>
      <c r="I54" s="34">
        <v>53383</v>
      </c>
    </row>
    <row r="55" spans="1:9" s="2" customFormat="1" x14ac:dyDescent="0.35">
      <c r="A55" s="100">
        <v>0.44</v>
      </c>
      <c r="B55" s="101">
        <v>56</v>
      </c>
      <c r="C55" s="102">
        <v>138</v>
      </c>
    </row>
    <row r="56" spans="1:9" s="2" customFormat="1" ht="15" thickBot="1" x14ac:dyDescent="0.4">
      <c r="A56" s="104">
        <v>0.46</v>
      </c>
      <c r="B56" s="101">
        <v>105</v>
      </c>
      <c r="C56" s="102">
        <v>160</v>
      </c>
    </row>
    <row r="57" spans="1:9" ht="15" thickBot="1" x14ac:dyDescent="0.4">
      <c r="A57" s="43" t="s">
        <v>0</v>
      </c>
      <c r="B57" s="51">
        <v>4921</v>
      </c>
      <c r="C57" s="52">
        <v>53383</v>
      </c>
    </row>
  </sheetData>
  <mergeCells count="2">
    <mergeCell ref="G16:J16"/>
    <mergeCell ref="A16:C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B225E-3282-405C-A9EC-8F9C586ABB6A}">
  <dimension ref="A2:Q58"/>
  <sheetViews>
    <sheetView zoomScale="72" zoomScaleNormal="72" workbookViewId="0">
      <selection activeCell="P3" sqref="P3:R3"/>
    </sheetView>
  </sheetViews>
  <sheetFormatPr defaultRowHeight="14.5" x14ac:dyDescent="0.35"/>
  <cols>
    <col min="1" max="1" width="12.36328125" bestFit="1" customWidth="1"/>
    <col min="2" max="2" width="22.08984375" bestFit="1" customWidth="1"/>
    <col min="3" max="3" width="25.90625" bestFit="1" customWidth="1"/>
    <col min="4" max="4" width="12.36328125" bestFit="1" customWidth="1"/>
    <col min="5" max="5" width="19.54296875" customWidth="1"/>
    <col min="6" max="6" width="12.36328125" bestFit="1" customWidth="1"/>
    <col min="7" max="7" width="12.7265625" bestFit="1" customWidth="1"/>
    <col min="8" max="8" width="23.1796875" customWidth="1"/>
    <col min="9" max="9" width="26.26953125" bestFit="1" customWidth="1"/>
    <col min="10" max="10" width="12.7265625" bestFit="1" customWidth="1"/>
    <col min="11" max="11" width="22.81640625" bestFit="1" customWidth="1"/>
    <col min="12" max="12" width="11.90625" customWidth="1"/>
    <col min="13" max="13" width="18.1796875" customWidth="1"/>
    <col min="14" max="14" width="21.36328125" bestFit="1" customWidth="1"/>
    <col min="15" max="15" width="13.6328125" bestFit="1" customWidth="1"/>
    <col min="16" max="16" width="23.08984375" bestFit="1" customWidth="1"/>
    <col min="17" max="17" width="22.08984375" bestFit="1" customWidth="1"/>
    <col min="18" max="18" width="16.54296875" bestFit="1" customWidth="1"/>
    <col min="19" max="36" width="4.90625" bestFit="1" customWidth="1"/>
    <col min="37" max="37" width="3.90625" bestFit="1" customWidth="1"/>
    <col min="38" max="40" width="4.90625" bestFit="1" customWidth="1"/>
    <col min="41" max="41" width="11.08984375" bestFit="1" customWidth="1"/>
    <col min="42" max="44" width="4.90625" bestFit="1" customWidth="1"/>
    <col min="45" max="45" width="3.90625" bestFit="1" customWidth="1"/>
    <col min="46" max="46" width="6.81640625" bestFit="1" customWidth="1"/>
    <col min="47" max="47" width="11.08984375" bestFit="1" customWidth="1"/>
    <col min="48" max="48" width="6.6328125" bestFit="1" customWidth="1"/>
    <col min="49" max="49" width="9.26953125" bestFit="1" customWidth="1"/>
    <col min="50" max="50" width="5.6328125" bestFit="1" customWidth="1"/>
    <col min="51" max="51" width="8.26953125" bestFit="1" customWidth="1"/>
    <col min="52" max="52" width="6.6328125" bestFit="1" customWidth="1"/>
    <col min="53" max="53" width="9.26953125" bestFit="1" customWidth="1"/>
    <col min="54" max="54" width="6.6328125" bestFit="1" customWidth="1"/>
    <col min="55" max="55" width="9.26953125" bestFit="1" customWidth="1"/>
    <col min="56" max="56" width="6.6328125" bestFit="1" customWidth="1"/>
    <col min="57" max="57" width="9.26953125" bestFit="1" customWidth="1"/>
    <col min="58" max="58" width="6.6328125" bestFit="1" customWidth="1"/>
    <col min="59" max="59" width="9.26953125" bestFit="1" customWidth="1"/>
    <col min="60" max="60" width="5.6328125" bestFit="1" customWidth="1"/>
    <col min="61" max="61" width="8.26953125" bestFit="1" customWidth="1"/>
    <col min="62" max="62" width="6.6328125" bestFit="1" customWidth="1"/>
    <col min="63" max="63" width="9.26953125" bestFit="1" customWidth="1"/>
    <col min="64" max="64" width="6.6328125" bestFit="1" customWidth="1"/>
    <col min="65" max="65" width="9.26953125" bestFit="1" customWidth="1"/>
    <col min="66" max="66" width="6.6328125" bestFit="1" customWidth="1"/>
    <col min="67" max="67" width="9.26953125" bestFit="1" customWidth="1"/>
    <col min="68" max="68" width="11.08984375" bestFit="1" customWidth="1"/>
    <col min="69" max="108" width="2.81640625" bestFit="1" customWidth="1"/>
    <col min="109" max="194" width="3.81640625" bestFit="1" customWidth="1"/>
    <col min="195" max="195" width="10.7265625" bestFit="1" customWidth="1"/>
    <col min="196" max="208" width="2.81640625" bestFit="1" customWidth="1"/>
    <col min="209" max="221" width="3.81640625" bestFit="1" customWidth="1"/>
    <col min="222" max="222" width="6.54296875" bestFit="1" customWidth="1"/>
    <col min="223" max="223" width="3.6328125" bestFit="1" customWidth="1"/>
    <col min="224" max="227" width="1.81640625" bestFit="1" customWidth="1"/>
    <col min="228" max="271" width="2.81640625" bestFit="1" customWidth="1"/>
    <col min="272" max="293" width="3.81640625" bestFit="1" customWidth="1"/>
    <col min="294" max="294" width="6.54296875" bestFit="1" customWidth="1"/>
    <col min="295" max="295" width="3.6328125" bestFit="1" customWidth="1"/>
    <col min="296" max="298" width="1.81640625" bestFit="1" customWidth="1"/>
    <col min="299" max="339" width="2.81640625" bestFit="1" customWidth="1"/>
    <col min="340" max="348" width="3.81640625" bestFit="1" customWidth="1"/>
    <col min="349" max="349" width="6.54296875" bestFit="1" customWidth="1"/>
    <col min="350" max="350" width="3.6328125" bestFit="1" customWidth="1"/>
    <col min="351" max="387" width="2.81640625" bestFit="1" customWidth="1"/>
    <col min="388" max="398" width="3.81640625" bestFit="1" customWidth="1"/>
    <col min="399" max="399" width="6.54296875" bestFit="1" customWidth="1"/>
    <col min="400" max="400" width="3.6328125" bestFit="1" customWidth="1"/>
    <col min="401" max="428" width="2.81640625" bestFit="1" customWidth="1"/>
    <col min="429" max="437" width="3.81640625" bestFit="1" customWidth="1"/>
    <col min="438" max="438" width="6.54296875" bestFit="1" customWidth="1"/>
    <col min="439" max="439" width="3.6328125" bestFit="1" customWidth="1"/>
    <col min="440" max="461" width="2.81640625" bestFit="1" customWidth="1"/>
    <col min="462" max="471" width="3.81640625" bestFit="1" customWidth="1"/>
    <col min="472" max="472" width="6.54296875" bestFit="1" customWidth="1"/>
    <col min="473" max="473" width="3.6328125" bestFit="1" customWidth="1"/>
    <col min="474" max="495" width="2.81640625" bestFit="1" customWidth="1"/>
    <col min="496" max="499" width="3.81640625" bestFit="1" customWidth="1"/>
    <col min="500" max="500" width="6.54296875" bestFit="1" customWidth="1"/>
    <col min="501" max="501" width="3.6328125" bestFit="1" customWidth="1"/>
    <col min="502" max="515" width="2.81640625" bestFit="1" customWidth="1"/>
    <col min="516" max="522" width="3.81640625" bestFit="1" customWidth="1"/>
    <col min="523" max="523" width="6.54296875" bestFit="1" customWidth="1"/>
    <col min="524" max="524" width="4.6328125" bestFit="1" customWidth="1"/>
    <col min="525" max="536" width="2.81640625" bestFit="1" customWidth="1"/>
    <col min="537" max="540" width="3.81640625" bestFit="1" customWidth="1"/>
    <col min="541" max="541" width="7.54296875" bestFit="1" customWidth="1"/>
    <col min="542" max="542" width="4.6328125" bestFit="1" customWidth="1"/>
    <col min="543" max="556" width="2.81640625" bestFit="1" customWidth="1"/>
    <col min="557" max="557" width="3.81640625" bestFit="1" customWidth="1"/>
    <col min="558" max="558" width="7.54296875" bestFit="1" customWidth="1"/>
    <col min="559" max="559" width="4.6328125" bestFit="1" customWidth="1"/>
    <col min="560" max="570" width="2.81640625" bestFit="1" customWidth="1"/>
    <col min="571" max="571" width="7.54296875" bestFit="1" customWidth="1"/>
    <col min="572" max="572" width="4.6328125" bestFit="1" customWidth="1"/>
    <col min="573" max="577" width="2.81640625" bestFit="1" customWidth="1"/>
    <col min="578" max="578" width="3.81640625" bestFit="1" customWidth="1"/>
    <col min="579" max="579" width="7.54296875" bestFit="1" customWidth="1"/>
    <col min="580" max="580" width="4.6328125" bestFit="1" customWidth="1"/>
    <col min="581" max="584" width="2.81640625" bestFit="1" customWidth="1"/>
    <col min="585" max="587" width="3.81640625" bestFit="1" customWidth="1"/>
    <col min="588" max="588" width="7.54296875" bestFit="1" customWidth="1"/>
    <col min="589" max="589" width="4.6328125" bestFit="1" customWidth="1"/>
    <col min="590" max="595" width="2.81640625" bestFit="1" customWidth="1"/>
    <col min="596" max="596" width="7.54296875" bestFit="1" customWidth="1"/>
    <col min="597" max="597" width="4.6328125" bestFit="1" customWidth="1"/>
    <col min="598" max="599" width="2.81640625" bestFit="1" customWidth="1"/>
    <col min="600" max="600" width="3.81640625" bestFit="1" customWidth="1"/>
    <col min="601" max="601" width="7.54296875" bestFit="1" customWidth="1"/>
    <col min="602" max="602" width="4.6328125" bestFit="1" customWidth="1"/>
    <col min="603" max="605" width="2.81640625" bestFit="1" customWidth="1"/>
    <col min="606" max="606" width="7.54296875" bestFit="1" customWidth="1"/>
    <col min="607" max="607" width="4.6328125" bestFit="1" customWidth="1"/>
    <col min="608" max="608" width="2.81640625" bestFit="1" customWidth="1"/>
    <col min="609" max="610" width="3.81640625" bestFit="1" customWidth="1"/>
    <col min="611" max="611" width="7.54296875" bestFit="1" customWidth="1"/>
    <col min="612" max="612" width="4.6328125" bestFit="1" customWidth="1"/>
    <col min="613" max="615" width="2.81640625" bestFit="1" customWidth="1"/>
    <col min="616" max="616" width="3.81640625" bestFit="1" customWidth="1"/>
    <col min="617" max="617" width="7.54296875" bestFit="1" customWidth="1"/>
    <col min="618" max="618" width="4.6328125" bestFit="1" customWidth="1"/>
    <col min="619" max="619" width="3.81640625" bestFit="1" customWidth="1"/>
    <col min="620" max="620" width="7.54296875" bestFit="1" customWidth="1"/>
    <col min="621" max="621" width="4.6328125" bestFit="1" customWidth="1"/>
    <col min="622" max="625" width="2.81640625" bestFit="1" customWidth="1"/>
    <col min="626" max="626" width="3.81640625" bestFit="1" customWidth="1"/>
    <col min="627" max="627" width="7.54296875" bestFit="1" customWidth="1"/>
    <col min="628" max="628" width="4.6328125" bestFit="1" customWidth="1"/>
    <col min="629" max="630" width="2.81640625" bestFit="1" customWidth="1"/>
    <col min="631" max="631" width="7.54296875" bestFit="1" customWidth="1"/>
    <col min="632" max="632" width="4.6328125" bestFit="1" customWidth="1"/>
    <col min="633" max="634" width="2.81640625" bestFit="1" customWidth="1"/>
    <col min="635" max="635" width="7.54296875" bestFit="1" customWidth="1"/>
    <col min="636" max="636" width="4.6328125" bestFit="1" customWidth="1"/>
    <col min="637" max="637" width="2.81640625" bestFit="1" customWidth="1"/>
    <col min="638" max="638" width="3.81640625" bestFit="1" customWidth="1"/>
    <col min="639" max="639" width="7.54296875" bestFit="1" customWidth="1"/>
    <col min="640" max="640" width="4.6328125" bestFit="1" customWidth="1"/>
    <col min="641" max="642" width="2.81640625" bestFit="1" customWidth="1"/>
    <col min="643" max="643" width="7.54296875" bestFit="1" customWidth="1"/>
    <col min="644" max="644" width="4.6328125" bestFit="1" customWidth="1"/>
    <col min="645" max="645" width="7.54296875" bestFit="1" customWidth="1"/>
    <col min="646" max="646" width="4.6328125" bestFit="1" customWidth="1"/>
    <col min="647" max="647" width="3.81640625" bestFit="1" customWidth="1"/>
    <col min="648" max="648" width="7.54296875" bestFit="1" customWidth="1"/>
    <col min="649" max="649" width="4.6328125" bestFit="1" customWidth="1"/>
    <col min="650" max="651" width="2.81640625" bestFit="1" customWidth="1"/>
    <col min="652" max="652" width="7.54296875" bestFit="1" customWidth="1"/>
    <col min="653" max="653" width="4.6328125" bestFit="1" customWidth="1"/>
    <col min="654" max="655" width="2.81640625" bestFit="1" customWidth="1"/>
    <col min="656" max="656" width="7.54296875" bestFit="1" customWidth="1"/>
    <col min="657" max="657" width="4.6328125" bestFit="1" customWidth="1"/>
    <col min="658" max="658" width="7.54296875" bestFit="1" customWidth="1"/>
    <col min="659" max="659" width="4.6328125" bestFit="1" customWidth="1"/>
    <col min="660" max="660" width="7.54296875" bestFit="1" customWidth="1"/>
    <col min="661" max="661" width="4.6328125" bestFit="1" customWidth="1"/>
    <col min="662" max="662" width="2.81640625" bestFit="1" customWidth="1"/>
    <col min="663" max="663" width="7.54296875" bestFit="1" customWidth="1"/>
    <col min="664" max="664" width="4.6328125" bestFit="1" customWidth="1"/>
    <col min="665" max="665" width="3.81640625" bestFit="1" customWidth="1"/>
    <col min="666" max="666" width="7.54296875" bestFit="1" customWidth="1"/>
    <col min="667" max="667" width="4.6328125" bestFit="1" customWidth="1"/>
    <col min="668" max="668" width="7.54296875" bestFit="1" customWidth="1"/>
    <col min="669" max="669" width="4.6328125" bestFit="1" customWidth="1"/>
    <col min="670" max="670" width="3.81640625" bestFit="1" customWidth="1"/>
    <col min="671" max="671" width="7.54296875" bestFit="1" customWidth="1"/>
    <col min="672" max="672" width="4.6328125" bestFit="1" customWidth="1"/>
    <col min="673" max="675" width="3.81640625" bestFit="1" customWidth="1"/>
    <col min="676" max="676" width="7.54296875" bestFit="1" customWidth="1"/>
    <col min="677" max="677" width="4.6328125" bestFit="1" customWidth="1"/>
    <col min="678" max="678" width="7.54296875" bestFit="1" customWidth="1"/>
    <col min="679" max="679" width="4.6328125" bestFit="1" customWidth="1"/>
    <col min="680" max="680" width="7.54296875" bestFit="1" customWidth="1"/>
    <col min="681" max="681" width="4.6328125" bestFit="1" customWidth="1"/>
    <col min="682" max="682" width="7.54296875" bestFit="1" customWidth="1"/>
    <col min="683" max="683" width="4.6328125" bestFit="1" customWidth="1"/>
    <col min="684" max="684" width="7.54296875" bestFit="1" customWidth="1"/>
    <col min="685" max="685" width="4.6328125" bestFit="1" customWidth="1"/>
    <col min="686" max="686" width="7.54296875" bestFit="1" customWidth="1"/>
    <col min="687" max="687" width="10.7265625" bestFit="1" customWidth="1"/>
    <col min="688" max="688" width="4.6328125" bestFit="1" customWidth="1"/>
    <col min="689" max="689" width="7.54296875" bestFit="1" customWidth="1"/>
    <col min="690" max="690" width="4.6328125" bestFit="1" customWidth="1"/>
    <col min="691" max="691" width="7.54296875" bestFit="1" customWidth="1"/>
    <col min="692" max="692" width="4.6328125" bestFit="1" customWidth="1"/>
    <col min="693" max="693" width="7.54296875" bestFit="1" customWidth="1"/>
    <col min="694" max="694" width="4.6328125" bestFit="1" customWidth="1"/>
    <col min="695" max="695" width="7.54296875" bestFit="1" customWidth="1"/>
    <col min="696" max="696" width="4.6328125" bestFit="1" customWidth="1"/>
    <col min="697" max="697" width="7.54296875" bestFit="1" customWidth="1"/>
    <col min="698" max="698" width="4.6328125" bestFit="1" customWidth="1"/>
    <col min="699" max="699" width="7.54296875" bestFit="1" customWidth="1"/>
    <col min="700" max="700" width="4.6328125" bestFit="1" customWidth="1"/>
    <col min="701" max="701" width="7.54296875" bestFit="1" customWidth="1"/>
    <col min="702" max="702" width="4.6328125" bestFit="1" customWidth="1"/>
    <col min="703" max="703" width="7.54296875" bestFit="1" customWidth="1"/>
    <col min="704" max="704" width="4.6328125" bestFit="1" customWidth="1"/>
    <col min="705" max="705" width="7.54296875" bestFit="1" customWidth="1"/>
    <col min="706" max="706" width="4.6328125" bestFit="1" customWidth="1"/>
    <col min="707" max="707" width="7.54296875" bestFit="1" customWidth="1"/>
    <col min="708" max="708" width="4.6328125" bestFit="1" customWidth="1"/>
    <col min="709" max="709" width="7.54296875" bestFit="1" customWidth="1"/>
    <col min="710" max="710" width="4.6328125" bestFit="1" customWidth="1"/>
    <col min="711" max="711" width="7.54296875" bestFit="1" customWidth="1"/>
    <col min="712" max="712" width="4.6328125" bestFit="1" customWidth="1"/>
    <col min="713" max="713" width="7.54296875" bestFit="1" customWidth="1"/>
    <col min="714" max="714" width="4.6328125" bestFit="1" customWidth="1"/>
    <col min="715" max="715" width="7.54296875" bestFit="1" customWidth="1"/>
    <col min="716" max="716" width="4.6328125" bestFit="1" customWidth="1"/>
    <col min="717" max="717" width="7.54296875" bestFit="1" customWidth="1"/>
    <col min="718" max="718" width="4.6328125" bestFit="1" customWidth="1"/>
    <col min="719" max="719" width="7.54296875" bestFit="1" customWidth="1"/>
    <col min="720" max="720" width="4.6328125" bestFit="1" customWidth="1"/>
    <col min="721" max="721" width="7.54296875" bestFit="1" customWidth="1"/>
    <col min="722" max="722" width="4.6328125" bestFit="1" customWidth="1"/>
    <col min="723" max="723" width="7.54296875" bestFit="1" customWidth="1"/>
    <col min="724" max="724" width="4.6328125" bestFit="1" customWidth="1"/>
    <col min="725" max="725" width="7.54296875" bestFit="1" customWidth="1"/>
    <col min="726" max="726" width="4.6328125" bestFit="1" customWidth="1"/>
    <col min="727" max="727" width="7.54296875" bestFit="1" customWidth="1"/>
    <col min="728" max="728" width="4.6328125" bestFit="1" customWidth="1"/>
    <col min="729" max="729" width="7.54296875" bestFit="1" customWidth="1"/>
    <col min="730" max="730" width="4.6328125" bestFit="1" customWidth="1"/>
    <col min="731" max="731" width="7.54296875" bestFit="1" customWidth="1"/>
    <col min="732" max="732" width="4.6328125" bestFit="1" customWidth="1"/>
    <col min="733" max="733" width="7.54296875" bestFit="1" customWidth="1"/>
    <col min="734" max="734" width="4.6328125" bestFit="1" customWidth="1"/>
    <col min="735" max="735" width="7.54296875" bestFit="1" customWidth="1"/>
    <col min="736" max="736" width="4.6328125" bestFit="1" customWidth="1"/>
    <col min="737" max="737" width="7.54296875" bestFit="1" customWidth="1"/>
    <col min="738" max="738" width="4.6328125" bestFit="1" customWidth="1"/>
    <col min="739" max="739" width="7.54296875" bestFit="1" customWidth="1"/>
    <col min="740" max="740" width="4.6328125" bestFit="1" customWidth="1"/>
    <col min="741" max="741" width="7.54296875" bestFit="1" customWidth="1"/>
    <col min="742" max="742" width="4.6328125" bestFit="1" customWidth="1"/>
    <col min="743" max="743" width="7.54296875" bestFit="1" customWidth="1"/>
    <col min="744" max="744" width="4.6328125" bestFit="1" customWidth="1"/>
    <col min="745" max="745" width="7.54296875" bestFit="1" customWidth="1"/>
    <col min="746" max="746" width="4.6328125" bestFit="1" customWidth="1"/>
    <col min="747" max="747" width="7.54296875" bestFit="1" customWidth="1"/>
    <col min="748" max="748" width="4.6328125" bestFit="1" customWidth="1"/>
    <col min="749" max="749" width="7.54296875" bestFit="1" customWidth="1"/>
    <col min="750" max="750" width="4.6328125" bestFit="1" customWidth="1"/>
    <col min="751" max="751" width="7.54296875" bestFit="1" customWidth="1"/>
    <col min="752" max="752" width="4.6328125" bestFit="1" customWidth="1"/>
    <col min="753" max="753" width="7.54296875" bestFit="1" customWidth="1"/>
    <col min="754" max="754" width="4.6328125" bestFit="1" customWidth="1"/>
    <col min="755" max="755" width="7.54296875" bestFit="1" customWidth="1"/>
    <col min="756" max="756" width="4.6328125" bestFit="1" customWidth="1"/>
    <col min="757" max="757" width="7.54296875" bestFit="1" customWidth="1"/>
    <col min="758" max="758" width="4.6328125" bestFit="1" customWidth="1"/>
    <col min="759" max="759" width="7.54296875" bestFit="1" customWidth="1"/>
    <col min="760" max="760" width="4.6328125" bestFit="1" customWidth="1"/>
    <col min="761" max="761" width="7.54296875" bestFit="1" customWidth="1"/>
    <col min="762" max="762" width="5.6328125" bestFit="1" customWidth="1"/>
    <col min="763" max="763" width="8.54296875" bestFit="1" customWidth="1"/>
    <col min="764" max="764" width="5.6328125" bestFit="1" customWidth="1"/>
    <col min="765" max="765" width="8.54296875" bestFit="1" customWidth="1"/>
    <col min="766" max="766" width="5.6328125" bestFit="1" customWidth="1"/>
    <col min="767" max="767" width="8.54296875" bestFit="1" customWidth="1"/>
    <col min="768" max="768" width="5.6328125" bestFit="1" customWidth="1"/>
    <col min="769" max="769" width="8.54296875" bestFit="1" customWidth="1"/>
    <col min="770" max="770" width="5.6328125" bestFit="1" customWidth="1"/>
    <col min="771" max="771" width="8.54296875" bestFit="1" customWidth="1"/>
    <col min="772" max="772" width="5.6328125" bestFit="1" customWidth="1"/>
    <col min="773" max="773" width="8.54296875" bestFit="1" customWidth="1"/>
    <col min="774" max="774" width="5.6328125" bestFit="1" customWidth="1"/>
    <col min="775" max="775" width="8.54296875" bestFit="1" customWidth="1"/>
    <col min="776" max="776" width="5.6328125" bestFit="1" customWidth="1"/>
    <col min="777" max="777" width="8.54296875" bestFit="1" customWidth="1"/>
    <col min="778" max="778" width="5.6328125" bestFit="1" customWidth="1"/>
    <col min="779" max="779" width="8.54296875" bestFit="1" customWidth="1"/>
    <col min="780" max="780" width="5.6328125" bestFit="1" customWidth="1"/>
    <col min="781" max="781" width="8.54296875" bestFit="1" customWidth="1"/>
    <col min="782" max="782" width="5.6328125" bestFit="1" customWidth="1"/>
    <col min="783" max="783" width="8.54296875" bestFit="1" customWidth="1"/>
    <col min="784" max="784" width="6.54296875" bestFit="1" customWidth="1"/>
    <col min="785" max="785" width="4.6328125" bestFit="1" customWidth="1"/>
    <col min="786" max="786" width="7.54296875" bestFit="1" customWidth="1"/>
    <col min="787" max="787" width="4.6328125" bestFit="1" customWidth="1"/>
    <col min="788" max="788" width="7.54296875" bestFit="1" customWidth="1"/>
    <col min="789" max="789" width="4.6328125" bestFit="1" customWidth="1"/>
    <col min="790" max="790" width="7.54296875" bestFit="1" customWidth="1"/>
    <col min="791" max="791" width="4.6328125" bestFit="1" customWidth="1"/>
    <col min="792" max="792" width="7.54296875" bestFit="1" customWidth="1"/>
    <col min="793" max="793" width="4.6328125" bestFit="1" customWidth="1"/>
    <col min="794" max="794" width="7.54296875" bestFit="1" customWidth="1"/>
    <col min="795" max="795" width="4.6328125" bestFit="1" customWidth="1"/>
    <col min="796" max="796" width="7.54296875" bestFit="1" customWidth="1"/>
    <col min="797" max="797" width="4.6328125" bestFit="1" customWidth="1"/>
    <col min="798" max="798" width="7.54296875" bestFit="1" customWidth="1"/>
    <col min="799" max="799" width="4.6328125" bestFit="1" customWidth="1"/>
    <col min="800" max="800" width="7.54296875" bestFit="1" customWidth="1"/>
    <col min="801" max="801" width="4.6328125" bestFit="1" customWidth="1"/>
    <col min="802" max="802" width="7.54296875" bestFit="1" customWidth="1"/>
    <col min="803" max="803" width="4.6328125" bestFit="1" customWidth="1"/>
    <col min="804" max="804" width="7.54296875" bestFit="1" customWidth="1"/>
    <col min="805" max="805" width="4.6328125" bestFit="1" customWidth="1"/>
    <col min="806" max="806" width="7.54296875" bestFit="1" customWidth="1"/>
    <col min="807" max="807" width="4.6328125" bestFit="1" customWidth="1"/>
    <col min="808" max="808" width="7.54296875" bestFit="1" customWidth="1"/>
    <col min="809" max="809" width="4.6328125" bestFit="1" customWidth="1"/>
    <col min="810" max="810" width="7.54296875" bestFit="1" customWidth="1"/>
    <col min="811" max="811" width="4.6328125" bestFit="1" customWidth="1"/>
    <col min="812" max="812" width="7.54296875" bestFit="1" customWidth="1"/>
    <col min="813" max="813" width="4.6328125" bestFit="1" customWidth="1"/>
    <col min="814" max="814" width="7.54296875" bestFit="1" customWidth="1"/>
    <col min="815" max="815" width="4.6328125" bestFit="1" customWidth="1"/>
    <col min="816" max="816" width="7.54296875" bestFit="1" customWidth="1"/>
    <col min="817" max="817" width="4.6328125" bestFit="1" customWidth="1"/>
    <col min="818" max="818" width="7.54296875" bestFit="1" customWidth="1"/>
    <col min="819" max="819" width="4.6328125" bestFit="1" customWidth="1"/>
    <col min="820" max="820" width="7.54296875" bestFit="1" customWidth="1"/>
    <col min="821" max="821" width="4.6328125" bestFit="1" customWidth="1"/>
    <col min="822" max="822" width="7.54296875" bestFit="1" customWidth="1"/>
    <col min="823" max="823" width="4.6328125" bestFit="1" customWidth="1"/>
    <col min="824" max="824" width="7.54296875" bestFit="1" customWidth="1"/>
    <col min="825" max="825" width="4.6328125" bestFit="1" customWidth="1"/>
    <col min="826" max="826" width="7.54296875" bestFit="1" customWidth="1"/>
    <col min="827" max="827" width="4.6328125" bestFit="1" customWidth="1"/>
    <col min="828" max="828" width="7.54296875" bestFit="1" customWidth="1"/>
    <col min="829" max="829" width="4.6328125" bestFit="1" customWidth="1"/>
    <col min="830" max="830" width="7.54296875" bestFit="1" customWidth="1"/>
    <col min="831" max="831" width="4.6328125" bestFit="1" customWidth="1"/>
    <col min="832" max="832" width="7.54296875" bestFit="1" customWidth="1"/>
    <col min="833" max="833" width="4.6328125" bestFit="1" customWidth="1"/>
    <col min="834" max="834" width="7.54296875" bestFit="1" customWidth="1"/>
    <col min="835" max="835" width="4.6328125" bestFit="1" customWidth="1"/>
    <col min="836" max="836" width="7.54296875" bestFit="1" customWidth="1"/>
    <col min="837" max="837" width="4.6328125" bestFit="1" customWidth="1"/>
    <col min="838" max="838" width="7.54296875" bestFit="1" customWidth="1"/>
    <col min="839" max="839" width="4.6328125" bestFit="1" customWidth="1"/>
    <col min="840" max="840" width="7.54296875" bestFit="1" customWidth="1"/>
    <col min="841" max="841" width="5.6328125" bestFit="1" customWidth="1"/>
    <col min="842" max="842" width="8.54296875" bestFit="1" customWidth="1"/>
    <col min="843" max="843" width="5.6328125" bestFit="1" customWidth="1"/>
    <col min="844" max="844" width="8.54296875" bestFit="1" customWidth="1"/>
    <col min="845" max="845" width="5.6328125" bestFit="1" customWidth="1"/>
    <col min="846" max="846" width="8.54296875" bestFit="1" customWidth="1"/>
    <col min="847" max="847" width="5.6328125" bestFit="1" customWidth="1"/>
    <col min="848" max="848" width="8.54296875" bestFit="1" customWidth="1"/>
    <col min="849" max="849" width="5.6328125" bestFit="1" customWidth="1"/>
    <col min="850" max="850" width="8.54296875" bestFit="1" customWidth="1"/>
    <col min="851" max="851" width="5.6328125" bestFit="1" customWidth="1"/>
    <col min="852" max="852" width="8.54296875" bestFit="1" customWidth="1"/>
    <col min="853" max="853" width="5.6328125" bestFit="1" customWidth="1"/>
    <col min="854" max="854" width="8.54296875" bestFit="1" customWidth="1"/>
    <col min="855" max="855" width="5.6328125" bestFit="1" customWidth="1"/>
    <col min="856" max="856" width="8.54296875" bestFit="1" customWidth="1"/>
    <col min="857" max="857" width="5.6328125" bestFit="1" customWidth="1"/>
    <col min="858" max="858" width="8.54296875" bestFit="1" customWidth="1"/>
    <col min="859" max="859" width="5.6328125" bestFit="1" customWidth="1"/>
    <col min="860" max="860" width="8.54296875" bestFit="1" customWidth="1"/>
    <col min="861" max="861" width="6.54296875" bestFit="1" customWidth="1"/>
    <col min="862" max="862" width="4.6328125" bestFit="1" customWidth="1"/>
    <col min="863" max="863" width="7.54296875" bestFit="1" customWidth="1"/>
    <col min="864" max="864" width="4.6328125" bestFit="1" customWidth="1"/>
    <col min="865" max="865" width="7.54296875" bestFit="1" customWidth="1"/>
    <col min="866" max="866" width="4.6328125" bestFit="1" customWidth="1"/>
    <col min="867" max="867" width="7.54296875" bestFit="1" customWidth="1"/>
    <col min="868" max="868" width="4.6328125" bestFit="1" customWidth="1"/>
    <col min="869" max="869" width="7.54296875" bestFit="1" customWidth="1"/>
    <col min="870" max="870" width="4.6328125" bestFit="1" customWidth="1"/>
    <col min="871" max="871" width="7.54296875" bestFit="1" customWidth="1"/>
    <col min="872" max="872" width="4.6328125" bestFit="1" customWidth="1"/>
    <col min="873" max="873" width="7.54296875" bestFit="1" customWidth="1"/>
    <col min="874" max="874" width="4.6328125" bestFit="1" customWidth="1"/>
    <col min="875" max="875" width="7.54296875" bestFit="1" customWidth="1"/>
    <col min="876" max="876" width="4.6328125" bestFit="1" customWidth="1"/>
    <col min="877" max="877" width="7.54296875" bestFit="1" customWidth="1"/>
    <col min="878" max="878" width="4.6328125" bestFit="1" customWidth="1"/>
    <col min="879" max="879" width="7.54296875" bestFit="1" customWidth="1"/>
    <col min="880" max="880" width="4.6328125" bestFit="1" customWidth="1"/>
    <col min="881" max="881" width="7.54296875" bestFit="1" customWidth="1"/>
    <col min="882" max="882" width="4.6328125" bestFit="1" customWidth="1"/>
    <col min="883" max="883" width="7.54296875" bestFit="1" customWidth="1"/>
    <col min="884" max="884" width="4.6328125" bestFit="1" customWidth="1"/>
    <col min="885" max="885" width="7.54296875" bestFit="1" customWidth="1"/>
    <col min="886" max="886" width="4.6328125" bestFit="1" customWidth="1"/>
    <col min="887" max="887" width="7.54296875" bestFit="1" customWidth="1"/>
    <col min="888" max="888" width="4.6328125" bestFit="1" customWidth="1"/>
    <col min="889" max="889" width="7.54296875" bestFit="1" customWidth="1"/>
    <col min="890" max="890" width="4.6328125" bestFit="1" customWidth="1"/>
    <col min="891" max="891" width="7.54296875" bestFit="1" customWidth="1"/>
    <col min="892" max="892" width="4.6328125" bestFit="1" customWidth="1"/>
    <col min="893" max="893" width="7.54296875" bestFit="1" customWidth="1"/>
    <col min="894" max="894" width="4.6328125" bestFit="1" customWidth="1"/>
    <col min="895" max="895" width="7.54296875" bestFit="1" customWidth="1"/>
    <col min="896" max="896" width="4.6328125" bestFit="1" customWidth="1"/>
    <col min="897" max="897" width="7.54296875" bestFit="1" customWidth="1"/>
    <col min="898" max="898" width="4.6328125" bestFit="1" customWidth="1"/>
    <col min="899" max="899" width="7.54296875" bestFit="1" customWidth="1"/>
    <col min="900" max="900" width="4.6328125" bestFit="1" customWidth="1"/>
    <col min="901" max="901" width="7.54296875" bestFit="1" customWidth="1"/>
    <col min="902" max="902" width="4.6328125" bestFit="1" customWidth="1"/>
    <col min="903" max="903" width="7.54296875" bestFit="1" customWidth="1"/>
    <col min="904" max="904" width="5.6328125" bestFit="1" customWidth="1"/>
    <col min="905" max="905" width="8.54296875" bestFit="1" customWidth="1"/>
    <col min="906" max="906" width="5.6328125" bestFit="1" customWidth="1"/>
    <col min="907" max="907" width="8.54296875" bestFit="1" customWidth="1"/>
    <col min="908" max="908" width="5.6328125" bestFit="1" customWidth="1"/>
    <col min="909" max="909" width="8.54296875" bestFit="1" customWidth="1"/>
    <col min="910" max="910" width="5.6328125" bestFit="1" customWidth="1"/>
    <col min="911" max="911" width="8.54296875" bestFit="1" customWidth="1"/>
    <col min="912" max="912" width="5.6328125" bestFit="1" customWidth="1"/>
    <col min="913" max="913" width="8.54296875" bestFit="1" customWidth="1"/>
    <col min="914" max="914" width="5.6328125" bestFit="1" customWidth="1"/>
    <col min="915" max="915" width="8.54296875" bestFit="1" customWidth="1"/>
    <col min="916" max="916" width="5.6328125" bestFit="1" customWidth="1"/>
    <col min="917" max="917" width="8.54296875" bestFit="1" customWidth="1"/>
    <col min="918" max="918" width="5.6328125" bestFit="1" customWidth="1"/>
    <col min="919" max="919" width="8.54296875" bestFit="1" customWidth="1"/>
    <col min="920" max="920" width="5.6328125" bestFit="1" customWidth="1"/>
    <col min="921" max="921" width="8.54296875" bestFit="1" customWidth="1"/>
    <col min="922" max="922" width="5.6328125" bestFit="1" customWidth="1"/>
    <col min="923" max="923" width="8.54296875" bestFit="1" customWidth="1"/>
    <col min="924" max="924" width="5.6328125" bestFit="1" customWidth="1"/>
    <col min="925" max="925" width="8.54296875" bestFit="1" customWidth="1"/>
    <col min="926" max="926" width="5.6328125" bestFit="1" customWidth="1"/>
    <col min="927" max="927" width="8.54296875" bestFit="1" customWidth="1"/>
    <col min="928" max="928" width="6.54296875" bestFit="1" customWidth="1"/>
    <col min="929" max="929" width="4.6328125" bestFit="1" customWidth="1"/>
    <col min="930" max="930" width="7.54296875" bestFit="1" customWidth="1"/>
    <col min="931" max="931" width="4.6328125" bestFit="1" customWidth="1"/>
    <col min="932" max="932" width="7.54296875" bestFit="1" customWidth="1"/>
    <col min="933" max="933" width="4.6328125" bestFit="1" customWidth="1"/>
    <col min="934" max="934" width="7.54296875" bestFit="1" customWidth="1"/>
    <col min="935" max="935" width="4.6328125" bestFit="1" customWidth="1"/>
    <col min="936" max="936" width="7.54296875" bestFit="1" customWidth="1"/>
    <col min="937" max="937" width="4.6328125" bestFit="1" customWidth="1"/>
    <col min="938" max="938" width="7.54296875" bestFit="1" customWidth="1"/>
    <col min="939" max="939" width="4.6328125" bestFit="1" customWidth="1"/>
    <col min="940" max="940" width="7.54296875" bestFit="1" customWidth="1"/>
    <col min="941" max="941" width="4.6328125" bestFit="1" customWidth="1"/>
    <col min="942" max="942" width="7.54296875" bestFit="1" customWidth="1"/>
    <col min="943" max="943" width="4.6328125" bestFit="1" customWidth="1"/>
    <col min="944" max="944" width="7.54296875" bestFit="1" customWidth="1"/>
    <col min="945" max="945" width="4.6328125" bestFit="1" customWidth="1"/>
    <col min="946" max="946" width="7.54296875" bestFit="1" customWidth="1"/>
    <col min="947" max="947" width="4.6328125" bestFit="1" customWidth="1"/>
    <col min="948" max="948" width="7.54296875" bestFit="1" customWidth="1"/>
    <col min="949" max="949" width="4.6328125" bestFit="1" customWidth="1"/>
    <col min="950" max="950" width="7.54296875" bestFit="1" customWidth="1"/>
    <col min="951" max="951" width="4.6328125" bestFit="1" customWidth="1"/>
    <col min="952" max="952" width="7.54296875" bestFit="1" customWidth="1"/>
    <col min="953" max="953" width="4.6328125" bestFit="1" customWidth="1"/>
    <col min="954" max="954" width="7.54296875" bestFit="1" customWidth="1"/>
    <col min="955" max="955" width="4.6328125" bestFit="1" customWidth="1"/>
    <col min="956" max="956" width="7.54296875" bestFit="1" customWidth="1"/>
    <col min="957" max="957" width="4.6328125" bestFit="1" customWidth="1"/>
    <col min="958" max="958" width="7.54296875" bestFit="1" customWidth="1"/>
    <col min="959" max="959" width="4.6328125" bestFit="1" customWidth="1"/>
    <col min="960" max="960" width="7.54296875" bestFit="1" customWidth="1"/>
    <col min="961" max="961" width="4.6328125" bestFit="1" customWidth="1"/>
    <col min="962" max="962" width="7.54296875" bestFit="1" customWidth="1"/>
    <col min="963" max="963" width="4.6328125" bestFit="1" customWidth="1"/>
    <col min="964" max="964" width="7.54296875" bestFit="1" customWidth="1"/>
    <col min="965" max="965" width="4.6328125" bestFit="1" customWidth="1"/>
    <col min="966" max="966" width="7.54296875" bestFit="1" customWidth="1"/>
    <col min="967" max="967" width="4.6328125" bestFit="1" customWidth="1"/>
    <col min="968" max="968" width="7.54296875" bestFit="1" customWidth="1"/>
    <col min="969" max="969" width="4.6328125" bestFit="1" customWidth="1"/>
    <col min="970" max="970" width="7.54296875" bestFit="1" customWidth="1"/>
    <col min="971" max="971" width="4.6328125" bestFit="1" customWidth="1"/>
    <col min="972" max="972" width="7.54296875" bestFit="1" customWidth="1"/>
    <col min="973" max="973" width="5.6328125" bestFit="1" customWidth="1"/>
    <col min="974" max="974" width="8.54296875" bestFit="1" customWidth="1"/>
    <col min="975" max="975" width="5.6328125" bestFit="1" customWidth="1"/>
    <col min="976" max="976" width="8.54296875" bestFit="1" customWidth="1"/>
    <col min="977" max="977" width="5.6328125" bestFit="1" customWidth="1"/>
    <col min="978" max="978" width="8.54296875" bestFit="1" customWidth="1"/>
    <col min="979" max="979" width="5.6328125" bestFit="1" customWidth="1"/>
    <col min="980" max="980" width="8.54296875" bestFit="1" customWidth="1"/>
    <col min="981" max="981" width="5.6328125" bestFit="1" customWidth="1"/>
    <col min="982" max="982" width="8.54296875" bestFit="1" customWidth="1"/>
    <col min="983" max="983" width="6.54296875" bestFit="1" customWidth="1"/>
    <col min="984" max="984" width="4.6328125" bestFit="1" customWidth="1"/>
    <col min="985" max="985" width="7.54296875" bestFit="1" customWidth="1"/>
    <col min="986" max="986" width="4.6328125" bestFit="1" customWidth="1"/>
    <col min="987" max="987" width="7.54296875" bestFit="1" customWidth="1"/>
    <col min="988" max="988" width="4.6328125" bestFit="1" customWidth="1"/>
    <col min="989" max="989" width="7.54296875" bestFit="1" customWidth="1"/>
    <col min="990" max="990" width="4.6328125" bestFit="1" customWidth="1"/>
    <col min="991" max="991" width="7.54296875" bestFit="1" customWidth="1"/>
    <col min="992" max="992" width="4.6328125" bestFit="1" customWidth="1"/>
    <col min="993" max="993" width="7.54296875" bestFit="1" customWidth="1"/>
    <col min="994" max="994" width="4.6328125" bestFit="1" customWidth="1"/>
    <col min="995" max="995" width="7.54296875" bestFit="1" customWidth="1"/>
    <col min="996" max="996" width="4.6328125" bestFit="1" customWidth="1"/>
    <col min="997" max="997" width="7.54296875" bestFit="1" customWidth="1"/>
    <col min="998" max="998" width="4.6328125" bestFit="1" customWidth="1"/>
    <col min="999" max="999" width="7.54296875" bestFit="1" customWidth="1"/>
    <col min="1000" max="1000" width="4.6328125" bestFit="1" customWidth="1"/>
    <col min="1001" max="1001" width="7.54296875" bestFit="1" customWidth="1"/>
    <col min="1002" max="1002" width="4.6328125" bestFit="1" customWidth="1"/>
    <col min="1003" max="1003" width="7.54296875" bestFit="1" customWidth="1"/>
    <col min="1004" max="1004" width="4.6328125" bestFit="1" customWidth="1"/>
    <col min="1005" max="1005" width="7.54296875" bestFit="1" customWidth="1"/>
    <col min="1006" max="1006" width="4.6328125" bestFit="1" customWidth="1"/>
    <col min="1007" max="1007" width="7.54296875" bestFit="1" customWidth="1"/>
    <col min="1008" max="1008" width="4.6328125" bestFit="1" customWidth="1"/>
    <col min="1009" max="1009" width="7.54296875" bestFit="1" customWidth="1"/>
    <col min="1010" max="1010" width="4.6328125" bestFit="1" customWidth="1"/>
    <col min="1011" max="1011" width="7.54296875" bestFit="1" customWidth="1"/>
    <col min="1012" max="1012" width="4.6328125" bestFit="1" customWidth="1"/>
    <col min="1013" max="1013" width="7.54296875" bestFit="1" customWidth="1"/>
    <col min="1014" max="1014" width="5.6328125" bestFit="1" customWidth="1"/>
    <col min="1015" max="1015" width="8.54296875" bestFit="1" customWidth="1"/>
    <col min="1016" max="1016" width="5.6328125" bestFit="1" customWidth="1"/>
    <col min="1017" max="1017" width="8.54296875" bestFit="1" customWidth="1"/>
    <col min="1018" max="1018" width="5.6328125" bestFit="1" customWidth="1"/>
    <col min="1019" max="1019" width="8.54296875" bestFit="1" customWidth="1"/>
    <col min="1020" max="1020" width="5.6328125" bestFit="1" customWidth="1"/>
    <col min="1021" max="1021" width="8.54296875" bestFit="1" customWidth="1"/>
    <col min="1022" max="1022" width="5.6328125" bestFit="1" customWidth="1"/>
    <col min="1023" max="1023" width="8.54296875" bestFit="1" customWidth="1"/>
    <col min="1024" max="1024" width="5.6328125" bestFit="1" customWidth="1"/>
    <col min="1025" max="1025" width="8.54296875" bestFit="1" customWidth="1"/>
    <col min="1026" max="1026" width="5.6328125" bestFit="1" customWidth="1"/>
    <col min="1027" max="1027" width="8.54296875" bestFit="1" customWidth="1"/>
    <col min="1028" max="1028" width="6.54296875" bestFit="1" customWidth="1"/>
    <col min="1029" max="1029" width="4.6328125" bestFit="1" customWidth="1"/>
    <col min="1030" max="1030" width="7.54296875" bestFit="1" customWidth="1"/>
    <col min="1031" max="1031" width="4.6328125" bestFit="1" customWidth="1"/>
    <col min="1032" max="1032" width="7.54296875" bestFit="1" customWidth="1"/>
    <col min="1033" max="1033" width="4.6328125" bestFit="1" customWidth="1"/>
    <col min="1034" max="1034" width="7.54296875" bestFit="1" customWidth="1"/>
    <col min="1035" max="1035" width="4.6328125" bestFit="1" customWidth="1"/>
    <col min="1036" max="1036" width="7.54296875" bestFit="1" customWidth="1"/>
    <col min="1037" max="1037" width="4.6328125" bestFit="1" customWidth="1"/>
    <col min="1038" max="1038" width="7.54296875" bestFit="1" customWidth="1"/>
    <col min="1039" max="1039" width="4.6328125" bestFit="1" customWidth="1"/>
    <col min="1040" max="1040" width="7.54296875" bestFit="1" customWidth="1"/>
    <col min="1041" max="1041" width="4.6328125" bestFit="1" customWidth="1"/>
    <col min="1042" max="1042" width="7.54296875" bestFit="1" customWidth="1"/>
    <col min="1043" max="1043" width="4.6328125" bestFit="1" customWidth="1"/>
    <col min="1044" max="1044" width="7.54296875" bestFit="1" customWidth="1"/>
    <col min="1045" max="1045" width="4.6328125" bestFit="1" customWidth="1"/>
    <col min="1046" max="1046" width="7.54296875" bestFit="1" customWidth="1"/>
    <col min="1047" max="1047" width="4.6328125" bestFit="1" customWidth="1"/>
    <col min="1048" max="1048" width="7.54296875" bestFit="1" customWidth="1"/>
    <col min="1049" max="1049" width="4.6328125" bestFit="1" customWidth="1"/>
    <col min="1050" max="1050" width="7.54296875" bestFit="1" customWidth="1"/>
    <col min="1051" max="1051" width="5.6328125" bestFit="1" customWidth="1"/>
    <col min="1052" max="1052" width="8.54296875" bestFit="1" customWidth="1"/>
    <col min="1053" max="1053" width="5.6328125" bestFit="1" customWidth="1"/>
    <col min="1054" max="1054" width="8.54296875" bestFit="1" customWidth="1"/>
    <col min="1055" max="1055" width="5.6328125" bestFit="1" customWidth="1"/>
    <col min="1056" max="1056" width="8.54296875" bestFit="1" customWidth="1"/>
    <col min="1057" max="1057" width="5.6328125" bestFit="1" customWidth="1"/>
    <col min="1058" max="1058" width="8.54296875" bestFit="1" customWidth="1"/>
    <col min="1059" max="1059" width="5.6328125" bestFit="1" customWidth="1"/>
    <col min="1060" max="1060" width="8.54296875" bestFit="1" customWidth="1"/>
    <col min="1061" max="1061" width="5.6328125" bestFit="1" customWidth="1"/>
    <col min="1062" max="1062" width="8.54296875" bestFit="1" customWidth="1"/>
    <col min="1063" max="1063" width="7.54296875" bestFit="1" customWidth="1"/>
    <col min="1064" max="1064" width="4.6328125" bestFit="1" customWidth="1"/>
    <col min="1065" max="1065" width="7.54296875" bestFit="1" customWidth="1"/>
    <col min="1066" max="1066" width="4.6328125" bestFit="1" customWidth="1"/>
    <col min="1067" max="1067" width="7.54296875" bestFit="1" customWidth="1"/>
    <col min="1068" max="1068" width="4.6328125" bestFit="1" customWidth="1"/>
    <col min="1069" max="1069" width="7.54296875" bestFit="1" customWidth="1"/>
    <col min="1070" max="1070" width="4.6328125" bestFit="1" customWidth="1"/>
    <col min="1071" max="1071" width="7.54296875" bestFit="1" customWidth="1"/>
    <col min="1072" max="1072" width="4.6328125" bestFit="1" customWidth="1"/>
    <col min="1073" max="1073" width="7.54296875" bestFit="1" customWidth="1"/>
    <col min="1074" max="1074" width="4.6328125" bestFit="1" customWidth="1"/>
    <col min="1075" max="1075" width="7.54296875" bestFit="1" customWidth="1"/>
    <col min="1076" max="1076" width="4.6328125" bestFit="1" customWidth="1"/>
    <col min="1077" max="1077" width="7.54296875" bestFit="1" customWidth="1"/>
    <col min="1078" max="1078" width="4.6328125" bestFit="1" customWidth="1"/>
    <col min="1079" max="1079" width="7.54296875" bestFit="1" customWidth="1"/>
    <col min="1080" max="1080" width="4.6328125" bestFit="1" customWidth="1"/>
    <col min="1081" max="1081" width="7.54296875" bestFit="1" customWidth="1"/>
    <col min="1082" max="1082" width="4.6328125" bestFit="1" customWidth="1"/>
    <col min="1083" max="1083" width="7.54296875" bestFit="1" customWidth="1"/>
    <col min="1084" max="1084" width="4.6328125" bestFit="1" customWidth="1"/>
    <col min="1085" max="1085" width="7.54296875" bestFit="1" customWidth="1"/>
    <col min="1086" max="1086" width="4.6328125" bestFit="1" customWidth="1"/>
    <col min="1087" max="1087" width="7.54296875" bestFit="1" customWidth="1"/>
    <col min="1088" max="1088" width="4.6328125" bestFit="1" customWidth="1"/>
    <col min="1089" max="1089" width="7.54296875" bestFit="1" customWidth="1"/>
    <col min="1090" max="1090" width="4.6328125" bestFit="1" customWidth="1"/>
    <col min="1091" max="1091" width="7.54296875" bestFit="1" customWidth="1"/>
    <col min="1092" max="1092" width="4.6328125" bestFit="1" customWidth="1"/>
    <col min="1093" max="1093" width="7.54296875" bestFit="1" customWidth="1"/>
    <col min="1094" max="1094" width="5.6328125" bestFit="1" customWidth="1"/>
    <col min="1095" max="1095" width="8.54296875" bestFit="1" customWidth="1"/>
    <col min="1096" max="1096" width="7.54296875" bestFit="1" customWidth="1"/>
    <col min="1097" max="1097" width="4.6328125" bestFit="1" customWidth="1"/>
    <col min="1098" max="1098" width="7.54296875" bestFit="1" customWidth="1"/>
    <col min="1099" max="1099" width="4.6328125" bestFit="1" customWidth="1"/>
    <col min="1100" max="1100" width="7.54296875" bestFit="1" customWidth="1"/>
    <col min="1101" max="1101" width="4.6328125" bestFit="1" customWidth="1"/>
    <col min="1102" max="1102" width="7.54296875" bestFit="1" customWidth="1"/>
    <col min="1103" max="1103" width="4.6328125" bestFit="1" customWidth="1"/>
    <col min="1104" max="1104" width="7.54296875" bestFit="1" customWidth="1"/>
    <col min="1105" max="1105" width="4.6328125" bestFit="1" customWidth="1"/>
    <col min="1106" max="1106" width="7.54296875" bestFit="1" customWidth="1"/>
    <col min="1107" max="1107" width="4.6328125" bestFit="1" customWidth="1"/>
    <col min="1108" max="1108" width="7.54296875" bestFit="1" customWidth="1"/>
    <col min="1109" max="1109" width="4.6328125" bestFit="1" customWidth="1"/>
    <col min="1110" max="1110" width="7.54296875" bestFit="1" customWidth="1"/>
    <col min="1111" max="1111" width="4.6328125" bestFit="1" customWidth="1"/>
    <col min="1112" max="1112" width="7.54296875" bestFit="1" customWidth="1"/>
    <col min="1113" max="1113" width="4.6328125" bestFit="1" customWidth="1"/>
    <col min="1114" max="1114" width="7.54296875" bestFit="1" customWidth="1"/>
    <col min="1115" max="1115" width="4.6328125" bestFit="1" customWidth="1"/>
    <col min="1116" max="1116" width="7.54296875" bestFit="1" customWidth="1"/>
    <col min="1117" max="1117" width="4.6328125" bestFit="1" customWidth="1"/>
    <col min="1118" max="1118" width="7.54296875" bestFit="1" customWidth="1"/>
    <col min="1119" max="1119" width="4.6328125" bestFit="1" customWidth="1"/>
    <col min="1120" max="1121" width="7.54296875" bestFit="1" customWidth="1"/>
    <col min="1122" max="1122" width="4.6328125" bestFit="1" customWidth="1"/>
    <col min="1123" max="1123" width="7.54296875" bestFit="1" customWidth="1"/>
    <col min="1124" max="1124" width="4.6328125" bestFit="1" customWidth="1"/>
    <col min="1125" max="1125" width="7.54296875" bestFit="1" customWidth="1"/>
    <col min="1126" max="1126" width="4.6328125" bestFit="1" customWidth="1"/>
    <col min="1127" max="1127" width="7.54296875" bestFit="1" customWidth="1"/>
    <col min="1128" max="1128" width="4.6328125" bestFit="1" customWidth="1"/>
    <col min="1129" max="1129" width="7.54296875" bestFit="1" customWidth="1"/>
    <col min="1130" max="1130" width="4.6328125" bestFit="1" customWidth="1"/>
    <col min="1131" max="1131" width="7.54296875" bestFit="1" customWidth="1"/>
    <col min="1132" max="1132" width="4.6328125" bestFit="1" customWidth="1"/>
    <col min="1133" max="1133" width="7.54296875" bestFit="1" customWidth="1"/>
    <col min="1134" max="1134" width="5.6328125" bestFit="1" customWidth="1"/>
    <col min="1135" max="1135" width="8.54296875" bestFit="1" customWidth="1"/>
    <col min="1136" max="1136" width="7.54296875" bestFit="1" customWidth="1"/>
    <col min="1137" max="1137" width="4.6328125" bestFit="1" customWidth="1"/>
    <col min="1138" max="1138" width="7.54296875" bestFit="1" customWidth="1"/>
    <col min="1139" max="1139" width="4.6328125" bestFit="1" customWidth="1"/>
    <col min="1140" max="1140" width="7.54296875" bestFit="1" customWidth="1"/>
    <col min="1141" max="1141" width="4.6328125" bestFit="1" customWidth="1"/>
    <col min="1142" max="1142" width="7.54296875" bestFit="1" customWidth="1"/>
    <col min="1143" max="1143" width="4.6328125" bestFit="1" customWidth="1"/>
    <col min="1144" max="1144" width="7.54296875" bestFit="1" customWidth="1"/>
    <col min="1145" max="1145" width="5.6328125" bestFit="1" customWidth="1"/>
    <col min="1146" max="1146" width="8.54296875" bestFit="1" customWidth="1"/>
    <col min="1147" max="1147" width="5.6328125" bestFit="1" customWidth="1"/>
    <col min="1148" max="1148" width="8.54296875" bestFit="1" customWidth="1"/>
    <col min="1149" max="1149" width="5.6328125" bestFit="1" customWidth="1"/>
    <col min="1150" max="1150" width="8.54296875" bestFit="1" customWidth="1"/>
    <col min="1151" max="1151" width="5.6328125" bestFit="1" customWidth="1"/>
    <col min="1152" max="1152" width="8.54296875" bestFit="1" customWidth="1"/>
    <col min="1153" max="1153" width="7.54296875" bestFit="1" customWidth="1"/>
    <col min="1154" max="1154" width="4.6328125" bestFit="1" customWidth="1"/>
    <col min="1155" max="1155" width="7.54296875" bestFit="1" customWidth="1"/>
    <col min="1156" max="1156" width="4.6328125" bestFit="1" customWidth="1"/>
    <col min="1157" max="1157" width="7.54296875" bestFit="1" customWidth="1"/>
    <col min="1158" max="1158" width="4.6328125" bestFit="1" customWidth="1"/>
    <col min="1159" max="1159" width="7.54296875" bestFit="1" customWidth="1"/>
    <col min="1160" max="1160" width="4.6328125" bestFit="1" customWidth="1"/>
    <col min="1161" max="1161" width="7.54296875" bestFit="1" customWidth="1"/>
    <col min="1162" max="1162" width="4.6328125" bestFit="1" customWidth="1"/>
    <col min="1163" max="1163" width="7.54296875" bestFit="1" customWidth="1"/>
    <col min="1164" max="1164" width="4.6328125" bestFit="1" customWidth="1"/>
    <col min="1165" max="1165" width="7.54296875" bestFit="1" customWidth="1"/>
    <col min="1166" max="1166" width="4.6328125" bestFit="1" customWidth="1"/>
    <col min="1167" max="1168" width="7.54296875" bestFit="1" customWidth="1"/>
    <col min="1169" max="1169" width="4.6328125" bestFit="1" customWidth="1"/>
    <col min="1170" max="1170" width="7.54296875" bestFit="1" customWidth="1"/>
    <col min="1171" max="1171" width="4.6328125" bestFit="1" customWidth="1"/>
    <col min="1172" max="1172" width="7.54296875" bestFit="1" customWidth="1"/>
    <col min="1173" max="1173" width="5.6328125" bestFit="1" customWidth="1"/>
    <col min="1174" max="1174" width="8.54296875" bestFit="1" customWidth="1"/>
    <col min="1175" max="1175" width="5.6328125" bestFit="1" customWidth="1"/>
    <col min="1176" max="1176" width="8.54296875" bestFit="1" customWidth="1"/>
    <col min="1177" max="1177" width="7.54296875" bestFit="1" customWidth="1"/>
    <col min="1178" max="1178" width="4.6328125" bestFit="1" customWidth="1"/>
    <col min="1179" max="1179" width="7.54296875" bestFit="1" customWidth="1"/>
    <col min="1180" max="1180" width="4.6328125" bestFit="1" customWidth="1"/>
    <col min="1181" max="1181" width="7.54296875" bestFit="1" customWidth="1"/>
    <col min="1182" max="1182" width="4.6328125" bestFit="1" customWidth="1"/>
    <col min="1183" max="1183" width="7.54296875" bestFit="1" customWidth="1"/>
    <col min="1184" max="1184" width="5.6328125" bestFit="1" customWidth="1"/>
    <col min="1185" max="1185" width="8.54296875" bestFit="1" customWidth="1"/>
    <col min="1186" max="1186" width="7.54296875" bestFit="1" customWidth="1"/>
    <col min="1187" max="1187" width="4.6328125" bestFit="1" customWidth="1"/>
    <col min="1188" max="1188" width="7.54296875" bestFit="1" customWidth="1"/>
    <col min="1189" max="1189" width="4.6328125" bestFit="1" customWidth="1"/>
    <col min="1190" max="1190" width="7.54296875" bestFit="1" customWidth="1"/>
    <col min="1191" max="1191" width="5.6328125" bestFit="1" customWidth="1"/>
    <col min="1192" max="1192" width="8.54296875" bestFit="1" customWidth="1"/>
    <col min="1193" max="1193" width="5.6328125" bestFit="1" customWidth="1"/>
    <col min="1194" max="1194" width="8.54296875" bestFit="1" customWidth="1"/>
    <col min="1195" max="1195" width="7.54296875" bestFit="1" customWidth="1"/>
    <col min="1196" max="1196" width="4.6328125" bestFit="1" customWidth="1"/>
    <col min="1197" max="1197" width="7.54296875" bestFit="1" customWidth="1"/>
    <col min="1198" max="1198" width="4.6328125" bestFit="1" customWidth="1"/>
    <col min="1199" max="1199" width="7.54296875" bestFit="1" customWidth="1"/>
    <col min="1200" max="1200" width="5.6328125" bestFit="1" customWidth="1"/>
    <col min="1201" max="1201" width="8.54296875" bestFit="1" customWidth="1"/>
    <col min="1202" max="1202" width="5.6328125" bestFit="1" customWidth="1"/>
    <col min="1203" max="1203" width="8.54296875" bestFit="1" customWidth="1"/>
    <col min="1204" max="1204" width="5.6328125" bestFit="1" customWidth="1"/>
    <col min="1205" max="1205" width="8.54296875" bestFit="1" customWidth="1"/>
    <col min="1206" max="1206" width="7.54296875" bestFit="1" customWidth="1"/>
    <col min="1207" max="1207" width="4.6328125" bestFit="1" customWidth="1"/>
    <col min="1208" max="1208" width="7.54296875" bestFit="1" customWidth="1"/>
    <col min="1209" max="1209" width="5.6328125" bestFit="1" customWidth="1"/>
    <col min="1210" max="1210" width="8.54296875" bestFit="1" customWidth="1"/>
    <col min="1211" max="1211" width="7.54296875" bestFit="1" customWidth="1"/>
    <col min="1212" max="1212" width="4.6328125" bestFit="1" customWidth="1"/>
    <col min="1213" max="1213" width="7.54296875" bestFit="1" customWidth="1"/>
    <col min="1214" max="1214" width="4.6328125" bestFit="1" customWidth="1"/>
    <col min="1215" max="1215" width="7.54296875" bestFit="1" customWidth="1"/>
    <col min="1216" max="1216" width="5.6328125" bestFit="1" customWidth="1"/>
    <col min="1217" max="1217" width="8.54296875" bestFit="1" customWidth="1"/>
    <col min="1218" max="1218" width="5.6328125" bestFit="1" customWidth="1"/>
    <col min="1219" max="1219" width="8.54296875" bestFit="1" customWidth="1"/>
    <col min="1220" max="1220" width="5.6328125" bestFit="1" customWidth="1"/>
    <col min="1221" max="1221" width="8.54296875" bestFit="1" customWidth="1"/>
    <col min="1222" max="1222" width="5.6328125" bestFit="1" customWidth="1"/>
    <col min="1223" max="1223" width="8.54296875" bestFit="1" customWidth="1"/>
    <col min="1224" max="1224" width="7.54296875" bestFit="1" customWidth="1"/>
    <col min="1225" max="1225" width="4.6328125" bestFit="1" customWidth="1"/>
    <col min="1226" max="1226" width="7.54296875" bestFit="1" customWidth="1"/>
    <col min="1227" max="1227" width="4.6328125" bestFit="1" customWidth="1"/>
    <col min="1228" max="1228" width="7.54296875" bestFit="1" customWidth="1"/>
    <col min="1229" max="1229" width="5.6328125" bestFit="1" customWidth="1"/>
    <col min="1230" max="1230" width="8.54296875" bestFit="1" customWidth="1"/>
    <col min="1231" max="1231" width="7.54296875" bestFit="1" customWidth="1"/>
    <col min="1232" max="1232" width="4.6328125" bestFit="1" customWidth="1"/>
    <col min="1233" max="1233" width="7.54296875" bestFit="1" customWidth="1"/>
    <col min="1234" max="1234" width="5.6328125" bestFit="1" customWidth="1"/>
    <col min="1235" max="1235" width="8.54296875" bestFit="1" customWidth="1"/>
    <col min="1236" max="1236" width="5.6328125" bestFit="1" customWidth="1"/>
    <col min="1237" max="1237" width="8.54296875" bestFit="1" customWidth="1"/>
    <col min="1238" max="1238" width="7.54296875" bestFit="1" customWidth="1"/>
    <col min="1239" max="1239" width="5.6328125" bestFit="1" customWidth="1"/>
    <col min="1240" max="1240" width="8.54296875" bestFit="1" customWidth="1"/>
    <col min="1241" max="1241" width="5.6328125" bestFit="1" customWidth="1"/>
    <col min="1242" max="1242" width="8.54296875" bestFit="1" customWidth="1"/>
    <col min="1243" max="1243" width="5.6328125" bestFit="1" customWidth="1"/>
    <col min="1244" max="1244" width="8.54296875" bestFit="1" customWidth="1"/>
    <col min="1245" max="1245" width="7.54296875" bestFit="1" customWidth="1"/>
    <col min="1246" max="1246" width="4.6328125" bestFit="1" customWidth="1"/>
    <col min="1247" max="1247" width="7.54296875" bestFit="1" customWidth="1"/>
    <col min="1248" max="1248" width="5.6328125" bestFit="1" customWidth="1"/>
    <col min="1249" max="1249" width="8.54296875" bestFit="1" customWidth="1"/>
    <col min="1250" max="1250" width="5.6328125" bestFit="1" customWidth="1"/>
    <col min="1251" max="1251" width="8.54296875" bestFit="1" customWidth="1"/>
    <col min="1252" max="1252" width="7.54296875" bestFit="1" customWidth="1"/>
    <col min="1253" max="1253" width="5.6328125" bestFit="1" customWidth="1"/>
    <col min="1254" max="1254" width="8.54296875" bestFit="1" customWidth="1"/>
    <col min="1255" max="1255" width="7.54296875" bestFit="1" customWidth="1"/>
    <col min="1256" max="1256" width="5.6328125" bestFit="1" customWidth="1"/>
    <col min="1257" max="1257" width="8.54296875" bestFit="1" customWidth="1"/>
    <col min="1258" max="1258" width="5.6328125" bestFit="1" customWidth="1"/>
    <col min="1259" max="1259" width="8.54296875" bestFit="1" customWidth="1"/>
    <col min="1260" max="1260" width="7.54296875" bestFit="1" customWidth="1"/>
    <col min="1261" max="1261" width="4.6328125" bestFit="1" customWidth="1"/>
    <col min="1262" max="1262" width="7.54296875" bestFit="1" customWidth="1"/>
    <col min="1263" max="1263" width="4.6328125" bestFit="1" customWidth="1"/>
    <col min="1264" max="1264" width="7.54296875" bestFit="1" customWidth="1"/>
    <col min="1265" max="1265" width="5.6328125" bestFit="1" customWidth="1"/>
    <col min="1266" max="1266" width="8.54296875" bestFit="1" customWidth="1"/>
    <col min="1267" max="1267" width="7.54296875" bestFit="1" customWidth="1"/>
    <col min="1268" max="1268" width="5.6328125" bestFit="1" customWidth="1"/>
    <col min="1269" max="1269" width="8.54296875" bestFit="1" customWidth="1"/>
    <col min="1270" max="1270" width="5.6328125" bestFit="1" customWidth="1"/>
    <col min="1271" max="1271" width="8.54296875" bestFit="1" customWidth="1"/>
    <col min="1272" max="1272" width="5.6328125" bestFit="1" customWidth="1"/>
    <col min="1273" max="1273" width="8.54296875" bestFit="1" customWidth="1"/>
    <col min="1274" max="1274" width="7.54296875" bestFit="1" customWidth="1"/>
    <col min="1275" max="1275" width="5.6328125" bestFit="1" customWidth="1"/>
    <col min="1276" max="1276" width="8.54296875" bestFit="1" customWidth="1"/>
    <col min="1277" max="1277" width="7.54296875" bestFit="1" customWidth="1"/>
    <col min="1278" max="1278" width="5.6328125" bestFit="1" customWidth="1"/>
    <col min="1279" max="1279" width="8.54296875" bestFit="1" customWidth="1"/>
    <col min="1280" max="1280" width="7.54296875" bestFit="1" customWidth="1"/>
    <col min="1281" max="1281" width="5.6328125" bestFit="1" customWidth="1"/>
    <col min="1282" max="1282" width="8.54296875" bestFit="1" customWidth="1"/>
    <col min="1283" max="1283" width="5.6328125" bestFit="1" customWidth="1"/>
    <col min="1284" max="1284" width="8.54296875" bestFit="1" customWidth="1"/>
    <col min="1285" max="1285" width="7.54296875" bestFit="1" customWidth="1"/>
    <col min="1286" max="1286" width="5.6328125" bestFit="1" customWidth="1"/>
    <col min="1287" max="1287" width="8.54296875" bestFit="1" customWidth="1"/>
    <col min="1288" max="1288" width="5.6328125" bestFit="1" customWidth="1"/>
    <col min="1289" max="1289" width="8.54296875" bestFit="1" customWidth="1"/>
    <col min="1290" max="1290" width="7.54296875" bestFit="1" customWidth="1"/>
    <col min="1291" max="1291" width="4.6328125" bestFit="1" customWidth="1"/>
    <col min="1292" max="1293" width="7.54296875" bestFit="1" customWidth="1"/>
    <col min="1294" max="1294" width="5.6328125" bestFit="1" customWidth="1"/>
    <col min="1295" max="1295" width="8.54296875" bestFit="1" customWidth="1"/>
    <col min="1296" max="1296" width="5.6328125" bestFit="1" customWidth="1"/>
    <col min="1297" max="1297" width="8.54296875" bestFit="1" customWidth="1"/>
    <col min="1298" max="1298" width="7.54296875" bestFit="1" customWidth="1"/>
    <col min="1299" max="1299" width="4.6328125" bestFit="1" customWidth="1"/>
    <col min="1300" max="1300" width="7.54296875" bestFit="1" customWidth="1"/>
    <col min="1301" max="1301" width="5.6328125" bestFit="1" customWidth="1"/>
    <col min="1302" max="1302" width="8.54296875" bestFit="1" customWidth="1"/>
    <col min="1303" max="1303" width="5.6328125" bestFit="1" customWidth="1"/>
    <col min="1304" max="1304" width="8.54296875" bestFit="1" customWidth="1"/>
    <col min="1305" max="1305" width="5.6328125" bestFit="1" customWidth="1"/>
    <col min="1306" max="1306" width="8.54296875" bestFit="1" customWidth="1"/>
    <col min="1307" max="1307" width="7.54296875" bestFit="1" customWidth="1"/>
    <col min="1308" max="1308" width="5.6328125" bestFit="1" customWidth="1"/>
    <col min="1309" max="1309" width="8.54296875" bestFit="1" customWidth="1"/>
    <col min="1310" max="1310" width="7.54296875" bestFit="1" customWidth="1"/>
    <col min="1311" max="1311" width="5.6328125" bestFit="1" customWidth="1"/>
    <col min="1312" max="1312" width="8.54296875" bestFit="1" customWidth="1"/>
    <col min="1313" max="1313" width="7.54296875" bestFit="1" customWidth="1"/>
    <col min="1314" max="1314" width="5.6328125" bestFit="1" customWidth="1"/>
    <col min="1315" max="1315" width="8.54296875" bestFit="1" customWidth="1"/>
    <col min="1316" max="1316" width="7.54296875" bestFit="1" customWidth="1"/>
    <col min="1317" max="1317" width="5.6328125" bestFit="1" customWidth="1"/>
    <col min="1318" max="1318" width="8.54296875" bestFit="1" customWidth="1"/>
    <col min="1319" max="1319" width="7.54296875" bestFit="1" customWidth="1"/>
    <col min="1320" max="1320" width="5.6328125" bestFit="1" customWidth="1"/>
    <col min="1321" max="1321" width="8.54296875" bestFit="1" customWidth="1"/>
    <col min="1322" max="1322" width="7.54296875" bestFit="1" customWidth="1"/>
    <col min="1323" max="1323" width="10.7265625" bestFit="1" customWidth="1"/>
  </cols>
  <sheetData>
    <row r="2" spans="1:12" x14ac:dyDescent="0.35">
      <c r="C2" s="31"/>
      <c r="D2" s="31"/>
      <c r="E2" s="31"/>
      <c r="F2" s="31"/>
      <c r="G2" s="31"/>
      <c r="H2" s="31"/>
      <c r="I2" s="31"/>
    </row>
    <row r="3" spans="1:12" ht="23.5" x14ac:dyDescent="0.35">
      <c r="C3" s="53"/>
      <c r="D3" s="54" t="s">
        <v>110</v>
      </c>
      <c r="E3" s="53"/>
      <c r="F3" s="53"/>
      <c r="G3" s="53"/>
      <c r="H3" s="53"/>
      <c r="I3" s="31"/>
    </row>
    <row r="4" spans="1:12" x14ac:dyDescent="0.35">
      <c r="C4" s="31"/>
      <c r="D4" s="31"/>
      <c r="E4" s="31"/>
      <c r="F4" s="31"/>
      <c r="G4" s="31"/>
      <c r="H4" s="31"/>
      <c r="I4" s="31"/>
    </row>
    <row r="5" spans="1:12" x14ac:dyDescent="0.35">
      <c r="C5" s="31"/>
      <c r="D5" s="31"/>
      <c r="E5" s="31"/>
      <c r="F5" s="31"/>
      <c r="G5" s="31"/>
      <c r="H5" s="31"/>
      <c r="I5" s="31"/>
    </row>
    <row r="9" spans="1:12" ht="13" customHeight="1" x14ac:dyDescent="0.35"/>
    <row r="10" spans="1:12" hidden="1" x14ac:dyDescent="0.35"/>
    <row r="11" spans="1:12" ht="318.5" hidden="1" customHeight="1" x14ac:dyDescent="0.35"/>
    <row r="13" spans="1:12" x14ac:dyDescent="0.35">
      <c r="A13" s="44"/>
      <c r="B13" s="45" t="s">
        <v>105</v>
      </c>
      <c r="C13" s="46"/>
      <c r="E13" s="50" t="s">
        <v>106</v>
      </c>
      <c r="F13" s="14"/>
      <c r="G13" s="14"/>
      <c r="I13" s="14" t="s">
        <v>108</v>
      </c>
      <c r="J13" s="14"/>
      <c r="K13" s="14"/>
      <c r="L13" s="14"/>
    </row>
    <row r="14" spans="1:12" x14ac:dyDescent="0.35">
      <c r="C14" s="42"/>
    </row>
    <row r="37" spans="1:17" x14ac:dyDescent="0.35">
      <c r="A37" s="47" t="s">
        <v>104</v>
      </c>
      <c r="B37" s="48"/>
      <c r="C37" s="44"/>
      <c r="D37" s="41"/>
      <c r="F37" s="49" t="s">
        <v>107</v>
      </c>
      <c r="G37" s="14"/>
      <c r="H37" s="14"/>
      <c r="J37" s="49" t="s">
        <v>114</v>
      </c>
      <c r="K37" s="14"/>
      <c r="L37" s="14"/>
      <c r="N37" s="49"/>
      <c r="O37" s="49" t="s">
        <v>189</v>
      </c>
      <c r="P37" s="49"/>
      <c r="Q37" s="49"/>
    </row>
    <row r="42" spans="1:17" x14ac:dyDescent="0.35">
      <c r="F42" t="s">
        <v>113</v>
      </c>
    </row>
    <row r="57" spans="9:13" x14ac:dyDescent="0.35">
      <c r="I57" t="s">
        <v>109</v>
      </c>
    </row>
    <row r="58" spans="9:13" x14ac:dyDescent="0.35">
      <c r="J58" s="49" t="s">
        <v>161</v>
      </c>
      <c r="K58" s="14"/>
      <c r="L58" s="14"/>
      <c r="M58" s="14"/>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88E9-B4D4-4694-A0EF-89E3EBE457CC}">
  <dimension ref="A3:X42"/>
  <sheetViews>
    <sheetView topLeftCell="A4" workbookViewId="0">
      <selection activeCell="V26" sqref="V26:V27"/>
    </sheetView>
  </sheetViews>
  <sheetFormatPr defaultRowHeight="14.5" x14ac:dyDescent="0.35"/>
  <sheetData>
    <row r="3" spans="2:19" x14ac:dyDescent="0.35">
      <c r="B3" s="14"/>
      <c r="C3" s="14"/>
      <c r="D3" s="14" t="s">
        <v>190</v>
      </c>
      <c r="E3" s="14"/>
      <c r="F3" s="14"/>
      <c r="G3" s="14"/>
    </row>
    <row r="6" spans="2:19" x14ac:dyDescent="0.35">
      <c r="O6" s="49" t="s">
        <v>192</v>
      </c>
      <c r="P6" s="49"/>
      <c r="Q6" s="14"/>
      <c r="R6" s="14"/>
      <c r="S6" s="14"/>
    </row>
    <row r="22" spans="1:24" x14ac:dyDescent="0.35">
      <c r="A22" s="14"/>
      <c r="B22" s="14"/>
      <c r="C22" s="49" t="s">
        <v>191</v>
      </c>
      <c r="D22" s="49"/>
      <c r="E22" s="49"/>
      <c r="F22" s="14"/>
      <c r="G22" s="14"/>
      <c r="H22" s="14"/>
    </row>
    <row r="24" spans="1:24" ht="15" thickBot="1" x14ac:dyDescent="0.4"/>
    <row r="25" spans="1:24" ht="15.5" x14ac:dyDescent="0.35">
      <c r="M25" s="133" t="s">
        <v>162</v>
      </c>
      <c r="N25" s="134"/>
      <c r="O25" s="134"/>
      <c r="P25" s="135"/>
      <c r="Q25" s="135"/>
      <c r="R25" s="135"/>
      <c r="S25" s="135"/>
      <c r="T25" s="118"/>
    </row>
    <row r="26" spans="1:24" ht="15" thickBot="1" x14ac:dyDescent="0.4">
      <c r="M26" s="119"/>
      <c r="T26" s="120"/>
    </row>
    <row r="27" spans="1:24" ht="15" thickBot="1" x14ac:dyDescent="0.4">
      <c r="M27" s="119"/>
      <c r="T27" s="120"/>
      <c r="X27" s="137"/>
    </row>
    <row r="28" spans="1:24" x14ac:dyDescent="0.35">
      <c r="M28" s="119"/>
      <c r="T28" s="120"/>
    </row>
    <row r="29" spans="1:24" x14ac:dyDescent="0.35">
      <c r="M29" s="119"/>
      <c r="T29" s="120"/>
    </row>
    <row r="30" spans="1:24" x14ac:dyDescent="0.35">
      <c r="M30" s="119"/>
    </row>
    <row r="31" spans="1:24" x14ac:dyDescent="0.35">
      <c r="M31" s="119"/>
      <c r="T31" s="120"/>
    </row>
    <row r="32" spans="1:24" x14ac:dyDescent="0.35">
      <c r="M32" s="119"/>
      <c r="T32" s="120"/>
    </row>
    <row r="33" spans="13:20" x14ac:dyDescent="0.35">
      <c r="M33" s="119"/>
      <c r="T33" s="120"/>
    </row>
    <row r="34" spans="13:20" x14ac:dyDescent="0.35">
      <c r="M34" s="119"/>
      <c r="T34" s="120"/>
    </row>
    <row r="35" spans="13:20" x14ac:dyDescent="0.35">
      <c r="M35" s="119"/>
      <c r="T35" s="120"/>
    </row>
    <row r="36" spans="13:20" x14ac:dyDescent="0.35">
      <c r="M36" s="119"/>
      <c r="T36" s="120"/>
    </row>
    <row r="37" spans="13:20" x14ac:dyDescent="0.35">
      <c r="M37" s="119"/>
      <c r="T37" s="120"/>
    </row>
    <row r="38" spans="13:20" x14ac:dyDescent="0.35">
      <c r="M38" s="119"/>
      <c r="T38" s="120"/>
    </row>
    <row r="39" spans="13:20" x14ac:dyDescent="0.35">
      <c r="M39" s="119"/>
      <c r="T39" s="120"/>
    </row>
    <row r="40" spans="13:20" x14ac:dyDescent="0.35">
      <c r="M40" s="119"/>
      <c r="T40" s="120"/>
    </row>
    <row r="41" spans="13:20" x14ac:dyDescent="0.35">
      <c r="M41" s="119"/>
      <c r="T41" s="120"/>
    </row>
    <row r="42" spans="13:20" ht="15" thickBot="1" x14ac:dyDescent="0.4">
      <c r="M42" s="121"/>
      <c r="N42" s="136"/>
      <c r="O42" s="136"/>
      <c r="P42" s="136"/>
      <c r="Q42" s="136"/>
      <c r="R42" s="136"/>
      <c r="S42" s="136"/>
      <c r="T42" s="12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4AC4-5A16-4E1C-95AD-2E5050899872}">
  <dimension ref="A1:V1006"/>
  <sheetViews>
    <sheetView topLeftCell="A18" zoomScale="75" zoomScaleNormal="75" workbookViewId="0">
      <selection activeCell="O10" sqref="O10"/>
    </sheetView>
  </sheetViews>
  <sheetFormatPr defaultRowHeight="14.5" x14ac:dyDescent="0.35"/>
  <cols>
    <col min="1" max="1" width="13.36328125" customWidth="1"/>
    <col min="2" max="2" width="16.08984375" customWidth="1"/>
    <col min="3" max="3" width="20.26953125" customWidth="1"/>
    <col min="4" max="4" width="16.1796875" customWidth="1"/>
    <col min="6" max="6" width="17.81640625" customWidth="1"/>
    <col min="7" max="7" width="16.08984375" customWidth="1"/>
    <col min="9" max="9" width="19" customWidth="1"/>
    <col min="11" max="11" width="24.26953125" customWidth="1"/>
    <col min="12" max="12" width="12.81640625" customWidth="1"/>
    <col min="13" max="13" width="24.90625" customWidth="1"/>
    <col min="14" max="14" width="10.08984375" customWidth="1"/>
  </cols>
  <sheetData>
    <row r="1" spans="1:22" ht="11" customHeight="1" x14ac:dyDescent="0.35">
      <c r="A1" s="130"/>
      <c r="B1" s="130"/>
      <c r="C1" s="130"/>
      <c r="D1" s="130"/>
      <c r="E1" s="130"/>
      <c r="F1" s="130"/>
      <c r="G1" s="130"/>
      <c r="H1" s="130"/>
      <c r="I1" s="130"/>
      <c r="J1" s="130"/>
      <c r="K1" s="130"/>
      <c r="L1" s="130"/>
      <c r="M1" s="130"/>
      <c r="N1" s="130"/>
      <c r="O1" s="130"/>
      <c r="P1" s="130"/>
      <c r="Q1" s="130"/>
      <c r="R1" s="130"/>
      <c r="S1" s="130"/>
      <c r="T1" s="130"/>
      <c r="U1" s="130"/>
      <c r="V1" s="130"/>
    </row>
    <row r="2" spans="1:22" ht="45" customHeight="1" x14ac:dyDescent="0.35">
      <c r="A2" s="130"/>
      <c r="B2" s="130"/>
      <c r="C2" s="130"/>
      <c r="D2" s="130"/>
      <c r="E2" s="130"/>
      <c r="F2" s="130"/>
      <c r="G2" s="130"/>
      <c r="H2" s="130"/>
      <c r="I2" s="130"/>
      <c r="J2" s="130"/>
      <c r="K2" s="130"/>
      <c r="L2" s="130"/>
      <c r="M2" s="130"/>
      <c r="N2" s="130"/>
      <c r="O2" s="130"/>
      <c r="P2" s="130"/>
      <c r="Q2" s="130"/>
      <c r="R2" s="130"/>
      <c r="S2" s="130"/>
      <c r="T2" s="130"/>
      <c r="U2" s="130"/>
      <c r="V2" s="130"/>
    </row>
    <row r="3" spans="1:22" ht="28" customHeight="1" x14ac:dyDescent="0.35">
      <c r="A3" s="130"/>
      <c r="B3" s="130"/>
      <c r="C3" s="130"/>
      <c r="D3" s="130"/>
      <c r="E3" s="130"/>
      <c r="F3" s="130"/>
      <c r="G3" s="130"/>
      <c r="H3" s="130"/>
      <c r="I3" s="130"/>
      <c r="J3" s="130"/>
      <c r="K3" s="130"/>
      <c r="L3" s="130"/>
      <c r="M3" s="130"/>
      <c r="N3" s="130"/>
      <c r="O3" s="130"/>
      <c r="P3" s="130"/>
      <c r="Q3" s="130"/>
      <c r="R3" s="130"/>
      <c r="S3" s="130"/>
      <c r="T3" s="130"/>
      <c r="U3" s="130"/>
      <c r="V3" s="130"/>
    </row>
    <row r="6" spans="1:22" ht="15" thickBot="1" x14ac:dyDescent="0.4">
      <c r="A6" s="58" t="s">
        <v>27</v>
      </c>
      <c r="B6" s="58" t="s">
        <v>42</v>
      </c>
      <c r="C6" s="58" t="s">
        <v>43</v>
      </c>
      <c r="D6" s="59" t="s">
        <v>44</v>
      </c>
      <c r="E6" s="114" t="s">
        <v>171</v>
      </c>
      <c r="F6" s="115" t="s">
        <v>173</v>
      </c>
      <c r="G6" s="115" t="s">
        <v>174</v>
      </c>
    </row>
    <row r="7" spans="1:22" x14ac:dyDescent="0.35">
      <c r="A7" s="64">
        <v>40544</v>
      </c>
      <c r="B7" s="60">
        <v>3</v>
      </c>
      <c r="C7" s="60">
        <v>13</v>
      </c>
      <c r="D7" s="61">
        <v>16</v>
      </c>
      <c r="E7" t="str">
        <f t="shared" ref="E7:E70" si="0">IF(OR(D7&lt;$L$15,D7&gt;$L$16),"Anamoly","normal")</f>
        <v>normal</v>
      </c>
      <c r="F7" s="35">
        <f>IF(E7="normal",D7,NA())</f>
        <v>16</v>
      </c>
      <c r="G7" s="35" t="e">
        <f>IF(E7="anamoly",D7,NA())</f>
        <v>#N/A</v>
      </c>
      <c r="J7" s="123"/>
      <c r="K7" s="124" t="s">
        <v>177</v>
      </c>
      <c r="L7" s="125"/>
      <c r="M7" s="9"/>
    </row>
    <row r="8" spans="1:22" x14ac:dyDescent="0.35">
      <c r="A8" s="65">
        <v>40544</v>
      </c>
      <c r="B8" s="62">
        <v>8</v>
      </c>
      <c r="C8" s="62">
        <v>32</v>
      </c>
      <c r="D8" s="63">
        <v>40</v>
      </c>
      <c r="E8" t="str">
        <f t="shared" si="0"/>
        <v>normal</v>
      </c>
      <c r="F8" s="35">
        <f t="shared" ref="F8:F71" si="1">IF(E8="normal",D8,NA())</f>
        <v>40</v>
      </c>
      <c r="G8" s="35" t="e">
        <f t="shared" ref="G8:G71" si="2">IF(E8="anamoly",D8,NA())</f>
        <v>#N/A</v>
      </c>
      <c r="J8" s="126"/>
      <c r="K8" s="5"/>
      <c r="L8" s="5"/>
      <c r="M8" s="127"/>
    </row>
    <row r="9" spans="1:22" x14ac:dyDescent="0.35">
      <c r="A9" s="64">
        <v>40544</v>
      </c>
      <c r="B9" s="60">
        <v>5</v>
      </c>
      <c r="C9" s="60">
        <v>27</v>
      </c>
      <c r="D9" s="61">
        <v>32</v>
      </c>
      <c r="E9" t="str">
        <f t="shared" si="0"/>
        <v>normal</v>
      </c>
      <c r="F9" s="35">
        <f t="shared" si="1"/>
        <v>32</v>
      </c>
      <c r="G9" s="35" t="e">
        <f t="shared" si="2"/>
        <v>#N/A</v>
      </c>
      <c r="H9" s="35"/>
      <c r="J9" s="126"/>
      <c r="K9" s="5"/>
      <c r="L9" s="5"/>
      <c r="M9" s="127"/>
    </row>
    <row r="10" spans="1:22" x14ac:dyDescent="0.35">
      <c r="A10" s="65">
        <v>40544</v>
      </c>
      <c r="B10" s="62">
        <v>3</v>
      </c>
      <c r="C10" s="62">
        <v>10</v>
      </c>
      <c r="D10" s="63">
        <v>13</v>
      </c>
      <c r="E10" t="str">
        <f t="shared" si="0"/>
        <v>normal</v>
      </c>
      <c r="F10" s="35">
        <f t="shared" si="1"/>
        <v>13</v>
      </c>
      <c r="G10" s="35" t="e">
        <f t="shared" si="2"/>
        <v>#N/A</v>
      </c>
      <c r="J10" s="126"/>
      <c r="K10" s="3" t="s">
        <v>175</v>
      </c>
      <c r="L10" s="3" t="s">
        <v>176</v>
      </c>
      <c r="M10" s="127"/>
    </row>
    <row r="11" spans="1:22" x14ac:dyDescent="0.35">
      <c r="A11" s="64">
        <v>40544</v>
      </c>
      <c r="B11" s="60">
        <v>0</v>
      </c>
      <c r="C11" s="60">
        <v>1</v>
      </c>
      <c r="D11" s="61">
        <v>1</v>
      </c>
      <c r="E11" t="str">
        <f t="shared" si="0"/>
        <v>normal</v>
      </c>
      <c r="F11" s="35">
        <f t="shared" si="1"/>
        <v>1</v>
      </c>
      <c r="G11" s="35" t="e">
        <f t="shared" si="2"/>
        <v>#N/A</v>
      </c>
      <c r="J11" s="12"/>
      <c r="K11" s="5"/>
      <c r="L11" s="34"/>
      <c r="M11" s="127"/>
    </row>
    <row r="12" spans="1:22" x14ac:dyDescent="0.35">
      <c r="A12" s="65">
        <v>40544</v>
      </c>
      <c r="B12" s="62">
        <v>0</v>
      </c>
      <c r="C12" s="62">
        <v>1</v>
      </c>
      <c r="D12" s="63">
        <v>1</v>
      </c>
      <c r="E12" t="str">
        <f t="shared" si="0"/>
        <v>normal</v>
      </c>
      <c r="F12" s="35">
        <f t="shared" si="1"/>
        <v>1</v>
      </c>
      <c r="G12" s="35" t="e">
        <f t="shared" si="2"/>
        <v>#N/A</v>
      </c>
      <c r="J12" s="12"/>
      <c r="K12" s="5" t="s">
        <v>165</v>
      </c>
      <c r="L12" s="34" t="s">
        <v>172</v>
      </c>
      <c r="M12" s="127"/>
    </row>
    <row r="13" spans="1:22" x14ac:dyDescent="0.35">
      <c r="A13" s="64">
        <v>40544</v>
      </c>
      <c r="B13" s="60">
        <v>2</v>
      </c>
      <c r="C13" s="60">
        <v>0</v>
      </c>
      <c r="D13" s="61">
        <v>2</v>
      </c>
      <c r="E13" t="str">
        <f t="shared" si="0"/>
        <v>normal</v>
      </c>
      <c r="F13" s="35">
        <f t="shared" si="1"/>
        <v>2</v>
      </c>
      <c r="G13" s="35" t="e">
        <f t="shared" si="2"/>
        <v>#N/A</v>
      </c>
      <c r="J13" s="12"/>
      <c r="K13" s="5" t="s">
        <v>167</v>
      </c>
      <c r="L13" s="34">
        <f>_xlfn.QUARTILE.INC(D6:D1006,3)</f>
        <v>83</v>
      </c>
      <c r="M13" s="127"/>
    </row>
    <row r="14" spans="1:22" x14ac:dyDescent="0.35">
      <c r="A14" s="65">
        <v>40544</v>
      </c>
      <c r="B14" s="62">
        <v>1</v>
      </c>
      <c r="C14" s="62">
        <v>2</v>
      </c>
      <c r="D14" s="63">
        <v>3</v>
      </c>
      <c r="E14" t="str">
        <f t="shared" si="0"/>
        <v>normal</v>
      </c>
      <c r="F14" s="35">
        <f t="shared" si="1"/>
        <v>3</v>
      </c>
      <c r="G14" s="35" t="e">
        <f t="shared" si="2"/>
        <v>#N/A</v>
      </c>
      <c r="J14" s="12"/>
      <c r="K14" s="5" t="s">
        <v>168</v>
      </c>
      <c r="L14" s="34">
        <f>L13-L12</f>
        <v>67</v>
      </c>
      <c r="M14" s="127"/>
    </row>
    <row r="15" spans="1:22" x14ac:dyDescent="0.35">
      <c r="A15" s="64">
        <v>40544</v>
      </c>
      <c r="B15" s="60">
        <v>1</v>
      </c>
      <c r="C15" s="60">
        <v>7</v>
      </c>
      <c r="D15" s="61">
        <v>8</v>
      </c>
      <c r="E15" t="str">
        <f t="shared" si="0"/>
        <v>normal</v>
      </c>
      <c r="F15" s="35">
        <f t="shared" si="1"/>
        <v>8</v>
      </c>
      <c r="G15" s="35" t="e">
        <f t="shared" si="2"/>
        <v>#N/A</v>
      </c>
      <c r="J15" s="12"/>
      <c r="K15" s="5" t="s">
        <v>169</v>
      </c>
      <c r="L15" s="34">
        <f>L12-1.5*L14</f>
        <v>-84.5</v>
      </c>
      <c r="M15" s="127"/>
    </row>
    <row r="16" spans="1:22" ht="15" thickBot="1" x14ac:dyDescent="0.4">
      <c r="A16" s="65">
        <v>40544</v>
      </c>
      <c r="B16" s="62">
        <v>8</v>
      </c>
      <c r="C16" s="62">
        <v>6</v>
      </c>
      <c r="D16" s="63">
        <v>14</v>
      </c>
      <c r="E16" t="str">
        <f t="shared" si="0"/>
        <v>normal</v>
      </c>
      <c r="F16" s="35">
        <f t="shared" si="1"/>
        <v>14</v>
      </c>
      <c r="G16" s="35" t="e">
        <f t="shared" si="2"/>
        <v>#N/A</v>
      </c>
      <c r="J16" s="116"/>
      <c r="K16" s="128" t="s">
        <v>170</v>
      </c>
      <c r="L16" s="129">
        <f>L13+1.5*L14</f>
        <v>183.5</v>
      </c>
      <c r="M16" s="117"/>
    </row>
    <row r="17" spans="1:14" x14ac:dyDescent="0.35">
      <c r="A17" s="64">
        <v>40544</v>
      </c>
      <c r="B17" s="60">
        <v>12</v>
      </c>
      <c r="C17" s="60">
        <v>24</v>
      </c>
      <c r="D17" s="61">
        <v>36</v>
      </c>
      <c r="E17" t="str">
        <f t="shared" si="0"/>
        <v>normal</v>
      </c>
      <c r="F17" s="35">
        <f t="shared" si="1"/>
        <v>36</v>
      </c>
      <c r="G17" s="35" t="e">
        <f t="shared" si="2"/>
        <v>#N/A</v>
      </c>
    </row>
    <row r="18" spans="1:14" x14ac:dyDescent="0.35">
      <c r="A18" s="65">
        <v>40544</v>
      </c>
      <c r="B18" s="62">
        <v>26</v>
      </c>
      <c r="C18" s="62">
        <v>30</v>
      </c>
      <c r="D18" s="63">
        <v>56</v>
      </c>
      <c r="E18" t="str">
        <f t="shared" si="0"/>
        <v>normal</v>
      </c>
      <c r="F18" s="35">
        <f t="shared" si="1"/>
        <v>56</v>
      </c>
      <c r="G18" s="35" t="e">
        <f t="shared" si="2"/>
        <v>#N/A</v>
      </c>
      <c r="I18" s="131" t="s">
        <v>178</v>
      </c>
      <c r="J18" s="131"/>
      <c r="K18" s="131"/>
      <c r="L18" s="131"/>
      <c r="M18" s="131"/>
      <c r="N18" s="131"/>
    </row>
    <row r="19" spans="1:14" x14ac:dyDescent="0.35">
      <c r="A19" s="64">
        <v>40544</v>
      </c>
      <c r="B19" s="60">
        <v>29</v>
      </c>
      <c r="C19" s="60">
        <v>55</v>
      </c>
      <c r="D19" s="61">
        <v>84</v>
      </c>
      <c r="E19" t="str">
        <f t="shared" si="0"/>
        <v>normal</v>
      </c>
      <c r="F19" s="35">
        <f t="shared" si="1"/>
        <v>84</v>
      </c>
      <c r="G19" s="35" t="e">
        <f t="shared" si="2"/>
        <v>#N/A</v>
      </c>
      <c r="I19" s="131" t="s">
        <v>179</v>
      </c>
      <c r="J19" s="131"/>
      <c r="K19" s="131"/>
      <c r="L19" s="131"/>
      <c r="M19" s="131"/>
      <c r="N19" s="131"/>
    </row>
    <row r="20" spans="1:14" x14ac:dyDescent="0.35">
      <c r="A20" s="65">
        <v>40544</v>
      </c>
      <c r="B20" s="62">
        <v>47</v>
      </c>
      <c r="C20" s="62">
        <v>47</v>
      </c>
      <c r="D20" s="63">
        <v>94</v>
      </c>
      <c r="E20" t="str">
        <f t="shared" si="0"/>
        <v>normal</v>
      </c>
      <c r="F20" s="35">
        <f t="shared" si="1"/>
        <v>94</v>
      </c>
      <c r="G20" s="35" t="e">
        <f t="shared" si="2"/>
        <v>#N/A</v>
      </c>
      <c r="I20" s="131"/>
      <c r="J20" s="131"/>
      <c r="K20" s="131"/>
      <c r="L20" s="131"/>
      <c r="M20" s="131"/>
      <c r="N20" s="131"/>
    </row>
    <row r="21" spans="1:14" x14ac:dyDescent="0.35">
      <c r="A21" s="64">
        <v>40544</v>
      </c>
      <c r="B21" s="60">
        <v>35</v>
      </c>
      <c r="C21" s="60">
        <v>71</v>
      </c>
      <c r="D21" s="61">
        <v>106</v>
      </c>
      <c r="E21" t="str">
        <f t="shared" si="0"/>
        <v>normal</v>
      </c>
      <c r="F21" s="35">
        <f t="shared" si="1"/>
        <v>106</v>
      </c>
      <c r="G21" s="35" t="e">
        <f t="shared" si="2"/>
        <v>#N/A</v>
      </c>
    </row>
    <row r="22" spans="1:14" x14ac:dyDescent="0.35">
      <c r="A22" s="65">
        <v>40544</v>
      </c>
      <c r="B22" s="62">
        <v>40</v>
      </c>
      <c r="C22" s="62">
        <v>70</v>
      </c>
      <c r="D22" s="63">
        <v>110</v>
      </c>
      <c r="E22" t="str">
        <f t="shared" si="0"/>
        <v>normal</v>
      </c>
      <c r="F22" s="35">
        <f t="shared" si="1"/>
        <v>110</v>
      </c>
      <c r="G22" s="35" t="e">
        <f t="shared" si="2"/>
        <v>#N/A</v>
      </c>
    </row>
    <row r="23" spans="1:14" x14ac:dyDescent="0.35">
      <c r="A23" s="64">
        <v>40544</v>
      </c>
      <c r="B23" s="60">
        <v>41</v>
      </c>
      <c r="C23" s="60">
        <v>52</v>
      </c>
      <c r="D23" s="61">
        <v>93</v>
      </c>
      <c r="E23" t="str">
        <f t="shared" si="0"/>
        <v>normal</v>
      </c>
      <c r="F23" s="35">
        <f t="shared" si="1"/>
        <v>93</v>
      </c>
      <c r="G23" s="35" t="e">
        <f t="shared" si="2"/>
        <v>#N/A</v>
      </c>
    </row>
    <row r="24" spans="1:14" x14ac:dyDescent="0.35">
      <c r="A24" s="65">
        <v>40544</v>
      </c>
      <c r="B24" s="62">
        <v>15</v>
      </c>
      <c r="C24" s="62">
        <v>52</v>
      </c>
      <c r="D24" s="63">
        <v>67</v>
      </c>
      <c r="E24" t="str">
        <f t="shared" si="0"/>
        <v>normal</v>
      </c>
      <c r="F24" s="35">
        <f t="shared" si="1"/>
        <v>67</v>
      </c>
      <c r="G24" s="35" t="e">
        <f t="shared" si="2"/>
        <v>#N/A</v>
      </c>
    </row>
    <row r="25" spans="1:14" x14ac:dyDescent="0.35">
      <c r="A25" s="64">
        <v>40544</v>
      </c>
      <c r="B25" s="60">
        <v>9</v>
      </c>
      <c r="C25" s="60">
        <v>26</v>
      </c>
      <c r="D25" s="61">
        <v>35</v>
      </c>
      <c r="E25" t="str">
        <f t="shared" si="0"/>
        <v>normal</v>
      </c>
      <c r="F25" s="35">
        <f t="shared" si="1"/>
        <v>35</v>
      </c>
      <c r="G25" s="35" t="e">
        <f t="shared" si="2"/>
        <v>#N/A</v>
      </c>
    </row>
    <row r="26" spans="1:14" x14ac:dyDescent="0.35">
      <c r="A26" s="65">
        <v>40544</v>
      </c>
      <c r="B26" s="62">
        <v>6</v>
      </c>
      <c r="C26" s="62">
        <v>31</v>
      </c>
      <c r="D26" s="63">
        <v>37</v>
      </c>
      <c r="E26" t="str">
        <f t="shared" si="0"/>
        <v>normal</v>
      </c>
      <c r="F26" s="35">
        <f t="shared" si="1"/>
        <v>37</v>
      </c>
      <c r="G26" s="35" t="e">
        <f t="shared" si="2"/>
        <v>#N/A</v>
      </c>
    </row>
    <row r="27" spans="1:14" x14ac:dyDescent="0.35">
      <c r="A27" s="64">
        <v>40544</v>
      </c>
      <c r="B27" s="60">
        <v>11</v>
      </c>
      <c r="C27" s="60">
        <v>25</v>
      </c>
      <c r="D27" s="61">
        <v>36</v>
      </c>
      <c r="E27" t="str">
        <f t="shared" si="0"/>
        <v>normal</v>
      </c>
      <c r="F27" s="35">
        <f t="shared" si="1"/>
        <v>36</v>
      </c>
      <c r="G27" s="35" t="e">
        <f t="shared" si="2"/>
        <v>#N/A</v>
      </c>
    </row>
    <row r="28" spans="1:14" x14ac:dyDescent="0.35">
      <c r="A28" s="65">
        <v>40544</v>
      </c>
      <c r="B28" s="62">
        <v>3</v>
      </c>
      <c r="C28" s="62">
        <v>31</v>
      </c>
      <c r="D28" s="63">
        <v>34</v>
      </c>
      <c r="E28" t="str">
        <f t="shared" si="0"/>
        <v>normal</v>
      </c>
      <c r="F28" s="35">
        <f t="shared" si="1"/>
        <v>34</v>
      </c>
      <c r="G28" s="35" t="e">
        <f t="shared" si="2"/>
        <v>#N/A</v>
      </c>
    </row>
    <row r="29" spans="1:14" x14ac:dyDescent="0.35">
      <c r="A29" s="64">
        <v>40544</v>
      </c>
      <c r="B29" s="60">
        <v>11</v>
      </c>
      <c r="C29" s="60">
        <v>17</v>
      </c>
      <c r="D29" s="61">
        <v>28</v>
      </c>
      <c r="E29" t="str">
        <f t="shared" si="0"/>
        <v>normal</v>
      </c>
      <c r="F29" s="35">
        <f t="shared" si="1"/>
        <v>28</v>
      </c>
      <c r="G29" s="35" t="e">
        <f t="shared" si="2"/>
        <v>#N/A</v>
      </c>
    </row>
    <row r="30" spans="1:14" x14ac:dyDescent="0.35">
      <c r="A30" s="65">
        <v>40544</v>
      </c>
      <c r="B30" s="62">
        <v>15</v>
      </c>
      <c r="C30" s="62">
        <v>24</v>
      </c>
      <c r="D30" s="63">
        <v>39</v>
      </c>
      <c r="E30" t="str">
        <f t="shared" si="0"/>
        <v>normal</v>
      </c>
      <c r="F30" s="35">
        <f t="shared" si="1"/>
        <v>39</v>
      </c>
      <c r="G30" s="35" t="e">
        <f t="shared" si="2"/>
        <v>#N/A</v>
      </c>
    </row>
    <row r="31" spans="1:14" x14ac:dyDescent="0.35">
      <c r="A31" s="64">
        <v>40545</v>
      </c>
      <c r="B31" s="60">
        <v>4</v>
      </c>
      <c r="C31" s="60">
        <v>13</v>
      </c>
      <c r="D31" s="61">
        <v>17</v>
      </c>
      <c r="E31" t="str">
        <f t="shared" si="0"/>
        <v>normal</v>
      </c>
      <c r="F31" s="35">
        <f t="shared" si="1"/>
        <v>17</v>
      </c>
      <c r="G31" s="35" t="e">
        <f t="shared" si="2"/>
        <v>#N/A</v>
      </c>
    </row>
    <row r="32" spans="1:14" x14ac:dyDescent="0.35">
      <c r="A32" s="65">
        <v>40545</v>
      </c>
      <c r="B32" s="62">
        <v>1</v>
      </c>
      <c r="C32" s="62">
        <v>16</v>
      </c>
      <c r="D32" s="63">
        <v>17</v>
      </c>
      <c r="E32" t="str">
        <f t="shared" si="0"/>
        <v>normal</v>
      </c>
      <c r="F32" s="35">
        <f t="shared" si="1"/>
        <v>17</v>
      </c>
      <c r="G32" s="35" t="e">
        <f t="shared" si="2"/>
        <v>#N/A</v>
      </c>
    </row>
    <row r="33" spans="1:7" x14ac:dyDescent="0.35">
      <c r="A33" s="64">
        <v>40545</v>
      </c>
      <c r="B33" s="60">
        <v>1</v>
      </c>
      <c r="C33" s="60">
        <v>8</v>
      </c>
      <c r="D33" s="61">
        <v>9</v>
      </c>
      <c r="E33" t="str">
        <f t="shared" si="0"/>
        <v>normal</v>
      </c>
      <c r="F33" s="35">
        <f t="shared" si="1"/>
        <v>9</v>
      </c>
      <c r="G33" s="35" t="e">
        <f t="shared" si="2"/>
        <v>#N/A</v>
      </c>
    </row>
    <row r="34" spans="1:7" x14ac:dyDescent="0.35">
      <c r="A34" s="65">
        <v>40545</v>
      </c>
      <c r="B34" s="62">
        <v>2</v>
      </c>
      <c r="C34" s="62">
        <v>4</v>
      </c>
      <c r="D34" s="63">
        <v>6</v>
      </c>
      <c r="E34" t="str">
        <f t="shared" si="0"/>
        <v>normal</v>
      </c>
      <c r="F34" s="35">
        <f t="shared" si="1"/>
        <v>6</v>
      </c>
      <c r="G34" s="35" t="e">
        <f t="shared" si="2"/>
        <v>#N/A</v>
      </c>
    </row>
    <row r="35" spans="1:7" x14ac:dyDescent="0.35">
      <c r="A35" s="64">
        <v>40545</v>
      </c>
      <c r="B35" s="60">
        <v>2</v>
      </c>
      <c r="C35" s="60">
        <v>1</v>
      </c>
      <c r="D35" s="61">
        <v>3</v>
      </c>
      <c r="E35" t="str">
        <f t="shared" si="0"/>
        <v>normal</v>
      </c>
      <c r="F35" s="35">
        <f t="shared" si="1"/>
        <v>3</v>
      </c>
      <c r="G35" s="35" t="e">
        <f t="shared" si="2"/>
        <v>#N/A</v>
      </c>
    </row>
    <row r="36" spans="1:7" x14ac:dyDescent="0.35">
      <c r="A36" s="65">
        <v>40545</v>
      </c>
      <c r="B36" s="62">
        <v>0</v>
      </c>
      <c r="C36" s="62">
        <v>2</v>
      </c>
      <c r="D36" s="63">
        <v>2</v>
      </c>
      <c r="E36" t="str">
        <f t="shared" si="0"/>
        <v>normal</v>
      </c>
      <c r="F36" s="35">
        <f t="shared" si="1"/>
        <v>2</v>
      </c>
      <c r="G36" s="35" t="e">
        <f t="shared" si="2"/>
        <v>#N/A</v>
      </c>
    </row>
    <row r="37" spans="1:7" x14ac:dyDescent="0.35">
      <c r="A37" s="64">
        <v>40545</v>
      </c>
      <c r="B37" s="60">
        <v>0</v>
      </c>
      <c r="C37" s="60">
        <v>1</v>
      </c>
      <c r="D37" s="61">
        <v>1</v>
      </c>
      <c r="E37" t="str">
        <f t="shared" si="0"/>
        <v>normal</v>
      </c>
      <c r="F37" s="35">
        <f t="shared" si="1"/>
        <v>1</v>
      </c>
      <c r="G37" s="35" t="e">
        <f t="shared" si="2"/>
        <v>#N/A</v>
      </c>
    </row>
    <row r="38" spans="1:7" x14ac:dyDescent="0.35">
      <c r="A38" s="65">
        <v>40545</v>
      </c>
      <c r="B38" s="62">
        <v>0</v>
      </c>
      <c r="C38" s="62">
        <v>8</v>
      </c>
      <c r="D38" s="63">
        <v>8</v>
      </c>
      <c r="E38" t="str">
        <f t="shared" si="0"/>
        <v>normal</v>
      </c>
      <c r="F38" s="35">
        <f t="shared" si="1"/>
        <v>8</v>
      </c>
      <c r="G38" s="35" t="e">
        <f t="shared" si="2"/>
        <v>#N/A</v>
      </c>
    </row>
    <row r="39" spans="1:7" x14ac:dyDescent="0.35">
      <c r="A39" s="64">
        <v>40545</v>
      </c>
      <c r="B39" s="60">
        <v>1</v>
      </c>
      <c r="C39" s="60">
        <v>19</v>
      </c>
      <c r="D39" s="61">
        <v>20</v>
      </c>
      <c r="E39" t="str">
        <f t="shared" si="0"/>
        <v>normal</v>
      </c>
      <c r="F39" s="35">
        <f t="shared" si="1"/>
        <v>20</v>
      </c>
      <c r="G39" s="35" t="e">
        <f t="shared" si="2"/>
        <v>#N/A</v>
      </c>
    </row>
    <row r="40" spans="1:7" x14ac:dyDescent="0.35">
      <c r="A40" s="65">
        <v>40545</v>
      </c>
      <c r="B40" s="62">
        <v>7</v>
      </c>
      <c r="C40" s="62">
        <v>46</v>
      </c>
      <c r="D40" s="63">
        <v>53</v>
      </c>
      <c r="E40" t="str">
        <f t="shared" si="0"/>
        <v>normal</v>
      </c>
      <c r="F40" s="35">
        <f t="shared" si="1"/>
        <v>53</v>
      </c>
      <c r="G40" s="35" t="e">
        <f t="shared" si="2"/>
        <v>#N/A</v>
      </c>
    </row>
    <row r="41" spans="1:7" x14ac:dyDescent="0.35">
      <c r="A41" s="64">
        <v>40545</v>
      </c>
      <c r="B41" s="60">
        <v>16</v>
      </c>
      <c r="C41" s="60">
        <v>54</v>
      </c>
      <c r="D41" s="61">
        <v>70</v>
      </c>
      <c r="E41" t="str">
        <f t="shared" si="0"/>
        <v>normal</v>
      </c>
      <c r="F41" s="35">
        <f t="shared" si="1"/>
        <v>70</v>
      </c>
      <c r="G41" s="35" t="e">
        <f t="shared" si="2"/>
        <v>#N/A</v>
      </c>
    </row>
    <row r="42" spans="1:7" x14ac:dyDescent="0.35">
      <c r="A42" s="65">
        <v>40545</v>
      </c>
      <c r="B42" s="62">
        <v>20</v>
      </c>
      <c r="C42" s="62">
        <v>73</v>
      </c>
      <c r="D42" s="63">
        <v>93</v>
      </c>
      <c r="E42" t="str">
        <f t="shared" si="0"/>
        <v>normal</v>
      </c>
      <c r="F42" s="35">
        <f t="shared" si="1"/>
        <v>93</v>
      </c>
      <c r="G42" s="35" t="e">
        <f t="shared" si="2"/>
        <v>#N/A</v>
      </c>
    </row>
    <row r="43" spans="1:7" x14ac:dyDescent="0.35">
      <c r="A43" s="64">
        <v>40545</v>
      </c>
      <c r="B43" s="60">
        <v>11</v>
      </c>
      <c r="C43" s="60">
        <v>64</v>
      </c>
      <c r="D43" s="61">
        <v>75</v>
      </c>
      <c r="E43" t="str">
        <f t="shared" si="0"/>
        <v>normal</v>
      </c>
      <c r="F43" s="35">
        <f t="shared" si="1"/>
        <v>75</v>
      </c>
      <c r="G43" s="35" t="e">
        <f t="shared" si="2"/>
        <v>#N/A</v>
      </c>
    </row>
    <row r="44" spans="1:7" x14ac:dyDescent="0.35">
      <c r="A44" s="65">
        <v>40545</v>
      </c>
      <c r="B44" s="62">
        <v>4</v>
      </c>
      <c r="C44" s="62">
        <v>55</v>
      </c>
      <c r="D44" s="63">
        <v>59</v>
      </c>
      <c r="E44" t="str">
        <f t="shared" si="0"/>
        <v>normal</v>
      </c>
      <c r="F44" s="35">
        <f t="shared" si="1"/>
        <v>59</v>
      </c>
      <c r="G44" s="35" t="e">
        <f t="shared" si="2"/>
        <v>#N/A</v>
      </c>
    </row>
    <row r="45" spans="1:7" x14ac:dyDescent="0.35">
      <c r="A45" s="64">
        <v>40545</v>
      </c>
      <c r="B45" s="60">
        <v>19</v>
      </c>
      <c r="C45" s="60">
        <v>55</v>
      </c>
      <c r="D45" s="61">
        <v>74</v>
      </c>
      <c r="E45" t="str">
        <f t="shared" si="0"/>
        <v>normal</v>
      </c>
      <c r="F45" s="35">
        <f t="shared" si="1"/>
        <v>74</v>
      </c>
      <c r="G45" s="35" t="e">
        <f t="shared" si="2"/>
        <v>#N/A</v>
      </c>
    </row>
    <row r="46" spans="1:7" x14ac:dyDescent="0.35">
      <c r="A46" s="65">
        <v>40545</v>
      </c>
      <c r="B46" s="62">
        <v>9</v>
      </c>
      <c r="C46" s="62">
        <v>67</v>
      </c>
      <c r="D46" s="63">
        <v>76</v>
      </c>
      <c r="E46" t="str">
        <f t="shared" si="0"/>
        <v>normal</v>
      </c>
      <c r="F46" s="35">
        <f t="shared" si="1"/>
        <v>76</v>
      </c>
      <c r="G46" s="35" t="e">
        <f t="shared" si="2"/>
        <v>#N/A</v>
      </c>
    </row>
    <row r="47" spans="1:7" x14ac:dyDescent="0.35">
      <c r="A47" s="64">
        <v>40545</v>
      </c>
      <c r="B47" s="60">
        <v>7</v>
      </c>
      <c r="C47" s="60">
        <v>58</v>
      </c>
      <c r="D47" s="61">
        <v>65</v>
      </c>
      <c r="E47" t="str">
        <f t="shared" si="0"/>
        <v>normal</v>
      </c>
      <c r="F47" s="35">
        <f t="shared" si="1"/>
        <v>65</v>
      </c>
      <c r="G47" s="35" t="e">
        <f t="shared" si="2"/>
        <v>#N/A</v>
      </c>
    </row>
    <row r="48" spans="1:7" x14ac:dyDescent="0.35">
      <c r="A48" s="65">
        <v>40545</v>
      </c>
      <c r="B48" s="62">
        <v>10</v>
      </c>
      <c r="C48" s="62">
        <v>43</v>
      </c>
      <c r="D48" s="63">
        <v>53</v>
      </c>
      <c r="E48" t="str">
        <f t="shared" si="0"/>
        <v>normal</v>
      </c>
      <c r="F48" s="35">
        <f t="shared" si="1"/>
        <v>53</v>
      </c>
      <c r="G48" s="35" t="e">
        <f t="shared" si="2"/>
        <v>#N/A</v>
      </c>
    </row>
    <row r="49" spans="1:7" x14ac:dyDescent="0.35">
      <c r="A49" s="64">
        <v>40545</v>
      </c>
      <c r="B49" s="60">
        <v>1</v>
      </c>
      <c r="C49" s="60">
        <v>29</v>
      </c>
      <c r="D49" s="61">
        <v>30</v>
      </c>
      <c r="E49" t="str">
        <f t="shared" si="0"/>
        <v>normal</v>
      </c>
      <c r="F49" s="35">
        <f t="shared" si="1"/>
        <v>30</v>
      </c>
      <c r="G49" s="35" t="e">
        <f t="shared" si="2"/>
        <v>#N/A</v>
      </c>
    </row>
    <row r="50" spans="1:7" x14ac:dyDescent="0.35">
      <c r="A50" s="65">
        <v>40545</v>
      </c>
      <c r="B50" s="62">
        <v>5</v>
      </c>
      <c r="C50" s="62">
        <v>17</v>
      </c>
      <c r="D50" s="63">
        <v>22</v>
      </c>
      <c r="E50" t="str">
        <f t="shared" si="0"/>
        <v>normal</v>
      </c>
      <c r="F50" s="35">
        <f t="shared" si="1"/>
        <v>22</v>
      </c>
      <c r="G50" s="35" t="e">
        <f t="shared" si="2"/>
        <v>#N/A</v>
      </c>
    </row>
    <row r="51" spans="1:7" x14ac:dyDescent="0.35">
      <c r="A51" s="64">
        <v>40545</v>
      </c>
      <c r="B51" s="60">
        <v>11</v>
      </c>
      <c r="C51" s="60">
        <v>20</v>
      </c>
      <c r="D51" s="61">
        <v>31</v>
      </c>
      <c r="E51" t="str">
        <f t="shared" si="0"/>
        <v>normal</v>
      </c>
      <c r="F51" s="35">
        <f t="shared" si="1"/>
        <v>31</v>
      </c>
      <c r="G51" s="35" t="e">
        <f t="shared" si="2"/>
        <v>#N/A</v>
      </c>
    </row>
    <row r="52" spans="1:7" x14ac:dyDescent="0.35">
      <c r="A52" s="65">
        <v>40545</v>
      </c>
      <c r="B52" s="62">
        <v>0</v>
      </c>
      <c r="C52" s="62">
        <v>9</v>
      </c>
      <c r="D52" s="63">
        <v>9</v>
      </c>
      <c r="E52" t="str">
        <f t="shared" si="0"/>
        <v>normal</v>
      </c>
      <c r="F52" s="35">
        <f t="shared" si="1"/>
        <v>9</v>
      </c>
      <c r="G52" s="35" t="e">
        <f t="shared" si="2"/>
        <v>#N/A</v>
      </c>
    </row>
    <row r="53" spans="1:7" x14ac:dyDescent="0.35">
      <c r="A53" s="64">
        <v>40545</v>
      </c>
      <c r="B53" s="60">
        <v>0</v>
      </c>
      <c r="C53" s="60">
        <v>8</v>
      </c>
      <c r="D53" s="61">
        <v>8</v>
      </c>
      <c r="E53" t="str">
        <f t="shared" si="0"/>
        <v>normal</v>
      </c>
      <c r="F53" s="35">
        <f t="shared" si="1"/>
        <v>8</v>
      </c>
      <c r="G53" s="35" t="e">
        <f t="shared" si="2"/>
        <v>#N/A</v>
      </c>
    </row>
    <row r="54" spans="1:7" x14ac:dyDescent="0.35">
      <c r="A54" s="65">
        <v>40546</v>
      </c>
      <c r="B54" s="62">
        <v>0</v>
      </c>
      <c r="C54" s="62">
        <v>5</v>
      </c>
      <c r="D54" s="63">
        <v>5</v>
      </c>
      <c r="E54" t="str">
        <f t="shared" si="0"/>
        <v>normal</v>
      </c>
      <c r="F54" s="35">
        <f t="shared" si="1"/>
        <v>5</v>
      </c>
      <c r="G54" s="35" t="e">
        <f t="shared" si="2"/>
        <v>#N/A</v>
      </c>
    </row>
    <row r="55" spans="1:7" x14ac:dyDescent="0.35">
      <c r="A55" s="64">
        <v>40546</v>
      </c>
      <c r="B55" s="60">
        <v>0</v>
      </c>
      <c r="C55" s="60">
        <v>2</v>
      </c>
      <c r="D55" s="61">
        <v>2</v>
      </c>
      <c r="E55" t="str">
        <f t="shared" si="0"/>
        <v>normal</v>
      </c>
      <c r="F55" s="35">
        <f t="shared" si="1"/>
        <v>2</v>
      </c>
      <c r="G55" s="35" t="e">
        <f t="shared" si="2"/>
        <v>#N/A</v>
      </c>
    </row>
    <row r="56" spans="1:7" x14ac:dyDescent="0.35">
      <c r="A56" s="65">
        <v>40546</v>
      </c>
      <c r="B56" s="62">
        <v>0</v>
      </c>
      <c r="C56" s="62">
        <v>1</v>
      </c>
      <c r="D56" s="63">
        <v>1</v>
      </c>
      <c r="E56" t="str">
        <f t="shared" si="0"/>
        <v>normal</v>
      </c>
      <c r="F56" s="35">
        <f t="shared" si="1"/>
        <v>1</v>
      </c>
      <c r="G56" s="35" t="e">
        <f t="shared" si="2"/>
        <v>#N/A</v>
      </c>
    </row>
    <row r="57" spans="1:7" x14ac:dyDescent="0.35">
      <c r="A57" s="64">
        <v>40546</v>
      </c>
      <c r="B57" s="60">
        <v>0</v>
      </c>
      <c r="C57" s="60">
        <v>3</v>
      </c>
      <c r="D57" s="61">
        <v>3</v>
      </c>
      <c r="E57" t="str">
        <f t="shared" si="0"/>
        <v>normal</v>
      </c>
      <c r="F57" s="35">
        <f t="shared" si="1"/>
        <v>3</v>
      </c>
      <c r="G57" s="35" t="e">
        <f t="shared" si="2"/>
        <v>#N/A</v>
      </c>
    </row>
    <row r="58" spans="1:7" x14ac:dyDescent="0.35">
      <c r="A58" s="65">
        <v>40546</v>
      </c>
      <c r="B58" s="62">
        <v>0</v>
      </c>
      <c r="C58" s="62">
        <v>30</v>
      </c>
      <c r="D58" s="63">
        <v>30</v>
      </c>
      <c r="E58" t="str">
        <f t="shared" si="0"/>
        <v>normal</v>
      </c>
      <c r="F58" s="35">
        <f t="shared" si="1"/>
        <v>30</v>
      </c>
      <c r="G58" s="35" t="e">
        <f t="shared" si="2"/>
        <v>#N/A</v>
      </c>
    </row>
    <row r="59" spans="1:7" x14ac:dyDescent="0.35">
      <c r="A59" s="64">
        <v>40546</v>
      </c>
      <c r="B59" s="60">
        <v>1</v>
      </c>
      <c r="C59" s="60">
        <v>63</v>
      </c>
      <c r="D59" s="61">
        <v>64</v>
      </c>
      <c r="E59" t="str">
        <f t="shared" si="0"/>
        <v>normal</v>
      </c>
      <c r="F59" s="35">
        <f t="shared" si="1"/>
        <v>64</v>
      </c>
      <c r="G59" s="35" t="e">
        <f t="shared" si="2"/>
        <v>#N/A</v>
      </c>
    </row>
    <row r="60" spans="1:7" x14ac:dyDescent="0.35">
      <c r="A60" s="65">
        <v>40546</v>
      </c>
      <c r="B60" s="62">
        <v>1</v>
      </c>
      <c r="C60" s="62">
        <v>153</v>
      </c>
      <c r="D60" s="63">
        <v>154</v>
      </c>
      <c r="E60" t="str">
        <f t="shared" si="0"/>
        <v>normal</v>
      </c>
      <c r="F60" s="35">
        <f t="shared" si="1"/>
        <v>154</v>
      </c>
      <c r="G60" s="35" t="e">
        <f t="shared" si="2"/>
        <v>#N/A</v>
      </c>
    </row>
    <row r="61" spans="1:7" x14ac:dyDescent="0.35">
      <c r="A61" s="64">
        <v>40546</v>
      </c>
      <c r="B61" s="60">
        <v>7</v>
      </c>
      <c r="C61" s="60">
        <v>81</v>
      </c>
      <c r="D61" s="61">
        <v>88</v>
      </c>
      <c r="E61" t="str">
        <f t="shared" si="0"/>
        <v>normal</v>
      </c>
      <c r="F61" s="35">
        <f t="shared" si="1"/>
        <v>88</v>
      </c>
      <c r="G61" s="35" t="e">
        <f t="shared" si="2"/>
        <v>#N/A</v>
      </c>
    </row>
    <row r="62" spans="1:7" x14ac:dyDescent="0.35">
      <c r="A62" s="65">
        <v>40546</v>
      </c>
      <c r="B62" s="62">
        <v>11</v>
      </c>
      <c r="C62" s="62">
        <v>33</v>
      </c>
      <c r="D62" s="63">
        <v>44</v>
      </c>
      <c r="E62" t="str">
        <f t="shared" si="0"/>
        <v>normal</v>
      </c>
      <c r="F62" s="35">
        <f t="shared" si="1"/>
        <v>44</v>
      </c>
      <c r="G62" s="35" t="e">
        <f t="shared" si="2"/>
        <v>#N/A</v>
      </c>
    </row>
    <row r="63" spans="1:7" x14ac:dyDescent="0.35">
      <c r="A63" s="64">
        <v>40546</v>
      </c>
      <c r="B63" s="60">
        <v>10</v>
      </c>
      <c r="C63" s="60">
        <v>41</v>
      </c>
      <c r="D63" s="61">
        <v>51</v>
      </c>
      <c r="E63" t="str">
        <f t="shared" si="0"/>
        <v>normal</v>
      </c>
      <c r="F63" s="35">
        <f t="shared" si="1"/>
        <v>51</v>
      </c>
      <c r="G63" s="35" t="e">
        <f t="shared" si="2"/>
        <v>#N/A</v>
      </c>
    </row>
    <row r="64" spans="1:7" x14ac:dyDescent="0.35">
      <c r="A64" s="65">
        <v>40546</v>
      </c>
      <c r="B64" s="62">
        <v>13</v>
      </c>
      <c r="C64" s="62">
        <v>48</v>
      </c>
      <c r="D64" s="63">
        <v>61</v>
      </c>
      <c r="E64" t="str">
        <f t="shared" si="0"/>
        <v>normal</v>
      </c>
      <c r="F64" s="35">
        <f t="shared" si="1"/>
        <v>61</v>
      </c>
      <c r="G64" s="35" t="e">
        <f t="shared" si="2"/>
        <v>#N/A</v>
      </c>
    </row>
    <row r="65" spans="1:7" x14ac:dyDescent="0.35">
      <c r="A65" s="64">
        <v>40546</v>
      </c>
      <c r="B65" s="60">
        <v>8</v>
      </c>
      <c r="C65" s="60">
        <v>53</v>
      </c>
      <c r="D65" s="61">
        <v>61</v>
      </c>
      <c r="E65" t="str">
        <f t="shared" si="0"/>
        <v>normal</v>
      </c>
      <c r="F65" s="35">
        <f t="shared" si="1"/>
        <v>61</v>
      </c>
      <c r="G65" s="35" t="e">
        <f t="shared" si="2"/>
        <v>#N/A</v>
      </c>
    </row>
    <row r="66" spans="1:7" x14ac:dyDescent="0.35">
      <c r="A66" s="65">
        <v>40546</v>
      </c>
      <c r="B66" s="62">
        <v>11</v>
      </c>
      <c r="C66" s="62">
        <v>66</v>
      </c>
      <c r="D66" s="63">
        <v>77</v>
      </c>
      <c r="E66" t="str">
        <f t="shared" si="0"/>
        <v>normal</v>
      </c>
      <c r="F66" s="35">
        <f t="shared" si="1"/>
        <v>77</v>
      </c>
      <c r="G66" s="35" t="e">
        <f t="shared" si="2"/>
        <v>#N/A</v>
      </c>
    </row>
    <row r="67" spans="1:7" x14ac:dyDescent="0.35">
      <c r="A67" s="64">
        <v>40546</v>
      </c>
      <c r="B67" s="60">
        <v>14</v>
      </c>
      <c r="C67" s="60">
        <v>58</v>
      </c>
      <c r="D67" s="61">
        <v>72</v>
      </c>
      <c r="E67" t="str">
        <f t="shared" si="0"/>
        <v>normal</v>
      </c>
      <c r="F67" s="35">
        <f t="shared" si="1"/>
        <v>72</v>
      </c>
      <c r="G67" s="35" t="e">
        <f t="shared" si="2"/>
        <v>#N/A</v>
      </c>
    </row>
    <row r="68" spans="1:7" x14ac:dyDescent="0.35">
      <c r="A68" s="65">
        <v>40546</v>
      </c>
      <c r="B68" s="62">
        <v>9</v>
      </c>
      <c r="C68" s="62">
        <v>67</v>
      </c>
      <c r="D68" s="63">
        <v>76</v>
      </c>
      <c r="E68" t="str">
        <f t="shared" si="0"/>
        <v>normal</v>
      </c>
      <c r="F68" s="35">
        <f t="shared" si="1"/>
        <v>76</v>
      </c>
      <c r="G68" s="35" t="e">
        <f t="shared" si="2"/>
        <v>#N/A</v>
      </c>
    </row>
    <row r="69" spans="1:7" x14ac:dyDescent="0.35">
      <c r="A69" s="64">
        <v>40546</v>
      </c>
      <c r="B69" s="60">
        <v>11</v>
      </c>
      <c r="C69" s="60">
        <v>146</v>
      </c>
      <c r="D69" s="61">
        <v>157</v>
      </c>
      <c r="E69" t="str">
        <f t="shared" si="0"/>
        <v>normal</v>
      </c>
      <c r="F69" s="35">
        <f t="shared" si="1"/>
        <v>157</v>
      </c>
      <c r="G69" s="35" t="e">
        <f t="shared" si="2"/>
        <v>#N/A</v>
      </c>
    </row>
    <row r="70" spans="1:7" x14ac:dyDescent="0.35">
      <c r="A70" s="65">
        <v>40546</v>
      </c>
      <c r="B70" s="62">
        <v>9</v>
      </c>
      <c r="C70" s="62">
        <v>148</v>
      </c>
      <c r="D70" s="63">
        <v>157</v>
      </c>
      <c r="E70" t="str">
        <f t="shared" si="0"/>
        <v>normal</v>
      </c>
      <c r="F70" s="35">
        <f t="shared" si="1"/>
        <v>157</v>
      </c>
      <c r="G70" s="35" t="e">
        <f t="shared" si="2"/>
        <v>#N/A</v>
      </c>
    </row>
    <row r="71" spans="1:7" x14ac:dyDescent="0.35">
      <c r="A71" s="64">
        <v>40546</v>
      </c>
      <c r="B71" s="60">
        <v>8</v>
      </c>
      <c r="C71" s="60">
        <v>102</v>
      </c>
      <c r="D71" s="61">
        <v>110</v>
      </c>
      <c r="E71" t="str">
        <f t="shared" ref="E71:E134" si="3">IF(OR(D71&lt;$L$15,D71&gt;$L$16),"Anamoly","normal")</f>
        <v>normal</v>
      </c>
      <c r="F71" s="35">
        <f t="shared" si="1"/>
        <v>110</v>
      </c>
      <c r="G71" s="35" t="e">
        <f t="shared" si="2"/>
        <v>#N/A</v>
      </c>
    </row>
    <row r="72" spans="1:7" x14ac:dyDescent="0.35">
      <c r="A72" s="65">
        <v>40546</v>
      </c>
      <c r="B72" s="62">
        <v>3</v>
      </c>
      <c r="C72" s="62">
        <v>49</v>
      </c>
      <c r="D72" s="63">
        <v>52</v>
      </c>
      <c r="E72" t="str">
        <f t="shared" si="3"/>
        <v>normal</v>
      </c>
      <c r="F72" s="35">
        <f t="shared" ref="F72:F135" si="4">IF(E72="normal",D72,NA())</f>
        <v>52</v>
      </c>
      <c r="G72" s="35" t="e">
        <f t="shared" ref="G72:G135" si="5">IF(E72="anamoly",D72,NA())</f>
        <v>#N/A</v>
      </c>
    </row>
    <row r="73" spans="1:7" x14ac:dyDescent="0.35">
      <c r="A73" s="64">
        <v>40546</v>
      </c>
      <c r="B73" s="60">
        <v>3</v>
      </c>
      <c r="C73" s="60">
        <v>49</v>
      </c>
      <c r="D73" s="61">
        <v>52</v>
      </c>
      <c r="E73" t="str">
        <f t="shared" si="3"/>
        <v>normal</v>
      </c>
      <c r="F73" s="35">
        <f t="shared" si="4"/>
        <v>52</v>
      </c>
      <c r="G73" s="35" t="e">
        <f t="shared" si="5"/>
        <v>#N/A</v>
      </c>
    </row>
    <row r="74" spans="1:7" x14ac:dyDescent="0.35">
      <c r="A74" s="65">
        <v>40546</v>
      </c>
      <c r="B74" s="62">
        <v>0</v>
      </c>
      <c r="C74" s="62">
        <v>20</v>
      </c>
      <c r="D74" s="63">
        <v>20</v>
      </c>
      <c r="E74" t="str">
        <f t="shared" si="3"/>
        <v>normal</v>
      </c>
      <c r="F74" s="35">
        <f t="shared" si="4"/>
        <v>20</v>
      </c>
      <c r="G74" s="35" t="e">
        <f t="shared" si="5"/>
        <v>#N/A</v>
      </c>
    </row>
    <row r="75" spans="1:7" x14ac:dyDescent="0.35">
      <c r="A75" s="64">
        <v>40546</v>
      </c>
      <c r="B75" s="60">
        <v>1</v>
      </c>
      <c r="C75" s="60">
        <v>11</v>
      </c>
      <c r="D75" s="61">
        <v>12</v>
      </c>
      <c r="E75" t="str">
        <f t="shared" si="3"/>
        <v>normal</v>
      </c>
      <c r="F75" s="35">
        <f t="shared" si="4"/>
        <v>12</v>
      </c>
      <c r="G75" s="35" t="e">
        <f t="shared" si="5"/>
        <v>#N/A</v>
      </c>
    </row>
    <row r="76" spans="1:7" x14ac:dyDescent="0.35">
      <c r="A76" s="65">
        <v>40547</v>
      </c>
      <c r="B76" s="62">
        <v>0</v>
      </c>
      <c r="C76" s="62">
        <v>5</v>
      </c>
      <c r="D76" s="63">
        <v>5</v>
      </c>
      <c r="E76" t="str">
        <f t="shared" si="3"/>
        <v>normal</v>
      </c>
      <c r="F76" s="35">
        <f t="shared" si="4"/>
        <v>5</v>
      </c>
      <c r="G76" s="35" t="e">
        <f t="shared" si="5"/>
        <v>#N/A</v>
      </c>
    </row>
    <row r="77" spans="1:7" x14ac:dyDescent="0.35">
      <c r="A77" s="64">
        <v>40547</v>
      </c>
      <c r="B77" s="60">
        <v>0</v>
      </c>
      <c r="C77" s="60">
        <v>2</v>
      </c>
      <c r="D77" s="61">
        <v>2</v>
      </c>
      <c r="E77" t="str">
        <f t="shared" si="3"/>
        <v>normal</v>
      </c>
      <c r="F77" s="35">
        <f t="shared" si="4"/>
        <v>2</v>
      </c>
      <c r="G77" s="35" t="e">
        <f t="shared" si="5"/>
        <v>#N/A</v>
      </c>
    </row>
    <row r="78" spans="1:7" x14ac:dyDescent="0.35">
      <c r="A78" s="65">
        <v>40547</v>
      </c>
      <c r="B78" s="62">
        <v>0</v>
      </c>
      <c r="C78" s="62">
        <v>1</v>
      </c>
      <c r="D78" s="63">
        <v>1</v>
      </c>
      <c r="E78" t="str">
        <f t="shared" si="3"/>
        <v>normal</v>
      </c>
      <c r="F78" s="35">
        <f t="shared" si="4"/>
        <v>1</v>
      </c>
      <c r="G78" s="35" t="e">
        <f t="shared" si="5"/>
        <v>#N/A</v>
      </c>
    </row>
    <row r="79" spans="1:7" x14ac:dyDescent="0.35">
      <c r="A79" s="64">
        <v>40547</v>
      </c>
      <c r="B79" s="60">
        <v>0</v>
      </c>
      <c r="C79" s="60">
        <v>2</v>
      </c>
      <c r="D79" s="61">
        <v>2</v>
      </c>
      <c r="E79" t="str">
        <f t="shared" si="3"/>
        <v>normal</v>
      </c>
      <c r="F79" s="35">
        <f t="shared" si="4"/>
        <v>2</v>
      </c>
      <c r="G79" s="35" t="e">
        <f t="shared" si="5"/>
        <v>#N/A</v>
      </c>
    </row>
    <row r="80" spans="1:7" x14ac:dyDescent="0.35">
      <c r="A80" s="65">
        <v>40547</v>
      </c>
      <c r="B80" s="62">
        <v>0</v>
      </c>
      <c r="C80" s="62">
        <v>4</v>
      </c>
      <c r="D80" s="63">
        <v>4</v>
      </c>
      <c r="E80" t="str">
        <f t="shared" si="3"/>
        <v>normal</v>
      </c>
      <c r="F80" s="35">
        <f t="shared" si="4"/>
        <v>4</v>
      </c>
      <c r="G80" s="35" t="e">
        <f t="shared" si="5"/>
        <v>#N/A</v>
      </c>
    </row>
    <row r="81" spans="1:7" x14ac:dyDescent="0.35">
      <c r="A81" s="64">
        <v>40547</v>
      </c>
      <c r="B81" s="60">
        <v>0</v>
      </c>
      <c r="C81" s="60">
        <v>36</v>
      </c>
      <c r="D81" s="61">
        <v>36</v>
      </c>
      <c r="E81" t="str">
        <f t="shared" si="3"/>
        <v>normal</v>
      </c>
      <c r="F81" s="35">
        <f t="shared" si="4"/>
        <v>36</v>
      </c>
      <c r="G81" s="35" t="e">
        <f t="shared" si="5"/>
        <v>#N/A</v>
      </c>
    </row>
    <row r="82" spans="1:7" x14ac:dyDescent="0.35">
      <c r="A82" s="65">
        <v>40547</v>
      </c>
      <c r="B82" s="62">
        <v>2</v>
      </c>
      <c r="C82" s="62">
        <v>92</v>
      </c>
      <c r="D82" s="63">
        <v>94</v>
      </c>
      <c r="E82" t="str">
        <f t="shared" si="3"/>
        <v>normal</v>
      </c>
      <c r="F82" s="35">
        <f t="shared" si="4"/>
        <v>94</v>
      </c>
      <c r="G82" s="35" t="e">
        <f t="shared" si="5"/>
        <v>#N/A</v>
      </c>
    </row>
    <row r="83" spans="1:7" x14ac:dyDescent="0.35">
      <c r="A83" s="64">
        <v>40547</v>
      </c>
      <c r="B83" s="60">
        <v>2</v>
      </c>
      <c r="C83" s="60">
        <v>177</v>
      </c>
      <c r="D83" s="61">
        <v>179</v>
      </c>
      <c r="E83" t="str">
        <f t="shared" si="3"/>
        <v>normal</v>
      </c>
      <c r="F83" s="35">
        <f t="shared" si="4"/>
        <v>179</v>
      </c>
      <c r="G83" s="35" t="e">
        <f t="shared" si="5"/>
        <v>#N/A</v>
      </c>
    </row>
    <row r="84" spans="1:7" x14ac:dyDescent="0.35">
      <c r="A84" s="65">
        <v>40547</v>
      </c>
      <c r="B84" s="62">
        <v>2</v>
      </c>
      <c r="C84" s="62">
        <v>98</v>
      </c>
      <c r="D84" s="63">
        <v>100</v>
      </c>
      <c r="E84" t="str">
        <f t="shared" si="3"/>
        <v>normal</v>
      </c>
      <c r="F84" s="35">
        <f t="shared" si="4"/>
        <v>100</v>
      </c>
      <c r="G84" s="35" t="e">
        <f t="shared" si="5"/>
        <v>#N/A</v>
      </c>
    </row>
    <row r="85" spans="1:7" x14ac:dyDescent="0.35">
      <c r="A85" s="64">
        <v>40547</v>
      </c>
      <c r="B85" s="60">
        <v>5</v>
      </c>
      <c r="C85" s="60">
        <v>37</v>
      </c>
      <c r="D85" s="61">
        <v>42</v>
      </c>
      <c r="E85" t="str">
        <f t="shared" si="3"/>
        <v>normal</v>
      </c>
      <c r="F85" s="35">
        <f t="shared" si="4"/>
        <v>42</v>
      </c>
      <c r="G85" s="35" t="e">
        <f t="shared" si="5"/>
        <v>#N/A</v>
      </c>
    </row>
    <row r="86" spans="1:7" x14ac:dyDescent="0.35">
      <c r="A86" s="65">
        <v>40547</v>
      </c>
      <c r="B86" s="62">
        <v>7</v>
      </c>
      <c r="C86" s="62">
        <v>50</v>
      </c>
      <c r="D86" s="63">
        <v>57</v>
      </c>
      <c r="E86" t="str">
        <f t="shared" si="3"/>
        <v>normal</v>
      </c>
      <c r="F86" s="35">
        <f t="shared" si="4"/>
        <v>57</v>
      </c>
      <c r="G86" s="35" t="e">
        <f t="shared" si="5"/>
        <v>#N/A</v>
      </c>
    </row>
    <row r="87" spans="1:7" x14ac:dyDescent="0.35">
      <c r="A87" s="64">
        <v>40547</v>
      </c>
      <c r="B87" s="60">
        <v>12</v>
      </c>
      <c r="C87" s="60">
        <v>66</v>
      </c>
      <c r="D87" s="61">
        <v>78</v>
      </c>
      <c r="E87" t="str">
        <f t="shared" si="3"/>
        <v>normal</v>
      </c>
      <c r="F87" s="35">
        <f t="shared" si="4"/>
        <v>78</v>
      </c>
      <c r="G87" s="35" t="e">
        <f t="shared" si="5"/>
        <v>#N/A</v>
      </c>
    </row>
    <row r="88" spans="1:7" x14ac:dyDescent="0.35">
      <c r="A88" s="65">
        <v>40547</v>
      </c>
      <c r="B88" s="62">
        <v>18</v>
      </c>
      <c r="C88" s="62">
        <v>79</v>
      </c>
      <c r="D88" s="63">
        <v>97</v>
      </c>
      <c r="E88" t="str">
        <f t="shared" si="3"/>
        <v>normal</v>
      </c>
      <c r="F88" s="35">
        <f t="shared" si="4"/>
        <v>97</v>
      </c>
      <c r="G88" s="35" t="e">
        <f t="shared" si="5"/>
        <v>#N/A</v>
      </c>
    </row>
    <row r="89" spans="1:7" x14ac:dyDescent="0.35">
      <c r="A89" s="64">
        <v>40547</v>
      </c>
      <c r="B89" s="60">
        <v>9</v>
      </c>
      <c r="C89" s="60">
        <v>54</v>
      </c>
      <c r="D89" s="61">
        <v>63</v>
      </c>
      <c r="E89" t="str">
        <f t="shared" si="3"/>
        <v>normal</v>
      </c>
      <c r="F89" s="35">
        <f t="shared" si="4"/>
        <v>63</v>
      </c>
      <c r="G89" s="35" t="e">
        <f t="shared" si="5"/>
        <v>#N/A</v>
      </c>
    </row>
    <row r="90" spans="1:7" x14ac:dyDescent="0.35">
      <c r="A90" s="65">
        <v>40547</v>
      </c>
      <c r="B90" s="62">
        <v>17</v>
      </c>
      <c r="C90" s="62">
        <v>48</v>
      </c>
      <c r="D90" s="63">
        <v>65</v>
      </c>
      <c r="E90" t="str">
        <f t="shared" si="3"/>
        <v>normal</v>
      </c>
      <c r="F90" s="35">
        <f t="shared" si="4"/>
        <v>65</v>
      </c>
      <c r="G90" s="35" t="e">
        <f t="shared" si="5"/>
        <v>#N/A</v>
      </c>
    </row>
    <row r="91" spans="1:7" x14ac:dyDescent="0.35">
      <c r="A91" s="64">
        <v>40547</v>
      </c>
      <c r="B91" s="60">
        <v>15</v>
      </c>
      <c r="C91" s="60">
        <v>68</v>
      </c>
      <c r="D91" s="61">
        <v>83</v>
      </c>
      <c r="E91" t="str">
        <f t="shared" si="3"/>
        <v>normal</v>
      </c>
      <c r="F91" s="35">
        <f t="shared" si="4"/>
        <v>83</v>
      </c>
      <c r="G91" s="35" t="e">
        <f t="shared" si="5"/>
        <v>#N/A</v>
      </c>
    </row>
    <row r="92" spans="1:7" x14ac:dyDescent="0.35">
      <c r="A92" s="65">
        <v>40547</v>
      </c>
      <c r="B92" s="62">
        <v>10</v>
      </c>
      <c r="C92" s="62">
        <v>202</v>
      </c>
      <c r="D92" s="63">
        <v>212</v>
      </c>
      <c r="E92" t="str">
        <f t="shared" si="3"/>
        <v>Anamoly</v>
      </c>
      <c r="F92" s="35" t="e">
        <f t="shared" si="4"/>
        <v>#N/A</v>
      </c>
      <c r="G92" s="35">
        <f t="shared" si="5"/>
        <v>212</v>
      </c>
    </row>
    <row r="93" spans="1:7" x14ac:dyDescent="0.35">
      <c r="A93" s="64">
        <v>40547</v>
      </c>
      <c r="B93" s="60">
        <v>3</v>
      </c>
      <c r="C93" s="60">
        <v>179</v>
      </c>
      <c r="D93" s="61">
        <v>182</v>
      </c>
      <c r="E93" t="str">
        <f t="shared" si="3"/>
        <v>normal</v>
      </c>
      <c r="F93" s="35">
        <f t="shared" si="4"/>
        <v>182</v>
      </c>
      <c r="G93" s="35" t="e">
        <f t="shared" si="5"/>
        <v>#N/A</v>
      </c>
    </row>
    <row r="94" spans="1:7" x14ac:dyDescent="0.35">
      <c r="A94" s="65">
        <v>40547</v>
      </c>
      <c r="B94" s="62">
        <v>2</v>
      </c>
      <c r="C94" s="62">
        <v>110</v>
      </c>
      <c r="D94" s="63">
        <v>112</v>
      </c>
      <c r="E94" t="str">
        <f t="shared" si="3"/>
        <v>normal</v>
      </c>
      <c r="F94" s="35">
        <f t="shared" si="4"/>
        <v>112</v>
      </c>
      <c r="G94" s="35" t="e">
        <f t="shared" si="5"/>
        <v>#N/A</v>
      </c>
    </row>
    <row r="95" spans="1:7" x14ac:dyDescent="0.35">
      <c r="A95" s="64">
        <v>40547</v>
      </c>
      <c r="B95" s="60">
        <v>1</v>
      </c>
      <c r="C95" s="60">
        <v>53</v>
      </c>
      <c r="D95" s="61">
        <v>54</v>
      </c>
      <c r="E95" t="str">
        <f t="shared" si="3"/>
        <v>normal</v>
      </c>
      <c r="F95" s="35">
        <f t="shared" si="4"/>
        <v>54</v>
      </c>
      <c r="G95" s="35" t="e">
        <f t="shared" si="5"/>
        <v>#N/A</v>
      </c>
    </row>
    <row r="96" spans="1:7" x14ac:dyDescent="0.35">
      <c r="A96" s="65">
        <v>40547</v>
      </c>
      <c r="B96" s="62">
        <v>0</v>
      </c>
      <c r="C96" s="62">
        <v>48</v>
      </c>
      <c r="D96" s="63">
        <v>48</v>
      </c>
      <c r="E96" t="str">
        <f t="shared" si="3"/>
        <v>normal</v>
      </c>
      <c r="F96" s="35">
        <f t="shared" si="4"/>
        <v>48</v>
      </c>
      <c r="G96" s="35" t="e">
        <f t="shared" si="5"/>
        <v>#N/A</v>
      </c>
    </row>
    <row r="97" spans="1:7" x14ac:dyDescent="0.35">
      <c r="A97" s="64">
        <v>40547</v>
      </c>
      <c r="B97" s="60">
        <v>1</v>
      </c>
      <c r="C97" s="60">
        <v>34</v>
      </c>
      <c r="D97" s="61">
        <v>35</v>
      </c>
      <c r="E97" t="str">
        <f t="shared" si="3"/>
        <v>normal</v>
      </c>
      <c r="F97" s="35">
        <f t="shared" si="4"/>
        <v>35</v>
      </c>
      <c r="G97" s="35" t="e">
        <f t="shared" si="5"/>
        <v>#N/A</v>
      </c>
    </row>
    <row r="98" spans="1:7" x14ac:dyDescent="0.35">
      <c r="A98" s="65">
        <v>40547</v>
      </c>
      <c r="B98" s="62">
        <v>2</v>
      </c>
      <c r="C98" s="62">
        <v>9</v>
      </c>
      <c r="D98" s="63">
        <v>11</v>
      </c>
      <c r="E98" t="str">
        <f t="shared" si="3"/>
        <v>normal</v>
      </c>
      <c r="F98" s="35">
        <f t="shared" si="4"/>
        <v>11</v>
      </c>
      <c r="G98" s="35" t="e">
        <f t="shared" si="5"/>
        <v>#N/A</v>
      </c>
    </row>
    <row r="99" spans="1:7" x14ac:dyDescent="0.35">
      <c r="A99" s="64">
        <v>40548</v>
      </c>
      <c r="B99" s="60">
        <v>0</v>
      </c>
      <c r="C99" s="60">
        <v>6</v>
      </c>
      <c r="D99" s="61">
        <v>6</v>
      </c>
      <c r="E99" t="str">
        <f t="shared" si="3"/>
        <v>normal</v>
      </c>
      <c r="F99" s="35">
        <f t="shared" si="4"/>
        <v>6</v>
      </c>
      <c r="G99" s="35" t="e">
        <f t="shared" si="5"/>
        <v>#N/A</v>
      </c>
    </row>
    <row r="100" spans="1:7" x14ac:dyDescent="0.35">
      <c r="A100" s="65">
        <v>40548</v>
      </c>
      <c r="B100" s="62">
        <v>0</v>
      </c>
      <c r="C100" s="62">
        <v>6</v>
      </c>
      <c r="D100" s="63">
        <v>6</v>
      </c>
      <c r="E100" t="str">
        <f t="shared" si="3"/>
        <v>normal</v>
      </c>
      <c r="F100" s="35">
        <f t="shared" si="4"/>
        <v>6</v>
      </c>
      <c r="G100" s="35" t="e">
        <f t="shared" si="5"/>
        <v>#N/A</v>
      </c>
    </row>
    <row r="101" spans="1:7" x14ac:dyDescent="0.35">
      <c r="A101" s="64">
        <v>40548</v>
      </c>
      <c r="B101" s="60">
        <v>0</v>
      </c>
      <c r="C101" s="60">
        <v>2</v>
      </c>
      <c r="D101" s="61">
        <v>2</v>
      </c>
      <c r="E101" t="str">
        <f t="shared" si="3"/>
        <v>normal</v>
      </c>
      <c r="F101" s="35">
        <f t="shared" si="4"/>
        <v>2</v>
      </c>
      <c r="G101" s="35" t="e">
        <f t="shared" si="5"/>
        <v>#N/A</v>
      </c>
    </row>
    <row r="102" spans="1:7" x14ac:dyDescent="0.35">
      <c r="A102" s="65">
        <v>40548</v>
      </c>
      <c r="B102" s="62">
        <v>0</v>
      </c>
      <c r="C102" s="62">
        <v>2</v>
      </c>
      <c r="D102" s="63">
        <v>2</v>
      </c>
      <c r="E102" t="str">
        <f t="shared" si="3"/>
        <v>normal</v>
      </c>
      <c r="F102" s="35">
        <f t="shared" si="4"/>
        <v>2</v>
      </c>
      <c r="G102" s="35" t="e">
        <f t="shared" si="5"/>
        <v>#N/A</v>
      </c>
    </row>
    <row r="103" spans="1:7" x14ac:dyDescent="0.35">
      <c r="A103" s="64">
        <v>40548</v>
      </c>
      <c r="B103" s="60">
        <v>0</v>
      </c>
      <c r="C103" s="60">
        <v>3</v>
      </c>
      <c r="D103" s="61">
        <v>3</v>
      </c>
      <c r="E103" t="str">
        <f t="shared" si="3"/>
        <v>normal</v>
      </c>
      <c r="F103" s="35">
        <f t="shared" si="4"/>
        <v>3</v>
      </c>
      <c r="G103" s="35" t="e">
        <f t="shared" si="5"/>
        <v>#N/A</v>
      </c>
    </row>
    <row r="104" spans="1:7" x14ac:dyDescent="0.35">
      <c r="A104" s="65">
        <v>40548</v>
      </c>
      <c r="B104" s="62">
        <v>0</v>
      </c>
      <c r="C104" s="62">
        <v>33</v>
      </c>
      <c r="D104" s="63">
        <v>33</v>
      </c>
      <c r="E104" t="str">
        <f t="shared" si="3"/>
        <v>normal</v>
      </c>
      <c r="F104" s="35">
        <f t="shared" si="4"/>
        <v>33</v>
      </c>
      <c r="G104" s="35" t="e">
        <f t="shared" si="5"/>
        <v>#N/A</v>
      </c>
    </row>
    <row r="105" spans="1:7" x14ac:dyDescent="0.35">
      <c r="A105" s="64">
        <v>40548</v>
      </c>
      <c r="B105" s="60">
        <v>1</v>
      </c>
      <c r="C105" s="60">
        <v>87</v>
      </c>
      <c r="D105" s="61">
        <v>88</v>
      </c>
      <c r="E105" t="str">
        <f t="shared" si="3"/>
        <v>normal</v>
      </c>
      <c r="F105" s="35">
        <f t="shared" si="4"/>
        <v>88</v>
      </c>
      <c r="G105" s="35" t="e">
        <f t="shared" si="5"/>
        <v>#N/A</v>
      </c>
    </row>
    <row r="106" spans="1:7" x14ac:dyDescent="0.35">
      <c r="A106" s="65">
        <v>40548</v>
      </c>
      <c r="B106" s="62">
        <v>3</v>
      </c>
      <c r="C106" s="62">
        <v>192</v>
      </c>
      <c r="D106" s="63">
        <v>195</v>
      </c>
      <c r="E106" t="str">
        <f t="shared" si="3"/>
        <v>Anamoly</v>
      </c>
      <c r="F106" s="35" t="e">
        <f t="shared" si="4"/>
        <v>#N/A</v>
      </c>
      <c r="G106" s="35">
        <f t="shared" si="5"/>
        <v>195</v>
      </c>
    </row>
    <row r="107" spans="1:7" x14ac:dyDescent="0.35">
      <c r="A107" s="64">
        <v>40548</v>
      </c>
      <c r="B107" s="60">
        <v>6</v>
      </c>
      <c r="C107" s="60">
        <v>109</v>
      </c>
      <c r="D107" s="61">
        <v>115</v>
      </c>
      <c r="E107" t="str">
        <f t="shared" si="3"/>
        <v>normal</v>
      </c>
      <c r="F107" s="35">
        <f t="shared" si="4"/>
        <v>115</v>
      </c>
      <c r="G107" s="35" t="e">
        <f t="shared" si="5"/>
        <v>#N/A</v>
      </c>
    </row>
    <row r="108" spans="1:7" x14ac:dyDescent="0.35">
      <c r="A108" s="65">
        <v>40548</v>
      </c>
      <c r="B108" s="62">
        <v>4</v>
      </c>
      <c r="C108" s="62">
        <v>53</v>
      </c>
      <c r="D108" s="63">
        <v>57</v>
      </c>
      <c r="E108" t="str">
        <f t="shared" si="3"/>
        <v>normal</v>
      </c>
      <c r="F108" s="35">
        <f t="shared" si="4"/>
        <v>57</v>
      </c>
      <c r="G108" s="35" t="e">
        <f t="shared" si="5"/>
        <v>#N/A</v>
      </c>
    </row>
    <row r="109" spans="1:7" x14ac:dyDescent="0.35">
      <c r="A109" s="64">
        <v>40548</v>
      </c>
      <c r="B109" s="60">
        <v>12</v>
      </c>
      <c r="C109" s="60">
        <v>34</v>
      </c>
      <c r="D109" s="61">
        <v>46</v>
      </c>
      <c r="E109" t="str">
        <f t="shared" si="3"/>
        <v>normal</v>
      </c>
      <c r="F109" s="35">
        <f t="shared" si="4"/>
        <v>46</v>
      </c>
      <c r="G109" s="35" t="e">
        <f t="shared" si="5"/>
        <v>#N/A</v>
      </c>
    </row>
    <row r="110" spans="1:7" x14ac:dyDescent="0.35">
      <c r="A110" s="65">
        <v>40548</v>
      </c>
      <c r="B110" s="62">
        <v>5</v>
      </c>
      <c r="C110" s="62">
        <v>74</v>
      </c>
      <c r="D110" s="63">
        <v>79</v>
      </c>
      <c r="E110" t="str">
        <f t="shared" si="3"/>
        <v>normal</v>
      </c>
      <c r="F110" s="35">
        <f t="shared" si="4"/>
        <v>79</v>
      </c>
      <c r="G110" s="35" t="e">
        <f t="shared" si="5"/>
        <v>#N/A</v>
      </c>
    </row>
    <row r="111" spans="1:7" x14ac:dyDescent="0.35">
      <c r="A111" s="64">
        <v>40548</v>
      </c>
      <c r="B111" s="60">
        <v>6</v>
      </c>
      <c r="C111" s="60">
        <v>65</v>
      </c>
      <c r="D111" s="61">
        <v>71</v>
      </c>
      <c r="E111" t="str">
        <f t="shared" si="3"/>
        <v>normal</v>
      </c>
      <c r="F111" s="35">
        <f t="shared" si="4"/>
        <v>71</v>
      </c>
      <c r="G111" s="35" t="e">
        <f t="shared" si="5"/>
        <v>#N/A</v>
      </c>
    </row>
    <row r="112" spans="1:7" x14ac:dyDescent="0.35">
      <c r="A112" s="65">
        <v>40548</v>
      </c>
      <c r="B112" s="62">
        <v>10</v>
      </c>
      <c r="C112" s="62">
        <v>52</v>
      </c>
      <c r="D112" s="63">
        <v>62</v>
      </c>
      <c r="E112" t="str">
        <f t="shared" si="3"/>
        <v>normal</v>
      </c>
      <c r="F112" s="35">
        <f t="shared" si="4"/>
        <v>62</v>
      </c>
      <c r="G112" s="35" t="e">
        <f t="shared" si="5"/>
        <v>#N/A</v>
      </c>
    </row>
    <row r="113" spans="1:7" x14ac:dyDescent="0.35">
      <c r="A113" s="64">
        <v>40548</v>
      </c>
      <c r="B113" s="60">
        <v>7</v>
      </c>
      <c r="C113" s="60">
        <v>55</v>
      </c>
      <c r="D113" s="61">
        <v>62</v>
      </c>
      <c r="E113" t="str">
        <f t="shared" si="3"/>
        <v>normal</v>
      </c>
      <c r="F113" s="35">
        <f t="shared" si="4"/>
        <v>62</v>
      </c>
      <c r="G113" s="35" t="e">
        <f t="shared" si="5"/>
        <v>#N/A</v>
      </c>
    </row>
    <row r="114" spans="1:7" x14ac:dyDescent="0.35">
      <c r="A114" s="65">
        <v>40548</v>
      </c>
      <c r="B114" s="62">
        <v>4</v>
      </c>
      <c r="C114" s="62">
        <v>85</v>
      </c>
      <c r="D114" s="63">
        <v>89</v>
      </c>
      <c r="E114" t="str">
        <f t="shared" si="3"/>
        <v>normal</v>
      </c>
      <c r="F114" s="35">
        <f t="shared" si="4"/>
        <v>89</v>
      </c>
      <c r="G114" s="35" t="e">
        <f t="shared" si="5"/>
        <v>#N/A</v>
      </c>
    </row>
    <row r="115" spans="1:7" x14ac:dyDescent="0.35">
      <c r="A115" s="64">
        <v>40548</v>
      </c>
      <c r="B115" s="60">
        <v>4</v>
      </c>
      <c r="C115" s="60">
        <v>186</v>
      </c>
      <c r="D115" s="61">
        <v>190</v>
      </c>
      <c r="E115" t="str">
        <f t="shared" si="3"/>
        <v>Anamoly</v>
      </c>
      <c r="F115" s="35" t="e">
        <f t="shared" si="4"/>
        <v>#N/A</v>
      </c>
      <c r="G115" s="35">
        <f t="shared" si="5"/>
        <v>190</v>
      </c>
    </row>
    <row r="116" spans="1:7" x14ac:dyDescent="0.35">
      <c r="A116" s="65">
        <v>40548</v>
      </c>
      <c r="B116" s="62">
        <v>3</v>
      </c>
      <c r="C116" s="62">
        <v>166</v>
      </c>
      <c r="D116" s="63">
        <v>169</v>
      </c>
      <c r="E116" t="str">
        <f t="shared" si="3"/>
        <v>normal</v>
      </c>
      <c r="F116" s="35">
        <f t="shared" si="4"/>
        <v>169</v>
      </c>
      <c r="G116" s="35" t="e">
        <f t="shared" si="5"/>
        <v>#N/A</v>
      </c>
    </row>
    <row r="117" spans="1:7" x14ac:dyDescent="0.35">
      <c r="A117" s="64">
        <v>40548</v>
      </c>
      <c r="B117" s="60">
        <v>5</v>
      </c>
      <c r="C117" s="60">
        <v>127</v>
      </c>
      <c r="D117" s="61">
        <v>132</v>
      </c>
      <c r="E117" t="str">
        <f t="shared" si="3"/>
        <v>normal</v>
      </c>
      <c r="F117" s="35">
        <f t="shared" si="4"/>
        <v>132</v>
      </c>
      <c r="G117" s="35" t="e">
        <f t="shared" si="5"/>
        <v>#N/A</v>
      </c>
    </row>
    <row r="118" spans="1:7" x14ac:dyDescent="0.35">
      <c r="A118" s="65">
        <v>40548</v>
      </c>
      <c r="B118" s="62">
        <v>7</v>
      </c>
      <c r="C118" s="62">
        <v>82</v>
      </c>
      <c r="D118" s="63">
        <v>89</v>
      </c>
      <c r="E118" t="str">
        <f t="shared" si="3"/>
        <v>normal</v>
      </c>
      <c r="F118" s="35">
        <f t="shared" si="4"/>
        <v>89</v>
      </c>
      <c r="G118" s="35" t="e">
        <f t="shared" si="5"/>
        <v>#N/A</v>
      </c>
    </row>
    <row r="119" spans="1:7" x14ac:dyDescent="0.35">
      <c r="A119" s="64">
        <v>40548</v>
      </c>
      <c r="B119" s="60">
        <v>3</v>
      </c>
      <c r="C119" s="60">
        <v>40</v>
      </c>
      <c r="D119" s="61">
        <v>43</v>
      </c>
      <c r="E119" t="str">
        <f t="shared" si="3"/>
        <v>normal</v>
      </c>
      <c r="F119" s="35">
        <f t="shared" si="4"/>
        <v>43</v>
      </c>
      <c r="G119" s="35" t="e">
        <f t="shared" si="5"/>
        <v>#N/A</v>
      </c>
    </row>
    <row r="120" spans="1:7" x14ac:dyDescent="0.35">
      <c r="A120" s="65">
        <v>40548</v>
      </c>
      <c r="B120" s="62">
        <v>1</v>
      </c>
      <c r="C120" s="62">
        <v>41</v>
      </c>
      <c r="D120" s="63">
        <v>42</v>
      </c>
      <c r="E120" t="str">
        <f t="shared" si="3"/>
        <v>normal</v>
      </c>
      <c r="F120" s="35">
        <f t="shared" si="4"/>
        <v>42</v>
      </c>
      <c r="G120" s="35" t="e">
        <f t="shared" si="5"/>
        <v>#N/A</v>
      </c>
    </row>
    <row r="121" spans="1:7" x14ac:dyDescent="0.35">
      <c r="A121" s="64">
        <v>40548</v>
      </c>
      <c r="B121" s="60">
        <v>1</v>
      </c>
      <c r="C121" s="60">
        <v>18</v>
      </c>
      <c r="D121" s="61">
        <v>19</v>
      </c>
      <c r="E121" t="str">
        <f t="shared" si="3"/>
        <v>normal</v>
      </c>
      <c r="F121" s="35">
        <f t="shared" si="4"/>
        <v>19</v>
      </c>
      <c r="G121" s="35" t="e">
        <f t="shared" si="5"/>
        <v>#N/A</v>
      </c>
    </row>
    <row r="122" spans="1:7" x14ac:dyDescent="0.35">
      <c r="A122" s="65">
        <v>40549</v>
      </c>
      <c r="B122" s="62">
        <v>0</v>
      </c>
      <c r="C122" s="62">
        <v>11</v>
      </c>
      <c r="D122" s="63">
        <v>11</v>
      </c>
      <c r="E122" t="str">
        <f t="shared" si="3"/>
        <v>normal</v>
      </c>
      <c r="F122" s="35">
        <f t="shared" si="4"/>
        <v>11</v>
      </c>
      <c r="G122" s="35" t="e">
        <f t="shared" si="5"/>
        <v>#N/A</v>
      </c>
    </row>
    <row r="123" spans="1:7" x14ac:dyDescent="0.35">
      <c r="A123" s="64">
        <v>40549</v>
      </c>
      <c r="B123" s="60">
        <v>0</v>
      </c>
      <c r="C123" s="60">
        <v>4</v>
      </c>
      <c r="D123" s="61">
        <v>4</v>
      </c>
      <c r="E123" t="str">
        <f t="shared" si="3"/>
        <v>normal</v>
      </c>
      <c r="F123" s="35">
        <f t="shared" si="4"/>
        <v>4</v>
      </c>
      <c r="G123" s="35" t="e">
        <f t="shared" si="5"/>
        <v>#N/A</v>
      </c>
    </row>
    <row r="124" spans="1:7" x14ac:dyDescent="0.35">
      <c r="A124" s="65">
        <v>40549</v>
      </c>
      <c r="B124" s="62">
        <v>0</v>
      </c>
      <c r="C124" s="62">
        <v>2</v>
      </c>
      <c r="D124" s="63">
        <v>2</v>
      </c>
      <c r="E124" t="str">
        <f t="shared" si="3"/>
        <v>normal</v>
      </c>
      <c r="F124" s="35">
        <f t="shared" si="4"/>
        <v>2</v>
      </c>
      <c r="G124" s="35" t="e">
        <f t="shared" si="5"/>
        <v>#N/A</v>
      </c>
    </row>
    <row r="125" spans="1:7" x14ac:dyDescent="0.35">
      <c r="A125" s="64">
        <v>40549</v>
      </c>
      <c r="B125" s="60">
        <v>0</v>
      </c>
      <c r="C125" s="60">
        <v>1</v>
      </c>
      <c r="D125" s="61">
        <v>1</v>
      </c>
      <c r="E125" t="str">
        <f t="shared" si="3"/>
        <v>normal</v>
      </c>
      <c r="F125" s="35">
        <f t="shared" si="4"/>
        <v>1</v>
      </c>
      <c r="G125" s="35" t="e">
        <f t="shared" si="5"/>
        <v>#N/A</v>
      </c>
    </row>
    <row r="126" spans="1:7" x14ac:dyDescent="0.35">
      <c r="A126" s="65">
        <v>40549</v>
      </c>
      <c r="B126" s="62">
        <v>0</v>
      </c>
      <c r="C126" s="62">
        <v>4</v>
      </c>
      <c r="D126" s="63">
        <v>4</v>
      </c>
      <c r="E126" t="str">
        <f t="shared" si="3"/>
        <v>normal</v>
      </c>
      <c r="F126" s="35">
        <f t="shared" si="4"/>
        <v>4</v>
      </c>
      <c r="G126" s="35" t="e">
        <f t="shared" si="5"/>
        <v>#N/A</v>
      </c>
    </row>
    <row r="127" spans="1:7" x14ac:dyDescent="0.35">
      <c r="A127" s="64">
        <v>40549</v>
      </c>
      <c r="B127" s="60">
        <v>0</v>
      </c>
      <c r="C127" s="60">
        <v>36</v>
      </c>
      <c r="D127" s="61">
        <v>36</v>
      </c>
      <c r="E127" t="str">
        <f t="shared" si="3"/>
        <v>normal</v>
      </c>
      <c r="F127" s="35">
        <f t="shared" si="4"/>
        <v>36</v>
      </c>
      <c r="G127" s="35" t="e">
        <f t="shared" si="5"/>
        <v>#N/A</v>
      </c>
    </row>
    <row r="128" spans="1:7" x14ac:dyDescent="0.35">
      <c r="A128" s="65">
        <v>40549</v>
      </c>
      <c r="B128" s="62">
        <v>0</v>
      </c>
      <c r="C128" s="62">
        <v>95</v>
      </c>
      <c r="D128" s="63">
        <v>95</v>
      </c>
      <c r="E128" t="str">
        <f t="shared" si="3"/>
        <v>normal</v>
      </c>
      <c r="F128" s="35">
        <f t="shared" si="4"/>
        <v>95</v>
      </c>
      <c r="G128" s="35" t="e">
        <f t="shared" si="5"/>
        <v>#N/A</v>
      </c>
    </row>
    <row r="129" spans="1:7" x14ac:dyDescent="0.35">
      <c r="A129" s="64">
        <v>40549</v>
      </c>
      <c r="B129" s="60">
        <v>3</v>
      </c>
      <c r="C129" s="60">
        <v>216</v>
      </c>
      <c r="D129" s="61">
        <v>219</v>
      </c>
      <c r="E129" t="str">
        <f t="shared" si="3"/>
        <v>Anamoly</v>
      </c>
      <c r="F129" s="35" t="e">
        <f t="shared" si="4"/>
        <v>#N/A</v>
      </c>
      <c r="G129" s="35">
        <f t="shared" si="5"/>
        <v>219</v>
      </c>
    </row>
    <row r="130" spans="1:7" x14ac:dyDescent="0.35">
      <c r="A130" s="65">
        <v>40549</v>
      </c>
      <c r="B130" s="62">
        <v>6</v>
      </c>
      <c r="C130" s="62">
        <v>116</v>
      </c>
      <c r="D130" s="63">
        <v>122</v>
      </c>
      <c r="E130" t="str">
        <f t="shared" si="3"/>
        <v>normal</v>
      </c>
      <c r="F130" s="35">
        <f t="shared" si="4"/>
        <v>122</v>
      </c>
      <c r="G130" s="35" t="e">
        <f t="shared" si="5"/>
        <v>#N/A</v>
      </c>
    </row>
    <row r="131" spans="1:7" x14ac:dyDescent="0.35">
      <c r="A131" s="64">
        <v>40549</v>
      </c>
      <c r="B131" s="60">
        <v>3</v>
      </c>
      <c r="C131" s="60">
        <v>42</v>
      </c>
      <c r="D131" s="61">
        <v>45</v>
      </c>
      <c r="E131" t="str">
        <f t="shared" si="3"/>
        <v>normal</v>
      </c>
      <c r="F131" s="35">
        <f t="shared" si="4"/>
        <v>45</v>
      </c>
      <c r="G131" s="35" t="e">
        <f t="shared" si="5"/>
        <v>#N/A</v>
      </c>
    </row>
    <row r="132" spans="1:7" x14ac:dyDescent="0.35">
      <c r="A132" s="65">
        <v>40549</v>
      </c>
      <c r="B132" s="62">
        <v>2</v>
      </c>
      <c r="C132" s="62">
        <v>57</v>
      </c>
      <c r="D132" s="63">
        <v>59</v>
      </c>
      <c r="E132" t="str">
        <f t="shared" si="3"/>
        <v>normal</v>
      </c>
      <c r="F132" s="35">
        <f t="shared" si="4"/>
        <v>59</v>
      </c>
      <c r="G132" s="35" t="e">
        <f t="shared" si="5"/>
        <v>#N/A</v>
      </c>
    </row>
    <row r="133" spans="1:7" x14ac:dyDescent="0.35">
      <c r="A133" s="64">
        <v>40549</v>
      </c>
      <c r="B133" s="60">
        <v>6</v>
      </c>
      <c r="C133" s="60">
        <v>78</v>
      </c>
      <c r="D133" s="61">
        <v>84</v>
      </c>
      <c r="E133" t="str">
        <f t="shared" si="3"/>
        <v>normal</v>
      </c>
      <c r="F133" s="35">
        <f t="shared" si="4"/>
        <v>84</v>
      </c>
      <c r="G133" s="35" t="e">
        <f t="shared" si="5"/>
        <v>#N/A</v>
      </c>
    </row>
    <row r="134" spans="1:7" x14ac:dyDescent="0.35">
      <c r="A134" s="65">
        <v>40549</v>
      </c>
      <c r="B134" s="62">
        <v>12</v>
      </c>
      <c r="C134" s="62">
        <v>55</v>
      </c>
      <c r="D134" s="63">
        <v>67</v>
      </c>
      <c r="E134" t="str">
        <f t="shared" si="3"/>
        <v>normal</v>
      </c>
      <c r="F134" s="35">
        <f t="shared" si="4"/>
        <v>67</v>
      </c>
      <c r="G134" s="35" t="e">
        <f t="shared" si="5"/>
        <v>#N/A</v>
      </c>
    </row>
    <row r="135" spans="1:7" x14ac:dyDescent="0.35">
      <c r="A135" s="64">
        <v>40549</v>
      </c>
      <c r="B135" s="60">
        <v>11</v>
      </c>
      <c r="C135" s="60">
        <v>59</v>
      </c>
      <c r="D135" s="61">
        <v>70</v>
      </c>
      <c r="E135" t="str">
        <f t="shared" ref="E135:E198" si="6">IF(OR(D135&lt;$L$15,D135&gt;$L$16),"Anamoly","normal")</f>
        <v>normal</v>
      </c>
      <c r="F135" s="35">
        <f t="shared" si="4"/>
        <v>70</v>
      </c>
      <c r="G135" s="35" t="e">
        <f t="shared" si="5"/>
        <v>#N/A</v>
      </c>
    </row>
    <row r="136" spans="1:7" x14ac:dyDescent="0.35">
      <c r="A136" s="65">
        <v>40549</v>
      </c>
      <c r="B136" s="62">
        <v>8</v>
      </c>
      <c r="C136" s="62">
        <v>54</v>
      </c>
      <c r="D136" s="63">
        <v>62</v>
      </c>
      <c r="E136" t="str">
        <f t="shared" si="6"/>
        <v>normal</v>
      </c>
      <c r="F136" s="35">
        <f t="shared" ref="F136:F199" si="7">IF(E136="normal",D136,NA())</f>
        <v>62</v>
      </c>
      <c r="G136" s="35" t="e">
        <f t="shared" ref="G136:G199" si="8">IF(E136="anamoly",D136,NA())</f>
        <v>#N/A</v>
      </c>
    </row>
    <row r="137" spans="1:7" x14ac:dyDescent="0.35">
      <c r="A137" s="64">
        <v>40549</v>
      </c>
      <c r="B137" s="60">
        <v>12</v>
      </c>
      <c r="C137" s="60">
        <v>74</v>
      </c>
      <c r="D137" s="61">
        <v>86</v>
      </c>
      <c r="E137" t="str">
        <f t="shared" si="6"/>
        <v>normal</v>
      </c>
      <c r="F137" s="35">
        <f t="shared" si="7"/>
        <v>86</v>
      </c>
      <c r="G137" s="35" t="e">
        <f t="shared" si="8"/>
        <v>#N/A</v>
      </c>
    </row>
    <row r="138" spans="1:7" x14ac:dyDescent="0.35">
      <c r="A138" s="65">
        <v>40549</v>
      </c>
      <c r="B138" s="62">
        <v>9</v>
      </c>
      <c r="C138" s="62">
        <v>163</v>
      </c>
      <c r="D138" s="63">
        <v>172</v>
      </c>
      <c r="E138" t="str">
        <f t="shared" si="6"/>
        <v>normal</v>
      </c>
      <c r="F138" s="35">
        <f t="shared" si="7"/>
        <v>172</v>
      </c>
      <c r="G138" s="35" t="e">
        <f t="shared" si="8"/>
        <v>#N/A</v>
      </c>
    </row>
    <row r="139" spans="1:7" x14ac:dyDescent="0.35">
      <c r="A139" s="64">
        <v>40549</v>
      </c>
      <c r="B139" s="60">
        <v>5</v>
      </c>
      <c r="C139" s="60">
        <v>158</v>
      </c>
      <c r="D139" s="61">
        <v>163</v>
      </c>
      <c r="E139" t="str">
        <f t="shared" si="6"/>
        <v>normal</v>
      </c>
      <c r="F139" s="35">
        <f t="shared" si="7"/>
        <v>163</v>
      </c>
      <c r="G139" s="35" t="e">
        <f t="shared" si="8"/>
        <v>#N/A</v>
      </c>
    </row>
    <row r="140" spans="1:7" x14ac:dyDescent="0.35">
      <c r="A140" s="65">
        <v>40549</v>
      </c>
      <c r="B140" s="62">
        <v>3</v>
      </c>
      <c r="C140" s="62">
        <v>109</v>
      </c>
      <c r="D140" s="63">
        <v>112</v>
      </c>
      <c r="E140" t="str">
        <f t="shared" si="6"/>
        <v>normal</v>
      </c>
      <c r="F140" s="35">
        <f t="shared" si="7"/>
        <v>112</v>
      </c>
      <c r="G140" s="35" t="e">
        <f t="shared" si="8"/>
        <v>#N/A</v>
      </c>
    </row>
    <row r="141" spans="1:7" x14ac:dyDescent="0.35">
      <c r="A141" s="64">
        <v>40549</v>
      </c>
      <c r="B141" s="60">
        <v>3</v>
      </c>
      <c r="C141" s="60">
        <v>66</v>
      </c>
      <c r="D141" s="61">
        <v>69</v>
      </c>
      <c r="E141" t="str">
        <f t="shared" si="6"/>
        <v>normal</v>
      </c>
      <c r="F141" s="35">
        <f t="shared" si="7"/>
        <v>69</v>
      </c>
      <c r="G141" s="35" t="e">
        <f t="shared" si="8"/>
        <v>#N/A</v>
      </c>
    </row>
    <row r="142" spans="1:7" x14ac:dyDescent="0.35">
      <c r="A142" s="65">
        <v>40549</v>
      </c>
      <c r="B142" s="62">
        <v>0</v>
      </c>
      <c r="C142" s="62">
        <v>48</v>
      </c>
      <c r="D142" s="63">
        <v>48</v>
      </c>
      <c r="E142" t="str">
        <f t="shared" si="6"/>
        <v>normal</v>
      </c>
      <c r="F142" s="35">
        <f t="shared" si="7"/>
        <v>48</v>
      </c>
      <c r="G142" s="35" t="e">
        <f t="shared" si="8"/>
        <v>#N/A</v>
      </c>
    </row>
    <row r="143" spans="1:7" x14ac:dyDescent="0.35">
      <c r="A143" s="64">
        <v>40549</v>
      </c>
      <c r="B143" s="60">
        <v>1</v>
      </c>
      <c r="C143" s="60">
        <v>51</v>
      </c>
      <c r="D143" s="61">
        <v>52</v>
      </c>
      <c r="E143" t="str">
        <f t="shared" si="6"/>
        <v>normal</v>
      </c>
      <c r="F143" s="35">
        <f t="shared" si="7"/>
        <v>52</v>
      </c>
      <c r="G143" s="35" t="e">
        <f t="shared" si="8"/>
        <v>#N/A</v>
      </c>
    </row>
    <row r="144" spans="1:7" x14ac:dyDescent="0.35">
      <c r="A144" s="65">
        <v>40549</v>
      </c>
      <c r="B144" s="62">
        <v>4</v>
      </c>
      <c r="C144" s="62">
        <v>19</v>
      </c>
      <c r="D144" s="63">
        <v>23</v>
      </c>
      <c r="E144" t="str">
        <f t="shared" si="6"/>
        <v>normal</v>
      </c>
      <c r="F144" s="35">
        <f t="shared" si="7"/>
        <v>23</v>
      </c>
      <c r="G144" s="35" t="e">
        <f t="shared" si="8"/>
        <v>#N/A</v>
      </c>
    </row>
    <row r="145" spans="1:7" x14ac:dyDescent="0.35">
      <c r="A145" s="64">
        <v>40550</v>
      </c>
      <c r="B145" s="60">
        <v>4</v>
      </c>
      <c r="C145" s="60">
        <v>13</v>
      </c>
      <c r="D145" s="61">
        <v>17</v>
      </c>
      <c r="E145" t="str">
        <f t="shared" si="6"/>
        <v>normal</v>
      </c>
      <c r="F145" s="35">
        <f t="shared" si="7"/>
        <v>17</v>
      </c>
      <c r="G145" s="35" t="e">
        <f t="shared" si="8"/>
        <v>#N/A</v>
      </c>
    </row>
    <row r="146" spans="1:7" x14ac:dyDescent="0.35">
      <c r="A146" s="65">
        <v>40550</v>
      </c>
      <c r="B146" s="62">
        <v>2</v>
      </c>
      <c r="C146" s="62">
        <v>5</v>
      </c>
      <c r="D146" s="63">
        <v>7</v>
      </c>
      <c r="E146" t="str">
        <f t="shared" si="6"/>
        <v>normal</v>
      </c>
      <c r="F146" s="35">
        <f t="shared" si="7"/>
        <v>7</v>
      </c>
      <c r="G146" s="35" t="e">
        <f t="shared" si="8"/>
        <v>#N/A</v>
      </c>
    </row>
    <row r="147" spans="1:7" x14ac:dyDescent="0.35">
      <c r="A147" s="64">
        <v>40550</v>
      </c>
      <c r="B147" s="60">
        <v>0</v>
      </c>
      <c r="C147" s="60">
        <v>1</v>
      </c>
      <c r="D147" s="61">
        <v>1</v>
      </c>
      <c r="E147" t="str">
        <f t="shared" si="6"/>
        <v>normal</v>
      </c>
      <c r="F147" s="35">
        <f t="shared" si="7"/>
        <v>1</v>
      </c>
      <c r="G147" s="35" t="e">
        <f t="shared" si="8"/>
        <v>#N/A</v>
      </c>
    </row>
    <row r="148" spans="1:7" x14ac:dyDescent="0.35">
      <c r="A148" s="65">
        <v>40550</v>
      </c>
      <c r="B148" s="62">
        <v>0</v>
      </c>
      <c r="C148" s="62">
        <v>1</v>
      </c>
      <c r="D148" s="63">
        <v>1</v>
      </c>
      <c r="E148" t="str">
        <f t="shared" si="6"/>
        <v>normal</v>
      </c>
      <c r="F148" s="35">
        <f t="shared" si="7"/>
        <v>1</v>
      </c>
      <c r="G148" s="35" t="e">
        <f t="shared" si="8"/>
        <v>#N/A</v>
      </c>
    </row>
    <row r="149" spans="1:7" x14ac:dyDescent="0.35">
      <c r="A149" s="64">
        <v>40550</v>
      </c>
      <c r="B149" s="60">
        <v>0</v>
      </c>
      <c r="C149" s="60">
        <v>5</v>
      </c>
      <c r="D149" s="61">
        <v>5</v>
      </c>
      <c r="E149" t="str">
        <f t="shared" si="6"/>
        <v>normal</v>
      </c>
      <c r="F149" s="35">
        <f t="shared" si="7"/>
        <v>5</v>
      </c>
      <c r="G149" s="35" t="e">
        <f t="shared" si="8"/>
        <v>#N/A</v>
      </c>
    </row>
    <row r="150" spans="1:7" x14ac:dyDescent="0.35">
      <c r="A150" s="65">
        <v>40550</v>
      </c>
      <c r="B150" s="62">
        <v>8</v>
      </c>
      <c r="C150" s="62">
        <v>26</v>
      </c>
      <c r="D150" s="63">
        <v>34</v>
      </c>
      <c r="E150" t="str">
        <f t="shared" si="6"/>
        <v>normal</v>
      </c>
      <c r="F150" s="35">
        <f t="shared" si="7"/>
        <v>34</v>
      </c>
      <c r="G150" s="35" t="e">
        <f t="shared" si="8"/>
        <v>#N/A</v>
      </c>
    </row>
    <row r="151" spans="1:7" x14ac:dyDescent="0.35">
      <c r="A151" s="64">
        <v>40550</v>
      </c>
      <c r="B151" s="60">
        <v>8</v>
      </c>
      <c r="C151" s="60">
        <v>76</v>
      </c>
      <c r="D151" s="61">
        <v>84</v>
      </c>
      <c r="E151" t="str">
        <f t="shared" si="6"/>
        <v>normal</v>
      </c>
      <c r="F151" s="35">
        <f t="shared" si="7"/>
        <v>84</v>
      </c>
      <c r="G151" s="35" t="e">
        <f t="shared" si="8"/>
        <v>#N/A</v>
      </c>
    </row>
    <row r="152" spans="1:7" x14ac:dyDescent="0.35">
      <c r="A152" s="65">
        <v>40550</v>
      </c>
      <c r="B152" s="62">
        <v>20</v>
      </c>
      <c r="C152" s="62">
        <v>190</v>
      </c>
      <c r="D152" s="63">
        <v>210</v>
      </c>
      <c r="E152" t="str">
        <f t="shared" si="6"/>
        <v>Anamoly</v>
      </c>
      <c r="F152" s="35" t="e">
        <f t="shared" si="7"/>
        <v>#N/A</v>
      </c>
      <c r="G152" s="35">
        <f t="shared" si="8"/>
        <v>210</v>
      </c>
    </row>
    <row r="153" spans="1:7" x14ac:dyDescent="0.35">
      <c r="A153" s="64">
        <v>40550</v>
      </c>
      <c r="B153" s="60">
        <v>9</v>
      </c>
      <c r="C153" s="60">
        <v>125</v>
      </c>
      <c r="D153" s="61">
        <v>134</v>
      </c>
      <c r="E153" t="str">
        <f t="shared" si="6"/>
        <v>normal</v>
      </c>
      <c r="F153" s="35">
        <f t="shared" si="7"/>
        <v>134</v>
      </c>
      <c r="G153" s="35" t="e">
        <f t="shared" si="8"/>
        <v>#N/A</v>
      </c>
    </row>
    <row r="154" spans="1:7" x14ac:dyDescent="0.35">
      <c r="A154" s="65">
        <v>40550</v>
      </c>
      <c r="B154" s="62">
        <v>16</v>
      </c>
      <c r="C154" s="62">
        <v>47</v>
      </c>
      <c r="D154" s="63">
        <v>63</v>
      </c>
      <c r="E154" t="str">
        <f t="shared" si="6"/>
        <v>normal</v>
      </c>
      <c r="F154" s="35">
        <f t="shared" si="7"/>
        <v>63</v>
      </c>
      <c r="G154" s="35" t="e">
        <f t="shared" si="8"/>
        <v>#N/A</v>
      </c>
    </row>
    <row r="155" spans="1:7" x14ac:dyDescent="0.35">
      <c r="A155" s="64">
        <v>40550</v>
      </c>
      <c r="B155" s="60">
        <v>19</v>
      </c>
      <c r="C155" s="60">
        <v>48</v>
      </c>
      <c r="D155" s="61">
        <v>67</v>
      </c>
      <c r="E155" t="str">
        <f t="shared" si="6"/>
        <v>normal</v>
      </c>
      <c r="F155" s="35">
        <f t="shared" si="7"/>
        <v>67</v>
      </c>
      <c r="G155" s="35" t="e">
        <f t="shared" si="8"/>
        <v>#N/A</v>
      </c>
    </row>
    <row r="156" spans="1:7" x14ac:dyDescent="0.35">
      <c r="A156" s="65">
        <v>40550</v>
      </c>
      <c r="B156" s="62">
        <v>9</v>
      </c>
      <c r="C156" s="62">
        <v>50</v>
      </c>
      <c r="D156" s="63">
        <v>59</v>
      </c>
      <c r="E156" t="str">
        <f t="shared" si="6"/>
        <v>normal</v>
      </c>
      <c r="F156" s="35">
        <f t="shared" si="7"/>
        <v>59</v>
      </c>
      <c r="G156" s="35" t="e">
        <f t="shared" si="8"/>
        <v>#N/A</v>
      </c>
    </row>
    <row r="157" spans="1:7" x14ac:dyDescent="0.35">
      <c r="A157" s="64">
        <v>40550</v>
      </c>
      <c r="B157" s="60">
        <v>9</v>
      </c>
      <c r="C157" s="60">
        <v>64</v>
      </c>
      <c r="D157" s="61">
        <v>73</v>
      </c>
      <c r="E157" t="str">
        <f t="shared" si="6"/>
        <v>normal</v>
      </c>
      <c r="F157" s="35">
        <f t="shared" si="7"/>
        <v>73</v>
      </c>
      <c r="G157" s="35" t="e">
        <f t="shared" si="8"/>
        <v>#N/A</v>
      </c>
    </row>
    <row r="158" spans="1:7" x14ac:dyDescent="0.35">
      <c r="A158" s="65">
        <v>40550</v>
      </c>
      <c r="B158" s="62">
        <v>7</v>
      </c>
      <c r="C158" s="62">
        <v>43</v>
      </c>
      <c r="D158" s="63">
        <v>50</v>
      </c>
      <c r="E158" t="str">
        <f t="shared" si="6"/>
        <v>normal</v>
      </c>
      <c r="F158" s="35">
        <f t="shared" si="7"/>
        <v>50</v>
      </c>
      <c r="G158" s="35" t="e">
        <f t="shared" si="8"/>
        <v>#N/A</v>
      </c>
    </row>
    <row r="159" spans="1:7" x14ac:dyDescent="0.35">
      <c r="A159" s="64">
        <v>40550</v>
      </c>
      <c r="B159" s="60">
        <v>9</v>
      </c>
      <c r="C159" s="60">
        <v>63</v>
      </c>
      <c r="D159" s="61">
        <v>72</v>
      </c>
      <c r="E159" t="str">
        <f t="shared" si="6"/>
        <v>normal</v>
      </c>
      <c r="F159" s="35">
        <f t="shared" si="7"/>
        <v>72</v>
      </c>
      <c r="G159" s="35" t="e">
        <f t="shared" si="8"/>
        <v>#N/A</v>
      </c>
    </row>
    <row r="160" spans="1:7" x14ac:dyDescent="0.35">
      <c r="A160" s="65">
        <v>40550</v>
      </c>
      <c r="B160" s="62">
        <v>5</v>
      </c>
      <c r="C160" s="62">
        <v>82</v>
      </c>
      <c r="D160" s="63">
        <v>87</v>
      </c>
      <c r="E160" t="str">
        <f t="shared" si="6"/>
        <v>normal</v>
      </c>
      <c r="F160" s="35">
        <f t="shared" si="7"/>
        <v>87</v>
      </c>
      <c r="G160" s="35" t="e">
        <f t="shared" si="8"/>
        <v>#N/A</v>
      </c>
    </row>
    <row r="161" spans="1:7" x14ac:dyDescent="0.35">
      <c r="A161" s="64">
        <v>40550</v>
      </c>
      <c r="B161" s="60">
        <v>9</v>
      </c>
      <c r="C161" s="60">
        <v>178</v>
      </c>
      <c r="D161" s="61">
        <v>187</v>
      </c>
      <c r="E161" t="str">
        <f t="shared" si="6"/>
        <v>Anamoly</v>
      </c>
      <c r="F161" s="35" t="e">
        <f t="shared" si="7"/>
        <v>#N/A</v>
      </c>
      <c r="G161" s="35">
        <f t="shared" si="8"/>
        <v>187</v>
      </c>
    </row>
    <row r="162" spans="1:7" x14ac:dyDescent="0.35">
      <c r="A162" s="65">
        <v>40550</v>
      </c>
      <c r="B162" s="62">
        <v>7</v>
      </c>
      <c r="C162" s="62">
        <v>116</v>
      </c>
      <c r="D162" s="63">
        <v>123</v>
      </c>
      <c r="E162" t="str">
        <f t="shared" si="6"/>
        <v>normal</v>
      </c>
      <c r="F162" s="35">
        <f t="shared" si="7"/>
        <v>123</v>
      </c>
      <c r="G162" s="35" t="e">
        <f t="shared" si="8"/>
        <v>#N/A</v>
      </c>
    </row>
    <row r="163" spans="1:7" x14ac:dyDescent="0.35">
      <c r="A163" s="64">
        <v>40550</v>
      </c>
      <c r="B163" s="60">
        <v>3</v>
      </c>
      <c r="C163" s="60">
        <v>92</v>
      </c>
      <c r="D163" s="61">
        <v>95</v>
      </c>
      <c r="E163" t="str">
        <f t="shared" si="6"/>
        <v>normal</v>
      </c>
      <c r="F163" s="35">
        <f t="shared" si="7"/>
        <v>95</v>
      </c>
      <c r="G163" s="35" t="e">
        <f t="shared" si="8"/>
        <v>#N/A</v>
      </c>
    </row>
    <row r="164" spans="1:7" x14ac:dyDescent="0.35">
      <c r="A164" s="65">
        <v>40550</v>
      </c>
      <c r="B164" s="62">
        <v>1</v>
      </c>
      <c r="C164" s="62">
        <v>50</v>
      </c>
      <c r="D164" s="63">
        <v>51</v>
      </c>
      <c r="E164" t="str">
        <f t="shared" si="6"/>
        <v>normal</v>
      </c>
      <c r="F164" s="35">
        <f t="shared" si="7"/>
        <v>51</v>
      </c>
      <c r="G164" s="35" t="e">
        <f t="shared" si="8"/>
        <v>#N/A</v>
      </c>
    </row>
    <row r="165" spans="1:7" x14ac:dyDescent="0.35">
      <c r="A165" s="64">
        <v>40550</v>
      </c>
      <c r="B165" s="60">
        <v>0</v>
      </c>
      <c r="C165" s="60">
        <v>39</v>
      </c>
      <c r="D165" s="61">
        <v>39</v>
      </c>
      <c r="E165" t="str">
        <f t="shared" si="6"/>
        <v>normal</v>
      </c>
      <c r="F165" s="35">
        <f t="shared" si="7"/>
        <v>39</v>
      </c>
      <c r="G165" s="35" t="e">
        <f t="shared" si="8"/>
        <v>#N/A</v>
      </c>
    </row>
    <row r="166" spans="1:7" x14ac:dyDescent="0.35">
      <c r="A166" s="65">
        <v>40550</v>
      </c>
      <c r="B166" s="62">
        <v>2</v>
      </c>
      <c r="C166" s="62">
        <v>34</v>
      </c>
      <c r="D166" s="63">
        <v>36</v>
      </c>
      <c r="E166" t="str">
        <f t="shared" si="6"/>
        <v>normal</v>
      </c>
      <c r="F166" s="35">
        <f t="shared" si="7"/>
        <v>36</v>
      </c>
      <c r="G166" s="35" t="e">
        <f t="shared" si="8"/>
        <v>#N/A</v>
      </c>
    </row>
    <row r="167" spans="1:7" x14ac:dyDescent="0.35">
      <c r="A167" s="64">
        <v>40550</v>
      </c>
      <c r="B167" s="60">
        <v>1</v>
      </c>
      <c r="C167" s="60">
        <v>14</v>
      </c>
      <c r="D167" s="61">
        <v>15</v>
      </c>
      <c r="E167" t="str">
        <f t="shared" si="6"/>
        <v>normal</v>
      </c>
      <c r="F167" s="35">
        <f t="shared" si="7"/>
        <v>15</v>
      </c>
      <c r="G167" s="35" t="e">
        <f t="shared" si="8"/>
        <v>#N/A</v>
      </c>
    </row>
    <row r="168" spans="1:7" x14ac:dyDescent="0.35">
      <c r="A168" s="65">
        <v>40551</v>
      </c>
      <c r="B168" s="62">
        <v>1</v>
      </c>
      <c r="C168" s="62">
        <v>24</v>
      </c>
      <c r="D168" s="63">
        <v>25</v>
      </c>
      <c r="E168" t="str">
        <f t="shared" si="6"/>
        <v>normal</v>
      </c>
      <c r="F168" s="35">
        <f t="shared" si="7"/>
        <v>25</v>
      </c>
      <c r="G168" s="35" t="e">
        <f t="shared" si="8"/>
        <v>#N/A</v>
      </c>
    </row>
    <row r="169" spans="1:7" x14ac:dyDescent="0.35">
      <c r="A169" s="64">
        <v>40551</v>
      </c>
      <c r="B169" s="60">
        <v>1</v>
      </c>
      <c r="C169" s="60">
        <v>15</v>
      </c>
      <c r="D169" s="61">
        <v>16</v>
      </c>
      <c r="E169" t="str">
        <f t="shared" si="6"/>
        <v>normal</v>
      </c>
      <c r="F169" s="35">
        <f t="shared" si="7"/>
        <v>16</v>
      </c>
      <c r="G169" s="35" t="e">
        <f t="shared" si="8"/>
        <v>#N/A</v>
      </c>
    </row>
    <row r="170" spans="1:7" x14ac:dyDescent="0.35">
      <c r="A170" s="65">
        <v>40551</v>
      </c>
      <c r="B170" s="62">
        <v>3</v>
      </c>
      <c r="C170" s="62">
        <v>13</v>
      </c>
      <c r="D170" s="63">
        <v>16</v>
      </c>
      <c r="E170" t="str">
        <f t="shared" si="6"/>
        <v>normal</v>
      </c>
      <c r="F170" s="35">
        <f t="shared" si="7"/>
        <v>16</v>
      </c>
      <c r="G170" s="35" t="e">
        <f t="shared" si="8"/>
        <v>#N/A</v>
      </c>
    </row>
    <row r="171" spans="1:7" x14ac:dyDescent="0.35">
      <c r="A171" s="64">
        <v>40551</v>
      </c>
      <c r="B171" s="60">
        <v>0</v>
      </c>
      <c r="C171" s="60">
        <v>7</v>
      </c>
      <c r="D171" s="61">
        <v>7</v>
      </c>
      <c r="E171" t="str">
        <f t="shared" si="6"/>
        <v>normal</v>
      </c>
      <c r="F171" s="35">
        <f t="shared" si="7"/>
        <v>7</v>
      </c>
      <c r="G171" s="35" t="e">
        <f t="shared" si="8"/>
        <v>#N/A</v>
      </c>
    </row>
    <row r="172" spans="1:7" x14ac:dyDescent="0.35">
      <c r="A172" s="65">
        <v>40551</v>
      </c>
      <c r="B172" s="62">
        <v>0</v>
      </c>
      <c r="C172" s="62">
        <v>1</v>
      </c>
      <c r="D172" s="63">
        <v>1</v>
      </c>
      <c r="E172" t="str">
        <f t="shared" si="6"/>
        <v>normal</v>
      </c>
      <c r="F172" s="35">
        <f t="shared" si="7"/>
        <v>1</v>
      </c>
      <c r="G172" s="35" t="e">
        <f t="shared" si="8"/>
        <v>#N/A</v>
      </c>
    </row>
    <row r="173" spans="1:7" x14ac:dyDescent="0.35">
      <c r="A173" s="64">
        <v>40551</v>
      </c>
      <c r="B173" s="60">
        <v>0</v>
      </c>
      <c r="C173" s="60">
        <v>5</v>
      </c>
      <c r="D173" s="61">
        <v>5</v>
      </c>
      <c r="E173" t="str">
        <f t="shared" si="6"/>
        <v>normal</v>
      </c>
      <c r="F173" s="35">
        <f t="shared" si="7"/>
        <v>5</v>
      </c>
      <c r="G173" s="35" t="e">
        <f t="shared" si="8"/>
        <v>#N/A</v>
      </c>
    </row>
    <row r="174" spans="1:7" x14ac:dyDescent="0.35">
      <c r="A174" s="65">
        <v>40551</v>
      </c>
      <c r="B174" s="62">
        <v>0</v>
      </c>
      <c r="C174" s="62">
        <v>2</v>
      </c>
      <c r="D174" s="63">
        <v>2</v>
      </c>
      <c r="E174" t="str">
        <f t="shared" si="6"/>
        <v>normal</v>
      </c>
      <c r="F174" s="35">
        <f t="shared" si="7"/>
        <v>2</v>
      </c>
      <c r="G174" s="35" t="e">
        <f t="shared" si="8"/>
        <v>#N/A</v>
      </c>
    </row>
    <row r="175" spans="1:7" x14ac:dyDescent="0.35">
      <c r="A175" s="64">
        <v>40551</v>
      </c>
      <c r="B175" s="60">
        <v>1</v>
      </c>
      <c r="C175" s="60">
        <v>8</v>
      </c>
      <c r="D175" s="61">
        <v>9</v>
      </c>
      <c r="E175" t="str">
        <f t="shared" si="6"/>
        <v>normal</v>
      </c>
      <c r="F175" s="35">
        <f t="shared" si="7"/>
        <v>9</v>
      </c>
      <c r="G175" s="35" t="e">
        <f t="shared" si="8"/>
        <v>#N/A</v>
      </c>
    </row>
    <row r="176" spans="1:7" x14ac:dyDescent="0.35">
      <c r="A176" s="65">
        <v>40551</v>
      </c>
      <c r="B176" s="62">
        <v>0</v>
      </c>
      <c r="C176" s="62">
        <v>15</v>
      </c>
      <c r="D176" s="63">
        <v>15</v>
      </c>
      <c r="E176" t="str">
        <f t="shared" si="6"/>
        <v>normal</v>
      </c>
      <c r="F176" s="35">
        <f t="shared" si="7"/>
        <v>15</v>
      </c>
      <c r="G176" s="35" t="e">
        <f t="shared" si="8"/>
        <v>#N/A</v>
      </c>
    </row>
    <row r="177" spans="1:7" x14ac:dyDescent="0.35">
      <c r="A177" s="64">
        <v>40551</v>
      </c>
      <c r="B177" s="60">
        <v>0</v>
      </c>
      <c r="C177" s="60">
        <v>20</v>
      </c>
      <c r="D177" s="61">
        <v>20</v>
      </c>
      <c r="E177" t="str">
        <f t="shared" si="6"/>
        <v>normal</v>
      </c>
      <c r="F177" s="35">
        <f t="shared" si="7"/>
        <v>20</v>
      </c>
      <c r="G177" s="35" t="e">
        <f t="shared" si="8"/>
        <v>#N/A</v>
      </c>
    </row>
    <row r="178" spans="1:7" x14ac:dyDescent="0.35">
      <c r="A178" s="65">
        <v>40551</v>
      </c>
      <c r="B178" s="62">
        <v>5</v>
      </c>
      <c r="C178" s="62">
        <v>56</v>
      </c>
      <c r="D178" s="63">
        <v>61</v>
      </c>
      <c r="E178" t="str">
        <f t="shared" si="6"/>
        <v>normal</v>
      </c>
      <c r="F178" s="35">
        <f t="shared" si="7"/>
        <v>61</v>
      </c>
      <c r="G178" s="35" t="e">
        <f t="shared" si="8"/>
        <v>#N/A</v>
      </c>
    </row>
    <row r="179" spans="1:7" x14ac:dyDescent="0.35">
      <c r="A179" s="64">
        <v>40551</v>
      </c>
      <c r="B179" s="60">
        <v>2</v>
      </c>
      <c r="C179" s="60">
        <v>60</v>
      </c>
      <c r="D179" s="61">
        <v>62</v>
      </c>
      <c r="E179" t="str">
        <f t="shared" si="6"/>
        <v>normal</v>
      </c>
      <c r="F179" s="35">
        <f t="shared" si="7"/>
        <v>62</v>
      </c>
      <c r="G179" s="35" t="e">
        <f t="shared" si="8"/>
        <v>#N/A</v>
      </c>
    </row>
    <row r="180" spans="1:7" x14ac:dyDescent="0.35">
      <c r="A180" s="65">
        <v>40551</v>
      </c>
      <c r="B180" s="62">
        <v>8</v>
      </c>
      <c r="C180" s="62">
        <v>90</v>
      </c>
      <c r="D180" s="63">
        <v>98</v>
      </c>
      <c r="E180" t="str">
        <f t="shared" si="6"/>
        <v>normal</v>
      </c>
      <c r="F180" s="35">
        <f t="shared" si="7"/>
        <v>98</v>
      </c>
      <c r="G180" s="35" t="e">
        <f t="shared" si="8"/>
        <v>#N/A</v>
      </c>
    </row>
    <row r="181" spans="1:7" x14ac:dyDescent="0.35">
      <c r="A181" s="64">
        <v>40551</v>
      </c>
      <c r="B181" s="60">
        <v>7</v>
      </c>
      <c r="C181" s="60">
        <v>95</v>
      </c>
      <c r="D181" s="61">
        <v>102</v>
      </c>
      <c r="E181" t="str">
        <f t="shared" si="6"/>
        <v>normal</v>
      </c>
      <c r="F181" s="35">
        <f t="shared" si="7"/>
        <v>102</v>
      </c>
      <c r="G181" s="35" t="e">
        <f t="shared" si="8"/>
        <v>#N/A</v>
      </c>
    </row>
    <row r="182" spans="1:7" x14ac:dyDescent="0.35">
      <c r="A182" s="65">
        <v>40551</v>
      </c>
      <c r="B182" s="62">
        <v>12</v>
      </c>
      <c r="C182" s="62">
        <v>83</v>
      </c>
      <c r="D182" s="63">
        <v>95</v>
      </c>
      <c r="E182" t="str">
        <f t="shared" si="6"/>
        <v>normal</v>
      </c>
      <c r="F182" s="35">
        <f t="shared" si="7"/>
        <v>95</v>
      </c>
      <c r="G182" s="35" t="e">
        <f t="shared" si="8"/>
        <v>#N/A</v>
      </c>
    </row>
    <row r="183" spans="1:7" x14ac:dyDescent="0.35">
      <c r="A183" s="64">
        <v>40551</v>
      </c>
      <c r="B183" s="60">
        <v>5</v>
      </c>
      <c r="C183" s="60">
        <v>69</v>
      </c>
      <c r="D183" s="61">
        <v>74</v>
      </c>
      <c r="E183" t="str">
        <f t="shared" si="6"/>
        <v>normal</v>
      </c>
      <c r="F183" s="35">
        <f t="shared" si="7"/>
        <v>74</v>
      </c>
      <c r="G183" s="35" t="e">
        <f t="shared" si="8"/>
        <v>#N/A</v>
      </c>
    </row>
    <row r="184" spans="1:7" x14ac:dyDescent="0.35">
      <c r="A184" s="65">
        <v>40551</v>
      </c>
      <c r="B184" s="62">
        <v>8</v>
      </c>
      <c r="C184" s="62">
        <v>68</v>
      </c>
      <c r="D184" s="63">
        <v>76</v>
      </c>
      <c r="E184" t="str">
        <f t="shared" si="6"/>
        <v>normal</v>
      </c>
      <c r="F184" s="35">
        <f t="shared" si="7"/>
        <v>76</v>
      </c>
      <c r="G184" s="35" t="e">
        <f t="shared" si="8"/>
        <v>#N/A</v>
      </c>
    </row>
    <row r="185" spans="1:7" x14ac:dyDescent="0.35">
      <c r="A185" s="64">
        <v>40551</v>
      </c>
      <c r="B185" s="60">
        <v>5</v>
      </c>
      <c r="C185" s="60">
        <v>64</v>
      </c>
      <c r="D185" s="61">
        <v>69</v>
      </c>
      <c r="E185" t="str">
        <f t="shared" si="6"/>
        <v>normal</v>
      </c>
      <c r="F185" s="35">
        <f t="shared" si="7"/>
        <v>69</v>
      </c>
      <c r="G185" s="35" t="e">
        <f t="shared" si="8"/>
        <v>#N/A</v>
      </c>
    </row>
    <row r="186" spans="1:7" x14ac:dyDescent="0.35">
      <c r="A186" s="65">
        <v>40551</v>
      </c>
      <c r="B186" s="62">
        <v>3</v>
      </c>
      <c r="C186" s="62">
        <v>52</v>
      </c>
      <c r="D186" s="63">
        <v>55</v>
      </c>
      <c r="E186" t="str">
        <f t="shared" si="6"/>
        <v>normal</v>
      </c>
      <c r="F186" s="35">
        <f t="shared" si="7"/>
        <v>55</v>
      </c>
      <c r="G186" s="35" t="e">
        <f t="shared" si="8"/>
        <v>#N/A</v>
      </c>
    </row>
    <row r="187" spans="1:7" x14ac:dyDescent="0.35">
      <c r="A187" s="64">
        <v>40551</v>
      </c>
      <c r="B187" s="60">
        <v>4</v>
      </c>
      <c r="C187" s="60">
        <v>26</v>
      </c>
      <c r="D187" s="61">
        <v>30</v>
      </c>
      <c r="E187" t="str">
        <f t="shared" si="6"/>
        <v>normal</v>
      </c>
      <c r="F187" s="35">
        <f t="shared" si="7"/>
        <v>30</v>
      </c>
      <c r="G187" s="35" t="e">
        <f t="shared" si="8"/>
        <v>#N/A</v>
      </c>
    </row>
    <row r="188" spans="1:7" x14ac:dyDescent="0.35">
      <c r="A188" s="65">
        <v>40551</v>
      </c>
      <c r="B188" s="62">
        <v>0</v>
      </c>
      <c r="C188" s="62">
        <v>28</v>
      </c>
      <c r="D188" s="63">
        <v>28</v>
      </c>
      <c r="E188" t="str">
        <f t="shared" si="6"/>
        <v>normal</v>
      </c>
      <c r="F188" s="35">
        <f t="shared" si="7"/>
        <v>28</v>
      </c>
      <c r="G188" s="35" t="e">
        <f t="shared" si="8"/>
        <v>#N/A</v>
      </c>
    </row>
    <row r="189" spans="1:7" x14ac:dyDescent="0.35">
      <c r="A189" s="64">
        <v>40551</v>
      </c>
      <c r="B189" s="60">
        <v>2</v>
      </c>
      <c r="C189" s="60">
        <v>35</v>
      </c>
      <c r="D189" s="61">
        <v>37</v>
      </c>
      <c r="E189" t="str">
        <f t="shared" si="6"/>
        <v>normal</v>
      </c>
      <c r="F189" s="35">
        <f t="shared" si="7"/>
        <v>37</v>
      </c>
      <c r="G189" s="35" t="e">
        <f t="shared" si="8"/>
        <v>#N/A</v>
      </c>
    </row>
    <row r="190" spans="1:7" x14ac:dyDescent="0.35">
      <c r="A190" s="65">
        <v>40551</v>
      </c>
      <c r="B190" s="62">
        <v>1</v>
      </c>
      <c r="C190" s="62">
        <v>33</v>
      </c>
      <c r="D190" s="63">
        <v>34</v>
      </c>
      <c r="E190" t="str">
        <f t="shared" si="6"/>
        <v>normal</v>
      </c>
      <c r="F190" s="35">
        <f t="shared" si="7"/>
        <v>34</v>
      </c>
      <c r="G190" s="35" t="e">
        <f t="shared" si="8"/>
        <v>#N/A</v>
      </c>
    </row>
    <row r="191" spans="1:7" x14ac:dyDescent="0.35">
      <c r="A191" s="64">
        <v>40551</v>
      </c>
      <c r="B191" s="60">
        <v>0</v>
      </c>
      <c r="C191" s="60">
        <v>22</v>
      </c>
      <c r="D191" s="61">
        <v>22</v>
      </c>
      <c r="E191" t="str">
        <f t="shared" si="6"/>
        <v>normal</v>
      </c>
      <c r="F191" s="35">
        <f t="shared" si="7"/>
        <v>22</v>
      </c>
      <c r="G191" s="35" t="e">
        <f t="shared" si="8"/>
        <v>#N/A</v>
      </c>
    </row>
    <row r="192" spans="1:7" x14ac:dyDescent="0.35">
      <c r="A192" s="65">
        <v>40552</v>
      </c>
      <c r="B192" s="62">
        <v>1</v>
      </c>
      <c r="C192" s="62">
        <v>24</v>
      </c>
      <c r="D192" s="63">
        <v>25</v>
      </c>
      <c r="E192" t="str">
        <f t="shared" si="6"/>
        <v>normal</v>
      </c>
      <c r="F192" s="35">
        <f t="shared" si="7"/>
        <v>25</v>
      </c>
      <c r="G192" s="35" t="e">
        <f t="shared" si="8"/>
        <v>#N/A</v>
      </c>
    </row>
    <row r="193" spans="1:7" x14ac:dyDescent="0.35">
      <c r="A193" s="64">
        <v>40552</v>
      </c>
      <c r="B193" s="60">
        <v>0</v>
      </c>
      <c r="C193" s="60">
        <v>12</v>
      </c>
      <c r="D193" s="61">
        <v>12</v>
      </c>
      <c r="E193" t="str">
        <f t="shared" si="6"/>
        <v>normal</v>
      </c>
      <c r="F193" s="35">
        <f t="shared" si="7"/>
        <v>12</v>
      </c>
      <c r="G193" s="35" t="e">
        <f t="shared" si="8"/>
        <v>#N/A</v>
      </c>
    </row>
    <row r="194" spans="1:7" x14ac:dyDescent="0.35">
      <c r="A194" s="65">
        <v>40552</v>
      </c>
      <c r="B194" s="62">
        <v>0</v>
      </c>
      <c r="C194" s="62">
        <v>11</v>
      </c>
      <c r="D194" s="63">
        <v>11</v>
      </c>
      <c r="E194" t="str">
        <f t="shared" si="6"/>
        <v>normal</v>
      </c>
      <c r="F194" s="35">
        <f t="shared" si="7"/>
        <v>11</v>
      </c>
      <c r="G194" s="35" t="e">
        <f t="shared" si="8"/>
        <v>#N/A</v>
      </c>
    </row>
    <row r="195" spans="1:7" x14ac:dyDescent="0.35">
      <c r="A195" s="64">
        <v>40552</v>
      </c>
      <c r="B195" s="60">
        <v>0</v>
      </c>
      <c r="C195" s="60">
        <v>4</v>
      </c>
      <c r="D195" s="61">
        <v>4</v>
      </c>
      <c r="E195" t="str">
        <f t="shared" si="6"/>
        <v>normal</v>
      </c>
      <c r="F195" s="35">
        <f t="shared" si="7"/>
        <v>4</v>
      </c>
      <c r="G195" s="35" t="e">
        <f t="shared" si="8"/>
        <v>#N/A</v>
      </c>
    </row>
    <row r="196" spans="1:7" x14ac:dyDescent="0.35">
      <c r="A196" s="65">
        <v>40552</v>
      </c>
      <c r="B196" s="62">
        <v>0</v>
      </c>
      <c r="C196" s="62">
        <v>1</v>
      </c>
      <c r="D196" s="63">
        <v>1</v>
      </c>
      <c r="E196" t="str">
        <f t="shared" si="6"/>
        <v>normal</v>
      </c>
      <c r="F196" s="35">
        <f t="shared" si="7"/>
        <v>1</v>
      </c>
      <c r="G196" s="35" t="e">
        <f t="shared" si="8"/>
        <v>#N/A</v>
      </c>
    </row>
    <row r="197" spans="1:7" x14ac:dyDescent="0.35">
      <c r="A197" s="64">
        <v>40552</v>
      </c>
      <c r="B197" s="60">
        <v>0</v>
      </c>
      <c r="C197" s="60">
        <v>1</v>
      </c>
      <c r="D197" s="61">
        <v>1</v>
      </c>
      <c r="E197" t="str">
        <f t="shared" si="6"/>
        <v>normal</v>
      </c>
      <c r="F197" s="35">
        <f t="shared" si="7"/>
        <v>1</v>
      </c>
      <c r="G197" s="35" t="e">
        <f t="shared" si="8"/>
        <v>#N/A</v>
      </c>
    </row>
    <row r="198" spans="1:7" x14ac:dyDescent="0.35">
      <c r="A198" s="65">
        <v>40552</v>
      </c>
      <c r="B198" s="62">
        <v>0</v>
      </c>
      <c r="C198" s="62">
        <v>1</v>
      </c>
      <c r="D198" s="63">
        <v>1</v>
      </c>
      <c r="E198" t="str">
        <f t="shared" si="6"/>
        <v>normal</v>
      </c>
      <c r="F198" s="35">
        <f t="shared" si="7"/>
        <v>1</v>
      </c>
      <c r="G198" s="35" t="e">
        <f t="shared" si="8"/>
        <v>#N/A</v>
      </c>
    </row>
    <row r="199" spans="1:7" x14ac:dyDescent="0.35">
      <c r="A199" s="64">
        <v>40552</v>
      </c>
      <c r="B199" s="60">
        <v>1</v>
      </c>
      <c r="C199" s="60">
        <v>5</v>
      </c>
      <c r="D199" s="61">
        <v>6</v>
      </c>
      <c r="E199" t="str">
        <f t="shared" ref="E199:E262" si="9">IF(OR(D199&lt;$L$15,D199&gt;$L$16),"Anamoly","normal")</f>
        <v>normal</v>
      </c>
      <c r="F199" s="35">
        <f t="shared" si="7"/>
        <v>6</v>
      </c>
      <c r="G199" s="35" t="e">
        <f t="shared" si="8"/>
        <v>#N/A</v>
      </c>
    </row>
    <row r="200" spans="1:7" x14ac:dyDescent="0.35">
      <c r="A200" s="65">
        <v>40552</v>
      </c>
      <c r="B200" s="62">
        <v>0</v>
      </c>
      <c r="C200" s="62">
        <v>10</v>
      </c>
      <c r="D200" s="63">
        <v>10</v>
      </c>
      <c r="E200" t="str">
        <f t="shared" si="9"/>
        <v>normal</v>
      </c>
      <c r="F200" s="35">
        <f t="shared" ref="F200:F263" si="10">IF(E200="normal",D200,NA())</f>
        <v>10</v>
      </c>
      <c r="G200" s="35" t="e">
        <f t="shared" ref="G200:G263" si="11">IF(E200="anamoly",D200,NA())</f>
        <v>#N/A</v>
      </c>
    </row>
    <row r="201" spans="1:7" x14ac:dyDescent="0.35">
      <c r="A201" s="64">
        <v>40552</v>
      </c>
      <c r="B201" s="60">
        <v>0</v>
      </c>
      <c r="C201" s="60">
        <v>19</v>
      </c>
      <c r="D201" s="61">
        <v>19</v>
      </c>
      <c r="E201" t="str">
        <f t="shared" si="9"/>
        <v>normal</v>
      </c>
      <c r="F201" s="35">
        <f t="shared" si="10"/>
        <v>19</v>
      </c>
      <c r="G201" s="35" t="e">
        <f t="shared" si="11"/>
        <v>#N/A</v>
      </c>
    </row>
    <row r="202" spans="1:7" x14ac:dyDescent="0.35">
      <c r="A202" s="65">
        <v>40552</v>
      </c>
      <c r="B202" s="62">
        <v>0</v>
      </c>
      <c r="C202" s="62">
        <v>49</v>
      </c>
      <c r="D202" s="63">
        <v>49</v>
      </c>
      <c r="E202" t="str">
        <f t="shared" si="9"/>
        <v>normal</v>
      </c>
      <c r="F202" s="35">
        <f t="shared" si="10"/>
        <v>49</v>
      </c>
      <c r="G202" s="35" t="e">
        <f t="shared" si="11"/>
        <v>#N/A</v>
      </c>
    </row>
    <row r="203" spans="1:7" x14ac:dyDescent="0.35">
      <c r="A203" s="64">
        <v>40552</v>
      </c>
      <c r="B203" s="60">
        <v>2</v>
      </c>
      <c r="C203" s="60">
        <v>47</v>
      </c>
      <c r="D203" s="61">
        <v>49</v>
      </c>
      <c r="E203" t="str">
        <f t="shared" si="9"/>
        <v>normal</v>
      </c>
      <c r="F203" s="35">
        <f t="shared" si="10"/>
        <v>49</v>
      </c>
      <c r="G203" s="35" t="e">
        <f t="shared" si="11"/>
        <v>#N/A</v>
      </c>
    </row>
    <row r="204" spans="1:7" x14ac:dyDescent="0.35">
      <c r="A204" s="65">
        <v>40552</v>
      </c>
      <c r="B204" s="62">
        <v>4</v>
      </c>
      <c r="C204" s="62">
        <v>79</v>
      </c>
      <c r="D204" s="63">
        <v>83</v>
      </c>
      <c r="E204" t="str">
        <f t="shared" si="9"/>
        <v>normal</v>
      </c>
      <c r="F204" s="35">
        <f t="shared" si="10"/>
        <v>83</v>
      </c>
      <c r="G204" s="35" t="e">
        <f t="shared" si="11"/>
        <v>#N/A</v>
      </c>
    </row>
    <row r="205" spans="1:7" x14ac:dyDescent="0.35">
      <c r="A205" s="64">
        <v>40552</v>
      </c>
      <c r="B205" s="60">
        <v>6</v>
      </c>
      <c r="C205" s="60">
        <v>69</v>
      </c>
      <c r="D205" s="61">
        <v>75</v>
      </c>
      <c r="E205" t="str">
        <f t="shared" si="9"/>
        <v>normal</v>
      </c>
      <c r="F205" s="35">
        <f t="shared" si="10"/>
        <v>75</v>
      </c>
      <c r="G205" s="35" t="e">
        <f t="shared" si="11"/>
        <v>#N/A</v>
      </c>
    </row>
    <row r="206" spans="1:7" x14ac:dyDescent="0.35">
      <c r="A206" s="65">
        <v>40552</v>
      </c>
      <c r="B206" s="62">
        <v>8</v>
      </c>
      <c r="C206" s="62">
        <v>64</v>
      </c>
      <c r="D206" s="63">
        <v>72</v>
      </c>
      <c r="E206" t="str">
        <f t="shared" si="9"/>
        <v>normal</v>
      </c>
      <c r="F206" s="35">
        <f t="shared" si="10"/>
        <v>72</v>
      </c>
      <c r="G206" s="35" t="e">
        <f t="shared" si="11"/>
        <v>#N/A</v>
      </c>
    </row>
    <row r="207" spans="1:7" x14ac:dyDescent="0.35">
      <c r="A207" s="64">
        <v>40552</v>
      </c>
      <c r="B207" s="60">
        <v>5</v>
      </c>
      <c r="C207" s="60">
        <v>77</v>
      </c>
      <c r="D207" s="61">
        <v>82</v>
      </c>
      <c r="E207" t="str">
        <f t="shared" si="9"/>
        <v>normal</v>
      </c>
      <c r="F207" s="35">
        <f t="shared" si="10"/>
        <v>82</v>
      </c>
      <c r="G207" s="35" t="e">
        <f t="shared" si="11"/>
        <v>#N/A</v>
      </c>
    </row>
    <row r="208" spans="1:7" x14ac:dyDescent="0.35">
      <c r="A208" s="65">
        <v>40552</v>
      </c>
      <c r="B208" s="62">
        <v>13</v>
      </c>
      <c r="C208" s="62">
        <v>79</v>
      </c>
      <c r="D208" s="63">
        <v>92</v>
      </c>
      <c r="E208" t="str">
        <f t="shared" si="9"/>
        <v>normal</v>
      </c>
      <c r="F208" s="35">
        <f t="shared" si="10"/>
        <v>92</v>
      </c>
      <c r="G208" s="35" t="e">
        <f t="shared" si="11"/>
        <v>#N/A</v>
      </c>
    </row>
    <row r="209" spans="1:7" x14ac:dyDescent="0.35">
      <c r="A209" s="64">
        <v>40552</v>
      </c>
      <c r="B209" s="60">
        <v>3</v>
      </c>
      <c r="C209" s="60">
        <v>59</v>
      </c>
      <c r="D209" s="61">
        <v>62</v>
      </c>
      <c r="E209" t="str">
        <f t="shared" si="9"/>
        <v>normal</v>
      </c>
      <c r="F209" s="35">
        <f t="shared" si="10"/>
        <v>62</v>
      </c>
      <c r="G209" s="35" t="e">
        <f t="shared" si="11"/>
        <v>#N/A</v>
      </c>
    </row>
    <row r="210" spans="1:7" x14ac:dyDescent="0.35">
      <c r="A210" s="65">
        <v>40552</v>
      </c>
      <c r="B210" s="62">
        <v>4</v>
      </c>
      <c r="C210" s="62">
        <v>44</v>
      </c>
      <c r="D210" s="63">
        <v>48</v>
      </c>
      <c r="E210" t="str">
        <f t="shared" si="9"/>
        <v>normal</v>
      </c>
      <c r="F210" s="35">
        <f t="shared" si="10"/>
        <v>48</v>
      </c>
      <c r="G210" s="35" t="e">
        <f t="shared" si="11"/>
        <v>#N/A</v>
      </c>
    </row>
    <row r="211" spans="1:7" x14ac:dyDescent="0.35">
      <c r="A211" s="64">
        <v>40552</v>
      </c>
      <c r="B211" s="60">
        <v>1</v>
      </c>
      <c r="C211" s="60">
        <v>40</v>
      </c>
      <c r="D211" s="61">
        <v>41</v>
      </c>
      <c r="E211" t="str">
        <f t="shared" si="9"/>
        <v>normal</v>
      </c>
      <c r="F211" s="35">
        <f t="shared" si="10"/>
        <v>41</v>
      </c>
      <c r="G211" s="35" t="e">
        <f t="shared" si="11"/>
        <v>#N/A</v>
      </c>
    </row>
    <row r="212" spans="1:7" x14ac:dyDescent="0.35">
      <c r="A212" s="65">
        <v>40552</v>
      </c>
      <c r="B212" s="62">
        <v>0</v>
      </c>
      <c r="C212" s="62">
        <v>38</v>
      </c>
      <c r="D212" s="63">
        <v>38</v>
      </c>
      <c r="E212" t="str">
        <f t="shared" si="9"/>
        <v>normal</v>
      </c>
      <c r="F212" s="35">
        <f t="shared" si="10"/>
        <v>38</v>
      </c>
      <c r="G212" s="35" t="e">
        <f t="shared" si="11"/>
        <v>#N/A</v>
      </c>
    </row>
    <row r="213" spans="1:7" x14ac:dyDescent="0.35">
      <c r="A213" s="64">
        <v>40552</v>
      </c>
      <c r="B213" s="60">
        <v>1</v>
      </c>
      <c r="C213" s="60">
        <v>19</v>
      </c>
      <c r="D213" s="61">
        <v>20</v>
      </c>
      <c r="E213" t="str">
        <f t="shared" si="9"/>
        <v>normal</v>
      </c>
      <c r="F213" s="35">
        <f t="shared" si="10"/>
        <v>20</v>
      </c>
      <c r="G213" s="35" t="e">
        <f t="shared" si="11"/>
        <v>#N/A</v>
      </c>
    </row>
    <row r="214" spans="1:7" x14ac:dyDescent="0.35">
      <c r="A214" s="65">
        <v>40552</v>
      </c>
      <c r="B214" s="62">
        <v>5</v>
      </c>
      <c r="C214" s="62">
        <v>10</v>
      </c>
      <c r="D214" s="63">
        <v>15</v>
      </c>
      <c r="E214" t="str">
        <f t="shared" si="9"/>
        <v>normal</v>
      </c>
      <c r="F214" s="35">
        <f t="shared" si="10"/>
        <v>15</v>
      </c>
      <c r="G214" s="35" t="e">
        <f t="shared" si="11"/>
        <v>#N/A</v>
      </c>
    </row>
    <row r="215" spans="1:7" x14ac:dyDescent="0.35">
      <c r="A215" s="64">
        <v>40552</v>
      </c>
      <c r="B215" s="60">
        <v>0</v>
      </c>
      <c r="C215" s="60">
        <v>6</v>
      </c>
      <c r="D215" s="61">
        <v>6</v>
      </c>
      <c r="E215" t="str">
        <f t="shared" si="9"/>
        <v>normal</v>
      </c>
      <c r="F215" s="35">
        <f t="shared" si="10"/>
        <v>6</v>
      </c>
      <c r="G215" s="35" t="e">
        <f t="shared" si="11"/>
        <v>#N/A</v>
      </c>
    </row>
    <row r="216" spans="1:7" x14ac:dyDescent="0.35">
      <c r="A216" s="65">
        <v>40553</v>
      </c>
      <c r="B216" s="62">
        <v>2</v>
      </c>
      <c r="C216" s="62">
        <v>3</v>
      </c>
      <c r="D216" s="63">
        <v>5</v>
      </c>
      <c r="E216" t="str">
        <f t="shared" si="9"/>
        <v>normal</v>
      </c>
      <c r="F216" s="35">
        <f t="shared" si="10"/>
        <v>5</v>
      </c>
      <c r="G216" s="35" t="e">
        <f t="shared" si="11"/>
        <v>#N/A</v>
      </c>
    </row>
    <row r="217" spans="1:7" x14ac:dyDescent="0.35">
      <c r="A217" s="64">
        <v>40553</v>
      </c>
      <c r="B217" s="60">
        <v>1</v>
      </c>
      <c r="C217" s="60">
        <v>0</v>
      </c>
      <c r="D217" s="61">
        <v>1</v>
      </c>
      <c r="E217" t="str">
        <f t="shared" si="9"/>
        <v>normal</v>
      </c>
      <c r="F217" s="35">
        <f t="shared" si="10"/>
        <v>1</v>
      </c>
      <c r="G217" s="35" t="e">
        <f t="shared" si="11"/>
        <v>#N/A</v>
      </c>
    </row>
    <row r="218" spans="1:7" x14ac:dyDescent="0.35">
      <c r="A218" s="65">
        <v>40553</v>
      </c>
      <c r="B218" s="62">
        <v>0</v>
      </c>
      <c r="C218" s="62">
        <v>3</v>
      </c>
      <c r="D218" s="63">
        <v>3</v>
      </c>
      <c r="E218" t="str">
        <f t="shared" si="9"/>
        <v>normal</v>
      </c>
      <c r="F218" s="35">
        <f t="shared" si="10"/>
        <v>3</v>
      </c>
      <c r="G218" s="35" t="e">
        <f t="shared" si="11"/>
        <v>#N/A</v>
      </c>
    </row>
    <row r="219" spans="1:7" x14ac:dyDescent="0.35">
      <c r="A219" s="64">
        <v>40553</v>
      </c>
      <c r="B219" s="60">
        <v>0</v>
      </c>
      <c r="C219" s="60">
        <v>1</v>
      </c>
      <c r="D219" s="61">
        <v>1</v>
      </c>
      <c r="E219" t="str">
        <f t="shared" si="9"/>
        <v>normal</v>
      </c>
      <c r="F219" s="35">
        <f t="shared" si="10"/>
        <v>1</v>
      </c>
      <c r="G219" s="35" t="e">
        <f t="shared" si="11"/>
        <v>#N/A</v>
      </c>
    </row>
    <row r="220" spans="1:7" x14ac:dyDescent="0.35">
      <c r="A220" s="65">
        <v>40553</v>
      </c>
      <c r="B220" s="62">
        <v>1</v>
      </c>
      <c r="C220" s="62">
        <v>2</v>
      </c>
      <c r="D220" s="63">
        <v>3</v>
      </c>
      <c r="E220" t="str">
        <f t="shared" si="9"/>
        <v>normal</v>
      </c>
      <c r="F220" s="35">
        <f t="shared" si="10"/>
        <v>3</v>
      </c>
      <c r="G220" s="35" t="e">
        <f t="shared" si="11"/>
        <v>#N/A</v>
      </c>
    </row>
    <row r="221" spans="1:7" x14ac:dyDescent="0.35">
      <c r="A221" s="64">
        <v>40553</v>
      </c>
      <c r="B221" s="60">
        <v>0</v>
      </c>
      <c r="C221" s="60">
        <v>3</v>
      </c>
      <c r="D221" s="61">
        <v>3</v>
      </c>
      <c r="E221" t="str">
        <f t="shared" si="9"/>
        <v>normal</v>
      </c>
      <c r="F221" s="35">
        <f t="shared" si="10"/>
        <v>3</v>
      </c>
      <c r="G221" s="35" t="e">
        <f t="shared" si="11"/>
        <v>#N/A</v>
      </c>
    </row>
    <row r="222" spans="1:7" x14ac:dyDescent="0.35">
      <c r="A222" s="65">
        <v>40553</v>
      </c>
      <c r="B222" s="62">
        <v>0</v>
      </c>
      <c r="C222" s="62">
        <v>31</v>
      </c>
      <c r="D222" s="63">
        <v>31</v>
      </c>
      <c r="E222" t="str">
        <f t="shared" si="9"/>
        <v>normal</v>
      </c>
      <c r="F222" s="35">
        <f t="shared" si="10"/>
        <v>31</v>
      </c>
      <c r="G222" s="35" t="e">
        <f t="shared" si="11"/>
        <v>#N/A</v>
      </c>
    </row>
    <row r="223" spans="1:7" x14ac:dyDescent="0.35">
      <c r="A223" s="64">
        <v>40553</v>
      </c>
      <c r="B223" s="60">
        <v>2</v>
      </c>
      <c r="C223" s="60">
        <v>75</v>
      </c>
      <c r="D223" s="61">
        <v>77</v>
      </c>
      <c r="E223" t="str">
        <f t="shared" si="9"/>
        <v>normal</v>
      </c>
      <c r="F223" s="35">
        <f t="shared" si="10"/>
        <v>77</v>
      </c>
      <c r="G223" s="35" t="e">
        <f t="shared" si="11"/>
        <v>#N/A</v>
      </c>
    </row>
    <row r="224" spans="1:7" x14ac:dyDescent="0.35">
      <c r="A224" s="65">
        <v>40553</v>
      </c>
      <c r="B224" s="62">
        <v>4</v>
      </c>
      <c r="C224" s="62">
        <v>184</v>
      </c>
      <c r="D224" s="63">
        <v>188</v>
      </c>
      <c r="E224" t="str">
        <f t="shared" si="9"/>
        <v>Anamoly</v>
      </c>
      <c r="F224" s="35" t="e">
        <f t="shared" si="10"/>
        <v>#N/A</v>
      </c>
      <c r="G224" s="35">
        <f t="shared" si="11"/>
        <v>188</v>
      </c>
    </row>
    <row r="225" spans="1:7" x14ac:dyDescent="0.35">
      <c r="A225" s="64">
        <v>40553</v>
      </c>
      <c r="B225" s="60">
        <v>2</v>
      </c>
      <c r="C225" s="60">
        <v>92</v>
      </c>
      <c r="D225" s="61">
        <v>94</v>
      </c>
      <c r="E225" t="str">
        <f t="shared" si="9"/>
        <v>normal</v>
      </c>
      <c r="F225" s="35">
        <f t="shared" si="10"/>
        <v>94</v>
      </c>
      <c r="G225" s="35" t="e">
        <f t="shared" si="11"/>
        <v>#N/A</v>
      </c>
    </row>
    <row r="226" spans="1:7" x14ac:dyDescent="0.35">
      <c r="A226" s="65">
        <v>40553</v>
      </c>
      <c r="B226" s="62">
        <v>0</v>
      </c>
      <c r="C226" s="62">
        <v>31</v>
      </c>
      <c r="D226" s="63">
        <v>31</v>
      </c>
      <c r="E226" t="str">
        <f t="shared" si="9"/>
        <v>normal</v>
      </c>
      <c r="F226" s="35">
        <f t="shared" si="10"/>
        <v>31</v>
      </c>
      <c r="G226" s="35" t="e">
        <f t="shared" si="11"/>
        <v>#N/A</v>
      </c>
    </row>
    <row r="227" spans="1:7" x14ac:dyDescent="0.35">
      <c r="A227" s="64">
        <v>40553</v>
      </c>
      <c r="B227" s="60">
        <v>2</v>
      </c>
      <c r="C227" s="60">
        <v>28</v>
      </c>
      <c r="D227" s="61">
        <v>30</v>
      </c>
      <c r="E227" t="str">
        <f t="shared" si="9"/>
        <v>normal</v>
      </c>
      <c r="F227" s="35">
        <f t="shared" si="10"/>
        <v>30</v>
      </c>
      <c r="G227" s="35" t="e">
        <f t="shared" si="11"/>
        <v>#N/A</v>
      </c>
    </row>
    <row r="228" spans="1:7" x14ac:dyDescent="0.35">
      <c r="A228" s="65">
        <v>40553</v>
      </c>
      <c r="B228" s="62">
        <v>5</v>
      </c>
      <c r="C228" s="62">
        <v>47</v>
      </c>
      <c r="D228" s="63">
        <v>52</v>
      </c>
      <c r="E228" t="str">
        <f t="shared" si="9"/>
        <v>normal</v>
      </c>
      <c r="F228" s="35">
        <f t="shared" si="10"/>
        <v>52</v>
      </c>
      <c r="G228" s="35" t="e">
        <f t="shared" si="11"/>
        <v>#N/A</v>
      </c>
    </row>
    <row r="229" spans="1:7" x14ac:dyDescent="0.35">
      <c r="A229" s="64">
        <v>40553</v>
      </c>
      <c r="B229" s="60">
        <v>4</v>
      </c>
      <c r="C229" s="60">
        <v>50</v>
      </c>
      <c r="D229" s="61">
        <v>54</v>
      </c>
      <c r="E229" t="str">
        <f t="shared" si="9"/>
        <v>normal</v>
      </c>
      <c r="F229" s="35">
        <f t="shared" si="10"/>
        <v>54</v>
      </c>
      <c r="G229" s="35" t="e">
        <f t="shared" si="11"/>
        <v>#N/A</v>
      </c>
    </row>
    <row r="230" spans="1:7" x14ac:dyDescent="0.35">
      <c r="A230" s="65">
        <v>40553</v>
      </c>
      <c r="B230" s="62">
        <v>0</v>
      </c>
      <c r="C230" s="62">
        <v>47</v>
      </c>
      <c r="D230" s="63">
        <v>47</v>
      </c>
      <c r="E230" t="str">
        <f t="shared" si="9"/>
        <v>normal</v>
      </c>
      <c r="F230" s="35">
        <f t="shared" si="10"/>
        <v>47</v>
      </c>
      <c r="G230" s="35" t="e">
        <f t="shared" si="11"/>
        <v>#N/A</v>
      </c>
    </row>
    <row r="231" spans="1:7" x14ac:dyDescent="0.35">
      <c r="A231" s="64">
        <v>40553</v>
      </c>
      <c r="B231" s="60">
        <v>2</v>
      </c>
      <c r="C231" s="60">
        <v>43</v>
      </c>
      <c r="D231" s="61">
        <v>45</v>
      </c>
      <c r="E231" t="str">
        <f t="shared" si="9"/>
        <v>normal</v>
      </c>
      <c r="F231" s="35">
        <f t="shared" si="10"/>
        <v>45</v>
      </c>
      <c r="G231" s="35" t="e">
        <f t="shared" si="11"/>
        <v>#N/A</v>
      </c>
    </row>
    <row r="232" spans="1:7" x14ac:dyDescent="0.35">
      <c r="A232" s="65">
        <v>40553</v>
      </c>
      <c r="B232" s="62">
        <v>4</v>
      </c>
      <c r="C232" s="62">
        <v>70</v>
      </c>
      <c r="D232" s="63">
        <v>74</v>
      </c>
      <c r="E232" t="str">
        <f t="shared" si="9"/>
        <v>normal</v>
      </c>
      <c r="F232" s="35">
        <f t="shared" si="10"/>
        <v>74</v>
      </c>
      <c r="G232" s="35" t="e">
        <f t="shared" si="11"/>
        <v>#N/A</v>
      </c>
    </row>
    <row r="233" spans="1:7" x14ac:dyDescent="0.35">
      <c r="A233" s="64">
        <v>40553</v>
      </c>
      <c r="B233" s="60">
        <v>4</v>
      </c>
      <c r="C233" s="60">
        <v>174</v>
      </c>
      <c r="D233" s="61">
        <v>178</v>
      </c>
      <c r="E233" t="str">
        <f t="shared" si="9"/>
        <v>normal</v>
      </c>
      <c r="F233" s="35">
        <f t="shared" si="10"/>
        <v>178</v>
      </c>
      <c r="G233" s="35" t="e">
        <f t="shared" si="11"/>
        <v>#N/A</v>
      </c>
    </row>
    <row r="234" spans="1:7" x14ac:dyDescent="0.35">
      <c r="A234" s="65">
        <v>40553</v>
      </c>
      <c r="B234" s="62">
        <v>1</v>
      </c>
      <c r="C234" s="62">
        <v>154</v>
      </c>
      <c r="D234" s="63">
        <v>155</v>
      </c>
      <c r="E234" t="str">
        <f t="shared" si="9"/>
        <v>normal</v>
      </c>
      <c r="F234" s="35">
        <f t="shared" si="10"/>
        <v>155</v>
      </c>
      <c r="G234" s="35" t="e">
        <f t="shared" si="11"/>
        <v>#N/A</v>
      </c>
    </row>
    <row r="235" spans="1:7" x14ac:dyDescent="0.35">
      <c r="A235" s="64">
        <v>40553</v>
      </c>
      <c r="B235" s="60">
        <v>3</v>
      </c>
      <c r="C235" s="60">
        <v>92</v>
      </c>
      <c r="D235" s="61">
        <v>95</v>
      </c>
      <c r="E235" t="str">
        <f t="shared" si="9"/>
        <v>normal</v>
      </c>
      <c r="F235" s="35">
        <f t="shared" si="10"/>
        <v>95</v>
      </c>
      <c r="G235" s="35" t="e">
        <f t="shared" si="11"/>
        <v>#N/A</v>
      </c>
    </row>
    <row r="236" spans="1:7" x14ac:dyDescent="0.35">
      <c r="A236" s="65">
        <v>40553</v>
      </c>
      <c r="B236" s="62">
        <v>1</v>
      </c>
      <c r="C236" s="62">
        <v>73</v>
      </c>
      <c r="D236" s="63">
        <v>74</v>
      </c>
      <c r="E236" t="str">
        <f t="shared" si="9"/>
        <v>normal</v>
      </c>
      <c r="F236" s="35">
        <f t="shared" si="10"/>
        <v>74</v>
      </c>
      <c r="G236" s="35" t="e">
        <f t="shared" si="11"/>
        <v>#N/A</v>
      </c>
    </row>
    <row r="237" spans="1:7" x14ac:dyDescent="0.35">
      <c r="A237" s="64">
        <v>40553</v>
      </c>
      <c r="B237" s="60">
        <v>1</v>
      </c>
      <c r="C237" s="60">
        <v>37</v>
      </c>
      <c r="D237" s="61">
        <v>38</v>
      </c>
      <c r="E237" t="str">
        <f t="shared" si="9"/>
        <v>normal</v>
      </c>
      <c r="F237" s="35">
        <f t="shared" si="10"/>
        <v>38</v>
      </c>
      <c r="G237" s="35" t="e">
        <f t="shared" si="11"/>
        <v>#N/A</v>
      </c>
    </row>
    <row r="238" spans="1:7" x14ac:dyDescent="0.35">
      <c r="A238" s="65">
        <v>40553</v>
      </c>
      <c r="B238" s="62">
        <v>2</v>
      </c>
      <c r="C238" s="62">
        <v>22</v>
      </c>
      <c r="D238" s="63">
        <v>24</v>
      </c>
      <c r="E238" t="str">
        <f t="shared" si="9"/>
        <v>normal</v>
      </c>
      <c r="F238" s="35">
        <f t="shared" si="10"/>
        <v>24</v>
      </c>
      <c r="G238" s="35" t="e">
        <f t="shared" si="11"/>
        <v>#N/A</v>
      </c>
    </row>
    <row r="239" spans="1:7" x14ac:dyDescent="0.35">
      <c r="A239" s="64">
        <v>40553</v>
      </c>
      <c r="B239" s="60">
        <v>0</v>
      </c>
      <c r="C239" s="60">
        <v>18</v>
      </c>
      <c r="D239" s="61">
        <v>18</v>
      </c>
      <c r="E239" t="str">
        <f t="shared" si="9"/>
        <v>normal</v>
      </c>
      <c r="F239" s="35">
        <f t="shared" si="10"/>
        <v>18</v>
      </c>
      <c r="G239" s="35" t="e">
        <f t="shared" si="11"/>
        <v>#N/A</v>
      </c>
    </row>
    <row r="240" spans="1:7" x14ac:dyDescent="0.35">
      <c r="A240" s="65">
        <v>40554</v>
      </c>
      <c r="B240" s="62">
        <v>2</v>
      </c>
      <c r="C240" s="62">
        <v>10</v>
      </c>
      <c r="D240" s="63">
        <v>12</v>
      </c>
      <c r="E240" t="str">
        <f t="shared" si="9"/>
        <v>normal</v>
      </c>
      <c r="F240" s="35">
        <f t="shared" si="10"/>
        <v>12</v>
      </c>
      <c r="G240" s="35" t="e">
        <f t="shared" si="11"/>
        <v>#N/A</v>
      </c>
    </row>
    <row r="241" spans="1:7" x14ac:dyDescent="0.35">
      <c r="A241" s="64">
        <v>40554</v>
      </c>
      <c r="B241" s="60">
        <v>0</v>
      </c>
      <c r="C241" s="60">
        <v>3</v>
      </c>
      <c r="D241" s="61">
        <v>3</v>
      </c>
      <c r="E241" t="str">
        <f t="shared" si="9"/>
        <v>normal</v>
      </c>
      <c r="F241" s="35">
        <f t="shared" si="10"/>
        <v>3</v>
      </c>
      <c r="G241" s="35" t="e">
        <f t="shared" si="11"/>
        <v>#N/A</v>
      </c>
    </row>
    <row r="242" spans="1:7" x14ac:dyDescent="0.35">
      <c r="A242" s="65">
        <v>40554</v>
      </c>
      <c r="B242" s="62">
        <v>0</v>
      </c>
      <c r="C242" s="62">
        <v>3</v>
      </c>
      <c r="D242" s="63">
        <v>3</v>
      </c>
      <c r="E242" t="str">
        <f t="shared" si="9"/>
        <v>normal</v>
      </c>
      <c r="F242" s="35">
        <f t="shared" si="10"/>
        <v>3</v>
      </c>
      <c r="G242" s="35" t="e">
        <f t="shared" si="11"/>
        <v>#N/A</v>
      </c>
    </row>
    <row r="243" spans="1:7" x14ac:dyDescent="0.35">
      <c r="A243" s="64">
        <v>40554</v>
      </c>
      <c r="B243" s="60">
        <v>0</v>
      </c>
      <c r="C243" s="60">
        <v>6</v>
      </c>
      <c r="D243" s="61">
        <v>6</v>
      </c>
      <c r="E243" t="str">
        <f t="shared" si="9"/>
        <v>normal</v>
      </c>
      <c r="F243" s="35">
        <f t="shared" si="10"/>
        <v>6</v>
      </c>
      <c r="G243" s="35" t="e">
        <f t="shared" si="11"/>
        <v>#N/A</v>
      </c>
    </row>
    <row r="244" spans="1:7" x14ac:dyDescent="0.35">
      <c r="A244" s="65">
        <v>40554</v>
      </c>
      <c r="B244" s="62">
        <v>0</v>
      </c>
      <c r="C244" s="62">
        <v>27</v>
      </c>
      <c r="D244" s="63">
        <v>27</v>
      </c>
      <c r="E244" t="str">
        <f t="shared" si="9"/>
        <v>normal</v>
      </c>
      <c r="F244" s="35">
        <f t="shared" si="10"/>
        <v>27</v>
      </c>
      <c r="G244" s="35" t="e">
        <f t="shared" si="11"/>
        <v>#N/A</v>
      </c>
    </row>
    <row r="245" spans="1:7" x14ac:dyDescent="0.35">
      <c r="A245" s="64">
        <v>40554</v>
      </c>
      <c r="B245" s="60">
        <v>2</v>
      </c>
      <c r="C245" s="60">
        <v>97</v>
      </c>
      <c r="D245" s="61">
        <v>99</v>
      </c>
      <c r="E245" t="str">
        <f t="shared" si="9"/>
        <v>normal</v>
      </c>
      <c r="F245" s="35">
        <f t="shared" si="10"/>
        <v>99</v>
      </c>
      <c r="G245" s="35" t="e">
        <f t="shared" si="11"/>
        <v>#N/A</v>
      </c>
    </row>
    <row r="246" spans="1:7" x14ac:dyDescent="0.35">
      <c r="A246" s="65">
        <v>40554</v>
      </c>
      <c r="B246" s="62">
        <v>3</v>
      </c>
      <c r="C246" s="62">
        <v>214</v>
      </c>
      <c r="D246" s="63">
        <v>217</v>
      </c>
      <c r="E246" t="str">
        <f t="shared" si="9"/>
        <v>Anamoly</v>
      </c>
      <c r="F246" s="35" t="e">
        <f t="shared" si="10"/>
        <v>#N/A</v>
      </c>
      <c r="G246" s="35">
        <f t="shared" si="11"/>
        <v>217</v>
      </c>
    </row>
    <row r="247" spans="1:7" x14ac:dyDescent="0.35">
      <c r="A247" s="64">
        <v>40554</v>
      </c>
      <c r="B247" s="60">
        <v>3</v>
      </c>
      <c r="C247" s="60">
        <v>127</v>
      </c>
      <c r="D247" s="61">
        <v>130</v>
      </c>
      <c r="E247" t="str">
        <f t="shared" si="9"/>
        <v>normal</v>
      </c>
      <c r="F247" s="35">
        <f t="shared" si="10"/>
        <v>130</v>
      </c>
      <c r="G247" s="35" t="e">
        <f t="shared" si="11"/>
        <v>#N/A</v>
      </c>
    </row>
    <row r="248" spans="1:7" x14ac:dyDescent="0.35">
      <c r="A248" s="65">
        <v>40554</v>
      </c>
      <c r="B248" s="62">
        <v>3</v>
      </c>
      <c r="C248" s="62">
        <v>51</v>
      </c>
      <c r="D248" s="63">
        <v>54</v>
      </c>
      <c r="E248" t="str">
        <f t="shared" si="9"/>
        <v>normal</v>
      </c>
      <c r="F248" s="35">
        <f t="shared" si="10"/>
        <v>54</v>
      </c>
      <c r="G248" s="35" t="e">
        <f t="shared" si="11"/>
        <v>#N/A</v>
      </c>
    </row>
    <row r="249" spans="1:7" x14ac:dyDescent="0.35">
      <c r="A249" s="64">
        <v>40554</v>
      </c>
      <c r="B249" s="60">
        <v>4</v>
      </c>
      <c r="C249" s="60">
        <v>31</v>
      </c>
      <c r="D249" s="61">
        <v>35</v>
      </c>
      <c r="E249" t="str">
        <f t="shared" si="9"/>
        <v>normal</v>
      </c>
      <c r="F249" s="35">
        <f t="shared" si="10"/>
        <v>35</v>
      </c>
      <c r="G249" s="35" t="e">
        <f t="shared" si="11"/>
        <v>#N/A</v>
      </c>
    </row>
    <row r="250" spans="1:7" x14ac:dyDescent="0.35">
      <c r="A250" s="65">
        <v>40554</v>
      </c>
      <c r="B250" s="62">
        <v>2</v>
      </c>
      <c r="C250" s="62">
        <v>55</v>
      </c>
      <c r="D250" s="63">
        <v>57</v>
      </c>
      <c r="E250" t="str">
        <f t="shared" si="9"/>
        <v>normal</v>
      </c>
      <c r="F250" s="35">
        <f t="shared" si="10"/>
        <v>57</v>
      </c>
      <c r="G250" s="35" t="e">
        <f t="shared" si="11"/>
        <v>#N/A</v>
      </c>
    </row>
    <row r="251" spans="1:7" x14ac:dyDescent="0.35">
      <c r="A251" s="64">
        <v>40554</v>
      </c>
      <c r="B251" s="60">
        <v>6</v>
      </c>
      <c r="C251" s="60">
        <v>46</v>
      </c>
      <c r="D251" s="61">
        <v>52</v>
      </c>
      <c r="E251" t="str">
        <f t="shared" si="9"/>
        <v>normal</v>
      </c>
      <c r="F251" s="35">
        <f t="shared" si="10"/>
        <v>52</v>
      </c>
      <c r="G251" s="35" t="e">
        <f t="shared" si="11"/>
        <v>#N/A</v>
      </c>
    </row>
    <row r="252" spans="1:7" x14ac:dyDescent="0.35">
      <c r="A252" s="65">
        <v>40554</v>
      </c>
      <c r="B252" s="62">
        <v>3</v>
      </c>
      <c r="C252" s="62">
        <v>60</v>
      </c>
      <c r="D252" s="63">
        <v>63</v>
      </c>
      <c r="E252" t="str">
        <f t="shared" si="9"/>
        <v>normal</v>
      </c>
      <c r="F252" s="35">
        <f t="shared" si="10"/>
        <v>63</v>
      </c>
      <c r="G252" s="35" t="e">
        <f t="shared" si="11"/>
        <v>#N/A</v>
      </c>
    </row>
    <row r="253" spans="1:7" x14ac:dyDescent="0.35">
      <c r="A253" s="64">
        <v>40554</v>
      </c>
      <c r="B253" s="60">
        <v>2</v>
      </c>
      <c r="C253" s="60">
        <v>45</v>
      </c>
      <c r="D253" s="61">
        <v>47</v>
      </c>
      <c r="E253" t="str">
        <f t="shared" si="9"/>
        <v>normal</v>
      </c>
      <c r="F253" s="35">
        <f t="shared" si="10"/>
        <v>47</v>
      </c>
      <c r="G253" s="35" t="e">
        <f t="shared" si="11"/>
        <v>#N/A</v>
      </c>
    </row>
    <row r="254" spans="1:7" x14ac:dyDescent="0.35">
      <c r="A254" s="65">
        <v>40554</v>
      </c>
      <c r="B254" s="62">
        <v>4</v>
      </c>
      <c r="C254" s="62">
        <v>72</v>
      </c>
      <c r="D254" s="63">
        <v>76</v>
      </c>
      <c r="E254" t="str">
        <f t="shared" si="9"/>
        <v>normal</v>
      </c>
      <c r="F254" s="35">
        <f t="shared" si="10"/>
        <v>76</v>
      </c>
      <c r="G254" s="35" t="e">
        <f t="shared" si="11"/>
        <v>#N/A</v>
      </c>
    </row>
    <row r="255" spans="1:7" x14ac:dyDescent="0.35">
      <c r="A255" s="64">
        <v>40554</v>
      </c>
      <c r="B255" s="60">
        <v>6</v>
      </c>
      <c r="C255" s="60">
        <v>130</v>
      </c>
      <c r="D255" s="61">
        <v>136</v>
      </c>
      <c r="E255" t="str">
        <f t="shared" si="9"/>
        <v>normal</v>
      </c>
      <c r="F255" s="35">
        <f t="shared" si="10"/>
        <v>136</v>
      </c>
      <c r="G255" s="35" t="e">
        <f t="shared" si="11"/>
        <v>#N/A</v>
      </c>
    </row>
    <row r="256" spans="1:7" x14ac:dyDescent="0.35">
      <c r="A256" s="65">
        <v>40554</v>
      </c>
      <c r="B256" s="62">
        <v>1</v>
      </c>
      <c r="C256" s="62">
        <v>94</v>
      </c>
      <c r="D256" s="63">
        <v>95</v>
      </c>
      <c r="E256" t="str">
        <f t="shared" si="9"/>
        <v>normal</v>
      </c>
      <c r="F256" s="35">
        <f t="shared" si="10"/>
        <v>95</v>
      </c>
      <c r="G256" s="35" t="e">
        <f t="shared" si="11"/>
        <v>#N/A</v>
      </c>
    </row>
    <row r="257" spans="1:7" x14ac:dyDescent="0.35">
      <c r="A257" s="64">
        <v>40554</v>
      </c>
      <c r="B257" s="60">
        <v>0</v>
      </c>
      <c r="C257" s="60">
        <v>51</v>
      </c>
      <c r="D257" s="61">
        <v>51</v>
      </c>
      <c r="E257" t="str">
        <f t="shared" si="9"/>
        <v>normal</v>
      </c>
      <c r="F257" s="35">
        <f t="shared" si="10"/>
        <v>51</v>
      </c>
      <c r="G257" s="35" t="e">
        <f t="shared" si="11"/>
        <v>#N/A</v>
      </c>
    </row>
    <row r="258" spans="1:7" x14ac:dyDescent="0.35">
      <c r="A258" s="65">
        <v>40554</v>
      </c>
      <c r="B258" s="62">
        <v>0</v>
      </c>
      <c r="C258" s="62">
        <v>32</v>
      </c>
      <c r="D258" s="63">
        <v>32</v>
      </c>
      <c r="E258" t="str">
        <f t="shared" si="9"/>
        <v>normal</v>
      </c>
      <c r="F258" s="35">
        <f t="shared" si="10"/>
        <v>32</v>
      </c>
      <c r="G258" s="35" t="e">
        <f t="shared" si="11"/>
        <v>#N/A</v>
      </c>
    </row>
    <row r="259" spans="1:7" x14ac:dyDescent="0.35">
      <c r="A259" s="64">
        <v>40554</v>
      </c>
      <c r="B259" s="60">
        <v>0</v>
      </c>
      <c r="C259" s="60">
        <v>20</v>
      </c>
      <c r="D259" s="61">
        <v>20</v>
      </c>
      <c r="E259" t="str">
        <f t="shared" si="9"/>
        <v>normal</v>
      </c>
      <c r="F259" s="35">
        <f t="shared" si="10"/>
        <v>20</v>
      </c>
      <c r="G259" s="35" t="e">
        <f t="shared" si="11"/>
        <v>#N/A</v>
      </c>
    </row>
    <row r="260" spans="1:7" x14ac:dyDescent="0.35">
      <c r="A260" s="65">
        <v>40554</v>
      </c>
      <c r="B260" s="62">
        <v>1</v>
      </c>
      <c r="C260" s="62">
        <v>28</v>
      </c>
      <c r="D260" s="63">
        <v>29</v>
      </c>
      <c r="E260" t="str">
        <f t="shared" si="9"/>
        <v>normal</v>
      </c>
      <c r="F260" s="35">
        <f t="shared" si="10"/>
        <v>29</v>
      </c>
      <c r="G260" s="35" t="e">
        <f t="shared" si="11"/>
        <v>#N/A</v>
      </c>
    </row>
    <row r="261" spans="1:7" x14ac:dyDescent="0.35">
      <c r="A261" s="64">
        <v>40554</v>
      </c>
      <c r="B261" s="60">
        <v>1</v>
      </c>
      <c r="C261" s="60">
        <v>18</v>
      </c>
      <c r="D261" s="61">
        <v>19</v>
      </c>
      <c r="E261" t="str">
        <f t="shared" si="9"/>
        <v>normal</v>
      </c>
      <c r="F261" s="35">
        <f t="shared" si="10"/>
        <v>19</v>
      </c>
      <c r="G261" s="35" t="e">
        <f t="shared" si="11"/>
        <v>#N/A</v>
      </c>
    </row>
    <row r="262" spans="1:7" x14ac:dyDescent="0.35">
      <c r="A262" s="65">
        <v>40555</v>
      </c>
      <c r="B262" s="62">
        <v>0</v>
      </c>
      <c r="C262" s="62">
        <v>7</v>
      </c>
      <c r="D262" s="63">
        <v>7</v>
      </c>
      <c r="E262" t="str">
        <f t="shared" si="9"/>
        <v>normal</v>
      </c>
      <c r="F262" s="35">
        <f t="shared" si="10"/>
        <v>7</v>
      </c>
      <c r="G262" s="35" t="e">
        <f t="shared" si="11"/>
        <v>#N/A</v>
      </c>
    </row>
    <row r="263" spans="1:7" x14ac:dyDescent="0.35">
      <c r="A263" s="64">
        <v>40555</v>
      </c>
      <c r="B263" s="60">
        <v>0</v>
      </c>
      <c r="C263" s="60">
        <v>6</v>
      </c>
      <c r="D263" s="61">
        <v>6</v>
      </c>
      <c r="E263" t="str">
        <f t="shared" ref="E263:E326" si="12">IF(OR(D263&lt;$L$15,D263&gt;$L$16),"Anamoly","normal")</f>
        <v>normal</v>
      </c>
      <c r="F263" s="35">
        <f t="shared" si="10"/>
        <v>6</v>
      </c>
      <c r="G263" s="35" t="e">
        <f t="shared" si="11"/>
        <v>#N/A</v>
      </c>
    </row>
    <row r="264" spans="1:7" x14ac:dyDescent="0.35">
      <c r="A264" s="65">
        <v>40555</v>
      </c>
      <c r="B264" s="62">
        <v>0</v>
      </c>
      <c r="C264" s="62">
        <v>1</v>
      </c>
      <c r="D264" s="63">
        <v>1</v>
      </c>
      <c r="E264" t="str">
        <f t="shared" si="12"/>
        <v>normal</v>
      </c>
      <c r="F264" s="35">
        <f t="shared" ref="F264:F327" si="13">IF(E264="normal",D264,NA())</f>
        <v>1</v>
      </c>
      <c r="G264" s="35" t="e">
        <f t="shared" ref="G264:G327" si="14">IF(E264="anamoly",D264,NA())</f>
        <v>#N/A</v>
      </c>
    </row>
    <row r="265" spans="1:7" x14ac:dyDescent="0.35">
      <c r="A265" s="64">
        <v>40555</v>
      </c>
      <c r="B265" s="60">
        <v>0</v>
      </c>
      <c r="C265" s="60">
        <v>5</v>
      </c>
      <c r="D265" s="61">
        <v>5</v>
      </c>
      <c r="E265" t="str">
        <f t="shared" si="12"/>
        <v>normal</v>
      </c>
      <c r="F265" s="35">
        <f t="shared" si="13"/>
        <v>5</v>
      </c>
      <c r="G265" s="35" t="e">
        <f t="shared" si="14"/>
        <v>#N/A</v>
      </c>
    </row>
    <row r="266" spans="1:7" x14ac:dyDescent="0.35">
      <c r="A266" s="65">
        <v>40555</v>
      </c>
      <c r="B266" s="62">
        <v>0</v>
      </c>
      <c r="C266" s="62">
        <v>16</v>
      </c>
      <c r="D266" s="63">
        <v>16</v>
      </c>
      <c r="E266" t="str">
        <f t="shared" si="12"/>
        <v>normal</v>
      </c>
      <c r="F266" s="35">
        <f t="shared" si="13"/>
        <v>16</v>
      </c>
      <c r="G266" s="35" t="e">
        <f t="shared" si="14"/>
        <v>#N/A</v>
      </c>
    </row>
    <row r="267" spans="1:7" x14ac:dyDescent="0.35">
      <c r="A267" s="64">
        <v>40555</v>
      </c>
      <c r="B267" s="60">
        <v>0</v>
      </c>
      <c r="C267" s="60">
        <v>54</v>
      </c>
      <c r="D267" s="61">
        <v>54</v>
      </c>
      <c r="E267" t="str">
        <f t="shared" si="12"/>
        <v>normal</v>
      </c>
      <c r="F267" s="35">
        <f t="shared" si="13"/>
        <v>54</v>
      </c>
      <c r="G267" s="35" t="e">
        <f t="shared" si="14"/>
        <v>#N/A</v>
      </c>
    </row>
    <row r="268" spans="1:7" x14ac:dyDescent="0.35">
      <c r="A268" s="65">
        <v>40555</v>
      </c>
      <c r="B268" s="62">
        <v>3</v>
      </c>
      <c r="C268" s="62">
        <v>125</v>
      </c>
      <c r="D268" s="63">
        <v>128</v>
      </c>
      <c r="E268" t="str">
        <f t="shared" si="12"/>
        <v>normal</v>
      </c>
      <c r="F268" s="35">
        <f t="shared" si="13"/>
        <v>128</v>
      </c>
      <c r="G268" s="35" t="e">
        <f t="shared" si="14"/>
        <v>#N/A</v>
      </c>
    </row>
    <row r="269" spans="1:7" x14ac:dyDescent="0.35">
      <c r="A269" s="64">
        <v>40555</v>
      </c>
      <c r="B269" s="60">
        <v>3</v>
      </c>
      <c r="C269" s="60">
        <v>78</v>
      </c>
      <c r="D269" s="61">
        <v>81</v>
      </c>
      <c r="E269" t="str">
        <f t="shared" si="12"/>
        <v>normal</v>
      </c>
      <c r="F269" s="35">
        <f t="shared" si="13"/>
        <v>81</v>
      </c>
      <c r="G269" s="35" t="e">
        <f t="shared" si="14"/>
        <v>#N/A</v>
      </c>
    </row>
    <row r="270" spans="1:7" x14ac:dyDescent="0.35">
      <c r="A270" s="65">
        <v>40555</v>
      </c>
      <c r="B270" s="62">
        <v>0</v>
      </c>
      <c r="C270" s="62">
        <v>39</v>
      </c>
      <c r="D270" s="63">
        <v>39</v>
      </c>
      <c r="E270" t="str">
        <f t="shared" si="12"/>
        <v>normal</v>
      </c>
      <c r="F270" s="35">
        <f t="shared" si="13"/>
        <v>39</v>
      </c>
      <c r="G270" s="35" t="e">
        <f t="shared" si="14"/>
        <v>#N/A</v>
      </c>
    </row>
    <row r="271" spans="1:7" x14ac:dyDescent="0.35">
      <c r="A271" s="64">
        <v>40555</v>
      </c>
      <c r="B271" s="60">
        <v>3</v>
      </c>
      <c r="C271" s="60">
        <v>32</v>
      </c>
      <c r="D271" s="61">
        <v>35</v>
      </c>
      <c r="E271" t="str">
        <f t="shared" si="12"/>
        <v>normal</v>
      </c>
      <c r="F271" s="35">
        <f t="shared" si="13"/>
        <v>35</v>
      </c>
      <c r="G271" s="35" t="e">
        <f t="shared" si="14"/>
        <v>#N/A</v>
      </c>
    </row>
    <row r="272" spans="1:7" x14ac:dyDescent="0.35">
      <c r="A272" s="65">
        <v>40555</v>
      </c>
      <c r="B272" s="62">
        <v>3</v>
      </c>
      <c r="C272" s="62">
        <v>52</v>
      </c>
      <c r="D272" s="63">
        <v>55</v>
      </c>
      <c r="E272" t="str">
        <f t="shared" si="12"/>
        <v>normal</v>
      </c>
      <c r="F272" s="35">
        <f t="shared" si="13"/>
        <v>55</v>
      </c>
      <c r="G272" s="35" t="e">
        <f t="shared" si="14"/>
        <v>#N/A</v>
      </c>
    </row>
    <row r="273" spans="1:7" x14ac:dyDescent="0.35">
      <c r="A273" s="64">
        <v>40555</v>
      </c>
      <c r="B273" s="60">
        <v>0</v>
      </c>
      <c r="C273" s="60">
        <v>49</v>
      </c>
      <c r="D273" s="61">
        <v>49</v>
      </c>
      <c r="E273" t="str">
        <f t="shared" si="12"/>
        <v>normal</v>
      </c>
      <c r="F273" s="35">
        <f t="shared" si="13"/>
        <v>49</v>
      </c>
      <c r="G273" s="35" t="e">
        <f t="shared" si="14"/>
        <v>#N/A</v>
      </c>
    </row>
    <row r="274" spans="1:7" x14ac:dyDescent="0.35">
      <c r="A274" s="65">
        <v>40555</v>
      </c>
      <c r="B274" s="62">
        <v>0</v>
      </c>
      <c r="C274" s="62">
        <v>44</v>
      </c>
      <c r="D274" s="63">
        <v>44</v>
      </c>
      <c r="E274" t="str">
        <f t="shared" si="12"/>
        <v>normal</v>
      </c>
      <c r="F274" s="35">
        <f t="shared" si="13"/>
        <v>44</v>
      </c>
      <c r="G274" s="35" t="e">
        <f t="shared" si="14"/>
        <v>#N/A</v>
      </c>
    </row>
    <row r="275" spans="1:7" x14ac:dyDescent="0.35">
      <c r="A275" s="64">
        <v>40555</v>
      </c>
      <c r="B275" s="60">
        <v>1</v>
      </c>
      <c r="C275" s="60">
        <v>48</v>
      </c>
      <c r="D275" s="61">
        <v>49</v>
      </c>
      <c r="E275" t="str">
        <f t="shared" si="12"/>
        <v>normal</v>
      </c>
      <c r="F275" s="35">
        <f t="shared" si="13"/>
        <v>49</v>
      </c>
      <c r="G275" s="35" t="e">
        <f t="shared" si="14"/>
        <v>#N/A</v>
      </c>
    </row>
    <row r="276" spans="1:7" x14ac:dyDescent="0.35">
      <c r="A276" s="65">
        <v>40555</v>
      </c>
      <c r="B276" s="62">
        <v>5</v>
      </c>
      <c r="C276" s="62">
        <v>63</v>
      </c>
      <c r="D276" s="63">
        <v>68</v>
      </c>
      <c r="E276" t="str">
        <f t="shared" si="12"/>
        <v>normal</v>
      </c>
      <c r="F276" s="35">
        <f t="shared" si="13"/>
        <v>68</v>
      </c>
      <c r="G276" s="35" t="e">
        <f t="shared" si="14"/>
        <v>#N/A</v>
      </c>
    </row>
    <row r="277" spans="1:7" x14ac:dyDescent="0.35">
      <c r="A277" s="64">
        <v>40555</v>
      </c>
      <c r="B277" s="60">
        <v>0</v>
      </c>
      <c r="C277" s="60">
        <v>139</v>
      </c>
      <c r="D277" s="61">
        <v>139</v>
      </c>
      <c r="E277" t="str">
        <f t="shared" si="12"/>
        <v>normal</v>
      </c>
      <c r="F277" s="35">
        <f t="shared" si="13"/>
        <v>139</v>
      </c>
      <c r="G277" s="35" t="e">
        <f t="shared" si="14"/>
        <v>#N/A</v>
      </c>
    </row>
    <row r="278" spans="1:7" x14ac:dyDescent="0.35">
      <c r="A278" s="65">
        <v>40555</v>
      </c>
      <c r="B278" s="62">
        <v>2</v>
      </c>
      <c r="C278" s="62">
        <v>135</v>
      </c>
      <c r="D278" s="63">
        <v>137</v>
      </c>
      <c r="E278" t="str">
        <f t="shared" si="12"/>
        <v>normal</v>
      </c>
      <c r="F278" s="35">
        <f t="shared" si="13"/>
        <v>137</v>
      </c>
      <c r="G278" s="35" t="e">
        <f t="shared" si="14"/>
        <v>#N/A</v>
      </c>
    </row>
    <row r="279" spans="1:7" x14ac:dyDescent="0.35">
      <c r="A279" s="64">
        <v>40555</v>
      </c>
      <c r="B279" s="60">
        <v>1</v>
      </c>
      <c r="C279" s="60">
        <v>82</v>
      </c>
      <c r="D279" s="61">
        <v>83</v>
      </c>
      <c r="E279" t="str">
        <f t="shared" si="12"/>
        <v>normal</v>
      </c>
      <c r="F279" s="35">
        <f t="shared" si="13"/>
        <v>83</v>
      </c>
      <c r="G279" s="35" t="e">
        <f t="shared" si="14"/>
        <v>#N/A</v>
      </c>
    </row>
    <row r="280" spans="1:7" x14ac:dyDescent="0.35">
      <c r="A280" s="65">
        <v>40555</v>
      </c>
      <c r="B280" s="62">
        <v>2</v>
      </c>
      <c r="C280" s="62">
        <v>54</v>
      </c>
      <c r="D280" s="63">
        <v>56</v>
      </c>
      <c r="E280" t="str">
        <f t="shared" si="12"/>
        <v>normal</v>
      </c>
      <c r="F280" s="35">
        <f t="shared" si="13"/>
        <v>56</v>
      </c>
      <c r="G280" s="35" t="e">
        <f t="shared" si="14"/>
        <v>#N/A</v>
      </c>
    </row>
    <row r="281" spans="1:7" x14ac:dyDescent="0.35">
      <c r="A281" s="64">
        <v>40555</v>
      </c>
      <c r="B281" s="60">
        <v>0</v>
      </c>
      <c r="C281" s="60">
        <v>57</v>
      </c>
      <c r="D281" s="61">
        <v>57</v>
      </c>
      <c r="E281" t="str">
        <f t="shared" si="12"/>
        <v>normal</v>
      </c>
      <c r="F281" s="35">
        <f t="shared" si="13"/>
        <v>57</v>
      </c>
      <c r="G281" s="35" t="e">
        <f t="shared" si="14"/>
        <v>#N/A</v>
      </c>
    </row>
    <row r="282" spans="1:7" x14ac:dyDescent="0.35">
      <c r="A282" s="65">
        <v>40555</v>
      </c>
      <c r="B282" s="62">
        <v>1</v>
      </c>
      <c r="C282" s="62">
        <v>32</v>
      </c>
      <c r="D282" s="63">
        <v>33</v>
      </c>
      <c r="E282" t="str">
        <f t="shared" si="12"/>
        <v>normal</v>
      </c>
      <c r="F282" s="35">
        <f t="shared" si="13"/>
        <v>33</v>
      </c>
      <c r="G282" s="35" t="e">
        <f t="shared" si="14"/>
        <v>#N/A</v>
      </c>
    </row>
    <row r="283" spans="1:7" x14ac:dyDescent="0.35">
      <c r="A283" s="64">
        <v>40555</v>
      </c>
      <c r="B283" s="60">
        <v>1</v>
      </c>
      <c r="C283" s="60">
        <v>19</v>
      </c>
      <c r="D283" s="61">
        <v>20</v>
      </c>
      <c r="E283" t="str">
        <f t="shared" si="12"/>
        <v>normal</v>
      </c>
      <c r="F283" s="35">
        <f t="shared" si="13"/>
        <v>20</v>
      </c>
      <c r="G283" s="35" t="e">
        <f t="shared" si="14"/>
        <v>#N/A</v>
      </c>
    </row>
    <row r="284" spans="1:7" x14ac:dyDescent="0.35">
      <c r="A284" s="65">
        <v>40556</v>
      </c>
      <c r="B284" s="62">
        <v>1</v>
      </c>
      <c r="C284" s="62">
        <v>6</v>
      </c>
      <c r="D284" s="63">
        <v>7</v>
      </c>
      <c r="E284" t="str">
        <f t="shared" si="12"/>
        <v>normal</v>
      </c>
      <c r="F284" s="35">
        <f t="shared" si="13"/>
        <v>7</v>
      </c>
      <c r="G284" s="35" t="e">
        <f t="shared" si="14"/>
        <v>#N/A</v>
      </c>
    </row>
    <row r="285" spans="1:7" x14ac:dyDescent="0.35">
      <c r="A285" s="64">
        <v>40556</v>
      </c>
      <c r="B285" s="60">
        <v>0</v>
      </c>
      <c r="C285" s="60">
        <v>2</v>
      </c>
      <c r="D285" s="61">
        <v>2</v>
      </c>
      <c r="E285" t="str">
        <f t="shared" si="12"/>
        <v>normal</v>
      </c>
      <c r="F285" s="35">
        <f t="shared" si="13"/>
        <v>2</v>
      </c>
      <c r="G285" s="35" t="e">
        <f t="shared" si="14"/>
        <v>#N/A</v>
      </c>
    </row>
    <row r="286" spans="1:7" x14ac:dyDescent="0.35">
      <c r="A286" s="65">
        <v>40556</v>
      </c>
      <c r="B286" s="62">
        <v>0</v>
      </c>
      <c r="C286" s="62">
        <v>2</v>
      </c>
      <c r="D286" s="63">
        <v>2</v>
      </c>
      <c r="E286" t="str">
        <f t="shared" si="12"/>
        <v>normal</v>
      </c>
      <c r="F286" s="35">
        <f t="shared" si="13"/>
        <v>2</v>
      </c>
      <c r="G286" s="35" t="e">
        <f t="shared" si="14"/>
        <v>#N/A</v>
      </c>
    </row>
    <row r="287" spans="1:7" x14ac:dyDescent="0.35">
      <c r="A287" s="64">
        <v>40556</v>
      </c>
      <c r="B287" s="60">
        <v>0</v>
      </c>
      <c r="C287" s="60">
        <v>3</v>
      </c>
      <c r="D287" s="61">
        <v>3</v>
      </c>
      <c r="E287" t="str">
        <f t="shared" si="12"/>
        <v>normal</v>
      </c>
      <c r="F287" s="35">
        <f t="shared" si="13"/>
        <v>3</v>
      </c>
      <c r="G287" s="35" t="e">
        <f t="shared" si="14"/>
        <v>#N/A</v>
      </c>
    </row>
    <row r="288" spans="1:7" x14ac:dyDescent="0.35">
      <c r="A288" s="65">
        <v>40556</v>
      </c>
      <c r="B288" s="62">
        <v>0</v>
      </c>
      <c r="C288" s="62">
        <v>4</v>
      </c>
      <c r="D288" s="63">
        <v>4</v>
      </c>
      <c r="E288" t="str">
        <f t="shared" si="12"/>
        <v>normal</v>
      </c>
      <c r="F288" s="35">
        <f t="shared" si="13"/>
        <v>4</v>
      </c>
      <c r="G288" s="35" t="e">
        <f t="shared" si="14"/>
        <v>#N/A</v>
      </c>
    </row>
    <row r="289" spans="1:7" x14ac:dyDescent="0.35">
      <c r="A289" s="64">
        <v>40556</v>
      </c>
      <c r="B289" s="60">
        <v>0</v>
      </c>
      <c r="C289" s="60">
        <v>3</v>
      </c>
      <c r="D289" s="61">
        <v>3</v>
      </c>
      <c r="E289" t="str">
        <f t="shared" si="12"/>
        <v>normal</v>
      </c>
      <c r="F289" s="35">
        <f t="shared" si="13"/>
        <v>3</v>
      </c>
      <c r="G289" s="35" t="e">
        <f t="shared" si="14"/>
        <v>#N/A</v>
      </c>
    </row>
    <row r="290" spans="1:7" x14ac:dyDescent="0.35">
      <c r="A290" s="65">
        <v>40556</v>
      </c>
      <c r="B290" s="62">
        <v>0</v>
      </c>
      <c r="C290" s="62">
        <v>28</v>
      </c>
      <c r="D290" s="63">
        <v>28</v>
      </c>
      <c r="E290" t="str">
        <f t="shared" si="12"/>
        <v>normal</v>
      </c>
      <c r="F290" s="35">
        <f t="shared" si="13"/>
        <v>28</v>
      </c>
      <c r="G290" s="35" t="e">
        <f t="shared" si="14"/>
        <v>#N/A</v>
      </c>
    </row>
    <row r="291" spans="1:7" x14ac:dyDescent="0.35">
      <c r="A291" s="64">
        <v>40556</v>
      </c>
      <c r="B291" s="60">
        <v>0</v>
      </c>
      <c r="C291" s="60">
        <v>72</v>
      </c>
      <c r="D291" s="61">
        <v>72</v>
      </c>
      <c r="E291" t="str">
        <f t="shared" si="12"/>
        <v>normal</v>
      </c>
      <c r="F291" s="35">
        <f t="shared" si="13"/>
        <v>72</v>
      </c>
      <c r="G291" s="35" t="e">
        <f t="shared" si="14"/>
        <v>#N/A</v>
      </c>
    </row>
    <row r="292" spans="1:7" x14ac:dyDescent="0.35">
      <c r="A292" s="65">
        <v>40556</v>
      </c>
      <c r="B292" s="62">
        <v>5</v>
      </c>
      <c r="C292" s="62">
        <v>197</v>
      </c>
      <c r="D292" s="63">
        <v>202</v>
      </c>
      <c r="E292" t="str">
        <f t="shared" si="12"/>
        <v>Anamoly</v>
      </c>
      <c r="F292" s="35" t="e">
        <f t="shared" si="13"/>
        <v>#N/A</v>
      </c>
      <c r="G292" s="35">
        <f t="shared" si="14"/>
        <v>202</v>
      </c>
    </row>
    <row r="293" spans="1:7" x14ac:dyDescent="0.35">
      <c r="A293" s="64">
        <v>40556</v>
      </c>
      <c r="B293" s="60">
        <v>2</v>
      </c>
      <c r="C293" s="60">
        <v>137</v>
      </c>
      <c r="D293" s="61">
        <v>139</v>
      </c>
      <c r="E293" t="str">
        <f t="shared" si="12"/>
        <v>normal</v>
      </c>
      <c r="F293" s="35">
        <f t="shared" si="13"/>
        <v>139</v>
      </c>
      <c r="G293" s="35" t="e">
        <f t="shared" si="14"/>
        <v>#N/A</v>
      </c>
    </row>
    <row r="294" spans="1:7" x14ac:dyDescent="0.35">
      <c r="A294" s="65">
        <v>40556</v>
      </c>
      <c r="B294" s="62">
        <v>2</v>
      </c>
      <c r="C294" s="62">
        <v>36</v>
      </c>
      <c r="D294" s="63">
        <v>38</v>
      </c>
      <c r="E294" t="str">
        <f t="shared" si="12"/>
        <v>normal</v>
      </c>
      <c r="F294" s="35">
        <f t="shared" si="13"/>
        <v>38</v>
      </c>
      <c r="G294" s="35" t="e">
        <f t="shared" si="14"/>
        <v>#N/A</v>
      </c>
    </row>
    <row r="295" spans="1:7" x14ac:dyDescent="0.35">
      <c r="A295" s="64">
        <v>40556</v>
      </c>
      <c r="B295" s="60">
        <v>4</v>
      </c>
      <c r="C295" s="60">
        <v>33</v>
      </c>
      <c r="D295" s="61">
        <v>37</v>
      </c>
      <c r="E295" t="str">
        <f t="shared" si="12"/>
        <v>normal</v>
      </c>
      <c r="F295" s="35">
        <f t="shared" si="13"/>
        <v>37</v>
      </c>
      <c r="G295" s="35" t="e">
        <f t="shared" si="14"/>
        <v>#N/A</v>
      </c>
    </row>
    <row r="296" spans="1:7" x14ac:dyDescent="0.35">
      <c r="A296" s="65">
        <v>40556</v>
      </c>
      <c r="B296" s="62">
        <v>3</v>
      </c>
      <c r="C296" s="62">
        <v>49</v>
      </c>
      <c r="D296" s="63">
        <v>52</v>
      </c>
      <c r="E296" t="str">
        <f t="shared" si="12"/>
        <v>normal</v>
      </c>
      <c r="F296" s="35">
        <f t="shared" si="13"/>
        <v>52</v>
      </c>
      <c r="G296" s="35" t="e">
        <f t="shared" si="14"/>
        <v>#N/A</v>
      </c>
    </row>
    <row r="297" spans="1:7" x14ac:dyDescent="0.35">
      <c r="A297" s="64">
        <v>40556</v>
      </c>
      <c r="B297" s="60">
        <v>2</v>
      </c>
      <c r="C297" s="60">
        <v>81</v>
      </c>
      <c r="D297" s="61">
        <v>83</v>
      </c>
      <c r="E297" t="str">
        <f t="shared" si="12"/>
        <v>normal</v>
      </c>
      <c r="F297" s="35">
        <f t="shared" si="13"/>
        <v>83</v>
      </c>
      <c r="G297" s="35" t="e">
        <f t="shared" si="14"/>
        <v>#N/A</v>
      </c>
    </row>
    <row r="298" spans="1:7" x14ac:dyDescent="0.35">
      <c r="A298" s="65">
        <v>40556</v>
      </c>
      <c r="B298" s="62">
        <v>3</v>
      </c>
      <c r="C298" s="62">
        <v>39</v>
      </c>
      <c r="D298" s="63">
        <v>42</v>
      </c>
      <c r="E298" t="str">
        <f t="shared" si="12"/>
        <v>normal</v>
      </c>
      <c r="F298" s="35">
        <f t="shared" si="13"/>
        <v>42</v>
      </c>
      <c r="G298" s="35" t="e">
        <f t="shared" si="14"/>
        <v>#N/A</v>
      </c>
    </row>
    <row r="299" spans="1:7" x14ac:dyDescent="0.35">
      <c r="A299" s="64">
        <v>40556</v>
      </c>
      <c r="B299" s="60">
        <v>5</v>
      </c>
      <c r="C299" s="60">
        <v>55</v>
      </c>
      <c r="D299" s="61">
        <v>60</v>
      </c>
      <c r="E299" t="str">
        <f t="shared" si="12"/>
        <v>normal</v>
      </c>
      <c r="F299" s="35">
        <f t="shared" si="13"/>
        <v>60</v>
      </c>
      <c r="G299" s="35" t="e">
        <f t="shared" si="14"/>
        <v>#N/A</v>
      </c>
    </row>
    <row r="300" spans="1:7" x14ac:dyDescent="0.35">
      <c r="A300" s="65">
        <v>40556</v>
      </c>
      <c r="B300" s="62">
        <v>2</v>
      </c>
      <c r="C300" s="62">
        <v>76</v>
      </c>
      <c r="D300" s="63">
        <v>78</v>
      </c>
      <c r="E300" t="str">
        <f t="shared" si="12"/>
        <v>normal</v>
      </c>
      <c r="F300" s="35">
        <f t="shared" si="13"/>
        <v>78</v>
      </c>
      <c r="G300" s="35" t="e">
        <f t="shared" si="14"/>
        <v>#N/A</v>
      </c>
    </row>
    <row r="301" spans="1:7" x14ac:dyDescent="0.35">
      <c r="A301" s="64">
        <v>40556</v>
      </c>
      <c r="B301" s="60">
        <v>4</v>
      </c>
      <c r="C301" s="60">
        <v>158</v>
      </c>
      <c r="D301" s="61">
        <v>162</v>
      </c>
      <c r="E301" t="str">
        <f t="shared" si="12"/>
        <v>normal</v>
      </c>
      <c r="F301" s="35">
        <f t="shared" si="13"/>
        <v>162</v>
      </c>
      <c r="G301" s="35" t="e">
        <f t="shared" si="14"/>
        <v>#N/A</v>
      </c>
    </row>
    <row r="302" spans="1:7" x14ac:dyDescent="0.35">
      <c r="A302" s="65">
        <v>40556</v>
      </c>
      <c r="B302" s="62">
        <v>3</v>
      </c>
      <c r="C302" s="62">
        <v>141</v>
      </c>
      <c r="D302" s="63">
        <v>144</v>
      </c>
      <c r="E302" t="str">
        <f t="shared" si="12"/>
        <v>normal</v>
      </c>
      <c r="F302" s="35">
        <f t="shared" si="13"/>
        <v>144</v>
      </c>
      <c r="G302" s="35" t="e">
        <f t="shared" si="14"/>
        <v>#N/A</v>
      </c>
    </row>
    <row r="303" spans="1:7" x14ac:dyDescent="0.35">
      <c r="A303" s="64">
        <v>40556</v>
      </c>
      <c r="B303" s="60">
        <v>1</v>
      </c>
      <c r="C303" s="60">
        <v>98</v>
      </c>
      <c r="D303" s="61">
        <v>99</v>
      </c>
      <c r="E303" t="str">
        <f t="shared" si="12"/>
        <v>normal</v>
      </c>
      <c r="F303" s="35">
        <f t="shared" si="13"/>
        <v>99</v>
      </c>
      <c r="G303" s="35" t="e">
        <f t="shared" si="14"/>
        <v>#N/A</v>
      </c>
    </row>
    <row r="304" spans="1:7" x14ac:dyDescent="0.35">
      <c r="A304" s="65">
        <v>40556</v>
      </c>
      <c r="B304" s="62">
        <v>0</v>
      </c>
      <c r="C304" s="62">
        <v>64</v>
      </c>
      <c r="D304" s="63">
        <v>64</v>
      </c>
      <c r="E304" t="str">
        <f t="shared" si="12"/>
        <v>normal</v>
      </c>
      <c r="F304" s="35">
        <f t="shared" si="13"/>
        <v>64</v>
      </c>
      <c r="G304" s="35" t="e">
        <f t="shared" si="14"/>
        <v>#N/A</v>
      </c>
    </row>
    <row r="305" spans="1:7" x14ac:dyDescent="0.35">
      <c r="A305" s="64">
        <v>40556</v>
      </c>
      <c r="B305" s="60">
        <v>0</v>
      </c>
      <c r="C305" s="60">
        <v>40</v>
      </c>
      <c r="D305" s="61">
        <v>40</v>
      </c>
      <c r="E305" t="str">
        <f t="shared" si="12"/>
        <v>normal</v>
      </c>
      <c r="F305" s="35">
        <f t="shared" si="13"/>
        <v>40</v>
      </c>
      <c r="G305" s="35" t="e">
        <f t="shared" si="14"/>
        <v>#N/A</v>
      </c>
    </row>
    <row r="306" spans="1:7" x14ac:dyDescent="0.35">
      <c r="A306" s="65">
        <v>40556</v>
      </c>
      <c r="B306" s="62">
        <v>0</v>
      </c>
      <c r="C306" s="62">
        <v>30</v>
      </c>
      <c r="D306" s="63">
        <v>30</v>
      </c>
      <c r="E306" t="str">
        <f t="shared" si="12"/>
        <v>normal</v>
      </c>
      <c r="F306" s="35">
        <f t="shared" si="13"/>
        <v>30</v>
      </c>
      <c r="G306" s="35" t="e">
        <f t="shared" si="14"/>
        <v>#N/A</v>
      </c>
    </row>
    <row r="307" spans="1:7" x14ac:dyDescent="0.35">
      <c r="A307" s="64">
        <v>40556</v>
      </c>
      <c r="B307" s="60">
        <v>1</v>
      </c>
      <c r="C307" s="60">
        <v>14</v>
      </c>
      <c r="D307" s="61">
        <v>15</v>
      </c>
      <c r="E307" t="str">
        <f t="shared" si="12"/>
        <v>normal</v>
      </c>
      <c r="F307" s="35">
        <f t="shared" si="13"/>
        <v>15</v>
      </c>
      <c r="G307" s="35" t="e">
        <f t="shared" si="14"/>
        <v>#N/A</v>
      </c>
    </row>
    <row r="308" spans="1:7" x14ac:dyDescent="0.35">
      <c r="A308" s="65">
        <v>40557</v>
      </c>
      <c r="B308" s="62">
        <v>0</v>
      </c>
      <c r="C308" s="62">
        <v>14</v>
      </c>
      <c r="D308" s="63">
        <v>14</v>
      </c>
      <c r="E308" t="str">
        <f t="shared" si="12"/>
        <v>normal</v>
      </c>
      <c r="F308" s="35">
        <f t="shared" si="13"/>
        <v>14</v>
      </c>
      <c r="G308" s="35" t="e">
        <f t="shared" si="14"/>
        <v>#N/A</v>
      </c>
    </row>
    <row r="309" spans="1:7" x14ac:dyDescent="0.35">
      <c r="A309" s="64">
        <v>40557</v>
      </c>
      <c r="B309" s="60">
        <v>0</v>
      </c>
      <c r="C309" s="60">
        <v>5</v>
      </c>
      <c r="D309" s="61">
        <v>5</v>
      </c>
      <c r="E309" t="str">
        <f t="shared" si="12"/>
        <v>normal</v>
      </c>
      <c r="F309" s="35">
        <f t="shared" si="13"/>
        <v>5</v>
      </c>
      <c r="G309" s="35" t="e">
        <f t="shared" si="14"/>
        <v>#N/A</v>
      </c>
    </row>
    <row r="310" spans="1:7" x14ac:dyDescent="0.35">
      <c r="A310" s="65">
        <v>40557</v>
      </c>
      <c r="B310" s="62">
        <v>0</v>
      </c>
      <c r="C310" s="62">
        <v>1</v>
      </c>
      <c r="D310" s="63">
        <v>1</v>
      </c>
      <c r="E310" t="str">
        <f t="shared" si="12"/>
        <v>normal</v>
      </c>
      <c r="F310" s="35">
        <f t="shared" si="13"/>
        <v>1</v>
      </c>
      <c r="G310" s="35" t="e">
        <f t="shared" si="14"/>
        <v>#N/A</v>
      </c>
    </row>
    <row r="311" spans="1:7" x14ac:dyDescent="0.35">
      <c r="A311" s="64">
        <v>40557</v>
      </c>
      <c r="B311" s="60">
        <v>0</v>
      </c>
      <c r="C311" s="60">
        <v>1</v>
      </c>
      <c r="D311" s="61">
        <v>1</v>
      </c>
      <c r="E311" t="str">
        <f t="shared" si="12"/>
        <v>normal</v>
      </c>
      <c r="F311" s="35">
        <f t="shared" si="13"/>
        <v>1</v>
      </c>
      <c r="G311" s="35" t="e">
        <f t="shared" si="14"/>
        <v>#N/A</v>
      </c>
    </row>
    <row r="312" spans="1:7" x14ac:dyDescent="0.35">
      <c r="A312" s="65">
        <v>40557</v>
      </c>
      <c r="B312" s="62">
        <v>0</v>
      </c>
      <c r="C312" s="62">
        <v>8</v>
      </c>
      <c r="D312" s="63">
        <v>8</v>
      </c>
      <c r="E312" t="str">
        <f t="shared" si="12"/>
        <v>normal</v>
      </c>
      <c r="F312" s="35">
        <f t="shared" si="13"/>
        <v>8</v>
      </c>
      <c r="G312" s="35" t="e">
        <f t="shared" si="14"/>
        <v>#N/A</v>
      </c>
    </row>
    <row r="313" spans="1:7" x14ac:dyDescent="0.35">
      <c r="A313" s="64">
        <v>40557</v>
      </c>
      <c r="B313" s="60">
        <v>0</v>
      </c>
      <c r="C313" s="60">
        <v>17</v>
      </c>
      <c r="D313" s="61">
        <v>17</v>
      </c>
      <c r="E313" t="str">
        <f t="shared" si="12"/>
        <v>normal</v>
      </c>
      <c r="F313" s="35">
        <f t="shared" si="13"/>
        <v>17</v>
      </c>
      <c r="G313" s="35" t="e">
        <f t="shared" si="14"/>
        <v>#N/A</v>
      </c>
    </row>
    <row r="314" spans="1:7" x14ac:dyDescent="0.35">
      <c r="A314" s="65">
        <v>40557</v>
      </c>
      <c r="B314" s="62">
        <v>0</v>
      </c>
      <c r="C314" s="62">
        <v>70</v>
      </c>
      <c r="D314" s="63">
        <v>70</v>
      </c>
      <c r="E314" t="str">
        <f t="shared" si="12"/>
        <v>normal</v>
      </c>
      <c r="F314" s="35">
        <f t="shared" si="13"/>
        <v>70</v>
      </c>
      <c r="G314" s="35" t="e">
        <f t="shared" si="14"/>
        <v>#N/A</v>
      </c>
    </row>
    <row r="315" spans="1:7" x14ac:dyDescent="0.35">
      <c r="A315" s="64">
        <v>40557</v>
      </c>
      <c r="B315" s="60">
        <v>2</v>
      </c>
      <c r="C315" s="60">
        <v>156</v>
      </c>
      <c r="D315" s="61">
        <v>158</v>
      </c>
      <c r="E315" t="str">
        <f t="shared" si="12"/>
        <v>normal</v>
      </c>
      <c r="F315" s="35">
        <f t="shared" si="13"/>
        <v>158</v>
      </c>
      <c r="G315" s="35" t="e">
        <f t="shared" si="14"/>
        <v>#N/A</v>
      </c>
    </row>
    <row r="316" spans="1:7" x14ac:dyDescent="0.35">
      <c r="A316" s="65">
        <v>40557</v>
      </c>
      <c r="B316" s="62">
        <v>0</v>
      </c>
      <c r="C316" s="62">
        <v>117</v>
      </c>
      <c r="D316" s="63">
        <v>117</v>
      </c>
      <c r="E316" t="str">
        <f t="shared" si="12"/>
        <v>normal</v>
      </c>
      <c r="F316" s="35">
        <f t="shared" si="13"/>
        <v>117</v>
      </c>
      <c r="G316" s="35" t="e">
        <f t="shared" si="14"/>
        <v>#N/A</v>
      </c>
    </row>
    <row r="317" spans="1:7" x14ac:dyDescent="0.35">
      <c r="A317" s="64">
        <v>40557</v>
      </c>
      <c r="B317" s="60">
        <v>4</v>
      </c>
      <c r="C317" s="60">
        <v>40</v>
      </c>
      <c r="D317" s="61">
        <v>44</v>
      </c>
      <c r="E317" t="str">
        <f t="shared" si="12"/>
        <v>normal</v>
      </c>
      <c r="F317" s="35">
        <f t="shared" si="13"/>
        <v>44</v>
      </c>
      <c r="G317" s="35" t="e">
        <f t="shared" si="14"/>
        <v>#N/A</v>
      </c>
    </row>
    <row r="318" spans="1:7" x14ac:dyDescent="0.35">
      <c r="A318" s="65">
        <v>40557</v>
      </c>
      <c r="B318" s="62">
        <v>6</v>
      </c>
      <c r="C318" s="62">
        <v>47</v>
      </c>
      <c r="D318" s="63">
        <v>53</v>
      </c>
      <c r="E318" t="str">
        <f t="shared" si="12"/>
        <v>normal</v>
      </c>
      <c r="F318" s="35">
        <f t="shared" si="13"/>
        <v>53</v>
      </c>
      <c r="G318" s="35" t="e">
        <f t="shared" si="14"/>
        <v>#N/A</v>
      </c>
    </row>
    <row r="319" spans="1:7" x14ac:dyDescent="0.35">
      <c r="A319" s="64">
        <v>40557</v>
      </c>
      <c r="B319" s="60">
        <v>2</v>
      </c>
      <c r="C319" s="60">
        <v>59</v>
      </c>
      <c r="D319" s="61">
        <v>61</v>
      </c>
      <c r="E319" t="str">
        <f t="shared" si="12"/>
        <v>normal</v>
      </c>
      <c r="F319" s="35">
        <f t="shared" si="13"/>
        <v>61</v>
      </c>
      <c r="G319" s="35" t="e">
        <f t="shared" si="14"/>
        <v>#N/A</v>
      </c>
    </row>
    <row r="320" spans="1:7" x14ac:dyDescent="0.35">
      <c r="A320" s="65">
        <v>40557</v>
      </c>
      <c r="B320" s="62">
        <v>4</v>
      </c>
      <c r="C320" s="62">
        <v>73</v>
      </c>
      <c r="D320" s="63">
        <v>77</v>
      </c>
      <c r="E320" t="str">
        <f t="shared" si="12"/>
        <v>normal</v>
      </c>
      <c r="F320" s="35">
        <f t="shared" si="13"/>
        <v>77</v>
      </c>
      <c r="G320" s="35" t="e">
        <f t="shared" si="14"/>
        <v>#N/A</v>
      </c>
    </row>
    <row r="321" spans="1:7" x14ac:dyDescent="0.35">
      <c r="A321" s="64">
        <v>40557</v>
      </c>
      <c r="B321" s="60">
        <v>5</v>
      </c>
      <c r="C321" s="60">
        <v>59</v>
      </c>
      <c r="D321" s="61">
        <v>64</v>
      </c>
      <c r="E321" t="str">
        <f t="shared" si="12"/>
        <v>normal</v>
      </c>
      <c r="F321" s="35">
        <f t="shared" si="13"/>
        <v>64</v>
      </c>
      <c r="G321" s="35" t="e">
        <f t="shared" si="14"/>
        <v>#N/A</v>
      </c>
    </row>
    <row r="322" spans="1:7" x14ac:dyDescent="0.35">
      <c r="A322" s="65">
        <v>40557</v>
      </c>
      <c r="B322" s="62">
        <v>9</v>
      </c>
      <c r="C322" s="62">
        <v>59</v>
      </c>
      <c r="D322" s="63">
        <v>68</v>
      </c>
      <c r="E322" t="str">
        <f t="shared" si="12"/>
        <v>normal</v>
      </c>
      <c r="F322" s="35">
        <f t="shared" si="13"/>
        <v>68</v>
      </c>
      <c r="G322" s="35" t="e">
        <f t="shared" si="14"/>
        <v>#N/A</v>
      </c>
    </row>
    <row r="323" spans="1:7" x14ac:dyDescent="0.35">
      <c r="A323" s="64">
        <v>40557</v>
      </c>
      <c r="B323" s="60">
        <v>3</v>
      </c>
      <c r="C323" s="60">
        <v>87</v>
      </c>
      <c r="D323" s="61">
        <v>90</v>
      </c>
      <c r="E323" t="str">
        <f t="shared" si="12"/>
        <v>normal</v>
      </c>
      <c r="F323" s="35">
        <f t="shared" si="13"/>
        <v>90</v>
      </c>
      <c r="G323" s="35" t="e">
        <f t="shared" si="14"/>
        <v>#N/A</v>
      </c>
    </row>
    <row r="324" spans="1:7" x14ac:dyDescent="0.35">
      <c r="A324" s="65">
        <v>40557</v>
      </c>
      <c r="B324" s="62">
        <v>4</v>
      </c>
      <c r="C324" s="62">
        <v>155</v>
      </c>
      <c r="D324" s="63">
        <v>159</v>
      </c>
      <c r="E324" t="str">
        <f t="shared" si="12"/>
        <v>normal</v>
      </c>
      <c r="F324" s="35">
        <f t="shared" si="13"/>
        <v>159</v>
      </c>
      <c r="G324" s="35" t="e">
        <f t="shared" si="14"/>
        <v>#N/A</v>
      </c>
    </row>
    <row r="325" spans="1:7" x14ac:dyDescent="0.35">
      <c r="A325" s="64">
        <v>40557</v>
      </c>
      <c r="B325" s="60">
        <v>5</v>
      </c>
      <c r="C325" s="60">
        <v>134</v>
      </c>
      <c r="D325" s="61">
        <v>139</v>
      </c>
      <c r="E325" t="str">
        <f t="shared" si="12"/>
        <v>normal</v>
      </c>
      <c r="F325" s="35">
        <f t="shared" si="13"/>
        <v>139</v>
      </c>
      <c r="G325" s="35" t="e">
        <f t="shared" si="14"/>
        <v>#N/A</v>
      </c>
    </row>
    <row r="326" spans="1:7" x14ac:dyDescent="0.35">
      <c r="A326" s="65">
        <v>40557</v>
      </c>
      <c r="B326" s="62">
        <v>3</v>
      </c>
      <c r="C326" s="62">
        <v>89</v>
      </c>
      <c r="D326" s="63">
        <v>92</v>
      </c>
      <c r="E326" t="str">
        <f t="shared" si="12"/>
        <v>normal</v>
      </c>
      <c r="F326" s="35">
        <f t="shared" si="13"/>
        <v>92</v>
      </c>
      <c r="G326" s="35" t="e">
        <f t="shared" si="14"/>
        <v>#N/A</v>
      </c>
    </row>
    <row r="327" spans="1:7" x14ac:dyDescent="0.35">
      <c r="A327" s="64">
        <v>40557</v>
      </c>
      <c r="B327" s="60">
        <v>0</v>
      </c>
      <c r="C327" s="60">
        <v>68</v>
      </c>
      <c r="D327" s="61">
        <v>68</v>
      </c>
      <c r="E327" t="str">
        <f t="shared" ref="E327:E390" si="15">IF(OR(D327&lt;$L$15,D327&gt;$L$16),"Anamoly","normal")</f>
        <v>normal</v>
      </c>
      <c r="F327" s="35">
        <f t="shared" si="13"/>
        <v>68</v>
      </c>
      <c r="G327" s="35" t="e">
        <f t="shared" si="14"/>
        <v>#N/A</v>
      </c>
    </row>
    <row r="328" spans="1:7" x14ac:dyDescent="0.35">
      <c r="A328" s="65">
        <v>40557</v>
      </c>
      <c r="B328" s="62">
        <v>4</v>
      </c>
      <c r="C328" s="62">
        <v>48</v>
      </c>
      <c r="D328" s="63">
        <v>52</v>
      </c>
      <c r="E328" t="str">
        <f t="shared" si="15"/>
        <v>normal</v>
      </c>
      <c r="F328" s="35">
        <f t="shared" ref="F328:F391" si="16">IF(E328="normal",D328,NA())</f>
        <v>52</v>
      </c>
      <c r="G328" s="35" t="e">
        <f t="shared" ref="G328:G391" si="17">IF(E328="anamoly",D328,NA())</f>
        <v>#N/A</v>
      </c>
    </row>
    <row r="329" spans="1:7" x14ac:dyDescent="0.35">
      <c r="A329" s="64">
        <v>40557</v>
      </c>
      <c r="B329" s="60">
        <v>2</v>
      </c>
      <c r="C329" s="60">
        <v>34</v>
      </c>
      <c r="D329" s="61">
        <v>36</v>
      </c>
      <c r="E329" t="str">
        <f t="shared" si="15"/>
        <v>normal</v>
      </c>
      <c r="F329" s="35">
        <f t="shared" si="16"/>
        <v>36</v>
      </c>
      <c r="G329" s="35" t="e">
        <f t="shared" si="17"/>
        <v>#N/A</v>
      </c>
    </row>
    <row r="330" spans="1:7" x14ac:dyDescent="0.35">
      <c r="A330" s="65">
        <v>40557</v>
      </c>
      <c r="B330" s="62">
        <v>1</v>
      </c>
      <c r="C330" s="62">
        <v>26</v>
      </c>
      <c r="D330" s="63">
        <v>27</v>
      </c>
      <c r="E330" t="str">
        <f t="shared" si="15"/>
        <v>normal</v>
      </c>
      <c r="F330" s="35">
        <f t="shared" si="16"/>
        <v>27</v>
      </c>
      <c r="G330" s="35" t="e">
        <f t="shared" si="17"/>
        <v>#N/A</v>
      </c>
    </row>
    <row r="331" spans="1:7" x14ac:dyDescent="0.35">
      <c r="A331" s="64">
        <v>40558</v>
      </c>
      <c r="B331" s="60">
        <v>3</v>
      </c>
      <c r="C331" s="60">
        <v>25</v>
      </c>
      <c r="D331" s="61">
        <v>28</v>
      </c>
      <c r="E331" t="str">
        <f t="shared" si="15"/>
        <v>normal</v>
      </c>
      <c r="F331" s="35">
        <f t="shared" si="16"/>
        <v>28</v>
      </c>
      <c r="G331" s="35" t="e">
        <f t="shared" si="17"/>
        <v>#N/A</v>
      </c>
    </row>
    <row r="332" spans="1:7" x14ac:dyDescent="0.35">
      <c r="A332" s="65">
        <v>40558</v>
      </c>
      <c r="B332" s="62">
        <v>2</v>
      </c>
      <c r="C332" s="62">
        <v>18</v>
      </c>
      <c r="D332" s="63">
        <v>20</v>
      </c>
      <c r="E332" t="str">
        <f t="shared" si="15"/>
        <v>normal</v>
      </c>
      <c r="F332" s="35">
        <f t="shared" si="16"/>
        <v>20</v>
      </c>
      <c r="G332" s="35" t="e">
        <f t="shared" si="17"/>
        <v>#N/A</v>
      </c>
    </row>
    <row r="333" spans="1:7" x14ac:dyDescent="0.35">
      <c r="A333" s="64">
        <v>40558</v>
      </c>
      <c r="B333" s="60">
        <v>0</v>
      </c>
      <c r="C333" s="60">
        <v>12</v>
      </c>
      <c r="D333" s="61">
        <v>12</v>
      </c>
      <c r="E333" t="str">
        <f t="shared" si="15"/>
        <v>normal</v>
      </c>
      <c r="F333" s="35">
        <f t="shared" si="16"/>
        <v>12</v>
      </c>
      <c r="G333" s="35" t="e">
        <f t="shared" si="17"/>
        <v>#N/A</v>
      </c>
    </row>
    <row r="334" spans="1:7" x14ac:dyDescent="0.35">
      <c r="A334" s="65">
        <v>40558</v>
      </c>
      <c r="B334" s="62">
        <v>1</v>
      </c>
      <c r="C334" s="62">
        <v>7</v>
      </c>
      <c r="D334" s="63">
        <v>8</v>
      </c>
      <c r="E334" t="str">
        <f t="shared" si="15"/>
        <v>normal</v>
      </c>
      <c r="F334" s="35">
        <f t="shared" si="16"/>
        <v>8</v>
      </c>
      <c r="G334" s="35" t="e">
        <f t="shared" si="17"/>
        <v>#N/A</v>
      </c>
    </row>
    <row r="335" spans="1:7" x14ac:dyDescent="0.35">
      <c r="A335" s="64">
        <v>40558</v>
      </c>
      <c r="B335" s="60">
        <v>0</v>
      </c>
      <c r="C335" s="60">
        <v>5</v>
      </c>
      <c r="D335" s="61">
        <v>5</v>
      </c>
      <c r="E335" t="str">
        <f t="shared" si="15"/>
        <v>normal</v>
      </c>
      <c r="F335" s="35">
        <f t="shared" si="16"/>
        <v>5</v>
      </c>
      <c r="G335" s="35" t="e">
        <f t="shared" si="17"/>
        <v>#N/A</v>
      </c>
    </row>
    <row r="336" spans="1:7" x14ac:dyDescent="0.35">
      <c r="A336" s="65">
        <v>40558</v>
      </c>
      <c r="B336" s="62">
        <v>0</v>
      </c>
      <c r="C336" s="62">
        <v>1</v>
      </c>
      <c r="D336" s="63">
        <v>1</v>
      </c>
      <c r="E336" t="str">
        <f t="shared" si="15"/>
        <v>normal</v>
      </c>
      <c r="F336" s="35">
        <f t="shared" si="16"/>
        <v>1</v>
      </c>
      <c r="G336" s="35" t="e">
        <f t="shared" si="17"/>
        <v>#N/A</v>
      </c>
    </row>
    <row r="337" spans="1:7" x14ac:dyDescent="0.35">
      <c r="A337" s="64">
        <v>40558</v>
      </c>
      <c r="B337" s="60">
        <v>1</v>
      </c>
      <c r="C337" s="60">
        <v>2</v>
      </c>
      <c r="D337" s="61">
        <v>3</v>
      </c>
      <c r="E337" t="str">
        <f t="shared" si="15"/>
        <v>normal</v>
      </c>
      <c r="F337" s="35">
        <f t="shared" si="16"/>
        <v>3</v>
      </c>
      <c r="G337" s="35" t="e">
        <f t="shared" si="17"/>
        <v>#N/A</v>
      </c>
    </row>
    <row r="338" spans="1:7" x14ac:dyDescent="0.35">
      <c r="A338" s="65">
        <v>40558</v>
      </c>
      <c r="B338" s="62">
        <v>1</v>
      </c>
      <c r="C338" s="62">
        <v>9</v>
      </c>
      <c r="D338" s="63">
        <v>10</v>
      </c>
      <c r="E338" t="str">
        <f t="shared" si="15"/>
        <v>normal</v>
      </c>
      <c r="F338" s="35">
        <f t="shared" si="16"/>
        <v>10</v>
      </c>
      <c r="G338" s="35" t="e">
        <f t="shared" si="17"/>
        <v>#N/A</v>
      </c>
    </row>
    <row r="339" spans="1:7" x14ac:dyDescent="0.35">
      <c r="A339" s="64">
        <v>40558</v>
      </c>
      <c r="B339" s="60">
        <v>1</v>
      </c>
      <c r="C339" s="60">
        <v>22</v>
      </c>
      <c r="D339" s="61">
        <v>23</v>
      </c>
      <c r="E339" t="str">
        <f t="shared" si="15"/>
        <v>normal</v>
      </c>
      <c r="F339" s="35">
        <f t="shared" si="16"/>
        <v>23</v>
      </c>
      <c r="G339" s="35" t="e">
        <f t="shared" si="17"/>
        <v>#N/A</v>
      </c>
    </row>
    <row r="340" spans="1:7" x14ac:dyDescent="0.35">
      <c r="A340" s="65">
        <v>40558</v>
      </c>
      <c r="B340" s="62">
        <v>2</v>
      </c>
      <c r="C340" s="62">
        <v>31</v>
      </c>
      <c r="D340" s="63">
        <v>33</v>
      </c>
      <c r="E340" t="str">
        <f t="shared" si="15"/>
        <v>normal</v>
      </c>
      <c r="F340" s="35">
        <f t="shared" si="16"/>
        <v>33</v>
      </c>
      <c r="G340" s="35" t="e">
        <f t="shared" si="17"/>
        <v>#N/A</v>
      </c>
    </row>
    <row r="341" spans="1:7" x14ac:dyDescent="0.35">
      <c r="A341" s="64">
        <v>40558</v>
      </c>
      <c r="B341" s="60">
        <v>2</v>
      </c>
      <c r="C341" s="60">
        <v>57</v>
      </c>
      <c r="D341" s="61">
        <v>59</v>
      </c>
      <c r="E341" t="str">
        <f t="shared" si="15"/>
        <v>normal</v>
      </c>
      <c r="F341" s="35">
        <f t="shared" si="16"/>
        <v>59</v>
      </c>
      <c r="G341" s="35" t="e">
        <f t="shared" si="17"/>
        <v>#N/A</v>
      </c>
    </row>
    <row r="342" spans="1:7" x14ac:dyDescent="0.35">
      <c r="A342" s="65">
        <v>40558</v>
      </c>
      <c r="B342" s="62">
        <v>18</v>
      </c>
      <c r="C342" s="62">
        <v>54</v>
      </c>
      <c r="D342" s="63">
        <v>72</v>
      </c>
      <c r="E342" t="str">
        <f t="shared" si="15"/>
        <v>normal</v>
      </c>
      <c r="F342" s="35">
        <f t="shared" si="16"/>
        <v>72</v>
      </c>
      <c r="G342" s="35" t="e">
        <f t="shared" si="17"/>
        <v>#N/A</v>
      </c>
    </row>
    <row r="343" spans="1:7" x14ac:dyDescent="0.35">
      <c r="A343" s="64">
        <v>40558</v>
      </c>
      <c r="B343" s="60">
        <v>15</v>
      </c>
      <c r="C343" s="60">
        <v>74</v>
      </c>
      <c r="D343" s="61">
        <v>89</v>
      </c>
      <c r="E343" t="str">
        <f t="shared" si="15"/>
        <v>normal</v>
      </c>
      <c r="F343" s="35">
        <f t="shared" si="16"/>
        <v>89</v>
      </c>
      <c r="G343" s="35" t="e">
        <f t="shared" si="17"/>
        <v>#N/A</v>
      </c>
    </row>
    <row r="344" spans="1:7" x14ac:dyDescent="0.35">
      <c r="A344" s="65">
        <v>40558</v>
      </c>
      <c r="B344" s="62">
        <v>21</v>
      </c>
      <c r="C344" s="62">
        <v>80</v>
      </c>
      <c r="D344" s="63">
        <v>101</v>
      </c>
      <c r="E344" t="str">
        <f t="shared" si="15"/>
        <v>normal</v>
      </c>
      <c r="F344" s="35">
        <f t="shared" si="16"/>
        <v>101</v>
      </c>
      <c r="G344" s="35" t="e">
        <f t="shared" si="17"/>
        <v>#N/A</v>
      </c>
    </row>
    <row r="345" spans="1:7" x14ac:dyDescent="0.35">
      <c r="A345" s="64">
        <v>40558</v>
      </c>
      <c r="B345" s="60">
        <v>26</v>
      </c>
      <c r="C345" s="60">
        <v>92</v>
      </c>
      <c r="D345" s="61">
        <v>118</v>
      </c>
      <c r="E345" t="str">
        <f t="shared" si="15"/>
        <v>normal</v>
      </c>
      <c r="F345" s="35">
        <f t="shared" si="16"/>
        <v>118</v>
      </c>
      <c r="G345" s="35" t="e">
        <f t="shared" si="17"/>
        <v>#N/A</v>
      </c>
    </row>
    <row r="346" spans="1:7" x14ac:dyDescent="0.35">
      <c r="A346" s="65">
        <v>40558</v>
      </c>
      <c r="B346" s="62">
        <v>21</v>
      </c>
      <c r="C346" s="62">
        <v>108</v>
      </c>
      <c r="D346" s="63">
        <v>129</v>
      </c>
      <c r="E346" t="str">
        <f t="shared" si="15"/>
        <v>normal</v>
      </c>
      <c r="F346" s="35">
        <f t="shared" si="16"/>
        <v>129</v>
      </c>
      <c r="G346" s="35" t="e">
        <f t="shared" si="17"/>
        <v>#N/A</v>
      </c>
    </row>
    <row r="347" spans="1:7" x14ac:dyDescent="0.35">
      <c r="A347" s="64">
        <v>40558</v>
      </c>
      <c r="B347" s="60">
        <v>33</v>
      </c>
      <c r="C347" s="60">
        <v>95</v>
      </c>
      <c r="D347" s="61">
        <v>128</v>
      </c>
      <c r="E347" t="str">
        <f t="shared" si="15"/>
        <v>normal</v>
      </c>
      <c r="F347" s="35">
        <f t="shared" si="16"/>
        <v>128</v>
      </c>
      <c r="G347" s="35" t="e">
        <f t="shared" si="17"/>
        <v>#N/A</v>
      </c>
    </row>
    <row r="348" spans="1:7" x14ac:dyDescent="0.35">
      <c r="A348" s="65">
        <v>40558</v>
      </c>
      <c r="B348" s="62">
        <v>29</v>
      </c>
      <c r="C348" s="62">
        <v>54</v>
      </c>
      <c r="D348" s="63">
        <v>83</v>
      </c>
      <c r="E348" t="str">
        <f t="shared" si="15"/>
        <v>normal</v>
      </c>
      <c r="F348" s="35">
        <f t="shared" si="16"/>
        <v>83</v>
      </c>
      <c r="G348" s="35" t="e">
        <f t="shared" si="17"/>
        <v>#N/A</v>
      </c>
    </row>
    <row r="349" spans="1:7" x14ac:dyDescent="0.35">
      <c r="A349" s="64">
        <v>40558</v>
      </c>
      <c r="B349" s="60">
        <v>15</v>
      </c>
      <c r="C349" s="60">
        <v>69</v>
      </c>
      <c r="D349" s="61">
        <v>84</v>
      </c>
      <c r="E349" t="str">
        <f t="shared" si="15"/>
        <v>normal</v>
      </c>
      <c r="F349" s="35">
        <f t="shared" si="16"/>
        <v>84</v>
      </c>
      <c r="G349" s="35" t="e">
        <f t="shared" si="17"/>
        <v>#N/A</v>
      </c>
    </row>
    <row r="350" spans="1:7" x14ac:dyDescent="0.35">
      <c r="A350" s="65">
        <v>40558</v>
      </c>
      <c r="B350" s="62">
        <v>14</v>
      </c>
      <c r="C350" s="62">
        <v>60</v>
      </c>
      <c r="D350" s="63">
        <v>74</v>
      </c>
      <c r="E350" t="str">
        <f t="shared" si="15"/>
        <v>normal</v>
      </c>
      <c r="F350" s="35">
        <f t="shared" si="16"/>
        <v>74</v>
      </c>
      <c r="G350" s="35" t="e">
        <f t="shared" si="17"/>
        <v>#N/A</v>
      </c>
    </row>
    <row r="351" spans="1:7" x14ac:dyDescent="0.35">
      <c r="A351" s="64">
        <v>40558</v>
      </c>
      <c r="B351" s="60">
        <v>6</v>
      </c>
      <c r="C351" s="60">
        <v>35</v>
      </c>
      <c r="D351" s="61">
        <v>41</v>
      </c>
      <c r="E351" t="str">
        <f t="shared" si="15"/>
        <v>normal</v>
      </c>
      <c r="F351" s="35">
        <f t="shared" si="16"/>
        <v>41</v>
      </c>
      <c r="G351" s="35" t="e">
        <f t="shared" si="17"/>
        <v>#N/A</v>
      </c>
    </row>
    <row r="352" spans="1:7" x14ac:dyDescent="0.35">
      <c r="A352" s="65">
        <v>40558</v>
      </c>
      <c r="B352" s="62">
        <v>6</v>
      </c>
      <c r="C352" s="62">
        <v>51</v>
      </c>
      <c r="D352" s="63">
        <v>57</v>
      </c>
      <c r="E352" t="str">
        <f t="shared" si="15"/>
        <v>normal</v>
      </c>
      <c r="F352" s="35">
        <f t="shared" si="16"/>
        <v>57</v>
      </c>
      <c r="G352" s="35" t="e">
        <f t="shared" si="17"/>
        <v>#N/A</v>
      </c>
    </row>
    <row r="353" spans="1:7" x14ac:dyDescent="0.35">
      <c r="A353" s="64">
        <v>40558</v>
      </c>
      <c r="B353" s="60">
        <v>0</v>
      </c>
      <c r="C353" s="60">
        <v>26</v>
      </c>
      <c r="D353" s="61">
        <v>26</v>
      </c>
      <c r="E353" t="str">
        <f t="shared" si="15"/>
        <v>normal</v>
      </c>
      <c r="F353" s="35">
        <f t="shared" si="16"/>
        <v>26</v>
      </c>
      <c r="G353" s="35" t="e">
        <f t="shared" si="17"/>
        <v>#N/A</v>
      </c>
    </row>
    <row r="354" spans="1:7" x14ac:dyDescent="0.35">
      <c r="A354" s="65">
        <v>40558</v>
      </c>
      <c r="B354" s="62">
        <v>5</v>
      </c>
      <c r="C354" s="62">
        <v>39</v>
      </c>
      <c r="D354" s="63">
        <v>44</v>
      </c>
      <c r="E354" t="str">
        <f t="shared" si="15"/>
        <v>normal</v>
      </c>
      <c r="F354" s="35">
        <f t="shared" si="16"/>
        <v>44</v>
      </c>
      <c r="G354" s="35" t="e">
        <f t="shared" si="17"/>
        <v>#N/A</v>
      </c>
    </row>
    <row r="355" spans="1:7" x14ac:dyDescent="0.35">
      <c r="A355" s="64">
        <v>40559</v>
      </c>
      <c r="B355" s="60">
        <v>6</v>
      </c>
      <c r="C355" s="60">
        <v>33</v>
      </c>
      <c r="D355" s="61">
        <v>39</v>
      </c>
      <c r="E355" t="str">
        <f t="shared" si="15"/>
        <v>normal</v>
      </c>
      <c r="F355" s="35">
        <f t="shared" si="16"/>
        <v>39</v>
      </c>
      <c r="G355" s="35" t="e">
        <f t="shared" si="17"/>
        <v>#N/A</v>
      </c>
    </row>
    <row r="356" spans="1:7" x14ac:dyDescent="0.35">
      <c r="A356" s="65">
        <v>40559</v>
      </c>
      <c r="B356" s="62">
        <v>4</v>
      </c>
      <c r="C356" s="62">
        <v>19</v>
      </c>
      <c r="D356" s="63">
        <v>23</v>
      </c>
      <c r="E356" t="str">
        <f t="shared" si="15"/>
        <v>normal</v>
      </c>
      <c r="F356" s="35">
        <f t="shared" si="16"/>
        <v>23</v>
      </c>
      <c r="G356" s="35" t="e">
        <f t="shared" si="17"/>
        <v>#N/A</v>
      </c>
    </row>
    <row r="357" spans="1:7" x14ac:dyDescent="0.35">
      <c r="A357" s="64">
        <v>40559</v>
      </c>
      <c r="B357" s="60">
        <v>3</v>
      </c>
      <c r="C357" s="60">
        <v>13</v>
      </c>
      <c r="D357" s="61">
        <v>16</v>
      </c>
      <c r="E357" t="str">
        <f t="shared" si="15"/>
        <v>normal</v>
      </c>
      <c r="F357" s="35">
        <f t="shared" si="16"/>
        <v>16</v>
      </c>
      <c r="G357" s="35" t="e">
        <f t="shared" si="17"/>
        <v>#N/A</v>
      </c>
    </row>
    <row r="358" spans="1:7" x14ac:dyDescent="0.35">
      <c r="A358" s="65">
        <v>40559</v>
      </c>
      <c r="B358" s="62">
        <v>9</v>
      </c>
      <c r="C358" s="62">
        <v>6</v>
      </c>
      <c r="D358" s="63">
        <v>15</v>
      </c>
      <c r="E358" t="str">
        <f t="shared" si="15"/>
        <v>normal</v>
      </c>
      <c r="F358" s="35">
        <f t="shared" si="16"/>
        <v>15</v>
      </c>
      <c r="G358" s="35" t="e">
        <f t="shared" si="17"/>
        <v>#N/A</v>
      </c>
    </row>
    <row r="359" spans="1:7" x14ac:dyDescent="0.35">
      <c r="A359" s="64">
        <v>40559</v>
      </c>
      <c r="B359" s="60">
        <v>0</v>
      </c>
      <c r="C359" s="60">
        <v>1</v>
      </c>
      <c r="D359" s="61">
        <v>1</v>
      </c>
      <c r="E359" t="str">
        <f t="shared" si="15"/>
        <v>normal</v>
      </c>
      <c r="F359" s="35">
        <f t="shared" si="16"/>
        <v>1</v>
      </c>
      <c r="G359" s="35" t="e">
        <f t="shared" si="17"/>
        <v>#N/A</v>
      </c>
    </row>
    <row r="360" spans="1:7" x14ac:dyDescent="0.35">
      <c r="A360" s="65">
        <v>40559</v>
      </c>
      <c r="B360" s="62">
        <v>1</v>
      </c>
      <c r="C360" s="62">
        <v>1</v>
      </c>
      <c r="D360" s="63">
        <v>2</v>
      </c>
      <c r="E360" t="str">
        <f t="shared" si="15"/>
        <v>normal</v>
      </c>
      <c r="F360" s="35">
        <f t="shared" si="16"/>
        <v>2</v>
      </c>
      <c r="G360" s="35" t="e">
        <f t="shared" si="17"/>
        <v>#N/A</v>
      </c>
    </row>
    <row r="361" spans="1:7" x14ac:dyDescent="0.35">
      <c r="A361" s="64">
        <v>40559</v>
      </c>
      <c r="B361" s="60">
        <v>0</v>
      </c>
      <c r="C361" s="60">
        <v>1</v>
      </c>
      <c r="D361" s="61">
        <v>1</v>
      </c>
      <c r="E361" t="str">
        <f t="shared" si="15"/>
        <v>normal</v>
      </c>
      <c r="F361" s="35">
        <f t="shared" si="16"/>
        <v>1</v>
      </c>
      <c r="G361" s="35" t="e">
        <f t="shared" si="17"/>
        <v>#N/A</v>
      </c>
    </row>
    <row r="362" spans="1:7" x14ac:dyDescent="0.35">
      <c r="A362" s="65">
        <v>40559</v>
      </c>
      <c r="B362" s="62">
        <v>0</v>
      </c>
      <c r="C362" s="62">
        <v>3</v>
      </c>
      <c r="D362" s="63">
        <v>3</v>
      </c>
      <c r="E362" t="str">
        <f t="shared" si="15"/>
        <v>normal</v>
      </c>
      <c r="F362" s="35">
        <f t="shared" si="16"/>
        <v>3</v>
      </c>
      <c r="G362" s="35" t="e">
        <f t="shared" si="17"/>
        <v>#N/A</v>
      </c>
    </row>
    <row r="363" spans="1:7" x14ac:dyDescent="0.35">
      <c r="A363" s="64">
        <v>40559</v>
      </c>
      <c r="B363" s="60">
        <v>0</v>
      </c>
      <c r="C363" s="60">
        <v>18</v>
      </c>
      <c r="D363" s="61">
        <v>18</v>
      </c>
      <c r="E363" t="str">
        <f t="shared" si="15"/>
        <v>normal</v>
      </c>
      <c r="F363" s="35">
        <f t="shared" si="16"/>
        <v>18</v>
      </c>
      <c r="G363" s="35" t="e">
        <f t="shared" si="17"/>
        <v>#N/A</v>
      </c>
    </row>
    <row r="364" spans="1:7" x14ac:dyDescent="0.35">
      <c r="A364" s="65">
        <v>40559</v>
      </c>
      <c r="B364" s="62">
        <v>3</v>
      </c>
      <c r="C364" s="62">
        <v>29</v>
      </c>
      <c r="D364" s="63">
        <v>32</v>
      </c>
      <c r="E364" t="str">
        <f t="shared" si="15"/>
        <v>normal</v>
      </c>
      <c r="F364" s="35">
        <f t="shared" si="16"/>
        <v>32</v>
      </c>
      <c r="G364" s="35" t="e">
        <f t="shared" si="17"/>
        <v>#N/A</v>
      </c>
    </row>
    <row r="365" spans="1:7" x14ac:dyDescent="0.35">
      <c r="A365" s="64">
        <v>40559</v>
      </c>
      <c r="B365" s="60">
        <v>8</v>
      </c>
      <c r="C365" s="60">
        <v>71</v>
      </c>
      <c r="D365" s="61">
        <v>79</v>
      </c>
      <c r="E365" t="str">
        <f t="shared" si="15"/>
        <v>normal</v>
      </c>
      <c r="F365" s="35">
        <f t="shared" si="16"/>
        <v>79</v>
      </c>
      <c r="G365" s="35" t="e">
        <f t="shared" si="17"/>
        <v>#N/A</v>
      </c>
    </row>
    <row r="366" spans="1:7" x14ac:dyDescent="0.35">
      <c r="A366" s="65">
        <v>40559</v>
      </c>
      <c r="B366" s="62">
        <v>23</v>
      </c>
      <c r="C366" s="62">
        <v>70</v>
      </c>
      <c r="D366" s="63">
        <v>93</v>
      </c>
      <c r="E366" t="str">
        <f t="shared" si="15"/>
        <v>normal</v>
      </c>
      <c r="F366" s="35">
        <f t="shared" si="16"/>
        <v>93</v>
      </c>
      <c r="G366" s="35" t="e">
        <f t="shared" si="17"/>
        <v>#N/A</v>
      </c>
    </row>
    <row r="367" spans="1:7" x14ac:dyDescent="0.35">
      <c r="A367" s="64">
        <v>40559</v>
      </c>
      <c r="B367" s="60">
        <v>29</v>
      </c>
      <c r="C367" s="60">
        <v>75</v>
      </c>
      <c r="D367" s="61">
        <v>104</v>
      </c>
      <c r="E367" t="str">
        <f t="shared" si="15"/>
        <v>normal</v>
      </c>
      <c r="F367" s="35">
        <f t="shared" si="16"/>
        <v>104</v>
      </c>
      <c r="G367" s="35" t="e">
        <f t="shared" si="17"/>
        <v>#N/A</v>
      </c>
    </row>
    <row r="368" spans="1:7" x14ac:dyDescent="0.35">
      <c r="A368" s="65">
        <v>40559</v>
      </c>
      <c r="B368" s="62">
        <v>23</v>
      </c>
      <c r="C368" s="62">
        <v>95</v>
      </c>
      <c r="D368" s="63">
        <v>118</v>
      </c>
      <c r="E368" t="str">
        <f t="shared" si="15"/>
        <v>normal</v>
      </c>
      <c r="F368" s="35">
        <f t="shared" si="16"/>
        <v>118</v>
      </c>
      <c r="G368" s="35" t="e">
        <f t="shared" si="17"/>
        <v>#N/A</v>
      </c>
    </row>
    <row r="369" spans="1:7" x14ac:dyDescent="0.35">
      <c r="A369" s="64">
        <v>40559</v>
      </c>
      <c r="B369" s="60">
        <v>22</v>
      </c>
      <c r="C369" s="60">
        <v>69</v>
      </c>
      <c r="D369" s="61">
        <v>91</v>
      </c>
      <c r="E369" t="str">
        <f t="shared" si="15"/>
        <v>normal</v>
      </c>
      <c r="F369" s="35">
        <f t="shared" si="16"/>
        <v>91</v>
      </c>
      <c r="G369" s="35" t="e">
        <f t="shared" si="17"/>
        <v>#N/A</v>
      </c>
    </row>
    <row r="370" spans="1:7" x14ac:dyDescent="0.35">
      <c r="A370" s="65">
        <v>40559</v>
      </c>
      <c r="B370" s="62">
        <v>35</v>
      </c>
      <c r="C370" s="62">
        <v>78</v>
      </c>
      <c r="D370" s="63">
        <v>113</v>
      </c>
      <c r="E370" t="str">
        <f t="shared" si="15"/>
        <v>normal</v>
      </c>
      <c r="F370" s="35">
        <f t="shared" si="16"/>
        <v>113</v>
      </c>
      <c r="G370" s="35" t="e">
        <f t="shared" si="17"/>
        <v>#N/A</v>
      </c>
    </row>
    <row r="371" spans="1:7" x14ac:dyDescent="0.35">
      <c r="A371" s="64">
        <v>40559</v>
      </c>
      <c r="B371" s="60">
        <v>22</v>
      </c>
      <c r="C371" s="60">
        <v>77</v>
      </c>
      <c r="D371" s="61">
        <v>99</v>
      </c>
      <c r="E371" t="str">
        <f t="shared" si="15"/>
        <v>normal</v>
      </c>
      <c r="F371" s="35">
        <f t="shared" si="16"/>
        <v>99</v>
      </c>
      <c r="G371" s="35" t="e">
        <f t="shared" si="17"/>
        <v>#N/A</v>
      </c>
    </row>
    <row r="372" spans="1:7" x14ac:dyDescent="0.35">
      <c r="A372" s="65">
        <v>40559</v>
      </c>
      <c r="B372" s="62">
        <v>23</v>
      </c>
      <c r="C372" s="62">
        <v>82</v>
      </c>
      <c r="D372" s="63">
        <v>105</v>
      </c>
      <c r="E372" t="str">
        <f t="shared" si="15"/>
        <v>normal</v>
      </c>
      <c r="F372" s="35">
        <f t="shared" si="16"/>
        <v>105</v>
      </c>
      <c r="G372" s="35" t="e">
        <f t="shared" si="17"/>
        <v>#N/A</v>
      </c>
    </row>
    <row r="373" spans="1:7" x14ac:dyDescent="0.35">
      <c r="A373" s="64">
        <v>40559</v>
      </c>
      <c r="B373" s="60">
        <v>11</v>
      </c>
      <c r="C373" s="60">
        <v>56</v>
      </c>
      <c r="D373" s="61">
        <v>67</v>
      </c>
      <c r="E373" t="str">
        <f t="shared" si="15"/>
        <v>normal</v>
      </c>
      <c r="F373" s="35">
        <f t="shared" si="16"/>
        <v>67</v>
      </c>
      <c r="G373" s="35" t="e">
        <f t="shared" si="17"/>
        <v>#N/A</v>
      </c>
    </row>
    <row r="374" spans="1:7" x14ac:dyDescent="0.35">
      <c r="A374" s="65">
        <v>40559</v>
      </c>
      <c r="B374" s="62">
        <v>14</v>
      </c>
      <c r="C374" s="62">
        <v>47</v>
      </c>
      <c r="D374" s="63">
        <v>61</v>
      </c>
      <c r="E374" t="str">
        <f t="shared" si="15"/>
        <v>normal</v>
      </c>
      <c r="F374" s="35">
        <f t="shared" si="16"/>
        <v>61</v>
      </c>
      <c r="G374" s="35" t="e">
        <f t="shared" si="17"/>
        <v>#N/A</v>
      </c>
    </row>
    <row r="375" spans="1:7" x14ac:dyDescent="0.35">
      <c r="A375" s="64">
        <v>40559</v>
      </c>
      <c r="B375" s="60">
        <v>7</v>
      </c>
      <c r="C375" s="60">
        <v>50</v>
      </c>
      <c r="D375" s="61">
        <v>57</v>
      </c>
      <c r="E375" t="str">
        <f t="shared" si="15"/>
        <v>normal</v>
      </c>
      <c r="F375" s="35">
        <f t="shared" si="16"/>
        <v>57</v>
      </c>
      <c r="G375" s="35" t="e">
        <f t="shared" si="17"/>
        <v>#N/A</v>
      </c>
    </row>
    <row r="376" spans="1:7" x14ac:dyDescent="0.35">
      <c r="A376" s="65">
        <v>40559</v>
      </c>
      <c r="B376" s="62">
        <v>6</v>
      </c>
      <c r="C376" s="62">
        <v>22</v>
      </c>
      <c r="D376" s="63">
        <v>28</v>
      </c>
      <c r="E376" t="str">
        <f t="shared" si="15"/>
        <v>normal</v>
      </c>
      <c r="F376" s="35">
        <f t="shared" si="16"/>
        <v>28</v>
      </c>
      <c r="G376" s="35" t="e">
        <f t="shared" si="17"/>
        <v>#N/A</v>
      </c>
    </row>
    <row r="377" spans="1:7" x14ac:dyDescent="0.35">
      <c r="A377" s="64">
        <v>40559</v>
      </c>
      <c r="B377" s="60">
        <v>2</v>
      </c>
      <c r="C377" s="60">
        <v>19</v>
      </c>
      <c r="D377" s="61">
        <v>21</v>
      </c>
      <c r="E377" t="str">
        <f t="shared" si="15"/>
        <v>normal</v>
      </c>
      <c r="F377" s="35">
        <f t="shared" si="16"/>
        <v>21</v>
      </c>
      <c r="G377" s="35" t="e">
        <f t="shared" si="17"/>
        <v>#N/A</v>
      </c>
    </row>
    <row r="378" spans="1:7" x14ac:dyDescent="0.35">
      <c r="A378" s="65">
        <v>40559</v>
      </c>
      <c r="B378" s="62">
        <v>0</v>
      </c>
      <c r="C378" s="62">
        <v>18</v>
      </c>
      <c r="D378" s="63">
        <v>18</v>
      </c>
      <c r="E378" t="str">
        <f t="shared" si="15"/>
        <v>normal</v>
      </c>
      <c r="F378" s="35">
        <f t="shared" si="16"/>
        <v>18</v>
      </c>
      <c r="G378" s="35" t="e">
        <f t="shared" si="17"/>
        <v>#N/A</v>
      </c>
    </row>
    <row r="379" spans="1:7" x14ac:dyDescent="0.35">
      <c r="A379" s="64">
        <v>40560</v>
      </c>
      <c r="B379" s="60">
        <v>1</v>
      </c>
      <c r="C379" s="60">
        <v>16</v>
      </c>
      <c r="D379" s="61">
        <v>17</v>
      </c>
      <c r="E379" t="str">
        <f t="shared" si="15"/>
        <v>normal</v>
      </c>
      <c r="F379" s="35">
        <f t="shared" si="16"/>
        <v>17</v>
      </c>
      <c r="G379" s="35" t="e">
        <f t="shared" si="17"/>
        <v>#N/A</v>
      </c>
    </row>
    <row r="380" spans="1:7" x14ac:dyDescent="0.35">
      <c r="A380" s="65">
        <v>40560</v>
      </c>
      <c r="B380" s="62">
        <v>1</v>
      </c>
      <c r="C380" s="62">
        <v>15</v>
      </c>
      <c r="D380" s="63">
        <v>16</v>
      </c>
      <c r="E380" t="str">
        <f t="shared" si="15"/>
        <v>normal</v>
      </c>
      <c r="F380" s="35">
        <f t="shared" si="16"/>
        <v>16</v>
      </c>
      <c r="G380" s="35" t="e">
        <f t="shared" si="17"/>
        <v>#N/A</v>
      </c>
    </row>
    <row r="381" spans="1:7" x14ac:dyDescent="0.35">
      <c r="A381" s="64">
        <v>40560</v>
      </c>
      <c r="B381" s="60">
        <v>0</v>
      </c>
      <c r="C381" s="60">
        <v>8</v>
      </c>
      <c r="D381" s="61">
        <v>8</v>
      </c>
      <c r="E381" t="str">
        <f t="shared" si="15"/>
        <v>normal</v>
      </c>
      <c r="F381" s="35">
        <f t="shared" si="16"/>
        <v>8</v>
      </c>
      <c r="G381" s="35" t="e">
        <f t="shared" si="17"/>
        <v>#N/A</v>
      </c>
    </row>
    <row r="382" spans="1:7" x14ac:dyDescent="0.35">
      <c r="A382" s="65">
        <v>40560</v>
      </c>
      <c r="B382" s="62">
        <v>0</v>
      </c>
      <c r="C382" s="62">
        <v>2</v>
      </c>
      <c r="D382" s="63">
        <v>2</v>
      </c>
      <c r="E382" t="str">
        <f t="shared" si="15"/>
        <v>normal</v>
      </c>
      <c r="F382" s="35">
        <f t="shared" si="16"/>
        <v>2</v>
      </c>
      <c r="G382" s="35" t="e">
        <f t="shared" si="17"/>
        <v>#N/A</v>
      </c>
    </row>
    <row r="383" spans="1:7" x14ac:dyDescent="0.35">
      <c r="A383" s="64">
        <v>40560</v>
      </c>
      <c r="B383" s="60">
        <v>1</v>
      </c>
      <c r="C383" s="60">
        <v>2</v>
      </c>
      <c r="D383" s="61">
        <v>3</v>
      </c>
      <c r="E383" t="str">
        <f t="shared" si="15"/>
        <v>normal</v>
      </c>
      <c r="F383" s="35">
        <f t="shared" si="16"/>
        <v>3</v>
      </c>
      <c r="G383" s="35" t="e">
        <f t="shared" si="17"/>
        <v>#N/A</v>
      </c>
    </row>
    <row r="384" spans="1:7" x14ac:dyDescent="0.35">
      <c r="A384" s="65">
        <v>40560</v>
      </c>
      <c r="B384" s="62">
        <v>0</v>
      </c>
      <c r="C384" s="62">
        <v>1</v>
      </c>
      <c r="D384" s="63">
        <v>1</v>
      </c>
      <c r="E384" t="str">
        <f t="shared" si="15"/>
        <v>normal</v>
      </c>
      <c r="F384" s="35">
        <f t="shared" si="16"/>
        <v>1</v>
      </c>
      <c r="G384" s="35" t="e">
        <f t="shared" si="17"/>
        <v>#N/A</v>
      </c>
    </row>
    <row r="385" spans="1:7" x14ac:dyDescent="0.35">
      <c r="A385" s="64">
        <v>40560</v>
      </c>
      <c r="B385" s="60">
        <v>0</v>
      </c>
      <c r="C385" s="60">
        <v>5</v>
      </c>
      <c r="D385" s="61">
        <v>5</v>
      </c>
      <c r="E385" t="str">
        <f t="shared" si="15"/>
        <v>normal</v>
      </c>
      <c r="F385" s="35">
        <f t="shared" si="16"/>
        <v>5</v>
      </c>
      <c r="G385" s="35" t="e">
        <f t="shared" si="17"/>
        <v>#N/A</v>
      </c>
    </row>
    <row r="386" spans="1:7" x14ac:dyDescent="0.35">
      <c r="A386" s="65">
        <v>40560</v>
      </c>
      <c r="B386" s="62">
        <v>4</v>
      </c>
      <c r="C386" s="62">
        <v>9</v>
      </c>
      <c r="D386" s="63">
        <v>13</v>
      </c>
      <c r="E386" t="str">
        <f t="shared" si="15"/>
        <v>normal</v>
      </c>
      <c r="F386" s="35">
        <f t="shared" si="16"/>
        <v>13</v>
      </c>
      <c r="G386" s="35" t="e">
        <f t="shared" si="17"/>
        <v>#N/A</v>
      </c>
    </row>
    <row r="387" spans="1:7" x14ac:dyDescent="0.35">
      <c r="A387" s="64">
        <v>40560</v>
      </c>
      <c r="B387" s="60">
        <v>3</v>
      </c>
      <c r="C387" s="60">
        <v>30</v>
      </c>
      <c r="D387" s="61">
        <v>33</v>
      </c>
      <c r="E387" t="str">
        <f t="shared" si="15"/>
        <v>normal</v>
      </c>
      <c r="F387" s="35">
        <f t="shared" si="16"/>
        <v>33</v>
      </c>
      <c r="G387" s="35" t="e">
        <f t="shared" si="17"/>
        <v>#N/A</v>
      </c>
    </row>
    <row r="388" spans="1:7" x14ac:dyDescent="0.35">
      <c r="A388" s="65">
        <v>40560</v>
      </c>
      <c r="B388" s="62">
        <v>8</v>
      </c>
      <c r="C388" s="62">
        <v>39</v>
      </c>
      <c r="D388" s="63">
        <v>47</v>
      </c>
      <c r="E388" t="str">
        <f t="shared" si="15"/>
        <v>normal</v>
      </c>
      <c r="F388" s="35">
        <f t="shared" si="16"/>
        <v>47</v>
      </c>
      <c r="G388" s="35" t="e">
        <f t="shared" si="17"/>
        <v>#N/A</v>
      </c>
    </row>
    <row r="389" spans="1:7" x14ac:dyDescent="0.35">
      <c r="A389" s="64">
        <v>40560</v>
      </c>
      <c r="B389" s="60">
        <v>7</v>
      </c>
      <c r="C389" s="60">
        <v>50</v>
      </c>
      <c r="D389" s="61">
        <v>57</v>
      </c>
      <c r="E389" t="str">
        <f t="shared" si="15"/>
        <v>normal</v>
      </c>
      <c r="F389" s="35">
        <f t="shared" si="16"/>
        <v>57</v>
      </c>
      <c r="G389" s="35" t="e">
        <f t="shared" si="17"/>
        <v>#N/A</v>
      </c>
    </row>
    <row r="390" spans="1:7" x14ac:dyDescent="0.35">
      <c r="A390" s="65">
        <v>40560</v>
      </c>
      <c r="B390" s="62">
        <v>9</v>
      </c>
      <c r="C390" s="62">
        <v>55</v>
      </c>
      <c r="D390" s="63">
        <v>64</v>
      </c>
      <c r="E390" t="str">
        <f t="shared" si="15"/>
        <v>normal</v>
      </c>
      <c r="F390" s="35">
        <f t="shared" si="16"/>
        <v>64</v>
      </c>
      <c r="G390" s="35" t="e">
        <f t="shared" si="17"/>
        <v>#N/A</v>
      </c>
    </row>
    <row r="391" spans="1:7" x14ac:dyDescent="0.35">
      <c r="A391" s="64">
        <v>40560</v>
      </c>
      <c r="B391" s="60">
        <v>10</v>
      </c>
      <c r="C391" s="60">
        <v>70</v>
      </c>
      <c r="D391" s="61">
        <v>80</v>
      </c>
      <c r="E391" t="str">
        <f t="shared" ref="E391:E454" si="18">IF(OR(D391&lt;$L$15,D391&gt;$L$16),"Anamoly","normal")</f>
        <v>normal</v>
      </c>
      <c r="F391" s="35">
        <f t="shared" si="16"/>
        <v>80</v>
      </c>
      <c r="G391" s="35" t="e">
        <f t="shared" si="17"/>
        <v>#N/A</v>
      </c>
    </row>
    <row r="392" spans="1:7" x14ac:dyDescent="0.35">
      <c r="A392" s="65">
        <v>40560</v>
      </c>
      <c r="B392" s="62">
        <v>13</v>
      </c>
      <c r="C392" s="62">
        <v>80</v>
      </c>
      <c r="D392" s="63">
        <v>93</v>
      </c>
      <c r="E392" t="str">
        <f t="shared" si="18"/>
        <v>normal</v>
      </c>
      <c r="F392" s="35">
        <f t="shared" ref="F392:F455" si="19">IF(E392="normal",D392,NA())</f>
        <v>93</v>
      </c>
      <c r="G392" s="35" t="e">
        <f t="shared" ref="G392:G455" si="20">IF(E392="anamoly",D392,NA())</f>
        <v>#N/A</v>
      </c>
    </row>
    <row r="393" spans="1:7" x14ac:dyDescent="0.35">
      <c r="A393" s="64">
        <v>40560</v>
      </c>
      <c r="B393" s="60">
        <v>12</v>
      </c>
      <c r="C393" s="60">
        <v>74</v>
      </c>
      <c r="D393" s="61">
        <v>86</v>
      </c>
      <c r="E393" t="str">
        <f t="shared" si="18"/>
        <v>normal</v>
      </c>
      <c r="F393" s="35">
        <f t="shared" si="19"/>
        <v>86</v>
      </c>
      <c r="G393" s="35" t="e">
        <f t="shared" si="20"/>
        <v>#N/A</v>
      </c>
    </row>
    <row r="394" spans="1:7" x14ac:dyDescent="0.35">
      <c r="A394" s="65">
        <v>40560</v>
      </c>
      <c r="B394" s="62">
        <v>21</v>
      </c>
      <c r="C394" s="62">
        <v>72</v>
      </c>
      <c r="D394" s="63">
        <v>93</v>
      </c>
      <c r="E394" t="str">
        <f t="shared" si="18"/>
        <v>normal</v>
      </c>
      <c r="F394" s="35">
        <f t="shared" si="19"/>
        <v>93</v>
      </c>
      <c r="G394" s="35" t="e">
        <f t="shared" si="20"/>
        <v>#N/A</v>
      </c>
    </row>
    <row r="395" spans="1:7" x14ac:dyDescent="0.35">
      <c r="A395" s="64">
        <v>40560</v>
      </c>
      <c r="B395" s="60">
        <v>6</v>
      </c>
      <c r="C395" s="60">
        <v>76</v>
      </c>
      <c r="D395" s="61">
        <v>82</v>
      </c>
      <c r="E395" t="str">
        <f t="shared" si="18"/>
        <v>normal</v>
      </c>
      <c r="F395" s="35">
        <f t="shared" si="19"/>
        <v>82</v>
      </c>
      <c r="G395" s="35" t="e">
        <f t="shared" si="20"/>
        <v>#N/A</v>
      </c>
    </row>
    <row r="396" spans="1:7" x14ac:dyDescent="0.35">
      <c r="A396" s="65">
        <v>40560</v>
      </c>
      <c r="B396" s="62">
        <v>4</v>
      </c>
      <c r="C396" s="62">
        <v>67</v>
      </c>
      <c r="D396" s="63">
        <v>71</v>
      </c>
      <c r="E396" t="str">
        <f t="shared" si="18"/>
        <v>normal</v>
      </c>
      <c r="F396" s="35">
        <f t="shared" si="19"/>
        <v>71</v>
      </c>
      <c r="G396" s="35" t="e">
        <f t="shared" si="20"/>
        <v>#N/A</v>
      </c>
    </row>
    <row r="397" spans="1:7" x14ac:dyDescent="0.35">
      <c r="A397" s="64">
        <v>40560</v>
      </c>
      <c r="B397" s="60">
        <v>7</v>
      </c>
      <c r="C397" s="60">
        <v>85</v>
      </c>
      <c r="D397" s="61">
        <v>92</v>
      </c>
      <c r="E397" t="str">
        <f t="shared" si="18"/>
        <v>normal</v>
      </c>
      <c r="F397" s="35">
        <f t="shared" si="19"/>
        <v>92</v>
      </c>
      <c r="G397" s="35" t="e">
        <f t="shared" si="20"/>
        <v>#N/A</v>
      </c>
    </row>
    <row r="398" spans="1:7" x14ac:dyDescent="0.35">
      <c r="A398" s="65">
        <v>40560</v>
      </c>
      <c r="B398" s="62">
        <v>2</v>
      </c>
      <c r="C398" s="62">
        <v>58</v>
      </c>
      <c r="D398" s="63">
        <v>60</v>
      </c>
      <c r="E398" t="str">
        <f t="shared" si="18"/>
        <v>normal</v>
      </c>
      <c r="F398" s="35">
        <f t="shared" si="19"/>
        <v>60</v>
      </c>
      <c r="G398" s="35" t="e">
        <f t="shared" si="20"/>
        <v>#N/A</v>
      </c>
    </row>
    <row r="399" spans="1:7" x14ac:dyDescent="0.35">
      <c r="A399" s="64">
        <v>40560</v>
      </c>
      <c r="B399" s="60">
        <v>4</v>
      </c>
      <c r="C399" s="60">
        <v>29</v>
      </c>
      <c r="D399" s="61">
        <v>33</v>
      </c>
      <c r="E399" t="str">
        <f t="shared" si="18"/>
        <v>normal</v>
      </c>
      <c r="F399" s="35">
        <f t="shared" si="19"/>
        <v>33</v>
      </c>
      <c r="G399" s="35" t="e">
        <f t="shared" si="20"/>
        <v>#N/A</v>
      </c>
    </row>
    <row r="400" spans="1:7" x14ac:dyDescent="0.35">
      <c r="A400" s="65">
        <v>40560</v>
      </c>
      <c r="B400" s="62">
        <v>3</v>
      </c>
      <c r="C400" s="62">
        <v>24</v>
      </c>
      <c r="D400" s="63">
        <v>27</v>
      </c>
      <c r="E400" t="str">
        <f t="shared" si="18"/>
        <v>normal</v>
      </c>
      <c r="F400" s="35">
        <f t="shared" si="19"/>
        <v>27</v>
      </c>
      <c r="G400" s="35" t="e">
        <f t="shared" si="20"/>
        <v>#N/A</v>
      </c>
    </row>
    <row r="401" spans="1:7" x14ac:dyDescent="0.35">
      <c r="A401" s="64">
        <v>40560</v>
      </c>
      <c r="B401" s="60">
        <v>0</v>
      </c>
      <c r="C401" s="60">
        <v>13</v>
      </c>
      <c r="D401" s="61">
        <v>13</v>
      </c>
      <c r="E401" t="str">
        <f t="shared" si="18"/>
        <v>normal</v>
      </c>
      <c r="F401" s="35">
        <f t="shared" si="19"/>
        <v>13</v>
      </c>
      <c r="G401" s="35" t="e">
        <f t="shared" si="20"/>
        <v>#N/A</v>
      </c>
    </row>
    <row r="402" spans="1:7" x14ac:dyDescent="0.35">
      <c r="A402" s="65">
        <v>40560</v>
      </c>
      <c r="B402" s="62">
        <v>1</v>
      </c>
      <c r="C402" s="62">
        <v>3</v>
      </c>
      <c r="D402" s="63">
        <v>4</v>
      </c>
      <c r="E402" t="str">
        <f t="shared" si="18"/>
        <v>normal</v>
      </c>
      <c r="F402" s="35">
        <f t="shared" si="19"/>
        <v>4</v>
      </c>
      <c r="G402" s="35" t="e">
        <f t="shared" si="20"/>
        <v>#N/A</v>
      </c>
    </row>
    <row r="403" spans="1:7" x14ac:dyDescent="0.35">
      <c r="A403" s="64">
        <v>40561</v>
      </c>
      <c r="B403" s="60">
        <v>0</v>
      </c>
      <c r="C403" s="60">
        <v>3</v>
      </c>
      <c r="D403" s="61">
        <v>3</v>
      </c>
      <c r="E403" t="str">
        <f t="shared" si="18"/>
        <v>normal</v>
      </c>
      <c r="F403" s="35">
        <f t="shared" si="19"/>
        <v>3</v>
      </c>
      <c r="G403" s="35" t="e">
        <f t="shared" si="20"/>
        <v>#N/A</v>
      </c>
    </row>
    <row r="404" spans="1:7" x14ac:dyDescent="0.35">
      <c r="A404" s="65">
        <v>40561</v>
      </c>
      <c r="B404" s="62">
        <v>0</v>
      </c>
      <c r="C404" s="62">
        <v>22</v>
      </c>
      <c r="D404" s="63">
        <v>22</v>
      </c>
      <c r="E404" t="str">
        <f t="shared" si="18"/>
        <v>normal</v>
      </c>
      <c r="F404" s="35">
        <f t="shared" si="19"/>
        <v>22</v>
      </c>
      <c r="G404" s="35" t="e">
        <f t="shared" si="20"/>
        <v>#N/A</v>
      </c>
    </row>
    <row r="405" spans="1:7" x14ac:dyDescent="0.35">
      <c r="A405" s="64">
        <v>40561</v>
      </c>
      <c r="B405" s="60">
        <v>2</v>
      </c>
      <c r="C405" s="60">
        <v>26</v>
      </c>
      <c r="D405" s="61">
        <v>28</v>
      </c>
      <c r="E405" t="str">
        <f t="shared" si="18"/>
        <v>normal</v>
      </c>
      <c r="F405" s="35">
        <f t="shared" si="19"/>
        <v>28</v>
      </c>
      <c r="G405" s="35" t="e">
        <f t="shared" si="20"/>
        <v>#N/A</v>
      </c>
    </row>
    <row r="406" spans="1:7" x14ac:dyDescent="0.35">
      <c r="A406" s="65">
        <v>40561</v>
      </c>
      <c r="B406" s="62">
        <v>3</v>
      </c>
      <c r="C406" s="62">
        <v>32</v>
      </c>
      <c r="D406" s="63">
        <v>35</v>
      </c>
      <c r="E406" t="str">
        <f t="shared" si="18"/>
        <v>normal</v>
      </c>
      <c r="F406" s="35">
        <f t="shared" si="19"/>
        <v>35</v>
      </c>
      <c r="G406" s="35" t="e">
        <f t="shared" si="20"/>
        <v>#N/A</v>
      </c>
    </row>
    <row r="407" spans="1:7" x14ac:dyDescent="0.35">
      <c r="A407" s="64">
        <v>40561</v>
      </c>
      <c r="B407" s="60">
        <v>0</v>
      </c>
      <c r="C407" s="60">
        <v>61</v>
      </c>
      <c r="D407" s="61">
        <v>61</v>
      </c>
      <c r="E407" t="str">
        <f t="shared" si="18"/>
        <v>normal</v>
      </c>
      <c r="F407" s="35">
        <f t="shared" si="19"/>
        <v>61</v>
      </c>
      <c r="G407" s="35" t="e">
        <f t="shared" si="20"/>
        <v>#N/A</v>
      </c>
    </row>
    <row r="408" spans="1:7" x14ac:dyDescent="0.35">
      <c r="A408" s="65">
        <v>40561</v>
      </c>
      <c r="B408" s="62">
        <v>1</v>
      </c>
      <c r="C408" s="62">
        <v>124</v>
      </c>
      <c r="D408" s="63">
        <v>125</v>
      </c>
      <c r="E408" t="str">
        <f t="shared" si="18"/>
        <v>normal</v>
      </c>
      <c r="F408" s="35">
        <f t="shared" si="19"/>
        <v>125</v>
      </c>
      <c r="G408" s="35" t="e">
        <f t="shared" si="20"/>
        <v>#N/A</v>
      </c>
    </row>
    <row r="409" spans="1:7" x14ac:dyDescent="0.35">
      <c r="A409" s="64">
        <v>40561</v>
      </c>
      <c r="B409" s="60">
        <v>1</v>
      </c>
      <c r="C409" s="60">
        <v>132</v>
      </c>
      <c r="D409" s="61">
        <v>133</v>
      </c>
      <c r="E409" t="str">
        <f t="shared" si="18"/>
        <v>normal</v>
      </c>
      <c r="F409" s="35">
        <f t="shared" si="19"/>
        <v>133</v>
      </c>
      <c r="G409" s="35" t="e">
        <f t="shared" si="20"/>
        <v>#N/A</v>
      </c>
    </row>
    <row r="410" spans="1:7" x14ac:dyDescent="0.35">
      <c r="A410" s="65">
        <v>40561</v>
      </c>
      <c r="B410" s="62">
        <v>1</v>
      </c>
      <c r="C410" s="62">
        <v>98</v>
      </c>
      <c r="D410" s="63">
        <v>99</v>
      </c>
      <c r="E410" t="str">
        <f t="shared" si="18"/>
        <v>normal</v>
      </c>
      <c r="F410" s="35">
        <f t="shared" si="19"/>
        <v>99</v>
      </c>
      <c r="G410" s="35" t="e">
        <f t="shared" si="20"/>
        <v>#N/A</v>
      </c>
    </row>
    <row r="411" spans="1:7" x14ac:dyDescent="0.35">
      <c r="A411" s="64">
        <v>40561</v>
      </c>
      <c r="B411" s="60">
        <v>0</v>
      </c>
      <c r="C411" s="60">
        <v>83</v>
      </c>
      <c r="D411" s="61">
        <v>83</v>
      </c>
      <c r="E411" t="str">
        <f t="shared" si="18"/>
        <v>normal</v>
      </c>
      <c r="F411" s="35">
        <f t="shared" si="19"/>
        <v>83</v>
      </c>
      <c r="G411" s="35" t="e">
        <f t="shared" si="20"/>
        <v>#N/A</v>
      </c>
    </row>
    <row r="412" spans="1:7" x14ac:dyDescent="0.35">
      <c r="A412" s="65">
        <v>40561</v>
      </c>
      <c r="B412" s="62">
        <v>0</v>
      </c>
      <c r="C412" s="62">
        <v>41</v>
      </c>
      <c r="D412" s="63">
        <v>41</v>
      </c>
      <c r="E412" t="str">
        <f t="shared" si="18"/>
        <v>normal</v>
      </c>
      <c r="F412" s="35">
        <f t="shared" si="19"/>
        <v>41</v>
      </c>
      <c r="G412" s="35" t="e">
        <f t="shared" si="20"/>
        <v>#N/A</v>
      </c>
    </row>
    <row r="413" spans="1:7" x14ac:dyDescent="0.35">
      <c r="A413" s="64">
        <v>40561</v>
      </c>
      <c r="B413" s="60">
        <v>0</v>
      </c>
      <c r="C413" s="60">
        <v>33</v>
      </c>
      <c r="D413" s="61">
        <v>33</v>
      </c>
      <c r="E413" t="str">
        <f t="shared" si="18"/>
        <v>normal</v>
      </c>
      <c r="F413" s="35">
        <f t="shared" si="19"/>
        <v>33</v>
      </c>
      <c r="G413" s="35" t="e">
        <f t="shared" si="20"/>
        <v>#N/A</v>
      </c>
    </row>
    <row r="414" spans="1:7" x14ac:dyDescent="0.35">
      <c r="A414" s="65">
        <v>40561</v>
      </c>
      <c r="B414" s="62">
        <v>1</v>
      </c>
      <c r="C414" s="62">
        <v>19</v>
      </c>
      <c r="D414" s="63">
        <v>20</v>
      </c>
      <c r="E414" t="str">
        <f t="shared" si="18"/>
        <v>normal</v>
      </c>
      <c r="F414" s="35">
        <f t="shared" si="19"/>
        <v>20</v>
      </c>
      <c r="G414" s="35" t="e">
        <f t="shared" si="20"/>
        <v>#N/A</v>
      </c>
    </row>
    <row r="415" spans="1:7" x14ac:dyDescent="0.35">
      <c r="A415" s="64">
        <v>40562</v>
      </c>
      <c r="B415" s="60">
        <v>0</v>
      </c>
      <c r="C415" s="60">
        <v>3</v>
      </c>
      <c r="D415" s="61">
        <v>3</v>
      </c>
      <c r="E415" t="str">
        <f t="shared" si="18"/>
        <v>normal</v>
      </c>
      <c r="F415" s="35">
        <f t="shared" si="19"/>
        <v>3</v>
      </c>
      <c r="G415" s="35" t="e">
        <f t="shared" si="20"/>
        <v>#N/A</v>
      </c>
    </row>
    <row r="416" spans="1:7" x14ac:dyDescent="0.35">
      <c r="A416" s="65">
        <v>40562</v>
      </c>
      <c r="B416" s="62">
        <v>1</v>
      </c>
      <c r="C416" s="62">
        <v>6</v>
      </c>
      <c r="D416" s="63">
        <v>7</v>
      </c>
      <c r="E416" t="str">
        <f t="shared" si="18"/>
        <v>normal</v>
      </c>
      <c r="F416" s="35">
        <f t="shared" si="19"/>
        <v>7</v>
      </c>
      <c r="G416" s="35" t="e">
        <f t="shared" si="20"/>
        <v>#N/A</v>
      </c>
    </row>
    <row r="417" spans="1:7" x14ac:dyDescent="0.35">
      <c r="A417" s="64">
        <v>40562</v>
      </c>
      <c r="B417" s="60">
        <v>0</v>
      </c>
      <c r="C417" s="60">
        <v>3</v>
      </c>
      <c r="D417" s="61">
        <v>3</v>
      </c>
      <c r="E417" t="str">
        <f t="shared" si="18"/>
        <v>normal</v>
      </c>
      <c r="F417" s="35">
        <f t="shared" si="19"/>
        <v>3</v>
      </c>
      <c r="G417" s="35" t="e">
        <f t="shared" si="20"/>
        <v>#N/A</v>
      </c>
    </row>
    <row r="418" spans="1:7" x14ac:dyDescent="0.35">
      <c r="A418" s="65">
        <v>40562</v>
      </c>
      <c r="B418" s="62">
        <v>1</v>
      </c>
      <c r="C418" s="62">
        <v>1</v>
      </c>
      <c r="D418" s="63">
        <v>2</v>
      </c>
      <c r="E418" t="str">
        <f t="shared" si="18"/>
        <v>normal</v>
      </c>
      <c r="F418" s="35">
        <f t="shared" si="19"/>
        <v>2</v>
      </c>
      <c r="G418" s="35" t="e">
        <f t="shared" si="20"/>
        <v>#N/A</v>
      </c>
    </row>
    <row r="419" spans="1:7" x14ac:dyDescent="0.35">
      <c r="A419" s="64">
        <v>40562</v>
      </c>
      <c r="B419" s="60">
        <v>0</v>
      </c>
      <c r="C419" s="60">
        <v>7</v>
      </c>
      <c r="D419" s="61">
        <v>7</v>
      </c>
      <c r="E419" t="str">
        <f t="shared" si="18"/>
        <v>normal</v>
      </c>
      <c r="F419" s="35">
        <f t="shared" si="19"/>
        <v>7</v>
      </c>
      <c r="G419" s="35" t="e">
        <f t="shared" si="20"/>
        <v>#N/A</v>
      </c>
    </row>
    <row r="420" spans="1:7" x14ac:dyDescent="0.35">
      <c r="A420" s="65">
        <v>40562</v>
      </c>
      <c r="B420" s="62">
        <v>0</v>
      </c>
      <c r="C420" s="62">
        <v>32</v>
      </c>
      <c r="D420" s="63">
        <v>32</v>
      </c>
      <c r="E420" t="str">
        <f t="shared" si="18"/>
        <v>normal</v>
      </c>
      <c r="F420" s="35">
        <f t="shared" si="19"/>
        <v>32</v>
      </c>
      <c r="G420" s="35" t="e">
        <f t="shared" si="20"/>
        <v>#N/A</v>
      </c>
    </row>
    <row r="421" spans="1:7" x14ac:dyDescent="0.35">
      <c r="A421" s="64">
        <v>40562</v>
      </c>
      <c r="B421" s="60">
        <v>1</v>
      </c>
      <c r="C421" s="60">
        <v>89</v>
      </c>
      <c r="D421" s="61">
        <v>90</v>
      </c>
      <c r="E421" t="str">
        <f t="shared" si="18"/>
        <v>normal</v>
      </c>
      <c r="F421" s="35">
        <f t="shared" si="19"/>
        <v>90</v>
      </c>
      <c r="G421" s="35" t="e">
        <f t="shared" si="20"/>
        <v>#N/A</v>
      </c>
    </row>
    <row r="422" spans="1:7" x14ac:dyDescent="0.35">
      <c r="A422" s="65">
        <v>40562</v>
      </c>
      <c r="B422" s="62">
        <v>1</v>
      </c>
      <c r="C422" s="62">
        <v>196</v>
      </c>
      <c r="D422" s="63">
        <v>197</v>
      </c>
      <c r="E422" t="str">
        <f t="shared" si="18"/>
        <v>Anamoly</v>
      </c>
      <c r="F422" s="35" t="e">
        <f t="shared" si="19"/>
        <v>#N/A</v>
      </c>
      <c r="G422" s="35">
        <f t="shared" si="20"/>
        <v>197</v>
      </c>
    </row>
    <row r="423" spans="1:7" x14ac:dyDescent="0.35">
      <c r="A423" s="64">
        <v>40562</v>
      </c>
      <c r="B423" s="60">
        <v>2</v>
      </c>
      <c r="C423" s="60">
        <v>107</v>
      </c>
      <c r="D423" s="61">
        <v>109</v>
      </c>
      <c r="E423" t="str">
        <f t="shared" si="18"/>
        <v>normal</v>
      </c>
      <c r="F423" s="35">
        <f t="shared" si="19"/>
        <v>109</v>
      </c>
      <c r="G423" s="35" t="e">
        <f t="shared" si="20"/>
        <v>#N/A</v>
      </c>
    </row>
    <row r="424" spans="1:7" x14ac:dyDescent="0.35">
      <c r="A424" s="65">
        <v>40562</v>
      </c>
      <c r="B424" s="62">
        <v>1</v>
      </c>
      <c r="C424" s="62">
        <v>46</v>
      </c>
      <c r="D424" s="63">
        <v>47</v>
      </c>
      <c r="E424" t="str">
        <f t="shared" si="18"/>
        <v>normal</v>
      </c>
      <c r="F424" s="35">
        <f t="shared" si="19"/>
        <v>47</v>
      </c>
      <c r="G424" s="35" t="e">
        <f t="shared" si="20"/>
        <v>#N/A</v>
      </c>
    </row>
    <row r="425" spans="1:7" x14ac:dyDescent="0.35">
      <c r="A425" s="64">
        <v>40562</v>
      </c>
      <c r="B425" s="60">
        <v>5</v>
      </c>
      <c r="C425" s="60">
        <v>47</v>
      </c>
      <c r="D425" s="61">
        <v>52</v>
      </c>
      <c r="E425" t="str">
        <f t="shared" si="18"/>
        <v>normal</v>
      </c>
      <c r="F425" s="35">
        <f t="shared" si="19"/>
        <v>52</v>
      </c>
      <c r="G425" s="35" t="e">
        <f t="shared" si="20"/>
        <v>#N/A</v>
      </c>
    </row>
    <row r="426" spans="1:7" x14ac:dyDescent="0.35">
      <c r="A426" s="65">
        <v>40562</v>
      </c>
      <c r="B426" s="62">
        <v>5</v>
      </c>
      <c r="C426" s="62">
        <v>65</v>
      </c>
      <c r="D426" s="63">
        <v>70</v>
      </c>
      <c r="E426" t="str">
        <f t="shared" si="18"/>
        <v>normal</v>
      </c>
      <c r="F426" s="35">
        <f t="shared" si="19"/>
        <v>70</v>
      </c>
      <c r="G426" s="35" t="e">
        <f t="shared" si="20"/>
        <v>#N/A</v>
      </c>
    </row>
    <row r="427" spans="1:7" x14ac:dyDescent="0.35">
      <c r="A427" s="64">
        <v>40562</v>
      </c>
      <c r="B427" s="60">
        <v>11</v>
      </c>
      <c r="C427" s="60">
        <v>67</v>
      </c>
      <c r="D427" s="61">
        <v>78</v>
      </c>
      <c r="E427" t="str">
        <f t="shared" si="18"/>
        <v>normal</v>
      </c>
      <c r="F427" s="35">
        <f t="shared" si="19"/>
        <v>78</v>
      </c>
      <c r="G427" s="35" t="e">
        <f t="shared" si="20"/>
        <v>#N/A</v>
      </c>
    </row>
    <row r="428" spans="1:7" x14ac:dyDescent="0.35">
      <c r="A428" s="65">
        <v>40562</v>
      </c>
      <c r="B428" s="62">
        <v>7</v>
      </c>
      <c r="C428" s="62">
        <v>68</v>
      </c>
      <c r="D428" s="63">
        <v>75</v>
      </c>
      <c r="E428" t="str">
        <f t="shared" si="18"/>
        <v>normal</v>
      </c>
      <c r="F428" s="35">
        <f t="shared" si="19"/>
        <v>75</v>
      </c>
      <c r="G428" s="35" t="e">
        <f t="shared" si="20"/>
        <v>#N/A</v>
      </c>
    </row>
    <row r="429" spans="1:7" x14ac:dyDescent="0.35">
      <c r="A429" s="64">
        <v>40562</v>
      </c>
      <c r="B429" s="60">
        <v>4</v>
      </c>
      <c r="C429" s="60">
        <v>78</v>
      </c>
      <c r="D429" s="61">
        <v>82</v>
      </c>
      <c r="E429" t="str">
        <f t="shared" si="18"/>
        <v>normal</v>
      </c>
      <c r="F429" s="35">
        <f t="shared" si="19"/>
        <v>82</v>
      </c>
      <c r="G429" s="35" t="e">
        <f t="shared" si="20"/>
        <v>#N/A</v>
      </c>
    </row>
    <row r="430" spans="1:7" x14ac:dyDescent="0.35">
      <c r="A430" s="65">
        <v>40562</v>
      </c>
      <c r="B430" s="62">
        <v>10</v>
      </c>
      <c r="C430" s="62">
        <v>94</v>
      </c>
      <c r="D430" s="63">
        <v>104</v>
      </c>
      <c r="E430" t="str">
        <f t="shared" si="18"/>
        <v>normal</v>
      </c>
      <c r="F430" s="35">
        <f t="shared" si="19"/>
        <v>104</v>
      </c>
      <c r="G430" s="35" t="e">
        <f t="shared" si="20"/>
        <v>#N/A</v>
      </c>
    </row>
    <row r="431" spans="1:7" x14ac:dyDescent="0.35">
      <c r="A431" s="64">
        <v>40562</v>
      </c>
      <c r="B431" s="60">
        <v>7</v>
      </c>
      <c r="C431" s="60">
        <v>190</v>
      </c>
      <c r="D431" s="61">
        <v>197</v>
      </c>
      <c r="E431" t="str">
        <f t="shared" si="18"/>
        <v>Anamoly</v>
      </c>
      <c r="F431" s="35" t="e">
        <f t="shared" si="19"/>
        <v>#N/A</v>
      </c>
      <c r="G431" s="35">
        <f t="shared" si="20"/>
        <v>197</v>
      </c>
    </row>
    <row r="432" spans="1:7" x14ac:dyDescent="0.35">
      <c r="A432" s="65">
        <v>40562</v>
      </c>
      <c r="B432" s="62">
        <v>5</v>
      </c>
      <c r="C432" s="62">
        <v>156</v>
      </c>
      <c r="D432" s="63">
        <v>161</v>
      </c>
      <c r="E432" t="str">
        <f t="shared" si="18"/>
        <v>normal</v>
      </c>
      <c r="F432" s="35">
        <f t="shared" si="19"/>
        <v>161</v>
      </c>
      <c r="G432" s="35" t="e">
        <f t="shared" si="20"/>
        <v>#N/A</v>
      </c>
    </row>
    <row r="433" spans="1:7" x14ac:dyDescent="0.35">
      <c r="A433" s="64">
        <v>40562</v>
      </c>
      <c r="B433" s="60">
        <v>4</v>
      </c>
      <c r="C433" s="60">
        <v>108</v>
      </c>
      <c r="D433" s="61">
        <v>112</v>
      </c>
      <c r="E433" t="str">
        <f t="shared" si="18"/>
        <v>normal</v>
      </c>
      <c r="F433" s="35">
        <f t="shared" si="19"/>
        <v>112</v>
      </c>
      <c r="G433" s="35" t="e">
        <f t="shared" si="20"/>
        <v>#N/A</v>
      </c>
    </row>
    <row r="434" spans="1:7" x14ac:dyDescent="0.35">
      <c r="A434" s="65">
        <v>40562</v>
      </c>
      <c r="B434" s="62">
        <v>2</v>
      </c>
      <c r="C434" s="62">
        <v>74</v>
      </c>
      <c r="D434" s="63">
        <v>76</v>
      </c>
      <c r="E434" t="str">
        <f t="shared" si="18"/>
        <v>normal</v>
      </c>
      <c r="F434" s="35">
        <f t="shared" si="19"/>
        <v>76</v>
      </c>
      <c r="G434" s="35" t="e">
        <f t="shared" si="20"/>
        <v>#N/A</v>
      </c>
    </row>
    <row r="435" spans="1:7" x14ac:dyDescent="0.35">
      <c r="A435" s="64">
        <v>40562</v>
      </c>
      <c r="B435" s="60">
        <v>4</v>
      </c>
      <c r="C435" s="60">
        <v>55</v>
      </c>
      <c r="D435" s="61">
        <v>59</v>
      </c>
      <c r="E435" t="str">
        <f t="shared" si="18"/>
        <v>normal</v>
      </c>
      <c r="F435" s="35">
        <f t="shared" si="19"/>
        <v>59</v>
      </c>
      <c r="G435" s="35" t="e">
        <f t="shared" si="20"/>
        <v>#N/A</v>
      </c>
    </row>
    <row r="436" spans="1:7" x14ac:dyDescent="0.35">
      <c r="A436" s="65">
        <v>40562</v>
      </c>
      <c r="B436" s="62">
        <v>6</v>
      </c>
      <c r="C436" s="62">
        <v>53</v>
      </c>
      <c r="D436" s="63">
        <v>59</v>
      </c>
      <c r="E436" t="str">
        <f t="shared" si="18"/>
        <v>normal</v>
      </c>
      <c r="F436" s="35">
        <f t="shared" si="19"/>
        <v>59</v>
      </c>
      <c r="G436" s="35" t="e">
        <f t="shared" si="20"/>
        <v>#N/A</v>
      </c>
    </row>
    <row r="437" spans="1:7" x14ac:dyDescent="0.35">
      <c r="A437" s="64">
        <v>40562</v>
      </c>
      <c r="B437" s="60">
        <v>1</v>
      </c>
      <c r="C437" s="60">
        <v>27</v>
      </c>
      <c r="D437" s="61">
        <v>28</v>
      </c>
      <c r="E437" t="str">
        <f t="shared" si="18"/>
        <v>normal</v>
      </c>
      <c r="F437" s="35">
        <f t="shared" si="19"/>
        <v>28</v>
      </c>
      <c r="G437" s="35" t="e">
        <f t="shared" si="20"/>
        <v>#N/A</v>
      </c>
    </row>
    <row r="438" spans="1:7" x14ac:dyDescent="0.35">
      <c r="A438" s="65">
        <v>40563</v>
      </c>
      <c r="B438" s="62">
        <v>5</v>
      </c>
      <c r="C438" s="62">
        <v>8</v>
      </c>
      <c r="D438" s="63">
        <v>13</v>
      </c>
      <c r="E438" t="str">
        <f t="shared" si="18"/>
        <v>normal</v>
      </c>
      <c r="F438" s="35">
        <f t="shared" si="19"/>
        <v>13</v>
      </c>
      <c r="G438" s="35" t="e">
        <f t="shared" si="20"/>
        <v>#N/A</v>
      </c>
    </row>
    <row r="439" spans="1:7" x14ac:dyDescent="0.35">
      <c r="A439" s="64">
        <v>40563</v>
      </c>
      <c r="B439" s="60">
        <v>2</v>
      </c>
      <c r="C439" s="60">
        <v>3</v>
      </c>
      <c r="D439" s="61">
        <v>5</v>
      </c>
      <c r="E439" t="str">
        <f t="shared" si="18"/>
        <v>normal</v>
      </c>
      <c r="F439" s="35">
        <f t="shared" si="19"/>
        <v>5</v>
      </c>
      <c r="G439" s="35" t="e">
        <f t="shared" si="20"/>
        <v>#N/A</v>
      </c>
    </row>
    <row r="440" spans="1:7" x14ac:dyDescent="0.35">
      <c r="A440" s="65">
        <v>40563</v>
      </c>
      <c r="B440" s="62">
        <v>0</v>
      </c>
      <c r="C440" s="62">
        <v>2</v>
      </c>
      <c r="D440" s="63">
        <v>2</v>
      </c>
      <c r="E440" t="str">
        <f t="shared" si="18"/>
        <v>normal</v>
      </c>
      <c r="F440" s="35">
        <f t="shared" si="19"/>
        <v>2</v>
      </c>
      <c r="G440" s="35" t="e">
        <f t="shared" si="20"/>
        <v>#N/A</v>
      </c>
    </row>
    <row r="441" spans="1:7" x14ac:dyDescent="0.35">
      <c r="A441" s="64">
        <v>40563</v>
      </c>
      <c r="B441" s="60">
        <v>0</v>
      </c>
      <c r="C441" s="60">
        <v>1</v>
      </c>
      <c r="D441" s="61">
        <v>1</v>
      </c>
      <c r="E441" t="str">
        <f t="shared" si="18"/>
        <v>normal</v>
      </c>
      <c r="F441" s="35">
        <f t="shared" si="19"/>
        <v>1</v>
      </c>
      <c r="G441" s="35" t="e">
        <f t="shared" si="20"/>
        <v>#N/A</v>
      </c>
    </row>
    <row r="442" spans="1:7" x14ac:dyDescent="0.35">
      <c r="A442" s="65">
        <v>40563</v>
      </c>
      <c r="B442" s="62">
        <v>0</v>
      </c>
      <c r="C442" s="62">
        <v>1</v>
      </c>
      <c r="D442" s="63">
        <v>1</v>
      </c>
      <c r="E442" t="str">
        <f t="shared" si="18"/>
        <v>normal</v>
      </c>
      <c r="F442" s="35">
        <f t="shared" si="19"/>
        <v>1</v>
      </c>
      <c r="G442" s="35" t="e">
        <f t="shared" si="20"/>
        <v>#N/A</v>
      </c>
    </row>
    <row r="443" spans="1:7" x14ac:dyDescent="0.35">
      <c r="A443" s="64">
        <v>40563</v>
      </c>
      <c r="B443" s="60">
        <v>0</v>
      </c>
      <c r="C443" s="60">
        <v>6</v>
      </c>
      <c r="D443" s="61">
        <v>6</v>
      </c>
      <c r="E443" t="str">
        <f t="shared" si="18"/>
        <v>normal</v>
      </c>
      <c r="F443" s="35">
        <f t="shared" si="19"/>
        <v>6</v>
      </c>
      <c r="G443" s="35" t="e">
        <f t="shared" si="20"/>
        <v>#N/A</v>
      </c>
    </row>
    <row r="444" spans="1:7" x14ac:dyDescent="0.35">
      <c r="A444" s="65">
        <v>40563</v>
      </c>
      <c r="B444" s="62">
        <v>0</v>
      </c>
      <c r="C444" s="62">
        <v>35</v>
      </c>
      <c r="D444" s="63">
        <v>35</v>
      </c>
      <c r="E444" t="str">
        <f t="shared" si="18"/>
        <v>normal</v>
      </c>
      <c r="F444" s="35">
        <f t="shared" si="19"/>
        <v>35</v>
      </c>
      <c r="G444" s="35" t="e">
        <f t="shared" si="20"/>
        <v>#N/A</v>
      </c>
    </row>
    <row r="445" spans="1:7" x14ac:dyDescent="0.35">
      <c r="A445" s="64">
        <v>40563</v>
      </c>
      <c r="B445" s="60">
        <v>1</v>
      </c>
      <c r="C445" s="60">
        <v>100</v>
      </c>
      <c r="D445" s="61">
        <v>101</v>
      </c>
      <c r="E445" t="str">
        <f t="shared" si="18"/>
        <v>normal</v>
      </c>
      <c r="F445" s="35">
        <f t="shared" si="19"/>
        <v>101</v>
      </c>
      <c r="G445" s="35" t="e">
        <f t="shared" si="20"/>
        <v>#N/A</v>
      </c>
    </row>
    <row r="446" spans="1:7" x14ac:dyDescent="0.35">
      <c r="A446" s="65">
        <v>40563</v>
      </c>
      <c r="B446" s="62">
        <v>2</v>
      </c>
      <c r="C446" s="62">
        <v>247</v>
      </c>
      <c r="D446" s="63">
        <v>249</v>
      </c>
      <c r="E446" t="str">
        <f t="shared" si="18"/>
        <v>Anamoly</v>
      </c>
      <c r="F446" s="35" t="e">
        <f t="shared" si="19"/>
        <v>#N/A</v>
      </c>
      <c r="G446" s="35">
        <f t="shared" si="20"/>
        <v>249</v>
      </c>
    </row>
    <row r="447" spans="1:7" x14ac:dyDescent="0.35">
      <c r="A447" s="64">
        <v>40563</v>
      </c>
      <c r="B447" s="60">
        <v>3</v>
      </c>
      <c r="C447" s="60">
        <v>140</v>
      </c>
      <c r="D447" s="61">
        <v>143</v>
      </c>
      <c r="E447" t="str">
        <f t="shared" si="18"/>
        <v>normal</v>
      </c>
      <c r="F447" s="35">
        <f t="shared" si="19"/>
        <v>143</v>
      </c>
      <c r="G447" s="35" t="e">
        <f t="shared" si="20"/>
        <v>#N/A</v>
      </c>
    </row>
    <row r="448" spans="1:7" x14ac:dyDescent="0.35">
      <c r="A448" s="65">
        <v>40563</v>
      </c>
      <c r="B448" s="62">
        <v>1</v>
      </c>
      <c r="C448" s="62">
        <v>56</v>
      </c>
      <c r="D448" s="63">
        <v>57</v>
      </c>
      <c r="E448" t="str">
        <f t="shared" si="18"/>
        <v>normal</v>
      </c>
      <c r="F448" s="35">
        <f t="shared" si="19"/>
        <v>57</v>
      </c>
      <c r="G448" s="35" t="e">
        <f t="shared" si="20"/>
        <v>#N/A</v>
      </c>
    </row>
    <row r="449" spans="1:7" x14ac:dyDescent="0.35">
      <c r="A449" s="64">
        <v>40563</v>
      </c>
      <c r="B449" s="60">
        <v>5</v>
      </c>
      <c r="C449" s="60">
        <v>63</v>
      </c>
      <c r="D449" s="61">
        <v>68</v>
      </c>
      <c r="E449" t="str">
        <f t="shared" si="18"/>
        <v>normal</v>
      </c>
      <c r="F449" s="35">
        <f t="shared" si="19"/>
        <v>68</v>
      </c>
      <c r="G449" s="35" t="e">
        <f t="shared" si="20"/>
        <v>#N/A</v>
      </c>
    </row>
    <row r="450" spans="1:7" x14ac:dyDescent="0.35">
      <c r="A450" s="65">
        <v>40563</v>
      </c>
      <c r="B450" s="62">
        <v>7</v>
      </c>
      <c r="C450" s="62">
        <v>77</v>
      </c>
      <c r="D450" s="63">
        <v>84</v>
      </c>
      <c r="E450" t="str">
        <f t="shared" si="18"/>
        <v>normal</v>
      </c>
      <c r="F450" s="35">
        <f t="shared" si="19"/>
        <v>84</v>
      </c>
      <c r="G450" s="35" t="e">
        <f t="shared" si="20"/>
        <v>#N/A</v>
      </c>
    </row>
    <row r="451" spans="1:7" x14ac:dyDescent="0.35">
      <c r="A451" s="64">
        <v>40563</v>
      </c>
      <c r="B451" s="60">
        <v>12</v>
      </c>
      <c r="C451" s="60">
        <v>86</v>
      </c>
      <c r="D451" s="61">
        <v>98</v>
      </c>
      <c r="E451" t="str">
        <f t="shared" si="18"/>
        <v>normal</v>
      </c>
      <c r="F451" s="35">
        <f t="shared" si="19"/>
        <v>98</v>
      </c>
      <c r="G451" s="35" t="e">
        <f t="shared" si="20"/>
        <v>#N/A</v>
      </c>
    </row>
    <row r="452" spans="1:7" x14ac:dyDescent="0.35">
      <c r="A452" s="65">
        <v>40563</v>
      </c>
      <c r="B452" s="62">
        <v>6</v>
      </c>
      <c r="C452" s="62">
        <v>75</v>
      </c>
      <c r="D452" s="63">
        <v>81</v>
      </c>
      <c r="E452" t="str">
        <f t="shared" si="18"/>
        <v>normal</v>
      </c>
      <c r="F452" s="35">
        <f t="shared" si="19"/>
        <v>81</v>
      </c>
      <c r="G452" s="35" t="e">
        <f t="shared" si="20"/>
        <v>#N/A</v>
      </c>
    </row>
    <row r="453" spans="1:7" x14ac:dyDescent="0.35">
      <c r="A453" s="64">
        <v>40563</v>
      </c>
      <c r="B453" s="60">
        <v>8</v>
      </c>
      <c r="C453" s="60">
        <v>62</v>
      </c>
      <c r="D453" s="61">
        <v>70</v>
      </c>
      <c r="E453" t="str">
        <f t="shared" si="18"/>
        <v>normal</v>
      </c>
      <c r="F453" s="35">
        <f t="shared" si="19"/>
        <v>70</v>
      </c>
      <c r="G453" s="35" t="e">
        <f t="shared" si="20"/>
        <v>#N/A</v>
      </c>
    </row>
    <row r="454" spans="1:7" x14ac:dyDescent="0.35">
      <c r="A454" s="65">
        <v>40563</v>
      </c>
      <c r="B454" s="62">
        <v>8</v>
      </c>
      <c r="C454" s="62">
        <v>83</v>
      </c>
      <c r="D454" s="63">
        <v>91</v>
      </c>
      <c r="E454" t="str">
        <f t="shared" si="18"/>
        <v>normal</v>
      </c>
      <c r="F454" s="35">
        <f t="shared" si="19"/>
        <v>91</v>
      </c>
      <c r="G454" s="35" t="e">
        <f t="shared" si="20"/>
        <v>#N/A</v>
      </c>
    </row>
    <row r="455" spans="1:7" x14ac:dyDescent="0.35">
      <c r="A455" s="64">
        <v>40563</v>
      </c>
      <c r="B455" s="60">
        <v>8</v>
      </c>
      <c r="C455" s="60">
        <v>207</v>
      </c>
      <c r="D455" s="61">
        <v>215</v>
      </c>
      <c r="E455" t="str">
        <f t="shared" ref="E455:E518" si="21">IF(OR(D455&lt;$L$15,D455&gt;$L$16),"Anamoly","normal")</f>
        <v>Anamoly</v>
      </c>
      <c r="F455" s="35" t="e">
        <f t="shared" si="19"/>
        <v>#N/A</v>
      </c>
      <c r="G455" s="35">
        <f t="shared" si="20"/>
        <v>215</v>
      </c>
    </row>
    <row r="456" spans="1:7" x14ac:dyDescent="0.35">
      <c r="A456" s="65">
        <v>40563</v>
      </c>
      <c r="B456" s="62">
        <v>1</v>
      </c>
      <c r="C456" s="62">
        <v>184</v>
      </c>
      <c r="D456" s="63">
        <v>185</v>
      </c>
      <c r="E456" t="str">
        <f t="shared" si="21"/>
        <v>Anamoly</v>
      </c>
      <c r="F456" s="35" t="e">
        <f t="shared" ref="F456:F519" si="22">IF(E456="normal",D456,NA())</f>
        <v>#N/A</v>
      </c>
      <c r="G456" s="35">
        <f t="shared" ref="G456:G519" si="23">IF(E456="anamoly",D456,NA())</f>
        <v>185</v>
      </c>
    </row>
    <row r="457" spans="1:7" x14ac:dyDescent="0.35">
      <c r="A457" s="64">
        <v>40563</v>
      </c>
      <c r="B457" s="60">
        <v>6</v>
      </c>
      <c r="C457" s="60">
        <v>146</v>
      </c>
      <c r="D457" s="61">
        <v>152</v>
      </c>
      <c r="E457" t="str">
        <f t="shared" si="21"/>
        <v>normal</v>
      </c>
      <c r="F457" s="35">
        <f t="shared" si="22"/>
        <v>152</v>
      </c>
      <c r="G457" s="35" t="e">
        <f t="shared" si="23"/>
        <v>#N/A</v>
      </c>
    </row>
    <row r="458" spans="1:7" x14ac:dyDescent="0.35">
      <c r="A458" s="65">
        <v>40563</v>
      </c>
      <c r="B458" s="62">
        <v>2</v>
      </c>
      <c r="C458" s="62">
        <v>124</v>
      </c>
      <c r="D458" s="63">
        <v>126</v>
      </c>
      <c r="E458" t="str">
        <f t="shared" si="21"/>
        <v>normal</v>
      </c>
      <c r="F458" s="35">
        <f t="shared" si="22"/>
        <v>126</v>
      </c>
      <c r="G458" s="35" t="e">
        <f t="shared" si="23"/>
        <v>#N/A</v>
      </c>
    </row>
    <row r="459" spans="1:7" x14ac:dyDescent="0.35">
      <c r="A459" s="64">
        <v>40563</v>
      </c>
      <c r="B459" s="60">
        <v>3</v>
      </c>
      <c r="C459" s="60">
        <v>54</v>
      </c>
      <c r="D459" s="61">
        <v>57</v>
      </c>
      <c r="E459" t="str">
        <f t="shared" si="21"/>
        <v>normal</v>
      </c>
      <c r="F459" s="35">
        <f t="shared" si="22"/>
        <v>57</v>
      </c>
      <c r="G459" s="35" t="e">
        <f t="shared" si="23"/>
        <v>#N/A</v>
      </c>
    </row>
    <row r="460" spans="1:7" x14ac:dyDescent="0.35">
      <c r="A460" s="65">
        <v>40563</v>
      </c>
      <c r="B460" s="62">
        <v>0</v>
      </c>
      <c r="C460" s="62">
        <v>56</v>
      </c>
      <c r="D460" s="63">
        <v>56</v>
      </c>
      <c r="E460" t="str">
        <f t="shared" si="21"/>
        <v>normal</v>
      </c>
      <c r="F460" s="35">
        <f t="shared" si="22"/>
        <v>56</v>
      </c>
      <c r="G460" s="35" t="e">
        <f t="shared" si="23"/>
        <v>#N/A</v>
      </c>
    </row>
    <row r="461" spans="1:7" x14ac:dyDescent="0.35">
      <c r="A461" s="64">
        <v>40563</v>
      </c>
      <c r="B461" s="60">
        <v>3</v>
      </c>
      <c r="C461" s="60">
        <v>28</v>
      </c>
      <c r="D461" s="61">
        <v>31</v>
      </c>
      <c r="E461" t="str">
        <f t="shared" si="21"/>
        <v>normal</v>
      </c>
      <c r="F461" s="35">
        <f t="shared" si="22"/>
        <v>31</v>
      </c>
      <c r="G461" s="35" t="e">
        <f t="shared" si="23"/>
        <v>#N/A</v>
      </c>
    </row>
    <row r="462" spans="1:7" x14ac:dyDescent="0.35">
      <c r="A462" s="65">
        <v>40564</v>
      </c>
      <c r="B462" s="62">
        <v>1</v>
      </c>
      <c r="C462" s="62">
        <v>20</v>
      </c>
      <c r="D462" s="63">
        <v>21</v>
      </c>
      <c r="E462" t="str">
        <f t="shared" si="21"/>
        <v>normal</v>
      </c>
      <c r="F462" s="35">
        <f t="shared" si="22"/>
        <v>21</v>
      </c>
      <c r="G462" s="35" t="e">
        <f t="shared" si="23"/>
        <v>#N/A</v>
      </c>
    </row>
    <row r="463" spans="1:7" x14ac:dyDescent="0.35">
      <c r="A463" s="64">
        <v>40564</v>
      </c>
      <c r="B463" s="60">
        <v>0</v>
      </c>
      <c r="C463" s="60">
        <v>6</v>
      </c>
      <c r="D463" s="61">
        <v>6</v>
      </c>
      <c r="E463" t="str">
        <f t="shared" si="21"/>
        <v>normal</v>
      </c>
      <c r="F463" s="35">
        <f t="shared" si="22"/>
        <v>6</v>
      </c>
      <c r="G463" s="35" t="e">
        <f t="shared" si="23"/>
        <v>#N/A</v>
      </c>
    </row>
    <row r="464" spans="1:7" x14ac:dyDescent="0.35">
      <c r="A464" s="65">
        <v>40564</v>
      </c>
      <c r="B464" s="62">
        <v>0</v>
      </c>
      <c r="C464" s="62">
        <v>2</v>
      </c>
      <c r="D464" s="63">
        <v>2</v>
      </c>
      <c r="E464" t="str">
        <f t="shared" si="21"/>
        <v>normal</v>
      </c>
      <c r="F464" s="35">
        <f t="shared" si="22"/>
        <v>2</v>
      </c>
      <c r="G464" s="35" t="e">
        <f t="shared" si="23"/>
        <v>#N/A</v>
      </c>
    </row>
    <row r="465" spans="1:7" x14ac:dyDescent="0.35">
      <c r="A465" s="64">
        <v>40564</v>
      </c>
      <c r="B465" s="60">
        <v>0</v>
      </c>
      <c r="C465" s="60">
        <v>1</v>
      </c>
      <c r="D465" s="61">
        <v>1</v>
      </c>
      <c r="E465" t="str">
        <f t="shared" si="21"/>
        <v>normal</v>
      </c>
      <c r="F465" s="35">
        <f t="shared" si="22"/>
        <v>1</v>
      </c>
      <c r="G465" s="35" t="e">
        <f t="shared" si="23"/>
        <v>#N/A</v>
      </c>
    </row>
    <row r="466" spans="1:7" x14ac:dyDescent="0.35">
      <c r="A466" s="65">
        <v>40564</v>
      </c>
      <c r="B466" s="62">
        <v>0</v>
      </c>
      <c r="C466" s="62">
        <v>1</v>
      </c>
      <c r="D466" s="63">
        <v>1</v>
      </c>
      <c r="E466" t="str">
        <f t="shared" si="21"/>
        <v>normal</v>
      </c>
      <c r="F466" s="35">
        <f t="shared" si="22"/>
        <v>1</v>
      </c>
      <c r="G466" s="35" t="e">
        <f t="shared" si="23"/>
        <v>#N/A</v>
      </c>
    </row>
    <row r="467" spans="1:7" x14ac:dyDescent="0.35">
      <c r="A467" s="64">
        <v>40564</v>
      </c>
      <c r="B467" s="60">
        <v>1</v>
      </c>
      <c r="C467" s="60">
        <v>4</v>
      </c>
      <c r="D467" s="61">
        <v>5</v>
      </c>
      <c r="E467" t="str">
        <f t="shared" si="21"/>
        <v>normal</v>
      </c>
      <c r="F467" s="35">
        <f t="shared" si="22"/>
        <v>5</v>
      </c>
      <c r="G467" s="35" t="e">
        <f t="shared" si="23"/>
        <v>#N/A</v>
      </c>
    </row>
    <row r="468" spans="1:7" x14ac:dyDescent="0.35">
      <c r="A468" s="65">
        <v>40564</v>
      </c>
      <c r="B468" s="62">
        <v>0</v>
      </c>
      <c r="C468" s="62">
        <v>27</v>
      </c>
      <c r="D468" s="63">
        <v>27</v>
      </c>
      <c r="E468" t="str">
        <f t="shared" si="21"/>
        <v>normal</v>
      </c>
      <c r="F468" s="35">
        <f t="shared" si="22"/>
        <v>27</v>
      </c>
      <c r="G468" s="35" t="e">
        <f t="shared" si="23"/>
        <v>#N/A</v>
      </c>
    </row>
    <row r="469" spans="1:7" x14ac:dyDescent="0.35">
      <c r="A469" s="64">
        <v>40564</v>
      </c>
      <c r="B469" s="60">
        <v>2</v>
      </c>
      <c r="C469" s="60">
        <v>66</v>
      </c>
      <c r="D469" s="61">
        <v>68</v>
      </c>
      <c r="E469" t="str">
        <f t="shared" si="21"/>
        <v>normal</v>
      </c>
      <c r="F469" s="35">
        <f t="shared" si="22"/>
        <v>68</v>
      </c>
      <c r="G469" s="35" t="e">
        <f t="shared" si="23"/>
        <v>#N/A</v>
      </c>
    </row>
    <row r="470" spans="1:7" x14ac:dyDescent="0.35">
      <c r="A470" s="65">
        <v>40564</v>
      </c>
      <c r="B470" s="62">
        <v>7</v>
      </c>
      <c r="C470" s="62">
        <v>210</v>
      </c>
      <c r="D470" s="63">
        <v>217</v>
      </c>
      <c r="E470" t="str">
        <f t="shared" si="21"/>
        <v>Anamoly</v>
      </c>
      <c r="F470" s="35" t="e">
        <f t="shared" si="22"/>
        <v>#N/A</v>
      </c>
      <c r="G470" s="35">
        <f t="shared" si="23"/>
        <v>217</v>
      </c>
    </row>
    <row r="471" spans="1:7" x14ac:dyDescent="0.35">
      <c r="A471" s="64">
        <v>40564</v>
      </c>
      <c r="B471" s="60">
        <v>7</v>
      </c>
      <c r="C471" s="60">
        <v>159</v>
      </c>
      <c r="D471" s="61">
        <v>166</v>
      </c>
      <c r="E471" t="str">
        <f t="shared" si="21"/>
        <v>normal</v>
      </c>
      <c r="F471" s="35">
        <f t="shared" si="22"/>
        <v>166</v>
      </c>
      <c r="G471" s="35" t="e">
        <f t="shared" si="23"/>
        <v>#N/A</v>
      </c>
    </row>
    <row r="472" spans="1:7" x14ac:dyDescent="0.35">
      <c r="A472" s="65">
        <v>40564</v>
      </c>
      <c r="B472" s="62">
        <v>6</v>
      </c>
      <c r="C472" s="62">
        <v>57</v>
      </c>
      <c r="D472" s="63">
        <v>63</v>
      </c>
      <c r="E472" t="str">
        <f t="shared" si="21"/>
        <v>normal</v>
      </c>
      <c r="F472" s="35">
        <f t="shared" si="22"/>
        <v>63</v>
      </c>
      <c r="G472" s="35" t="e">
        <f t="shared" si="23"/>
        <v>#N/A</v>
      </c>
    </row>
    <row r="473" spans="1:7" x14ac:dyDescent="0.35">
      <c r="A473" s="64">
        <v>40564</v>
      </c>
      <c r="B473" s="60">
        <v>6</v>
      </c>
      <c r="C473" s="60">
        <v>53</v>
      </c>
      <c r="D473" s="61">
        <v>59</v>
      </c>
      <c r="E473" t="str">
        <f t="shared" si="21"/>
        <v>normal</v>
      </c>
      <c r="F473" s="35">
        <f t="shared" si="22"/>
        <v>59</v>
      </c>
      <c r="G473" s="35" t="e">
        <f t="shared" si="23"/>
        <v>#N/A</v>
      </c>
    </row>
    <row r="474" spans="1:7" x14ac:dyDescent="0.35">
      <c r="A474" s="65">
        <v>40564</v>
      </c>
      <c r="B474" s="62">
        <v>11</v>
      </c>
      <c r="C474" s="62">
        <v>67</v>
      </c>
      <c r="D474" s="63">
        <v>78</v>
      </c>
      <c r="E474" t="str">
        <f t="shared" si="21"/>
        <v>normal</v>
      </c>
      <c r="F474" s="35">
        <f t="shared" si="22"/>
        <v>78</v>
      </c>
      <c r="G474" s="35" t="e">
        <f t="shared" si="23"/>
        <v>#N/A</v>
      </c>
    </row>
    <row r="475" spans="1:7" x14ac:dyDescent="0.35">
      <c r="A475" s="64">
        <v>40564</v>
      </c>
      <c r="B475" s="60">
        <v>8</v>
      </c>
      <c r="C475" s="60">
        <v>65</v>
      </c>
      <c r="D475" s="61">
        <v>73</v>
      </c>
      <c r="E475" t="str">
        <f t="shared" si="21"/>
        <v>normal</v>
      </c>
      <c r="F475" s="35">
        <f t="shared" si="22"/>
        <v>73</v>
      </c>
      <c r="G475" s="35" t="e">
        <f t="shared" si="23"/>
        <v>#N/A</v>
      </c>
    </row>
    <row r="476" spans="1:7" x14ac:dyDescent="0.35">
      <c r="A476" s="65">
        <v>40564</v>
      </c>
      <c r="B476" s="62">
        <v>6</v>
      </c>
      <c r="C476" s="62">
        <v>56</v>
      </c>
      <c r="D476" s="63">
        <v>62</v>
      </c>
      <c r="E476" t="str">
        <f t="shared" si="21"/>
        <v>normal</v>
      </c>
      <c r="F476" s="35">
        <f t="shared" si="22"/>
        <v>62</v>
      </c>
      <c r="G476" s="35" t="e">
        <f t="shared" si="23"/>
        <v>#N/A</v>
      </c>
    </row>
    <row r="477" spans="1:7" x14ac:dyDescent="0.35">
      <c r="A477" s="64">
        <v>40564</v>
      </c>
      <c r="B477" s="60">
        <v>4</v>
      </c>
      <c r="C477" s="60">
        <v>61</v>
      </c>
      <c r="D477" s="61">
        <v>65</v>
      </c>
      <c r="E477" t="str">
        <f t="shared" si="21"/>
        <v>normal</v>
      </c>
      <c r="F477" s="35">
        <f t="shared" si="22"/>
        <v>65</v>
      </c>
      <c r="G477" s="35" t="e">
        <f t="shared" si="23"/>
        <v>#N/A</v>
      </c>
    </row>
    <row r="478" spans="1:7" x14ac:dyDescent="0.35">
      <c r="A478" s="65">
        <v>40564</v>
      </c>
      <c r="B478" s="62">
        <v>0</v>
      </c>
      <c r="C478" s="62">
        <v>97</v>
      </c>
      <c r="D478" s="63">
        <v>97</v>
      </c>
      <c r="E478" t="str">
        <f t="shared" si="21"/>
        <v>normal</v>
      </c>
      <c r="F478" s="35">
        <f t="shared" si="22"/>
        <v>97</v>
      </c>
      <c r="G478" s="35" t="e">
        <f t="shared" si="23"/>
        <v>#N/A</v>
      </c>
    </row>
    <row r="479" spans="1:7" x14ac:dyDescent="0.35">
      <c r="A479" s="64">
        <v>40564</v>
      </c>
      <c r="B479" s="60">
        <v>10</v>
      </c>
      <c r="C479" s="60">
        <v>151</v>
      </c>
      <c r="D479" s="61">
        <v>161</v>
      </c>
      <c r="E479" t="str">
        <f t="shared" si="21"/>
        <v>normal</v>
      </c>
      <c r="F479" s="35">
        <f t="shared" si="22"/>
        <v>161</v>
      </c>
      <c r="G479" s="35" t="e">
        <f t="shared" si="23"/>
        <v>#N/A</v>
      </c>
    </row>
    <row r="480" spans="1:7" x14ac:dyDescent="0.35">
      <c r="A480" s="65">
        <v>40564</v>
      </c>
      <c r="B480" s="62">
        <v>1</v>
      </c>
      <c r="C480" s="62">
        <v>119</v>
      </c>
      <c r="D480" s="63">
        <v>120</v>
      </c>
      <c r="E480" t="str">
        <f t="shared" si="21"/>
        <v>normal</v>
      </c>
      <c r="F480" s="35">
        <f t="shared" si="22"/>
        <v>120</v>
      </c>
      <c r="G480" s="35" t="e">
        <f t="shared" si="23"/>
        <v>#N/A</v>
      </c>
    </row>
    <row r="481" spans="1:7" x14ac:dyDescent="0.35">
      <c r="A481" s="64">
        <v>40564</v>
      </c>
      <c r="B481" s="60">
        <v>3</v>
      </c>
      <c r="C481" s="60">
        <v>93</v>
      </c>
      <c r="D481" s="61">
        <v>96</v>
      </c>
      <c r="E481" t="str">
        <f t="shared" si="21"/>
        <v>normal</v>
      </c>
      <c r="F481" s="35">
        <f t="shared" si="22"/>
        <v>96</v>
      </c>
      <c r="G481" s="35" t="e">
        <f t="shared" si="23"/>
        <v>#N/A</v>
      </c>
    </row>
    <row r="482" spans="1:7" x14ac:dyDescent="0.35">
      <c r="A482" s="65">
        <v>40564</v>
      </c>
      <c r="B482" s="62">
        <v>1</v>
      </c>
      <c r="C482" s="62">
        <v>52</v>
      </c>
      <c r="D482" s="63">
        <v>53</v>
      </c>
      <c r="E482" t="str">
        <f t="shared" si="21"/>
        <v>normal</v>
      </c>
      <c r="F482" s="35">
        <f t="shared" si="22"/>
        <v>53</v>
      </c>
      <c r="G482" s="35" t="e">
        <f t="shared" si="23"/>
        <v>#N/A</v>
      </c>
    </row>
    <row r="483" spans="1:7" x14ac:dyDescent="0.35">
      <c r="A483" s="64">
        <v>40564</v>
      </c>
      <c r="B483" s="60">
        <v>0</v>
      </c>
      <c r="C483" s="60">
        <v>41</v>
      </c>
      <c r="D483" s="61">
        <v>41</v>
      </c>
      <c r="E483" t="str">
        <f t="shared" si="21"/>
        <v>normal</v>
      </c>
      <c r="F483" s="35">
        <f t="shared" si="22"/>
        <v>41</v>
      </c>
      <c r="G483" s="35" t="e">
        <f t="shared" si="23"/>
        <v>#N/A</v>
      </c>
    </row>
    <row r="484" spans="1:7" x14ac:dyDescent="0.35">
      <c r="A484" s="65">
        <v>40564</v>
      </c>
      <c r="B484" s="62">
        <v>1</v>
      </c>
      <c r="C484" s="62">
        <v>33</v>
      </c>
      <c r="D484" s="63">
        <v>34</v>
      </c>
      <c r="E484" t="str">
        <f t="shared" si="21"/>
        <v>normal</v>
      </c>
      <c r="F484" s="35">
        <f t="shared" si="22"/>
        <v>34</v>
      </c>
      <c r="G484" s="35" t="e">
        <f t="shared" si="23"/>
        <v>#N/A</v>
      </c>
    </row>
    <row r="485" spans="1:7" x14ac:dyDescent="0.35">
      <c r="A485" s="64">
        <v>40564</v>
      </c>
      <c r="B485" s="60">
        <v>0</v>
      </c>
      <c r="C485" s="60">
        <v>27</v>
      </c>
      <c r="D485" s="61">
        <v>27</v>
      </c>
      <c r="E485" t="str">
        <f t="shared" si="21"/>
        <v>normal</v>
      </c>
      <c r="F485" s="35">
        <f t="shared" si="22"/>
        <v>27</v>
      </c>
      <c r="G485" s="35" t="e">
        <f t="shared" si="23"/>
        <v>#N/A</v>
      </c>
    </row>
    <row r="486" spans="1:7" x14ac:dyDescent="0.35">
      <c r="A486" s="65">
        <v>40565</v>
      </c>
      <c r="B486" s="62">
        <v>0</v>
      </c>
      <c r="C486" s="62">
        <v>13</v>
      </c>
      <c r="D486" s="63">
        <v>13</v>
      </c>
      <c r="E486" t="str">
        <f t="shared" si="21"/>
        <v>normal</v>
      </c>
      <c r="F486" s="35">
        <f t="shared" si="22"/>
        <v>13</v>
      </c>
      <c r="G486" s="35" t="e">
        <f t="shared" si="23"/>
        <v>#N/A</v>
      </c>
    </row>
    <row r="487" spans="1:7" x14ac:dyDescent="0.35">
      <c r="A487" s="64">
        <v>40565</v>
      </c>
      <c r="B487" s="60">
        <v>3</v>
      </c>
      <c r="C487" s="60">
        <v>9</v>
      </c>
      <c r="D487" s="61">
        <v>12</v>
      </c>
      <c r="E487" t="str">
        <f t="shared" si="21"/>
        <v>normal</v>
      </c>
      <c r="F487" s="35">
        <f t="shared" si="22"/>
        <v>12</v>
      </c>
      <c r="G487" s="35" t="e">
        <f t="shared" si="23"/>
        <v>#N/A</v>
      </c>
    </row>
    <row r="488" spans="1:7" x14ac:dyDescent="0.35">
      <c r="A488" s="65">
        <v>40565</v>
      </c>
      <c r="B488" s="62">
        <v>0</v>
      </c>
      <c r="C488" s="62">
        <v>11</v>
      </c>
      <c r="D488" s="63">
        <v>11</v>
      </c>
      <c r="E488" t="str">
        <f t="shared" si="21"/>
        <v>normal</v>
      </c>
      <c r="F488" s="35">
        <f t="shared" si="22"/>
        <v>11</v>
      </c>
      <c r="G488" s="35" t="e">
        <f t="shared" si="23"/>
        <v>#N/A</v>
      </c>
    </row>
    <row r="489" spans="1:7" x14ac:dyDescent="0.35">
      <c r="A489" s="64">
        <v>40565</v>
      </c>
      <c r="B489" s="60">
        <v>1</v>
      </c>
      <c r="C489" s="60">
        <v>6</v>
      </c>
      <c r="D489" s="61">
        <v>7</v>
      </c>
      <c r="E489" t="str">
        <f t="shared" si="21"/>
        <v>normal</v>
      </c>
      <c r="F489" s="35">
        <f t="shared" si="22"/>
        <v>7</v>
      </c>
      <c r="G489" s="35" t="e">
        <f t="shared" si="23"/>
        <v>#N/A</v>
      </c>
    </row>
    <row r="490" spans="1:7" x14ac:dyDescent="0.35">
      <c r="A490" s="65">
        <v>40565</v>
      </c>
      <c r="B490" s="62">
        <v>0</v>
      </c>
      <c r="C490" s="62">
        <v>3</v>
      </c>
      <c r="D490" s="63">
        <v>3</v>
      </c>
      <c r="E490" t="str">
        <f t="shared" si="21"/>
        <v>normal</v>
      </c>
      <c r="F490" s="35">
        <f t="shared" si="22"/>
        <v>3</v>
      </c>
      <c r="G490" s="35" t="e">
        <f t="shared" si="23"/>
        <v>#N/A</v>
      </c>
    </row>
    <row r="491" spans="1:7" x14ac:dyDescent="0.35">
      <c r="A491" s="64">
        <v>40565</v>
      </c>
      <c r="B491" s="60">
        <v>0</v>
      </c>
      <c r="C491" s="60">
        <v>2</v>
      </c>
      <c r="D491" s="61">
        <v>2</v>
      </c>
      <c r="E491" t="str">
        <f t="shared" si="21"/>
        <v>normal</v>
      </c>
      <c r="F491" s="35">
        <f t="shared" si="22"/>
        <v>2</v>
      </c>
      <c r="G491" s="35" t="e">
        <f t="shared" si="23"/>
        <v>#N/A</v>
      </c>
    </row>
    <row r="492" spans="1:7" x14ac:dyDescent="0.35">
      <c r="A492" s="65">
        <v>40565</v>
      </c>
      <c r="B492" s="62">
        <v>0</v>
      </c>
      <c r="C492" s="62">
        <v>8</v>
      </c>
      <c r="D492" s="63">
        <v>8</v>
      </c>
      <c r="E492" t="str">
        <f t="shared" si="21"/>
        <v>normal</v>
      </c>
      <c r="F492" s="35">
        <f t="shared" si="22"/>
        <v>8</v>
      </c>
      <c r="G492" s="35" t="e">
        <f t="shared" si="23"/>
        <v>#N/A</v>
      </c>
    </row>
    <row r="493" spans="1:7" x14ac:dyDescent="0.35">
      <c r="A493" s="64">
        <v>40565</v>
      </c>
      <c r="B493" s="60">
        <v>1</v>
      </c>
      <c r="C493" s="60">
        <v>26</v>
      </c>
      <c r="D493" s="61">
        <v>27</v>
      </c>
      <c r="E493" t="str">
        <f t="shared" si="21"/>
        <v>normal</v>
      </c>
      <c r="F493" s="35">
        <f t="shared" si="22"/>
        <v>27</v>
      </c>
      <c r="G493" s="35" t="e">
        <f t="shared" si="23"/>
        <v>#N/A</v>
      </c>
    </row>
    <row r="494" spans="1:7" x14ac:dyDescent="0.35">
      <c r="A494" s="65">
        <v>40565</v>
      </c>
      <c r="B494" s="62">
        <v>3</v>
      </c>
      <c r="C494" s="62">
        <v>37</v>
      </c>
      <c r="D494" s="63">
        <v>40</v>
      </c>
      <c r="E494" t="str">
        <f t="shared" si="21"/>
        <v>normal</v>
      </c>
      <c r="F494" s="35">
        <f t="shared" si="22"/>
        <v>40</v>
      </c>
      <c r="G494" s="35" t="e">
        <f t="shared" si="23"/>
        <v>#N/A</v>
      </c>
    </row>
    <row r="495" spans="1:7" x14ac:dyDescent="0.35">
      <c r="A495" s="64">
        <v>40565</v>
      </c>
      <c r="B495" s="60">
        <v>3</v>
      </c>
      <c r="C495" s="60">
        <v>50</v>
      </c>
      <c r="D495" s="61">
        <v>53</v>
      </c>
      <c r="E495" t="str">
        <f t="shared" si="21"/>
        <v>normal</v>
      </c>
      <c r="F495" s="35">
        <f t="shared" si="22"/>
        <v>53</v>
      </c>
      <c r="G495" s="35" t="e">
        <f t="shared" si="23"/>
        <v>#N/A</v>
      </c>
    </row>
    <row r="496" spans="1:7" x14ac:dyDescent="0.35">
      <c r="A496" s="65">
        <v>40565</v>
      </c>
      <c r="B496" s="62">
        <v>4</v>
      </c>
      <c r="C496" s="62">
        <v>59</v>
      </c>
      <c r="D496" s="63">
        <v>63</v>
      </c>
      <c r="E496" t="str">
        <f t="shared" si="21"/>
        <v>normal</v>
      </c>
      <c r="F496" s="35">
        <f t="shared" si="22"/>
        <v>63</v>
      </c>
      <c r="G496" s="35" t="e">
        <f t="shared" si="23"/>
        <v>#N/A</v>
      </c>
    </row>
    <row r="497" spans="1:7" x14ac:dyDescent="0.35">
      <c r="A497" s="64">
        <v>40565</v>
      </c>
      <c r="B497" s="60">
        <v>10</v>
      </c>
      <c r="C497" s="60">
        <v>60</v>
      </c>
      <c r="D497" s="61">
        <v>70</v>
      </c>
      <c r="E497" t="str">
        <f t="shared" si="21"/>
        <v>normal</v>
      </c>
      <c r="F497" s="35">
        <f t="shared" si="22"/>
        <v>70</v>
      </c>
      <c r="G497" s="35" t="e">
        <f t="shared" si="23"/>
        <v>#N/A</v>
      </c>
    </row>
    <row r="498" spans="1:7" x14ac:dyDescent="0.35">
      <c r="A498" s="65">
        <v>40565</v>
      </c>
      <c r="B498" s="62">
        <v>12</v>
      </c>
      <c r="C498" s="62">
        <v>72</v>
      </c>
      <c r="D498" s="63">
        <v>84</v>
      </c>
      <c r="E498" t="str">
        <f t="shared" si="21"/>
        <v>normal</v>
      </c>
      <c r="F498" s="35">
        <f t="shared" si="22"/>
        <v>84</v>
      </c>
      <c r="G498" s="35" t="e">
        <f t="shared" si="23"/>
        <v>#N/A</v>
      </c>
    </row>
    <row r="499" spans="1:7" x14ac:dyDescent="0.35">
      <c r="A499" s="64">
        <v>40565</v>
      </c>
      <c r="B499" s="60">
        <v>11</v>
      </c>
      <c r="C499" s="60">
        <v>64</v>
      </c>
      <c r="D499" s="61">
        <v>75</v>
      </c>
      <c r="E499" t="str">
        <f t="shared" si="21"/>
        <v>normal</v>
      </c>
      <c r="F499" s="35">
        <f t="shared" si="22"/>
        <v>75</v>
      </c>
      <c r="G499" s="35" t="e">
        <f t="shared" si="23"/>
        <v>#N/A</v>
      </c>
    </row>
    <row r="500" spans="1:7" x14ac:dyDescent="0.35">
      <c r="A500" s="65">
        <v>40565</v>
      </c>
      <c r="B500" s="62">
        <v>10</v>
      </c>
      <c r="C500" s="62">
        <v>93</v>
      </c>
      <c r="D500" s="63">
        <v>103</v>
      </c>
      <c r="E500" t="str">
        <f t="shared" si="21"/>
        <v>normal</v>
      </c>
      <c r="F500" s="35">
        <f t="shared" si="22"/>
        <v>103</v>
      </c>
      <c r="G500" s="35" t="e">
        <f t="shared" si="23"/>
        <v>#N/A</v>
      </c>
    </row>
    <row r="501" spans="1:7" x14ac:dyDescent="0.35">
      <c r="A501" s="64">
        <v>40565</v>
      </c>
      <c r="B501" s="60">
        <v>11</v>
      </c>
      <c r="C501" s="60">
        <v>72</v>
      </c>
      <c r="D501" s="61">
        <v>83</v>
      </c>
      <c r="E501" t="str">
        <f t="shared" si="21"/>
        <v>normal</v>
      </c>
      <c r="F501" s="35">
        <f t="shared" si="22"/>
        <v>83</v>
      </c>
      <c r="G501" s="35" t="e">
        <f t="shared" si="23"/>
        <v>#N/A</v>
      </c>
    </row>
    <row r="502" spans="1:7" x14ac:dyDescent="0.35">
      <c r="A502" s="65">
        <v>40565</v>
      </c>
      <c r="B502" s="62">
        <v>8</v>
      </c>
      <c r="C502" s="62">
        <v>59</v>
      </c>
      <c r="D502" s="63">
        <v>67</v>
      </c>
      <c r="E502" t="str">
        <f t="shared" si="21"/>
        <v>normal</v>
      </c>
      <c r="F502" s="35">
        <f t="shared" si="22"/>
        <v>67</v>
      </c>
      <c r="G502" s="35" t="e">
        <f t="shared" si="23"/>
        <v>#N/A</v>
      </c>
    </row>
    <row r="503" spans="1:7" x14ac:dyDescent="0.35">
      <c r="A503" s="64">
        <v>40565</v>
      </c>
      <c r="B503" s="60">
        <v>0</v>
      </c>
      <c r="C503" s="60">
        <v>54</v>
      </c>
      <c r="D503" s="61">
        <v>54</v>
      </c>
      <c r="E503" t="str">
        <f t="shared" si="21"/>
        <v>normal</v>
      </c>
      <c r="F503" s="35">
        <f t="shared" si="22"/>
        <v>54</v>
      </c>
      <c r="G503" s="35" t="e">
        <f t="shared" si="23"/>
        <v>#N/A</v>
      </c>
    </row>
    <row r="504" spans="1:7" x14ac:dyDescent="0.35">
      <c r="A504" s="65">
        <v>40565</v>
      </c>
      <c r="B504" s="62">
        <v>6</v>
      </c>
      <c r="C504" s="62">
        <v>53</v>
      </c>
      <c r="D504" s="63">
        <v>59</v>
      </c>
      <c r="E504" t="str">
        <f t="shared" si="21"/>
        <v>normal</v>
      </c>
      <c r="F504" s="35">
        <f t="shared" si="22"/>
        <v>59</v>
      </c>
      <c r="G504" s="35" t="e">
        <f t="shared" si="23"/>
        <v>#N/A</v>
      </c>
    </row>
    <row r="505" spans="1:7" x14ac:dyDescent="0.35">
      <c r="A505" s="64">
        <v>40565</v>
      </c>
      <c r="B505" s="60">
        <v>1</v>
      </c>
      <c r="C505" s="60">
        <v>44</v>
      </c>
      <c r="D505" s="61">
        <v>45</v>
      </c>
      <c r="E505" t="str">
        <f t="shared" si="21"/>
        <v>normal</v>
      </c>
      <c r="F505" s="35">
        <f t="shared" si="22"/>
        <v>45</v>
      </c>
      <c r="G505" s="35" t="e">
        <f t="shared" si="23"/>
        <v>#N/A</v>
      </c>
    </row>
    <row r="506" spans="1:7" x14ac:dyDescent="0.35">
      <c r="A506" s="65">
        <v>40565</v>
      </c>
      <c r="B506" s="62">
        <v>0</v>
      </c>
      <c r="C506" s="62">
        <v>39</v>
      </c>
      <c r="D506" s="63">
        <v>39</v>
      </c>
      <c r="E506" t="str">
        <f t="shared" si="21"/>
        <v>normal</v>
      </c>
      <c r="F506" s="35">
        <f t="shared" si="22"/>
        <v>39</v>
      </c>
      <c r="G506" s="35" t="e">
        <f t="shared" si="23"/>
        <v>#N/A</v>
      </c>
    </row>
    <row r="507" spans="1:7" x14ac:dyDescent="0.35">
      <c r="A507" s="64">
        <v>40565</v>
      </c>
      <c r="B507" s="60">
        <v>7</v>
      </c>
      <c r="C507" s="60">
        <v>23</v>
      </c>
      <c r="D507" s="61">
        <v>30</v>
      </c>
      <c r="E507" t="str">
        <f t="shared" si="21"/>
        <v>normal</v>
      </c>
      <c r="F507" s="35">
        <f t="shared" si="22"/>
        <v>30</v>
      </c>
      <c r="G507" s="35" t="e">
        <f t="shared" si="23"/>
        <v>#N/A</v>
      </c>
    </row>
    <row r="508" spans="1:7" x14ac:dyDescent="0.35">
      <c r="A508" s="65">
        <v>40565</v>
      </c>
      <c r="B508" s="62">
        <v>2</v>
      </c>
      <c r="C508" s="62">
        <v>31</v>
      </c>
      <c r="D508" s="63">
        <v>33</v>
      </c>
      <c r="E508" t="str">
        <f t="shared" si="21"/>
        <v>normal</v>
      </c>
      <c r="F508" s="35">
        <f t="shared" si="22"/>
        <v>33</v>
      </c>
      <c r="G508" s="35" t="e">
        <f t="shared" si="23"/>
        <v>#N/A</v>
      </c>
    </row>
    <row r="509" spans="1:7" x14ac:dyDescent="0.35">
      <c r="A509" s="64">
        <v>40566</v>
      </c>
      <c r="B509" s="60">
        <v>2</v>
      </c>
      <c r="C509" s="60">
        <v>20</v>
      </c>
      <c r="D509" s="61">
        <v>22</v>
      </c>
      <c r="E509" t="str">
        <f t="shared" si="21"/>
        <v>normal</v>
      </c>
      <c r="F509" s="35">
        <f t="shared" si="22"/>
        <v>22</v>
      </c>
      <c r="G509" s="35" t="e">
        <f t="shared" si="23"/>
        <v>#N/A</v>
      </c>
    </row>
    <row r="510" spans="1:7" x14ac:dyDescent="0.35">
      <c r="A510" s="65">
        <v>40566</v>
      </c>
      <c r="B510" s="62">
        <v>1</v>
      </c>
      <c r="C510" s="62">
        <v>12</v>
      </c>
      <c r="D510" s="63">
        <v>13</v>
      </c>
      <c r="E510" t="str">
        <f t="shared" si="21"/>
        <v>normal</v>
      </c>
      <c r="F510" s="35">
        <f t="shared" si="22"/>
        <v>13</v>
      </c>
      <c r="G510" s="35" t="e">
        <f t="shared" si="23"/>
        <v>#N/A</v>
      </c>
    </row>
    <row r="511" spans="1:7" x14ac:dyDescent="0.35">
      <c r="A511" s="64">
        <v>40566</v>
      </c>
      <c r="B511" s="60">
        <v>3</v>
      </c>
      <c r="C511" s="60">
        <v>15</v>
      </c>
      <c r="D511" s="61">
        <v>18</v>
      </c>
      <c r="E511" t="str">
        <f t="shared" si="21"/>
        <v>normal</v>
      </c>
      <c r="F511" s="35">
        <f t="shared" si="22"/>
        <v>18</v>
      </c>
      <c r="G511" s="35" t="e">
        <f t="shared" si="23"/>
        <v>#N/A</v>
      </c>
    </row>
    <row r="512" spans="1:7" x14ac:dyDescent="0.35">
      <c r="A512" s="65">
        <v>40566</v>
      </c>
      <c r="B512" s="62">
        <v>1</v>
      </c>
      <c r="C512" s="62">
        <v>4</v>
      </c>
      <c r="D512" s="63">
        <v>5</v>
      </c>
      <c r="E512" t="str">
        <f t="shared" si="21"/>
        <v>normal</v>
      </c>
      <c r="F512" s="35">
        <f t="shared" si="22"/>
        <v>5</v>
      </c>
      <c r="G512" s="35" t="e">
        <f t="shared" si="23"/>
        <v>#N/A</v>
      </c>
    </row>
    <row r="513" spans="1:7" x14ac:dyDescent="0.35">
      <c r="A513" s="64">
        <v>40566</v>
      </c>
      <c r="B513" s="60">
        <v>0</v>
      </c>
      <c r="C513" s="60">
        <v>3</v>
      </c>
      <c r="D513" s="61">
        <v>3</v>
      </c>
      <c r="E513" t="str">
        <f t="shared" si="21"/>
        <v>normal</v>
      </c>
      <c r="F513" s="35">
        <f t="shared" si="22"/>
        <v>3</v>
      </c>
      <c r="G513" s="35" t="e">
        <f t="shared" si="23"/>
        <v>#N/A</v>
      </c>
    </row>
    <row r="514" spans="1:7" x14ac:dyDescent="0.35">
      <c r="A514" s="65">
        <v>40566</v>
      </c>
      <c r="B514" s="62">
        <v>0</v>
      </c>
      <c r="C514" s="62">
        <v>1</v>
      </c>
      <c r="D514" s="63">
        <v>1</v>
      </c>
      <c r="E514" t="str">
        <f t="shared" si="21"/>
        <v>normal</v>
      </c>
      <c r="F514" s="35">
        <f t="shared" si="22"/>
        <v>1</v>
      </c>
      <c r="G514" s="35" t="e">
        <f t="shared" si="23"/>
        <v>#N/A</v>
      </c>
    </row>
    <row r="515" spans="1:7" x14ac:dyDescent="0.35">
      <c r="A515" s="64">
        <v>40566</v>
      </c>
      <c r="B515" s="60">
        <v>1</v>
      </c>
      <c r="C515" s="60">
        <v>1</v>
      </c>
      <c r="D515" s="61">
        <v>2</v>
      </c>
      <c r="E515" t="str">
        <f t="shared" si="21"/>
        <v>normal</v>
      </c>
      <c r="F515" s="35">
        <f t="shared" si="22"/>
        <v>2</v>
      </c>
      <c r="G515" s="35" t="e">
        <f t="shared" si="23"/>
        <v>#N/A</v>
      </c>
    </row>
    <row r="516" spans="1:7" x14ac:dyDescent="0.35">
      <c r="A516" s="65">
        <v>40566</v>
      </c>
      <c r="B516" s="62">
        <v>2</v>
      </c>
      <c r="C516" s="62">
        <v>17</v>
      </c>
      <c r="D516" s="63">
        <v>19</v>
      </c>
      <c r="E516" t="str">
        <f t="shared" si="21"/>
        <v>normal</v>
      </c>
      <c r="F516" s="35">
        <f t="shared" si="22"/>
        <v>19</v>
      </c>
      <c r="G516" s="35" t="e">
        <f t="shared" si="23"/>
        <v>#N/A</v>
      </c>
    </row>
    <row r="517" spans="1:7" x14ac:dyDescent="0.35">
      <c r="A517" s="64">
        <v>40566</v>
      </c>
      <c r="B517" s="60">
        <v>3</v>
      </c>
      <c r="C517" s="60">
        <v>25</v>
      </c>
      <c r="D517" s="61">
        <v>28</v>
      </c>
      <c r="E517" t="str">
        <f t="shared" si="21"/>
        <v>normal</v>
      </c>
      <c r="F517" s="35">
        <f t="shared" si="22"/>
        <v>28</v>
      </c>
      <c r="G517" s="35" t="e">
        <f t="shared" si="23"/>
        <v>#N/A</v>
      </c>
    </row>
    <row r="518" spans="1:7" x14ac:dyDescent="0.35">
      <c r="A518" s="65">
        <v>40566</v>
      </c>
      <c r="B518" s="62">
        <v>7</v>
      </c>
      <c r="C518" s="62">
        <v>51</v>
      </c>
      <c r="D518" s="63">
        <v>58</v>
      </c>
      <c r="E518" t="str">
        <f t="shared" si="21"/>
        <v>normal</v>
      </c>
      <c r="F518" s="35">
        <f t="shared" si="22"/>
        <v>58</v>
      </c>
      <c r="G518" s="35" t="e">
        <f t="shared" si="23"/>
        <v>#N/A</v>
      </c>
    </row>
    <row r="519" spans="1:7" x14ac:dyDescent="0.35">
      <c r="A519" s="64">
        <v>40566</v>
      </c>
      <c r="B519" s="60">
        <v>22</v>
      </c>
      <c r="C519" s="60">
        <v>77</v>
      </c>
      <c r="D519" s="61">
        <v>99</v>
      </c>
      <c r="E519" t="str">
        <f t="shared" ref="E519:E582" si="24">IF(OR(D519&lt;$L$15,D519&gt;$L$16),"Anamoly","normal")</f>
        <v>normal</v>
      </c>
      <c r="F519" s="35">
        <f t="shared" si="22"/>
        <v>99</v>
      </c>
      <c r="G519" s="35" t="e">
        <f t="shared" si="23"/>
        <v>#N/A</v>
      </c>
    </row>
    <row r="520" spans="1:7" x14ac:dyDescent="0.35">
      <c r="A520" s="65">
        <v>40566</v>
      </c>
      <c r="B520" s="62">
        <v>24</v>
      </c>
      <c r="C520" s="62">
        <v>92</v>
      </c>
      <c r="D520" s="63">
        <v>116</v>
      </c>
      <c r="E520" t="str">
        <f t="shared" si="24"/>
        <v>normal</v>
      </c>
      <c r="F520" s="35">
        <f t="shared" ref="F520:F583" si="25">IF(E520="normal",D520,NA())</f>
        <v>116</v>
      </c>
      <c r="G520" s="35" t="e">
        <f t="shared" ref="G520:G583" si="26">IF(E520="anamoly",D520,NA())</f>
        <v>#N/A</v>
      </c>
    </row>
    <row r="521" spans="1:7" x14ac:dyDescent="0.35">
      <c r="A521" s="64">
        <v>40566</v>
      </c>
      <c r="B521" s="60">
        <v>12</v>
      </c>
      <c r="C521" s="60">
        <v>75</v>
      </c>
      <c r="D521" s="61">
        <v>87</v>
      </c>
      <c r="E521" t="str">
        <f t="shared" si="24"/>
        <v>normal</v>
      </c>
      <c r="F521" s="35">
        <f t="shared" si="25"/>
        <v>87</v>
      </c>
      <c r="G521" s="35" t="e">
        <f t="shared" si="26"/>
        <v>#N/A</v>
      </c>
    </row>
    <row r="522" spans="1:7" x14ac:dyDescent="0.35">
      <c r="A522" s="65">
        <v>40566</v>
      </c>
      <c r="B522" s="62">
        <v>17</v>
      </c>
      <c r="C522" s="62">
        <v>93</v>
      </c>
      <c r="D522" s="63">
        <v>110</v>
      </c>
      <c r="E522" t="str">
        <f t="shared" si="24"/>
        <v>normal</v>
      </c>
      <c r="F522" s="35">
        <f t="shared" si="25"/>
        <v>110</v>
      </c>
      <c r="G522" s="35" t="e">
        <f t="shared" si="26"/>
        <v>#N/A</v>
      </c>
    </row>
    <row r="523" spans="1:7" x14ac:dyDescent="0.35">
      <c r="A523" s="64">
        <v>40566</v>
      </c>
      <c r="B523" s="60">
        <v>13</v>
      </c>
      <c r="C523" s="60">
        <v>64</v>
      </c>
      <c r="D523" s="61">
        <v>77</v>
      </c>
      <c r="E523" t="str">
        <f t="shared" si="24"/>
        <v>normal</v>
      </c>
      <c r="F523" s="35">
        <f t="shared" si="25"/>
        <v>77</v>
      </c>
      <c r="G523" s="35" t="e">
        <f t="shared" si="26"/>
        <v>#N/A</v>
      </c>
    </row>
    <row r="524" spans="1:7" x14ac:dyDescent="0.35">
      <c r="A524" s="65">
        <v>40566</v>
      </c>
      <c r="B524" s="62">
        <v>9</v>
      </c>
      <c r="C524" s="62">
        <v>56</v>
      </c>
      <c r="D524" s="63">
        <v>65</v>
      </c>
      <c r="E524" t="str">
        <f t="shared" si="24"/>
        <v>normal</v>
      </c>
      <c r="F524" s="35">
        <f t="shared" si="25"/>
        <v>65</v>
      </c>
      <c r="G524" s="35" t="e">
        <f t="shared" si="26"/>
        <v>#N/A</v>
      </c>
    </row>
    <row r="525" spans="1:7" x14ac:dyDescent="0.35">
      <c r="A525" s="64">
        <v>40566</v>
      </c>
      <c r="B525" s="60">
        <v>5</v>
      </c>
      <c r="C525" s="60">
        <v>50</v>
      </c>
      <c r="D525" s="61">
        <v>55</v>
      </c>
      <c r="E525" t="str">
        <f t="shared" si="24"/>
        <v>normal</v>
      </c>
      <c r="F525" s="35">
        <f t="shared" si="25"/>
        <v>55</v>
      </c>
      <c r="G525" s="35" t="e">
        <f t="shared" si="26"/>
        <v>#N/A</v>
      </c>
    </row>
    <row r="526" spans="1:7" x14ac:dyDescent="0.35">
      <c r="A526" s="65">
        <v>40566</v>
      </c>
      <c r="B526" s="62">
        <v>5</v>
      </c>
      <c r="C526" s="62">
        <v>44</v>
      </c>
      <c r="D526" s="63">
        <v>49</v>
      </c>
      <c r="E526" t="str">
        <f t="shared" si="24"/>
        <v>normal</v>
      </c>
      <c r="F526" s="35">
        <f t="shared" si="25"/>
        <v>49</v>
      </c>
      <c r="G526" s="35" t="e">
        <f t="shared" si="26"/>
        <v>#N/A</v>
      </c>
    </row>
    <row r="527" spans="1:7" x14ac:dyDescent="0.35">
      <c r="A527" s="64">
        <v>40566</v>
      </c>
      <c r="B527" s="60">
        <v>5</v>
      </c>
      <c r="C527" s="60">
        <v>45</v>
      </c>
      <c r="D527" s="61">
        <v>50</v>
      </c>
      <c r="E527" t="str">
        <f t="shared" si="24"/>
        <v>normal</v>
      </c>
      <c r="F527" s="35">
        <f t="shared" si="25"/>
        <v>50</v>
      </c>
      <c r="G527" s="35" t="e">
        <f t="shared" si="26"/>
        <v>#N/A</v>
      </c>
    </row>
    <row r="528" spans="1:7" x14ac:dyDescent="0.35">
      <c r="A528" s="65">
        <v>40566</v>
      </c>
      <c r="B528" s="62">
        <v>4</v>
      </c>
      <c r="C528" s="62">
        <v>31</v>
      </c>
      <c r="D528" s="63">
        <v>35</v>
      </c>
      <c r="E528" t="str">
        <f t="shared" si="24"/>
        <v>normal</v>
      </c>
      <c r="F528" s="35">
        <f t="shared" si="25"/>
        <v>35</v>
      </c>
      <c r="G528" s="35" t="e">
        <f t="shared" si="26"/>
        <v>#N/A</v>
      </c>
    </row>
    <row r="529" spans="1:7" x14ac:dyDescent="0.35">
      <c r="A529" s="64">
        <v>40566</v>
      </c>
      <c r="B529" s="60">
        <v>5</v>
      </c>
      <c r="C529" s="60">
        <v>20</v>
      </c>
      <c r="D529" s="61">
        <v>25</v>
      </c>
      <c r="E529" t="str">
        <f t="shared" si="24"/>
        <v>normal</v>
      </c>
      <c r="F529" s="35">
        <f t="shared" si="25"/>
        <v>25</v>
      </c>
      <c r="G529" s="35" t="e">
        <f t="shared" si="26"/>
        <v>#N/A</v>
      </c>
    </row>
    <row r="530" spans="1:7" x14ac:dyDescent="0.35">
      <c r="A530" s="65">
        <v>40566</v>
      </c>
      <c r="B530" s="62">
        <v>5</v>
      </c>
      <c r="C530" s="62">
        <v>23</v>
      </c>
      <c r="D530" s="63">
        <v>28</v>
      </c>
      <c r="E530" t="str">
        <f t="shared" si="24"/>
        <v>normal</v>
      </c>
      <c r="F530" s="35">
        <f t="shared" si="25"/>
        <v>28</v>
      </c>
      <c r="G530" s="35" t="e">
        <f t="shared" si="26"/>
        <v>#N/A</v>
      </c>
    </row>
    <row r="531" spans="1:7" x14ac:dyDescent="0.35">
      <c r="A531" s="64">
        <v>40566</v>
      </c>
      <c r="B531" s="60">
        <v>4</v>
      </c>
      <c r="C531" s="60">
        <v>17</v>
      </c>
      <c r="D531" s="61">
        <v>21</v>
      </c>
      <c r="E531" t="str">
        <f t="shared" si="24"/>
        <v>normal</v>
      </c>
      <c r="F531" s="35">
        <f t="shared" si="25"/>
        <v>21</v>
      </c>
      <c r="G531" s="35" t="e">
        <f t="shared" si="26"/>
        <v>#N/A</v>
      </c>
    </row>
    <row r="532" spans="1:7" x14ac:dyDescent="0.35">
      <c r="A532" s="65">
        <v>40567</v>
      </c>
      <c r="B532" s="62">
        <v>0</v>
      </c>
      <c r="C532" s="62">
        <v>7</v>
      </c>
      <c r="D532" s="63">
        <v>7</v>
      </c>
      <c r="E532" t="str">
        <f t="shared" si="24"/>
        <v>normal</v>
      </c>
      <c r="F532" s="35">
        <f t="shared" si="25"/>
        <v>7</v>
      </c>
      <c r="G532" s="35" t="e">
        <f t="shared" si="26"/>
        <v>#N/A</v>
      </c>
    </row>
    <row r="533" spans="1:7" x14ac:dyDescent="0.35">
      <c r="A533" s="64">
        <v>40567</v>
      </c>
      <c r="B533" s="60">
        <v>0</v>
      </c>
      <c r="C533" s="60">
        <v>1</v>
      </c>
      <c r="D533" s="61">
        <v>1</v>
      </c>
      <c r="E533" t="str">
        <f t="shared" si="24"/>
        <v>normal</v>
      </c>
      <c r="F533" s="35">
        <f t="shared" si="25"/>
        <v>1</v>
      </c>
      <c r="G533" s="35" t="e">
        <f t="shared" si="26"/>
        <v>#N/A</v>
      </c>
    </row>
    <row r="534" spans="1:7" x14ac:dyDescent="0.35">
      <c r="A534" s="65">
        <v>40567</v>
      </c>
      <c r="B534" s="62">
        <v>0</v>
      </c>
      <c r="C534" s="62">
        <v>1</v>
      </c>
      <c r="D534" s="63">
        <v>1</v>
      </c>
      <c r="E534" t="str">
        <f t="shared" si="24"/>
        <v>normal</v>
      </c>
      <c r="F534" s="35">
        <f t="shared" si="25"/>
        <v>1</v>
      </c>
      <c r="G534" s="35" t="e">
        <f t="shared" si="26"/>
        <v>#N/A</v>
      </c>
    </row>
    <row r="535" spans="1:7" x14ac:dyDescent="0.35">
      <c r="A535" s="64">
        <v>40567</v>
      </c>
      <c r="B535" s="60">
        <v>0</v>
      </c>
      <c r="C535" s="60">
        <v>1</v>
      </c>
      <c r="D535" s="61">
        <v>1</v>
      </c>
      <c r="E535" t="str">
        <f t="shared" si="24"/>
        <v>normal</v>
      </c>
      <c r="F535" s="35">
        <f t="shared" si="25"/>
        <v>1</v>
      </c>
      <c r="G535" s="35" t="e">
        <f t="shared" si="26"/>
        <v>#N/A</v>
      </c>
    </row>
    <row r="536" spans="1:7" x14ac:dyDescent="0.35">
      <c r="A536" s="65">
        <v>40567</v>
      </c>
      <c r="B536" s="62">
        <v>0</v>
      </c>
      <c r="C536" s="62">
        <v>5</v>
      </c>
      <c r="D536" s="63">
        <v>5</v>
      </c>
      <c r="E536" t="str">
        <f t="shared" si="24"/>
        <v>normal</v>
      </c>
      <c r="F536" s="35">
        <f t="shared" si="25"/>
        <v>5</v>
      </c>
      <c r="G536" s="35" t="e">
        <f t="shared" si="26"/>
        <v>#N/A</v>
      </c>
    </row>
    <row r="537" spans="1:7" x14ac:dyDescent="0.35">
      <c r="A537" s="64">
        <v>40567</v>
      </c>
      <c r="B537" s="60">
        <v>0</v>
      </c>
      <c r="C537" s="60">
        <v>15</v>
      </c>
      <c r="D537" s="61">
        <v>15</v>
      </c>
      <c r="E537" t="str">
        <f t="shared" si="24"/>
        <v>normal</v>
      </c>
      <c r="F537" s="35">
        <f t="shared" si="25"/>
        <v>15</v>
      </c>
      <c r="G537" s="35" t="e">
        <f t="shared" si="26"/>
        <v>#N/A</v>
      </c>
    </row>
    <row r="538" spans="1:7" x14ac:dyDescent="0.35">
      <c r="A538" s="65">
        <v>40567</v>
      </c>
      <c r="B538" s="62">
        <v>5</v>
      </c>
      <c r="C538" s="62">
        <v>79</v>
      </c>
      <c r="D538" s="63">
        <v>84</v>
      </c>
      <c r="E538" t="str">
        <f t="shared" si="24"/>
        <v>normal</v>
      </c>
      <c r="F538" s="35">
        <f t="shared" si="25"/>
        <v>84</v>
      </c>
      <c r="G538" s="35" t="e">
        <f t="shared" si="26"/>
        <v>#N/A</v>
      </c>
    </row>
    <row r="539" spans="1:7" x14ac:dyDescent="0.35">
      <c r="A539" s="64">
        <v>40567</v>
      </c>
      <c r="B539" s="60">
        <v>6</v>
      </c>
      <c r="C539" s="60">
        <v>171</v>
      </c>
      <c r="D539" s="61">
        <v>177</v>
      </c>
      <c r="E539" t="str">
        <f t="shared" si="24"/>
        <v>normal</v>
      </c>
      <c r="F539" s="35">
        <f t="shared" si="25"/>
        <v>177</v>
      </c>
      <c r="G539" s="35" t="e">
        <f t="shared" si="26"/>
        <v>#N/A</v>
      </c>
    </row>
    <row r="540" spans="1:7" x14ac:dyDescent="0.35">
      <c r="A540" s="65">
        <v>40567</v>
      </c>
      <c r="B540" s="62">
        <v>4</v>
      </c>
      <c r="C540" s="62">
        <v>98</v>
      </c>
      <c r="D540" s="63">
        <v>102</v>
      </c>
      <c r="E540" t="str">
        <f t="shared" si="24"/>
        <v>normal</v>
      </c>
      <c r="F540" s="35">
        <f t="shared" si="25"/>
        <v>102</v>
      </c>
      <c r="G540" s="35" t="e">
        <f t="shared" si="26"/>
        <v>#N/A</v>
      </c>
    </row>
    <row r="541" spans="1:7" x14ac:dyDescent="0.35">
      <c r="A541" s="64">
        <v>40567</v>
      </c>
      <c r="B541" s="60">
        <v>6</v>
      </c>
      <c r="C541" s="60">
        <v>34</v>
      </c>
      <c r="D541" s="61">
        <v>40</v>
      </c>
      <c r="E541" t="str">
        <f t="shared" si="24"/>
        <v>normal</v>
      </c>
      <c r="F541" s="35">
        <f t="shared" si="25"/>
        <v>40</v>
      </c>
      <c r="G541" s="35" t="e">
        <f t="shared" si="26"/>
        <v>#N/A</v>
      </c>
    </row>
    <row r="542" spans="1:7" x14ac:dyDescent="0.35">
      <c r="A542" s="65">
        <v>40567</v>
      </c>
      <c r="B542" s="62">
        <v>3</v>
      </c>
      <c r="C542" s="62">
        <v>43</v>
      </c>
      <c r="D542" s="63">
        <v>46</v>
      </c>
      <c r="E542" t="str">
        <f t="shared" si="24"/>
        <v>normal</v>
      </c>
      <c r="F542" s="35">
        <f t="shared" si="25"/>
        <v>46</v>
      </c>
      <c r="G542" s="35" t="e">
        <f t="shared" si="26"/>
        <v>#N/A</v>
      </c>
    </row>
    <row r="543" spans="1:7" x14ac:dyDescent="0.35">
      <c r="A543" s="64">
        <v>40567</v>
      </c>
      <c r="B543" s="60">
        <v>11</v>
      </c>
      <c r="C543" s="60">
        <v>52</v>
      </c>
      <c r="D543" s="61">
        <v>63</v>
      </c>
      <c r="E543" t="str">
        <f t="shared" si="24"/>
        <v>normal</v>
      </c>
      <c r="F543" s="35">
        <f t="shared" si="25"/>
        <v>63</v>
      </c>
      <c r="G543" s="35" t="e">
        <f t="shared" si="26"/>
        <v>#N/A</v>
      </c>
    </row>
    <row r="544" spans="1:7" x14ac:dyDescent="0.35">
      <c r="A544" s="65">
        <v>40567</v>
      </c>
      <c r="B544" s="62">
        <v>6</v>
      </c>
      <c r="C544" s="62">
        <v>54</v>
      </c>
      <c r="D544" s="63">
        <v>60</v>
      </c>
      <c r="E544" t="str">
        <f t="shared" si="24"/>
        <v>normal</v>
      </c>
      <c r="F544" s="35">
        <f t="shared" si="25"/>
        <v>60</v>
      </c>
      <c r="G544" s="35" t="e">
        <f t="shared" si="26"/>
        <v>#N/A</v>
      </c>
    </row>
    <row r="545" spans="1:7" x14ac:dyDescent="0.35">
      <c r="A545" s="64">
        <v>40567</v>
      </c>
      <c r="B545" s="60">
        <v>2</v>
      </c>
      <c r="C545" s="60">
        <v>43</v>
      </c>
      <c r="D545" s="61">
        <v>45</v>
      </c>
      <c r="E545" t="str">
        <f t="shared" si="24"/>
        <v>normal</v>
      </c>
      <c r="F545" s="35">
        <f t="shared" si="25"/>
        <v>45</v>
      </c>
      <c r="G545" s="35" t="e">
        <f t="shared" si="26"/>
        <v>#N/A</v>
      </c>
    </row>
    <row r="546" spans="1:7" x14ac:dyDescent="0.35">
      <c r="A546" s="65">
        <v>40567</v>
      </c>
      <c r="B546" s="62">
        <v>7</v>
      </c>
      <c r="C546" s="62">
        <v>50</v>
      </c>
      <c r="D546" s="63">
        <v>57</v>
      </c>
      <c r="E546" t="str">
        <f t="shared" si="24"/>
        <v>normal</v>
      </c>
      <c r="F546" s="35">
        <f t="shared" si="25"/>
        <v>57</v>
      </c>
      <c r="G546" s="35" t="e">
        <f t="shared" si="26"/>
        <v>#N/A</v>
      </c>
    </row>
    <row r="547" spans="1:7" x14ac:dyDescent="0.35">
      <c r="A547" s="64">
        <v>40567</v>
      </c>
      <c r="B547" s="60">
        <v>4</v>
      </c>
      <c r="C547" s="60">
        <v>66</v>
      </c>
      <c r="D547" s="61">
        <v>70</v>
      </c>
      <c r="E547" t="str">
        <f t="shared" si="24"/>
        <v>normal</v>
      </c>
      <c r="F547" s="35">
        <f t="shared" si="25"/>
        <v>70</v>
      </c>
      <c r="G547" s="35" t="e">
        <f t="shared" si="26"/>
        <v>#N/A</v>
      </c>
    </row>
    <row r="548" spans="1:7" x14ac:dyDescent="0.35">
      <c r="A548" s="65">
        <v>40567</v>
      </c>
      <c r="B548" s="62">
        <v>6</v>
      </c>
      <c r="C548" s="62">
        <v>178</v>
      </c>
      <c r="D548" s="63">
        <v>184</v>
      </c>
      <c r="E548" t="str">
        <f t="shared" si="24"/>
        <v>Anamoly</v>
      </c>
      <c r="F548" s="35" t="e">
        <f t="shared" si="25"/>
        <v>#N/A</v>
      </c>
      <c r="G548" s="35">
        <f t="shared" si="26"/>
        <v>184</v>
      </c>
    </row>
    <row r="549" spans="1:7" x14ac:dyDescent="0.35">
      <c r="A549" s="64">
        <v>40567</v>
      </c>
      <c r="B549" s="60">
        <v>8</v>
      </c>
      <c r="C549" s="60">
        <v>145</v>
      </c>
      <c r="D549" s="61">
        <v>153</v>
      </c>
      <c r="E549" t="str">
        <f t="shared" si="24"/>
        <v>normal</v>
      </c>
      <c r="F549" s="35">
        <f t="shared" si="25"/>
        <v>153</v>
      </c>
      <c r="G549" s="35" t="e">
        <f t="shared" si="26"/>
        <v>#N/A</v>
      </c>
    </row>
    <row r="550" spans="1:7" x14ac:dyDescent="0.35">
      <c r="A550" s="65">
        <v>40567</v>
      </c>
      <c r="B550" s="62">
        <v>5</v>
      </c>
      <c r="C550" s="62">
        <v>101</v>
      </c>
      <c r="D550" s="63">
        <v>106</v>
      </c>
      <c r="E550" t="str">
        <f t="shared" si="24"/>
        <v>normal</v>
      </c>
      <c r="F550" s="35">
        <f t="shared" si="25"/>
        <v>106</v>
      </c>
      <c r="G550" s="35" t="e">
        <f t="shared" si="26"/>
        <v>#N/A</v>
      </c>
    </row>
    <row r="551" spans="1:7" x14ac:dyDescent="0.35">
      <c r="A551" s="64">
        <v>40567</v>
      </c>
      <c r="B551" s="60">
        <v>1</v>
      </c>
      <c r="C551" s="60">
        <v>80</v>
      </c>
      <c r="D551" s="61">
        <v>81</v>
      </c>
      <c r="E551" t="str">
        <f t="shared" si="24"/>
        <v>normal</v>
      </c>
      <c r="F551" s="35">
        <f t="shared" si="25"/>
        <v>81</v>
      </c>
      <c r="G551" s="35" t="e">
        <f t="shared" si="26"/>
        <v>#N/A</v>
      </c>
    </row>
    <row r="552" spans="1:7" x14ac:dyDescent="0.35">
      <c r="A552" s="65">
        <v>40567</v>
      </c>
      <c r="B552" s="62">
        <v>6</v>
      </c>
      <c r="C552" s="62">
        <v>53</v>
      </c>
      <c r="D552" s="63">
        <v>59</v>
      </c>
      <c r="E552" t="str">
        <f t="shared" si="24"/>
        <v>normal</v>
      </c>
      <c r="F552" s="35">
        <f t="shared" si="25"/>
        <v>59</v>
      </c>
      <c r="G552" s="35" t="e">
        <f t="shared" si="26"/>
        <v>#N/A</v>
      </c>
    </row>
    <row r="553" spans="1:7" x14ac:dyDescent="0.35">
      <c r="A553" s="64">
        <v>40567</v>
      </c>
      <c r="B553" s="60">
        <v>3</v>
      </c>
      <c r="C553" s="60">
        <v>32</v>
      </c>
      <c r="D553" s="61">
        <v>35</v>
      </c>
      <c r="E553" t="str">
        <f t="shared" si="24"/>
        <v>normal</v>
      </c>
      <c r="F553" s="35">
        <f t="shared" si="25"/>
        <v>35</v>
      </c>
      <c r="G553" s="35" t="e">
        <f t="shared" si="26"/>
        <v>#N/A</v>
      </c>
    </row>
    <row r="554" spans="1:7" x14ac:dyDescent="0.35">
      <c r="A554" s="65">
        <v>40567</v>
      </c>
      <c r="B554" s="62">
        <v>3</v>
      </c>
      <c r="C554" s="62">
        <v>21</v>
      </c>
      <c r="D554" s="63">
        <v>24</v>
      </c>
      <c r="E554" t="str">
        <f t="shared" si="24"/>
        <v>normal</v>
      </c>
      <c r="F554" s="35">
        <f t="shared" si="25"/>
        <v>24</v>
      </c>
      <c r="G554" s="35" t="e">
        <f t="shared" si="26"/>
        <v>#N/A</v>
      </c>
    </row>
    <row r="555" spans="1:7" x14ac:dyDescent="0.35">
      <c r="A555" s="64">
        <v>40568</v>
      </c>
      <c r="B555" s="60">
        <v>3</v>
      </c>
      <c r="C555" s="60">
        <v>6</v>
      </c>
      <c r="D555" s="61">
        <v>9</v>
      </c>
      <c r="E555" t="str">
        <f t="shared" si="24"/>
        <v>normal</v>
      </c>
      <c r="F555" s="35">
        <f t="shared" si="25"/>
        <v>9</v>
      </c>
      <c r="G555" s="35" t="e">
        <f t="shared" si="26"/>
        <v>#N/A</v>
      </c>
    </row>
    <row r="556" spans="1:7" x14ac:dyDescent="0.35">
      <c r="A556" s="65">
        <v>40568</v>
      </c>
      <c r="B556" s="62">
        <v>0</v>
      </c>
      <c r="C556" s="62">
        <v>5</v>
      </c>
      <c r="D556" s="63">
        <v>5</v>
      </c>
      <c r="E556" t="str">
        <f t="shared" si="24"/>
        <v>normal</v>
      </c>
      <c r="F556" s="35">
        <f t="shared" si="25"/>
        <v>5</v>
      </c>
      <c r="G556" s="35" t="e">
        <f t="shared" si="26"/>
        <v>#N/A</v>
      </c>
    </row>
    <row r="557" spans="1:7" x14ac:dyDescent="0.35">
      <c r="A557" s="64">
        <v>40568</v>
      </c>
      <c r="B557" s="60">
        <v>0</v>
      </c>
      <c r="C557" s="60">
        <v>2</v>
      </c>
      <c r="D557" s="61">
        <v>2</v>
      </c>
      <c r="E557" t="str">
        <f t="shared" si="24"/>
        <v>normal</v>
      </c>
      <c r="F557" s="35">
        <f t="shared" si="25"/>
        <v>2</v>
      </c>
      <c r="G557" s="35" t="e">
        <f t="shared" si="26"/>
        <v>#N/A</v>
      </c>
    </row>
    <row r="558" spans="1:7" x14ac:dyDescent="0.35">
      <c r="A558" s="65">
        <v>40568</v>
      </c>
      <c r="B558" s="62">
        <v>0</v>
      </c>
      <c r="C558" s="62">
        <v>1</v>
      </c>
      <c r="D558" s="63">
        <v>1</v>
      </c>
      <c r="E558" t="str">
        <f t="shared" si="24"/>
        <v>normal</v>
      </c>
      <c r="F558" s="35">
        <f t="shared" si="25"/>
        <v>1</v>
      </c>
      <c r="G558" s="35" t="e">
        <f t="shared" si="26"/>
        <v>#N/A</v>
      </c>
    </row>
    <row r="559" spans="1:7" x14ac:dyDescent="0.35">
      <c r="A559" s="64">
        <v>40568</v>
      </c>
      <c r="B559" s="60">
        <v>0</v>
      </c>
      <c r="C559" s="60">
        <v>9</v>
      </c>
      <c r="D559" s="61">
        <v>9</v>
      </c>
      <c r="E559" t="str">
        <f t="shared" si="24"/>
        <v>normal</v>
      </c>
      <c r="F559" s="35">
        <f t="shared" si="25"/>
        <v>9</v>
      </c>
      <c r="G559" s="35" t="e">
        <f t="shared" si="26"/>
        <v>#N/A</v>
      </c>
    </row>
    <row r="560" spans="1:7" x14ac:dyDescent="0.35">
      <c r="A560" s="65">
        <v>40568</v>
      </c>
      <c r="B560" s="62">
        <v>1</v>
      </c>
      <c r="C560" s="62">
        <v>35</v>
      </c>
      <c r="D560" s="63">
        <v>36</v>
      </c>
      <c r="E560" t="str">
        <f t="shared" si="24"/>
        <v>normal</v>
      </c>
      <c r="F560" s="35">
        <f t="shared" si="25"/>
        <v>36</v>
      </c>
      <c r="G560" s="35" t="e">
        <f t="shared" si="26"/>
        <v>#N/A</v>
      </c>
    </row>
    <row r="561" spans="1:7" x14ac:dyDescent="0.35">
      <c r="A561" s="64">
        <v>40568</v>
      </c>
      <c r="B561" s="60">
        <v>5</v>
      </c>
      <c r="C561" s="60">
        <v>103</v>
      </c>
      <c r="D561" s="61">
        <v>108</v>
      </c>
      <c r="E561" t="str">
        <f t="shared" si="24"/>
        <v>normal</v>
      </c>
      <c r="F561" s="35">
        <f t="shared" si="25"/>
        <v>108</v>
      </c>
      <c r="G561" s="35" t="e">
        <f t="shared" si="26"/>
        <v>#N/A</v>
      </c>
    </row>
    <row r="562" spans="1:7" x14ac:dyDescent="0.35">
      <c r="A562" s="65">
        <v>40568</v>
      </c>
      <c r="B562" s="62">
        <v>5</v>
      </c>
      <c r="C562" s="62">
        <v>233</v>
      </c>
      <c r="D562" s="63">
        <v>238</v>
      </c>
      <c r="E562" t="str">
        <f t="shared" si="24"/>
        <v>Anamoly</v>
      </c>
      <c r="F562" s="35" t="e">
        <f t="shared" si="25"/>
        <v>#N/A</v>
      </c>
      <c r="G562" s="35">
        <f t="shared" si="26"/>
        <v>238</v>
      </c>
    </row>
    <row r="563" spans="1:7" x14ac:dyDescent="0.35">
      <c r="A563" s="64">
        <v>40568</v>
      </c>
      <c r="B563" s="60">
        <v>10</v>
      </c>
      <c r="C563" s="60">
        <v>134</v>
      </c>
      <c r="D563" s="61">
        <v>144</v>
      </c>
      <c r="E563" t="str">
        <f t="shared" si="24"/>
        <v>normal</v>
      </c>
      <c r="F563" s="35">
        <f t="shared" si="25"/>
        <v>144</v>
      </c>
      <c r="G563" s="35" t="e">
        <f t="shared" si="26"/>
        <v>#N/A</v>
      </c>
    </row>
    <row r="564" spans="1:7" x14ac:dyDescent="0.35">
      <c r="A564" s="65">
        <v>40568</v>
      </c>
      <c r="B564" s="62">
        <v>6</v>
      </c>
      <c r="C564" s="62">
        <v>49</v>
      </c>
      <c r="D564" s="63">
        <v>55</v>
      </c>
      <c r="E564" t="str">
        <f t="shared" si="24"/>
        <v>normal</v>
      </c>
      <c r="F564" s="35">
        <f t="shared" si="25"/>
        <v>55</v>
      </c>
      <c r="G564" s="35" t="e">
        <f t="shared" si="26"/>
        <v>#N/A</v>
      </c>
    </row>
    <row r="565" spans="1:7" x14ac:dyDescent="0.35">
      <c r="A565" s="64">
        <v>40568</v>
      </c>
      <c r="B565" s="60">
        <v>6</v>
      </c>
      <c r="C565" s="60">
        <v>55</v>
      </c>
      <c r="D565" s="61">
        <v>61</v>
      </c>
      <c r="E565" t="str">
        <f t="shared" si="24"/>
        <v>normal</v>
      </c>
      <c r="F565" s="35">
        <f t="shared" si="25"/>
        <v>61</v>
      </c>
      <c r="G565" s="35" t="e">
        <f t="shared" si="26"/>
        <v>#N/A</v>
      </c>
    </row>
    <row r="566" spans="1:7" x14ac:dyDescent="0.35">
      <c r="A566" s="65">
        <v>40568</v>
      </c>
      <c r="B566" s="62">
        <v>21</v>
      </c>
      <c r="C566" s="62">
        <v>85</v>
      </c>
      <c r="D566" s="63">
        <v>106</v>
      </c>
      <c r="E566" t="str">
        <f t="shared" si="24"/>
        <v>normal</v>
      </c>
      <c r="F566" s="35">
        <f t="shared" si="25"/>
        <v>106</v>
      </c>
      <c r="G566" s="35" t="e">
        <f t="shared" si="26"/>
        <v>#N/A</v>
      </c>
    </row>
    <row r="567" spans="1:7" x14ac:dyDescent="0.35">
      <c r="A567" s="64">
        <v>40568</v>
      </c>
      <c r="B567" s="60">
        <v>21</v>
      </c>
      <c r="C567" s="60">
        <v>72</v>
      </c>
      <c r="D567" s="61">
        <v>93</v>
      </c>
      <c r="E567" t="str">
        <f t="shared" si="24"/>
        <v>normal</v>
      </c>
      <c r="F567" s="35">
        <f t="shared" si="25"/>
        <v>93</v>
      </c>
      <c r="G567" s="35" t="e">
        <f t="shared" si="26"/>
        <v>#N/A</v>
      </c>
    </row>
    <row r="568" spans="1:7" x14ac:dyDescent="0.35">
      <c r="A568" s="65">
        <v>40568</v>
      </c>
      <c r="B568" s="62">
        <v>11</v>
      </c>
      <c r="C568" s="62">
        <v>57</v>
      </c>
      <c r="D568" s="63">
        <v>68</v>
      </c>
      <c r="E568" t="str">
        <f t="shared" si="24"/>
        <v>normal</v>
      </c>
      <c r="F568" s="35">
        <f t="shared" si="25"/>
        <v>68</v>
      </c>
      <c r="G568" s="35" t="e">
        <f t="shared" si="26"/>
        <v>#N/A</v>
      </c>
    </row>
    <row r="569" spans="1:7" x14ac:dyDescent="0.35">
      <c r="A569" s="64">
        <v>40568</v>
      </c>
      <c r="B569" s="60">
        <v>21</v>
      </c>
      <c r="C569" s="60">
        <v>63</v>
      </c>
      <c r="D569" s="61">
        <v>84</v>
      </c>
      <c r="E569" t="str">
        <f t="shared" si="24"/>
        <v>normal</v>
      </c>
      <c r="F569" s="35">
        <f t="shared" si="25"/>
        <v>84</v>
      </c>
      <c r="G569" s="35" t="e">
        <f t="shared" si="26"/>
        <v>#N/A</v>
      </c>
    </row>
    <row r="570" spans="1:7" x14ac:dyDescent="0.35">
      <c r="A570" s="65">
        <v>40568</v>
      </c>
      <c r="B570" s="62">
        <v>14</v>
      </c>
      <c r="C570" s="62">
        <v>102</v>
      </c>
      <c r="D570" s="63">
        <v>116</v>
      </c>
      <c r="E570" t="str">
        <f t="shared" si="24"/>
        <v>normal</v>
      </c>
      <c r="F570" s="35">
        <f t="shared" si="25"/>
        <v>116</v>
      </c>
      <c r="G570" s="35" t="e">
        <f t="shared" si="26"/>
        <v>#N/A</v>
      </c>
    </row>
    <row r="571" spans="1:7" x14ac:dyDescent="0.35">
      <c r="A571" s="64">
        <v>40568</v>
      </c>
      <c r="B571" s="60">
        <v>14</v>
      </c>
      <c r="C571" s="60">
        <v>208</v>
      </c>
      <c r="D571" s="61">
        <v>222</v>
      </c>
      <c r="E571" t="str">
        <f t="shared" si="24"/>
        <v>Anamoly</v>
      </c>
      <c r="F571" s="35" t="e">
        <f t="shared" si="25"/>
        <v>#N/A</v>
      </c>
      <c r="G571" s="35">
        <f t="shared" si="26"/>
        <v>222</v>
      </c>
    </row>
    <row r="572" spans="1:7" x14ac:dyDescent="0.35">
      <c r="A572" s="65">
        <v>40568</v>
      </c>
      <c r="B572" s="62">
        <v>7</v>
      </c>
      <c r="C572" s="62">
        <v>218</v>
      </c>
      <c r="D572" s="63">
        <v>225</v>
      </c>
      <c r="E572" t="str">
        <f t="shared" si="24"/>
        <v>Anamoly</v>
      </c>
      <c r="F572" s="35" t="e">
        <f t="shared" si="25"/>
        <v>#N/A</v>
      </c>
      <c r="G572" s="35">
        <f t="shared" si="26"/>
        <v>225</v>
      </c>
    </row>
    <row r="573" spans="1:7" x14ac:dyDescent="0.35">
      <c r="A573" s="64">
        <v>40568</v>
      </c>
      <c r="B573" s="60">
        <v>13</v>
      </c>
      <c r="C573" s="60">
        <v>133</v>
      </c>
      <c r="D573" s="61">
        <v>146</v>
      </c>
      <c r="E573" t="str">
        <f t="shared" si="24"/>
        <v>normal</v>
      </c>
      <c r="F573" s="35">
        <f t="shared" si="25"/>
        <v>146</v>
      </c>
      <c r="G573" s="35" t="e">
        <f t="shared" si="26"/>
        <v>#N/A</v>
      </c>
    </row>
    <row r="574" spans="1:7" x14ac:dyDescent="0.35">
      <c r="A574" s="65">
        <v>40568</v>
      </c>
      <c r="B574" s="62">
        <v>16</v>
      </c>
      <c r="C574" s="62">
        <v>103</v>
      </c>
      <c r="D574" s="63">
        <v>119</v>
      </c>
      <c r="E574" t="str">
        <f t="shared" si="24"/>
        <v>normal</v>
      </c>
      <c r="F574" s="35">
        <f t="shared" si="25"/>
        <v>119</v>
      </c>
      <c r="G574" s="35" t="e">
        <f t="shared" si="26"/>
        <v>#N/A</v>
      </c>
    </row>
    <row r="575" spans="1:7" x14ac:dyDescent="0.35">
      <c r="A575" s="64">
        <v>40568</v>
      </c>
      <c r="B575" s="60">
        <v>5</v>
      </c>
      <c r="C575" s="60">
        <v>40</v>
      </c>
      <c r="D575" s="61">
        <v>45</v>
      </c>
      <c r="E575" t="str">
        <f t="shared" si="24"/>
        <v>normal</v>
      </c>
      <c r="F575" s="35">
        <f t="shared" si="25"/>
        <v>45</v>
      </c>
      <c r="G575" s="35" t="e">
        <f t="shared" si="26"/>
        <v>#N/A</v>
      </c>
    </row>
    <row r="576" spans="1:7" x14ac:dyDescent="0.35">
      <c r="A576" s="65">
        <v>40568</v>
      </c>
      <c r="B576" s="62">
        <v>4</v>
      </c>
      <c r="C576" s="62">
        <v>49</v>
      </c>
      <c r="D576" s="63">
        <v>53</v>
      </c>
      <c r="E576" t="str">
        <f t="shared" si="24"/>
        <v>normal</v>
      </c>
      <c r="F576" s="35">
        <f t="shared" si="25"/>
        <v>53</v>
      </c>
      <c r="G576" s="35" t="e">
        <f t="shared" si="26"/>
        <v>#N/A</v>
      </c>
    </row>
    <row r="577" spans="1:7" x14ac:dyDescent="0.35">
      <c r="A577" s="64">
        <v>40568</v>
      </c>
      <c r="B577" s="60">
        <v>3</v>
      </c>
      <c r="C577" s="60">
        <v>37</v>
      </c>
      <c r="D577" s="61">
        <v>40</v>
      </c>
      <c r="E577" t="str">
        <f t="shared" si="24"/>
        <v>normal</v>
      </c>
      <c r="F577" s="35">
        <f t="shared" si="25"/>
        <v>40</v>
      </c>
      <c r="G577" s="35" t="e">
        <f t="shared" si="26"/>
        <v>#N/A</v>
      </c>
    </row>
    <row r="578" spans="1:7" x14ac:dyDescent="0.35">
      <c r="A578" s="65">
        <v>40569</v>
      </c>
      <c r="B578" s="62">
        <v>3</v>
      </c>
      <c r="C578" s="62">
        <v>14</v>
      </c>
      <c r="D578" s="63">
        <v>17</v>
      </c>
      <c r="E578" t="str">
        <f t="shared" si="24"/>
        <v>normal</v>
      </c>
      <c r="F578" s="35">
        <f t="shared" si="25"/>
        <v>17</v>
      </c>
      <c r="G578" s="35" t="e">
        <f t="shared" si="26"/>
        <v>#N/A</v>
      </c>
    </row>
    <row r="579" spans="1:7" x14ac:dyDescent="0.35">
      <c r="A579" s="64">
        <v>40569</v>
      </c>
      <c r="B579" s="60">
        <v>0</v>
      </c>
      <c r="C579" s="60">
        <v>5</v>
      </c>
      <c r="D579" s="61">
        <v>5</v>
      </c>
      <c r="E579" t="str">
        <f t="shared" si="24"/>
        <v>normal</v>
      </c>
      <c r="F579" s="35">
        <f t="shared" si="25"/>
        <v>5</v>
      </c>
      <c r="G579" s="35" t="e">
        <f t="shared" si="26"/>
        <v>#N/A</v>
      </c>
    </row>
    <row r="580" spans="1:7" x14ac:dyDescent="0.35">
      <c r="A580" s="65">
        <v>40569</v>
      </c>
      <c r="B580" s="62">
        <v>3</v>
      </c>
      <c r="C580" s="62">
        <v>7</v>
      </c>
      <c r="D580" s="63">
        <v>10</v>
      </c>
      <c r="E580" t="str">
        <f t="shared" si="24"/>
        <v>normal</v>
      </c>
      <c r="F580" s="35">
        <f t="shared" si="25"/>
        <v>10</v>
      </c>
      <c r="G580" s="35" t="e">
        <f t="shared" si="26"/>
        <v>#N/A</v>
      </c>
    </row>
    <row r="581" spans="1:7" x14ac:dyDescent="0.35">
      <c r="A581" s="64">
        <v>40569</v>
      </c>
      <c r="B581" s="60">
        <v>0</v>
      </c>
      <c r="C581" s="60">
        <v>1</v>
      </c>
      <c r="D581" s="61">
        <v>1</v>
      </c>
      <c r="E581" t="str">
        <f t="shared" si="24"/>
        <v>normal</v>
      </c>
      <c r="F581" s="35">
        <f t="shared" si="25"/>
        <v>1</v>
      </c>
      <c r="G581" s="35" t="e">
        <f t="shared" si="26"/>
        <v>#N/A</v>
      </c>
    </row>
    <row r="582" spans="1:7" x14ac:dyDescent="0.35">
      <c r="A582" s="65">
        <v>40569</v>
      </c>
      <c r="B582" s="62">
        <v>0</v>
      </c>
      <c r="C582" s="62">
        <v>8</v>
      </c>
      <c r="D582" s="63">
        <v>8</v>
      </c>
      <c r="E582" t="str">
        <f t="shared" si="24"/>
        <v>normal</v>
      </c>
      <c r="F582" s="35">
        <f t="shared" si="25"/>
        <v>8</v>
      </c>
      <c r="G582" s="35" t="e">
        <f t="shared" si="26"/>
        <v>#N/A</v>
      </c>
    </row>
    <row r="583" spans="1:7" x14ac:dyDescent="0.35">
      <c r="A583" s="64">
        <v>40569</v>
      </c>
      <c r="B583" s="60">
        <v>1</v>
      </c>
      <c r="C583" s="60">
        <v>29</v>
      </c>
      <c r="D583" s="61">
        <v>30</v>
      </c>
      <c r="E583" t="str">
        <f t="shared" ref="E583:E646" si="27">IF(OR(D583&lt;$L$15,D583&gt;$L$16),"Anamoly","normal")</f>
        <v>normal</v>
      </c>
      <c r="F583" s="35">
        <f t="shared" si="25"/>
        <v>30</v>
      </c>
      <c r="G583" s="35" t="e">
        <f t="shared" si="26"/>
        <v>#N/A</v>
      </c>
    </row>
    <row r="584" spans="1:7" x14ac:dyDescent="0.35">
      <c r="A584" s="65">
        <v>40569</v>
      </c>
      <c r="B584" s="62">
        <v>3</v>
      </c>
      <c r="C584" s="62">
        <v>69</v>
      </c>
      <c r="D584" s="63">
        <v>72</v>
      </c>
      <c r="E584" t="str">
        <f t="shared" si="27"/>
        <v>normal</v>
      </c>
      <c r="F584" s="35">
        <f t="shared" ref="F584:F647" si="28">IF(E584="normal",D584,NA())</f>
        <v>72</v>
      </c>
      <c r="G584" s="35" t="e">
        <f t="shared" ref="G584:G647" si="29">IF(E584="anamoly",D584,NA())</f>
        <v>#N/A</v>
      </c>
    </row>
    <row r="585" spans="1:7" x14ac:dyDescent="0.35">
      <c r="A585" s="64">
        <v>40569</v>
      </c>
      <c r="B585" s="60">
        <v>3</v>
      </c>
      <c r="C585" s="60">
        <v>55</v>
      </c>
      <c r="D585" s="61">
        <v>58</v>
      </c>
      <c r="E585" t="str">
        <f t="shared" si="27"/>
        <v>normal</v>
      </c>
      <c r="F585" s="35">
        <f t="shared" si="28"/>
        <v>58</v>
      </c>
      <c r="G585" s="35" t="e">
        <f t="shared" si="29"/>
        <v>#N/A</v>
      </c>
    </row>
    <row r="586" spans="1:7" x14ac:dyDescent="0.35">
      <c r="A586" s="65">
        <v>40569</v>
      </c>
      <c r="B586" s="62">
        <v>2</v>
      </c>
      <c r="C586" s="62">
        <v>26</v>
      </c>
      <c r="D586" s="63">
        <v>28</v>
      </c>
      <c r="E586" t="str">
        <f t="shared" si="27"/>
        <v>normal</v>
      </c>
      <c r="F586" s="35">
        <f t="shared" si="28"/>
        <v>28</v>
      </c>
      <c r="G586" s="35" t="e">
        <f t="shared" si="29"/>
        <v>#N/A</v>
      </c>
    </row>
    <row r="587" spans="1:7" x14ac:dyDescent="0.35">
      <c r="A587" s="64">
        <v>40569</v>
      </c>
      <c r="B587" s="60">
        <v>6</v>
      </c>
      <c r="C587" s="60">
        <v>35</v>
      </c>
      <c r="D587" s="61">
        <v>41</v>
      </c>
      <c r="E587" t="str">
        <f t="shared" si="27"/>
        <v>normal</v>
      </c>
      <c r="F587" s="35">
        <f t="shared" si="28"/>
        <v>41</v>
      </c>
      <c r="G587" s="35" t="e">
        <f t="shared" si="29"/>
        <v>#N/A</v>
      </c>
    </row>
    <row r="588" spans="1:7" x14ac:dyDescent="0.35">
      <c r="A588" s="65">
        <v>40569</v>
      </c>
      <c r="B588" s="62">
        <v>7</v>
      </c>
      <c r="C588" s="62">
        <v>41</v>
      </c>
      <c r="D588" s="63">
        <v>48</v>
      </c>
      <c r="E588" t="str">
        <f t="shared" si="27"/>
        <v>normal</v>
      </c>
      <c r="F588" s="35">
        <f t="shared" si="28"/>
        <v>48</v>
      </c>
      <c r="G588" s="35" t="e">
        <f t="shared" si="29"/>
        <v>#N/A</v>
      </c>
    </row>
    <row r="589" spans="1:7" x14ac:dyDescent="0.35">
      <c r="A589" s="64">
        <v>40569</v>
      </c>
      <c r="B589" s="60">
        <v>4</v>
      </c>
      <c r="C589" s="60">
        <v>43</v>
      </c>
      <c r="D589" s="61">
        <v>47</v>
      </c>
      <c r="E589" t="str">
        <f t="shared" si="27"/>
        <v>normal</v>
      </c>
      <c r="F589" s="35">
        <f t="shared" si="28"/>
        <v>47</v>
      </c>
      <c r="G589" s="35" t="e">
        <f t="shared" si="29"/>
        <v>#N/A</v>
      </c>
    </row>
    <row r="590" spans="1:7" x14ac:dyDescent="0.35">
      <c r="A590" s="65">
        <v>40569</v>
      </c>
      <c r="B590" s="62">
        <v>0</v>
      </c>
      <c r="C590" s="62">
        <v>36</v>
      </c>
      <c r="D590" s="63">
        <v>36</v>
      </c>
      <c r="E590" t="str">
        <f t="shared" si="27"/>
        <v>normal</v>
      </c>
      <c r="F590" s="35">
        <f t="shared" si="28"/>
        <v>36</v>
      </c>
      <c r="G590" s="35" t="e">
        <f t="shared" si="29"/>
        <v>#N/A</v>
      </c>
    </row>
    <row r="591" spans="1:7" x14ac:dyDescent="0.35">
      <c r="A591" s="64">
        <v>40569</v>
      </c>
      <c r="B591" s="60">
        <v>1</v>
      </c>
      <c r="C591" s="60">
        <v>42</v>
      </c>
      <c r="D591" s="61">
        <v>43</v>
      </c>
      <c r="E591" t="str">
        <f t="shared" si="27"/>
        <v>normal</v>
      </c>
      <c r="F591" s="35">
        <f t="shared" si="28"/>
        <v>43</v>
      </c>
      <c r="G591" s="35" t="e">
        <f t="shared" si="29"/>
        <v>#N/A</v>
      </c>
    </row>
    <row r="592" spans="1:7" x14ac:dyDescent="0.35">
      <c r="A592" s="65">
        <v>40569</v>
      </c>
      <c r="B592" s="62">
        <v>1</v>
      </c>
      <c r="C592" s="62">
        <v>35</v>
      </c>
      <c r="D592" s="63">
        <v>36</v>
      </c>
      <c r="E592" t="str">
        <f t="shared" si="27"/>
        <v>normal</v>
      </c>
      <c r="F592" s="35">
        <f t="shared" si="28"/>
        <v>36</v>
      </c>
      <c r="G592" s="35" t="e">
        <f t="shared" si="29"/>
        <v>#N/A</v>
      </c>
    </row>
    <row r="593" spans="1:7" x14ac:dyDescent="0.35">
      <c r="A593" s="64">
        <v>40569</v>
      </c>
      <c r="B593" s="60">
        <v>0</v>
      </c>
      <c r="C593" s="60">
        <v>26</v>
      </c>
      <c r="D593" s="61">
        <v>26</v>
      </c>
      <c r="E593" t="str">
        <f t="shared" si="27"/>
        <v>normal</v>
      </c>
      <c r="F593" s="35">
        <f t="shared" si="28"/>
        <v>26</v>
      </c>
      <c r="G593" s="35" t="e">
        <f t="shared" si="29"/>
        <v>#N/A</v>
      </c>
    </row>
    <row r="594" spans="1:7" x14ac:dyDescent="0.35">
      <c r="A594" s="65">
        <v>40570</v>
      </c>
      <c r="B594" s="62">
        <v>1</v>
      </c>
      <c r="C594" s="62">
        <v>23</v>
      </c>
      <c r="D594" s="63">
        <v>24</v>
      </c>
      <c r="E594" t="str">
        <f t="shared" si="27"/>
        <v>normal</v>
      </c>
      <c r="F594" s="35">
        <f t="shared" si="28"/>
        <v>24</v>
      </c>
      <c r="G594" s="35" t="e">
        <f t="shared" si="29"/>
        <v>#N/A</v>
      </c>
    </row>
    <row r="595" spans="1:7" x14ac:dyDescent="0.35">
      <c r="A595" s="64">
        <v>40570</v>
      </c>
      <c r="B595" s="60">
        <v>2</v>
      </c>
      <c r="C595" s="60">
        <v>82</v>
      </c>
      <c r="D595" s="61">
        <v>84</v>
      </c>
      <c r="E595" t="str">
        <f t="shared" si="27"/>
        <v>normal</v>
      </c>
      <c r="F595" s="35">
        <f t="shared" si="28"/>
        <v>84</v>
      </c>
      <c r="G595" s="35" t="e">
        <f t="shared" si="29"/>
        <v>#N/A</v>
      </c>
    </row>
    <row r="596" spans="1:7" x14ac:dyDescent="0.35">
      <c r="A596" s="65">
        <v>40570</v>
      </c>
      <c r="B596" s="62">
        <v>3</v>
      </c>
      <c r="C596" s="62">
        <v>101</v>
      </c>
      <c r="D596" s="63">
        <v>104</v>
      </c>
      <c r="E596" t="str">
        <f t="shared" si="27"/>
        <v>normal</v>
      </c>
      <c r="F596" s="35">
        <f t="shared" si="28"/>
        <v>104</v>
      </c>
      <c r="G596" s="35" t="e">
        <f t="shared" si="29"/>
        <v>#N/A</v>
      </c>
    </row>
    <row r="597" spans="1:7" x14ac:dyDescent="0.35">
      <c r="A597" s="64">
        <v>40570</v>
      </c>
      <c r="B597" s="60">
        <v>3</v>
      </c>
      <c r="C597" s="60">
        <v>76</v>
      </c>
      <c r="D597" s="61">
        <v>79</v>
      </c>
      <c r="E597" t="str">
        <f t="shared" si="27"/>
        <v>normal</v>
      </c>
      <c r="F597" s="35">
        <f t="shared" si="28"/>
        <v>79</v>
      </c>
      <c r="G597" s="35" t="e">
        <f t="shared" si="29"/>
        <v>#N/A</v>
      </c>
    </row>
    <row r="598" spans="1:7" x14ac:dyDescent="0.35">
      <c r="A598" s="65">
        <v>40570</v>
      </c>
      <c r="B598" s="62">
        <v>4</v>
      </c>
      <c r="C598" s="62">
        <v>55</v>
      </c>
      <c r="D598" s="63">
        <v>59</v>
      </c>
      <c r="E598" t="str">
        <f t="shared" si="27"/>
        <v>normal</v>
      </c>
      <c r="F598" s="35">
        <f t="shared" si="28"/>
        <v>59</v>
      </c>
      <c r="G598" s="35" t="e">
        <f t="shared" si="29"/>
        <v>#N/A</v>
      </c>
    </row>
    <row r="599" spans="1:7" x14ac:dyDescent="0.35">
      <c r="A599" s="64">
        <v>40570</v>
      </c>
      <c r="B599" s="60">
        <v>2</v>
      </c>
      <c r="C599" s="60">
        <v>36</v>
      </c>
      <c r="D599" s="61">
        <v>38</v>
      </c>
      <c r="E599" t="str">
        <f t="shared" si="27"/>
        <v>normal</v>
      </c>
      <c r="F599" s="35">
        <f t="shared" si="28"/>
        <v>38</v>
      </c>
      <c r="G599" s="35" t="e">
        <f t="shared" si="29"/>
        <v>#N/A</v>
      </c>
    </row>
    <row r="600" spans="1:7" x14ac:dyDescent="0.35">
      <c r="A600" s="65">
        <v>40570</v>
      </c>
      <c r="B600" s="62">
        <v>0</v>
      </c>
      <c r="C600" s="62">
        <v>27</v>
      </c>
      <c r="D600" s="63">
        <v>27</v>
      </c>
      <c r="E600" t="str">
        <f t="shared" si="27"/>
        <v>normal</v>
      </c>
      <c r="F600" s="35">
        <f t="shared" si="28"/>
        <v>27</v>
      </c>
      <c r="G600" s="35" t="e">
        <f t="shared" si="29"/>
        <v>#N/A</v>
      </c>
    </row>
    <row r="601" spans="1:7" x14ac:dyDescent="0.35">
      <c r="A601" s="64">
        <v>40570</v>
      </c>
      <c r="B601" s="60">
        <v>0</v>
      </c>
      <c r="C601" s="60">
        <v>16</v>
      </c>
      <c r="D601" s="61">
        <v>16</v>
      </c>
      <c r="E601" t="str">
        <f t="shared" si="27"/>
        <v>normal</v>
      </c>
      <c r="F601" s="35">
        <f t="shared" si="28"/>
        <v>16</v>
      </c>
      <c r="G601" s="35" t="e">
        <f t="shared" si="29"/>
        <v>#N/A</v>
      </c>
    </row>
    <row r="602" spans="1:7" x14ac:dyDescent="0.35">
      <c r="A602" s="65">
        <v>40571</v>
      </c>
      <c r="B602" s="62">
        <v>0</v>
      </c>
      <c r="C602" s="62">
        <v>9</v>
      </c>
      <c r="D602" s="63">
        <v>9</v>
      </c>
      <c r="E602" t="str">
        <f t="shared" si="27"/>
        <v>normal</v>
      </c>
      <c r="F602" s="35">
        <f t="shared" si="28"/>
        <v>9</v>
      </c>
      <c r="G602" s="35" t="e">
        <f t="shared" si="29"/>
        <v>#N/A</v>
      </c>
    </row>
    <row r="603" spans="1:7" x14ac:dyDescent="0.35">
      <c r="A603" s="64">
        <v>40571</v>
      </c>
      <c r="B603" s="60">
        <v>1</v>
      </c>
      <c r="C603" s="60">
        <v>2</v>
      </c>
      <c r="D603" s="61">
        <v>3</v>
      </c>
      <c r="E603" t="str">
        <f t="shared" si="27"/>
        <v>normal</v>
      </c>
      <c r="F603" s="35">
        <f t="shared" si="28"/>
        <v>3</v>
      </c>
      <c r="G603" s="35" t="e">
        <f t="shared" si="29"/>
        <v>#N/A</v>
      </c>
    </row>
    <row r="604" spans="1:7" x14ac:dyDescent="0.35">
      <c r="A604" s="65">
        <v>40571</v>
      </c>
      <c r="B604" s="62">
        <v>0</v>
      </c>
      <c r="C604" s="62">
        <v>2</v>
      </c>
      <c r="D604" s="63">
        <v>2</v>
      </c>
      <c r="E604" t="str">
        <f t="shared" si="27"/>
        <v>normal</v>
      </c>
      <c r="F604" s="35">
        <f t="shared" si="28"/>
        <v>2</v>
      </c>
      <c r="G604" s="35" t="e">
        <f t="shared" si="29"/>
        <v>#N/A</v>
      </c>
    </row>
    <row r="605" spans="1:7" x14ac:dyDescent="0.35">
      <c r="A605" s="64">
        <v>40571</v>
      </c>
      <c r="B605" s="60">
        <v>1</v>
      </c>
      <c r="C605" s="60">
        <v>0</v>
      </c>
      <c r="D605" s="61">
        <v>1</v>
      </c>
      <c r="E605" t="str">
        <f t="shared" si="27"/>
        <v>normal</v>
      </c>
      <c r="F605" s="35">
        <f t="shared" si="28"/>
        <v>1</v>
      </c>
      <c r="G605" s="35" t="e">
        <f t="shared" si="29"/>
        <v>#N/A</v>
      </c>
    </row>
    <row r="606" spans="1:7" x14ac:dyDescent="0.35">
      <c r="A606" s="65">
        <v>40571</v>
      </c>
      <c r="B606" s="62">
        <v>0</v>
      </c>
      <c r="C606" s="62">
        <v>4</v>
      </c>
      <c r="D606" s="63">
        <v>4</v>
      </c>
      <c r="E606" t="str">
        <f t="shared" si="27"/>
        <v>normal</v>
      </c>
      <c r="F606" s="35">
        <f t="shared" si="28"/>
        <v>4</v>
      </c>
      <c r="G606" s="35" t="e">
        <f t="shared" si="29"/>
        <v>#N/A</v>
      </c>
    </row>
    <row r="607" spans="1:7" x14ac:dyDescent="0.35">
      <c r="A607" s="64">
        <v>40571</v>
      </c>
      <c r="B607" s="60">
        <v>0</v>
      </c>
      <c r="C607" s="60">
        <v>16</v>
      </c>
      <c r="D607" s="61">
        <v>16</v>
      </c>
      <c r="E607" t="str">
        <f t="shared" si="27"/>
        <v>normal</v>
      </c>
      <c r="F607" s="35">
        <f t="shared" si="28"/>
        <v>16</v>
      </c>
      <c r="G607" s="35" t="e">
        <f t="shared" si="29"/>
        <v>#N/A</v>
      </c>
    </row>
    <row r="608" spans="1:7" x14ac:dyDescent="0.35">
      <c r="A608" s="65">
        <v>40571</v>
      </c>
      <c r="B608" s="62">
        <v>2</v>
      </c>
      <c r="C608" s="62">
        <v>58</v>
      </c>
      <c r="D608" s="63">
        <v>60</v>
      </c>
      <c r="E608" t="str">
        <f t="shared" si="27"/>
        <v>normal</v>
      </c>
      <c r="F608" s="35">
        <f t="shared" si="28"/>
        <v>60</v>
      </c>
      <c r="G608" s="35" t="e">
        <f t="shared" si="29"/>
        <v>#N/A</v>
      </c>
    </row>
    <row r="609" spans="1:7" x14ac:dyDescent="0.35">
      <c r="A609" s="64">
        <v>40571</v>
      </c>
      <c r="B609" s="60">
        <v>2</v>
      </c>
      <c r="C609" s="60">
        <v>155</v>
      </c>
      <c r="D609" s="61">
        <v>157</v>
      </c>
      <c r="E609" t="str">
        <f t="shared" si="27"/>
        <v>normal</v>
      </c>
      <c r="F609" s="35">
        <f t="shared" si="28"/>
        <v>157</v>
      </c>
      <c r="G609" s="35" t="e">
        <f t="shared" si="29"/>
        <v>#N/A</v>
      </c>
    </row>
    <row r="610" spans="1:7" x14ac:dyDescent="0.35">
      <c r="A610" s="65">
        <v>40571</v>
      </c>
      <c r="B610" s="62">
        <v>6</v>
      </c>
      <c r="C610" s="62">
        <v>95</v>
      </c>
      <c r="D610" s="63">
        <v>101</v>
      </c>
      <c r="E610" t="str">
        <f t="shared" si="27"/>
        <v>normal</v>
      </c>
      <c r="F610" s="35">
        <f t="shared" si="28"/>
        <v>101</v>
      </c>
      <c r="G610" s="35" t="e">
        <f t="shared" si="29"/>
        <v>#N/A</v>
      </c>
    </row>
    <row r="611" spans="1:7" x14ac:dyDescent="0.35">
      <c r="A611" s="64">
        <v>40571</v>
      </c>
      <c r="B611" s="60">
        <v>0</v>
      </c>
      <c r="C611" s="60">
        <v>49</v>
      </c>
      <c r="D611" s="61">
        <v>49</v>
      </c>
      <c r="E611" t="str">
        <f t="shared" si="27"/>
        <v>normal</v>
      </c>
      <c r="F611" s="35">
        <f t="shared" si="28"/>
        <v>49</v>
      </c>
      <c r="G611" s="35" t="e">
        <f t="shared" si="29"/>
        <v>#N/A</v>
      </c>
    </row>
    <row r="612" spans="1:7" x14ac:dyDescent="0.35">
      <c r="A612" s="65">
        <v>40571</v>
      </c>
      <c r="B612" s="62">
        <v>0</v>
      </c>
      <c r="C612" s="62">
        <v>30</v>
      </c>
      <c r="D612" s="63">
        <v>30</v>
      </c>
      <c r="E612" t="str">
        <f t="shared" si="27"/>
        <v>normal</v>
      </c>
      <c r="F612" s="35">
        <f t="shared" si="28"/>
        <v>30</v>
      </c>
      <c r="G612" s="35" t="e">
        <f t="shared" si="29"/>
        <v>#N/A</v>
      </c>
    </row>
    <row r="613" spans="1:7" x14ac:dyDescent="0.35">
      <c r="A613" s="64">
        <v>40571</v>
      </c>
      <c r="B613" s="60">
        <v>1</v>
      </c>
      <c r="C613" s="60">
        <v>28</v>
      </c>
      <c r="D613" s="61">
        <v>29</v>
      </c>
      <c r="E613" t="str">
        <f t="shared" si="27"/>
        <v>normal</v>
      </c>
      <c r="F613" s="35">
        <f t="shared" si="28"/>
        <v>29</v>
      </c>
      <c r="G613" s="35" t="e">
        <f t="shared" si="29"/>
        <v>#N/A</v>
      </c>
    </row>
    <row r="614" spans="1:7" x14ac:dyDescent="0.35">
      <c r="A614" s="65">
        <v>40571</v>
      </c>
      <c r="B614" s="62">
        <v>0</v>
      </c>
      <c r="C614" s="62">
        <v>31</v>
      </c>
      <c r="D614" s="63">
        <v>31</v>
      </c>
      <c r="E614" t="str">
        <f t="shared" si="27"/>
        <v>normal</v>
      </c>
      <c r="F614" s="35">
        <f t="shared" si="28"/>
        <v>31</v>
      </c>
      <c r="G614" s="35" t="e">
        <f t="shared" si="29"/>
        <v>#N/A</v>
      </c>
    </row>
    <row r="615" spans="1:7" x14ac:dyDescent="0.35">
      <c r="A615" s="64">
        <v>40571</v>
      </c>
      <c r="B615" s="60">
        <v>2</v>
      </c>
      <c r="C615" s="60">
        <v>36</v>
      </c>
      <c r="D615" s="61">
        <v>38</v>
      </c>
      <c r="E615" t="str">
        <f t="shared" si="27"/>
        <v>normal</v>
      </c>
      <c r="F615" s="35">
        <f t="shared" si="28"/>
        <v>38</v>
      </c>
      <c r="G615" s="35" t="e">
        <f t="shared" si="29"/>
        <v>#N/A</v>
      </c>
    </row>
    <row r="616" spans="1:7" x14ac:dyDescent="0.35">
      <c r="A616" s="65">
        <v>40571</v>
      </c>
      <c r="B616" s="62">
        <v>1</v>
      </c>
      <c r="C616" s="62">
        <v>40</v>
      </c>
      <c r="D616" s="63">
        <v>41</v>
      </c>
      <c r="E616" t="str">
        <f t="shared" si="27"/>
        <v>normal</v>
      </c>
      <c r="F616" s="35">
        <f t="shared" si="28"/>
        <v>41</v>
      </c>
      <c r="G616" s="35" t="e">
        <f t="shared" si="29"/>
        <v>#N/A</v>
      </c>
    </row>
    <row r="617" spans="1:7" x14ac:dyDescent="0.35">
      <c r="A617" s="64">
        <v>40571</v>
      </c>
      <c r="B617" s="60">
        <v>10</v>
      </c>
      <c r="C617" s="60">
        <v>70</v>
      </c>
      <c r="D617" s="61">
        <v>80</v>
      </c>
      <c r="E617" t="str">
        <f t="shared" si="27"/>
        <v>normal</v>
      </c>
      <c r="F617" s="35">
        <f t="shared" si="28"/>
        <v>80</v>
      </c>
      <c r="G617" s="35" t="e">
        <f t="shared" si="29"/>
        <v>#N/A</v>
      </c>
    </row>
    <row r="618" spans="1:7" x14ac:dyDescent="0.35">
      <c r="A618" s="65">
        <v>40571</v>
      </c>
      <c r="B618" s="62">
        <v>2</v>
      </c>
      <c r="C618" s="62">
        <v>147</v>
      </c>
      <c r="D618" s="63">
        <v>149</v>
      </c>
      <c r="E618" t="str">
        <f t="shared" si="27"/>
        <v>normal</v>
      </c>
      <c r="F618" s="35">
        <f t="shared" si="28"/>
        <v>149</v>
      </c>
      <c r="G618" s="35" t="e">
        <f t="shared" si="29"/>
        <v>#N/A</v>
      </c>
    </row>
    <row r="619" spans="1:7" x14ac:dyDescent="0.35">
      <c r="A619" s="64">
        <v>40571</v>
      </c>
      <c r="B619" s="60">
        <v>2</v>
      </c>
      <c r="C619" s="60">
        <v>107</v>
      </c>
      <c r="D619" s="61">
        <v>109</v>
      </c>
      <c r="E619" t="str">
        <f t="shared" si="27"/>
        <v>normal</v>
      </c>
      <c r="F619" s="35">
        <f t="shared" si="28"/>
        <v>109</v>
      </c>
      <c r="G619" s="35" t="e">
        <f t="shared" si="29"/>
        <v>#N/A</v>
      </c>
    </row>
    <row r="620" spans="1:7" x14ac:dyDescent="0.35">
      <c r="A620" s="65">
        <v>40571</v>
      </c>
      <c r="B620" s="62">
        <v>5</v>
      </c>
      <c r="C620" s="62">
        <v>84</v>
      </c>
      <c r="D620" s="63">
        <v>89</v>
      </c>
      <c r="E620" t="str">
        <f t="shared" si="27"/>
        <v>normal</v>
      </c>
      <c r="F620" s="35">
        <f t="shared" si="28"/>
        <v>89</v>
      </c>
      <c r="G620" s="35" t="e">
        <f t="shared" si="29"/>
        <v>#N/A</v>
      </c>
    </row>
    <row r="621" spans="1:7" x14ac:dyDescent="0.35">
      <c r="A621" s="64">
        <v>40571</v>
      </c>
      <c r="B621" s="60">
        <v>1</v>
      </c>
      <c r="C621" s="60">
        <v>61</v>
      </c>
      <c r="D621" s="61">
        <v>62</v>
      </c>
      <c r="E621" t="str">
        <f t="shared" si="27"/>
        <v>normal</v>
      </c>
      <c r="F621" s="35">
        <f t="shared" si="28"/>
        <v>62</v>
      </c>
      <c r="G621" s="35" t="e">
        <f t="shared" si="29"/>
        <v>#N/A</v>
      </c>
    </row>
    <row r="622" spans="1:7" x14ac:dyDescent="0.35">
      <c r="A622" s="65">
        <v>40571</v>
      </c>
      <c r="B622" s="62">
        <v>1</v>
      </c>
      <c r="C622" s="62">
        <v>57</v>
      </c>
      <c r="D622" s="63">
        <v>58</v>
      </c>
      <c r="E622" t="str">
        <f t="shared" si="27"/>
        <v>normal</v>
      </c>
      <c r="F622" s="35">
        <f t="shared" si="28"/>
        <v>58</v>
      </c>
      <c r="G622" s="35" t="e">
        <f t="shared" si="29"/>
        <v>#N/A</v>
      </c>
    </row>
    <row r="623" spans="1:7" x14ac:dyDescent="0.35">
      <c r="A623" s="64">
        <v>40571</v>
      </c>
      <c r="B623" s="60">
        <v>0</v>
      </c>
      <c r="C623" s="60">
        <v>26</v>
      </c>
      <c r="D623" s="61">
        <v>26</v>
      </c>
      <c r="E623" t="str">
        <f t="shared" si="27"/>
        <v>normal</v>
      </c>
      <c r="F623" s="35">
        <f t="shared" si="28"/>
        <v>26</v>
      </c>
      <c r="G623" s="35" t="e">
        <f t="shared" si="29"/>
        <v>#N/A</v>
      </c>
    </row>
    <row r="624" spans="1:7" x14ac:dyDescent="0.35">
      <c r="A624" s="65">
        <v>40571</v>
      </c>
      <c r="B624" s="62">
        <v>1</v>
      </c>
      <c r="C624" s="62">
        <v>22</v>
      </c>
      <c r="D624" s="63">
        <v>23</v>
      </c>
      <c r="E624" t="str">
        <f t="shared" si="27"/>
        <v>normal</v>
      </c>
      <c r="F624" s="35">
        <f t="shared" si="28"/>
        <v>23</v>
      </c>
      <c r="G624" s="35" t="e">
        <f t="shared" si="29"/>
        <v>#N/A</v>
      </c>
    </row>
    <row r="625" spans="1:7" x14ac:dyDescent="0.35">
      <c r="A625" s="64">
        <v>40572</v>
      </c>
      <c r="B625" s="60">
        <v>2</v>
      </c>
      <c r="C625" s="60">
        <v>26</v>
      </c>
      <c r="D625" s="61">
        <v>28</v>
      </c>
      <c r="E625" t="str">
        <f t="shared" si="27"/>
        <v>normal</v>
      </c>
      <c r="F625" s="35">
        <f t="shared" si="28"/>
        <v>28</v>
      </c>
      <c r="G625" s="35" t="e">
        <f t="shared" si="29"/>
        <v>#N/A</v>
      </c>
    </row>
    <row r="626" spans="1:7" x14ac:dyDescent="0.35">
      <c r="A626" s="65">
        <v>40572</v>
      </c>
      <c r="B626" s="62">
        <v>0</v>
      </c>
      <c r="C626" s="62">
        <v>20</v>
      </c>
      <c r="D626" s="63">
        <v>20</v>
      </c>
      <c r="E626" t="str">
        <f t="shared" si="27"/>
        <v>normal</v>
      </c>
      <c r="F626" s="35">
        <f t="shared" si="28"/>
        <v>20</v>
      </c>
      <c r="G626" s="35" t="e">
        <f t="shared" si="29"/>
        <v>#N/A</v>
      </c>
    </row>
    <row r="627" spans="1:7" x14ac:dyDescent="0.35">
      <c r="A627" s="64">
        <v>40572</v>
      </c>
      <c r="B627" s="60">
        <v>0</v>
      </c>
      <c r="C627" s="60">
        <v>15</v>
      </c>
      <c r="D627" s="61">
        <v>15</v>
      </c>
      <c r="E627" t="str">
        <f t="shared" si="27"/>
        <v>normal</v>
      </c>
      <c r="F627" s="35">
        <f t="shared" si="28"/>
        <v>15</v>
      </c>
      <c r="G627" s="35" t="e">
        <f t="shared" si="29"/>
        <v>#N/A</v>
      </c>
    </row>
    <row r="628" spans="1:7" x14ac:dyDescent="0.35">
      <c r="A628" s="65">
        <v>40572</v>
      </c>
      <c r="B628" s="62">
        <v>3</v>
      </c>
      <c r="C628" s="62">
        <v>5</v>
      </c>
      <c r="D628" s="63">
        <v>8</v>
      </c>
      <c r="E628" t="str">
        <f t="shared" si="27"/>
        <v>normal</v>
      </c>
      <c r="F628" s="35">
        <f t="shared" si="28"/>
        <v>8</v>
      </c>
      <c r="G628" s="35" t="e">
        <f t="shared" si="29"/>
        <v>#N/A</v>
      </c>
    </row>
    <row r="629" spans="1:7" x14ac:dyDescent="0.35">
      <c r="A629" s="64">
        <v>40572</v>
      </c>
      <c r="B629" s="60">
        <v>1</v>
      </c>
      <c r="C629" s="60">
        <v>2</v>
      </c>
      <c r="D629" s="61">
        <v>3</v>
      </c>
      <c r="E629" t="str">
        <f t="shared" si="27"/>
        <v>normal</v>
      </c>
      <c r="F629" s="35">
        <f t="shared" si="28"/>
        <v>3</v>
      </c>
      <c r="G629" s="35" t="e">
        <f t="shared" si="29"/>
        <v>#N/A</v>
      </c>
    </row>
    <row r="630" spans="1:7" x14ac:dyDescent="0.35">
      <c r="A630" s="65">
        <v>40572</v>
      </c>
      <c r="B630" s="62">
        <v>0</v>
      </c>
      <c r="C630" s="62">
        <v>2</v>
      </c>
      <c r="D630" s="63">
        <v>2</v>
      </c>
      <c r="E630" t="str">
        <f t="shared" si="27"/>
        <v>normal</v>
      </c>
      <c r="F630" s="35">
        <f t="shared" si="28"/>
        <v>2</v>
      </c>
      <c r="G630" s="35" t="e">
        <f t="shared" si="29"/>
        <v>#N/A</v>
      </c>
    </row>
    <row r="631" spans="1:7" x14ac:dyDescent="0.35">
      <c r="A631" s="64">
        <v>40572</v>
      </c>
      <c r="B631" s="60">
        <v>1</v>
      </c>
      <c r="C631" s="60">
        <v>4</v>
      </c>
      <c r="D631" s="61">
        <v>5</v>
      </c>
      <c r="E631" t="str">
        <f t="shared" si="27"/>
        <v>normal</v>
      </c>
      <c r="F631" s="35">
        <f t="shared" si="28"/>
        <v>5</v>
      </c>
      <c r="G631" s="35" t="e">
        <f t="shared" si="29"/>
        <v>#N/A</v>
      </c>
    </row>
    <row r="632" spans="1:7" x14ac:dyDescent="0.35">
      <c r="A632" s="65">
        <v>40572</v>
      </c>
      <c r="B632" s="62">
        <v>3</v>
      </c>
      <c r="C632" s="62">
        <v>31</v>
      </c>
      <c r="D632" s="63">
        <v>34</v>
      </c>
      <c r="E632" t="str">
        <f t="shared" si="27"/>
        <v>normal</v>
      </c>
      <c r="F632" s="35">
        <f t="shared" si="28"/>
        <v>34</v>
      </c>
      <c r="G632" s="35" t="e">
        <f t="shared" si="29"/>
        <v>#N/A</v>
      </c>
    </row>
    <row r="633" spans="1:7" x14ac:dyDescent="0.35">
      <c r="A633" s="64">
        <v>40572</v>
      </c>
      <c r="B633" s="60">
        <v>0</v>
      </c>
      <c r="C633" s="60">
        <v>34</v>
      </c>
      <c r="D633" s="61">
        <v>34</v>
      </c>
      <c r="E633" t="str">
        <f t="shared" si="27"/>
        <v>normal</v>
      </c>
      <c r="F633" s="35">
        <f t="shared" si="28"/>
        <v>34</v>
      </c>
      <c r="G633" s="35" t="e">
        <f t="shared" si="29"/>
        <v>#N/A</v>
      </c>
    </row>
    <row r="634" spans="1:7" x14ac:dyDescent="0.35">
      <c r="A634" s="65">
        <v>40572</v>
      </c>
      <c r="B634" s="62">
        <v>4</v>
      </c>
      <c r="C634" s="62">
        <v>51</v>
      </c>
      <c r="D634" s="63">
        <v>55</v>
      </c>
      <c r="E634" t="str">
        <f t="shared" si="27"/>
        <v>normal</v>
      </c>
      <c r="F634" s="35">
        <f t="shared" si="28"/>
        <v>55</v>
      </c>
      <c r="G634" s="35" t="e">
        <f t="shared" si="29"/>
        <v>#N/A</v>
      </c>
    </row>
    <row r="635" spans="1:7" x14ac:dyDescent="0.35">
      <c r="A635" s="64">
        <v>40572</v>
      </c>
      <c r="B635" s="60">
        <v>4</v>
      </c>
      <c r="C635" s="60">
        <v>60</v>
      </c>
      <c r="D635" s="61">
        <v>64</v>
      </c>
      <c r="E635" t="str">
        <f t="shared" si="27"/>
        <v>normal</v>
      </c>
      <c r="F635" s="35">
        <f t="shared" si="28"/>
        <v>64</v>
      </c>
      <c r="G635" s="35" t="e">
        <f t="shared" si="29"/>
        <v>#N/A</v>
      </c>
    </row>
    <row r="636" spans="1:7" x14ac:dyDescent="0.35">
      <c r="A636" s="65">
        <v>40572</v>
      </c>
      <c r="B636" s="62">
        <v>12</v>
      </c>
      <c r="C636" s="62">
        <v>66</v>
      </c>
      <c r="D636" s="63">
        <v>78</v>
      </c>
      <c r="E636" t="str">
        <f t="shared" si="27"/>
        <v>normal</v>
      </c>
      <c r="F636" s="35">
        <f t="shared" si="28"/>
        <v>78</v>
      </c>
      <c r="G636" s="35" t="e">
        <f t="shared" si="29"/>
        <v>#N/A</v>
      </c>
    </row>
    <row r="637" spans="1:7" x14ac:dyDescent="0.35">
      <c r="A637" s="64">
        <v>40572</v>
      </c>
      <c r="B637" s="60">
        <v>9</v>
      </c>
      <c r="C637" s="60">
        <v>56</v>
      </c>
      <c r="D637" s="61">
        <v>65</v>
      </c>
      <c r="E637" t="str">
        <f t="shared" si="27"/>
        <v>normal</v>
      </c>
      <c r="F637" s="35">
        <f t="shared" si="28"/>
        <v>65</v>
      </c>
      <c r="G637" s="35" t="e">
        <f t="shared" si="29"/>
        <v>#N/A</v>
      </c>
    </row>
    <row r="638" spans="1:7" x14ac:dyDescent="0.35">
      <c r="A638" s="65">
        <v>40572</v>
      </c>
      <c r="B638" s="62">
        <v>10</v>
      </c>
      <c r="C638" s="62">
        <v>89</v>
      </c>
      <c r="D638" s="63">
        <v>99</v>
      </c>
      <c r="E638" t="str">
        <f t="shared" si="27"/>
        <v>normal</v>
      </c>
      <c r="F638" s="35">
        <f t="shared" si="28"/>
        <v>99</v>
      </c>
      <c r="G638" s="35" t="e">
        <f t="shared" si="29"/>
        <v>#N/A</v>
      </c>
    </row>
    <row r="639" spans="1:7" x14ac:dyDescent="0.35">
      <c r="A639" s="64">
        <v>40572</v>
      </c>
      <c r="B639" s="60">
        <v>22</v>
      </c>
      <c r="C639" s="60">
        <v>98</v>
      </c>
      <c r="D639" s="61">
        <v>120</v>
      </c>
      <c r="E639" t="str">
        <f t="shared" si="27"/>
        <v>normal</v>
      </c>
      <c r="F639" s="35">
        <f t="shared" si="28"/>
        <v>120</v>
      </c>
      <c r="G639" s="35" t="e">
        <f t="shared" si="29"/>
        <v>#N/A</v>
      </c>
    </row>
    <row r="640" spans="1:7" x14ac:dyDescent="0.35">
      <c r="A640" s="65">
        <v>40572</v>
      </c>
      <c r="B640" s="62">
        <v>19</v>
      </c>
      <c r="C640" s="62">
        <v>88</v>
      </c>
      <c r="D640" s="63">
        <v>107</v>
      </c>
      <c r="E640" t="str">
        <f t="shared" si="27"/>
        <v>normal</v>
      </c>
      <c r="F640" s="35">
        <f t="shared" si="28"/>
        <v>107</v>
      </c>
      <c r="G640" s="35" t="e">
        <f t="shared" si="29"/>
        <v>#N/A</v>
      </c>
    </row>
    <row r="641" spans="1:7" x14ac:dyDescent="0.35">
      <c r="A641" s="64">
        <v>40572</v>
      </c>
      <c r="B641" s="60">
        <v>9</v>
      </c>
      <c r="C641" s="60">
        <v>82</v>
      </c>
      <c r="D641" s="61">
        <v>91</v>
      </c>
      <c r="E641" t="str">
        <f t="shared" si="27"/>
        <v>normal</v>
      </c>
      <c r="F641" s="35">
        <f t="shared" si="28"/>
        <v>91</v>
      </c>
      <c r="G641" s="35" t="e">
        <f t="shared" si="29"/>
        <v>#N/A</v>
      </c>
    </row>
    <row r="642" spans="1:7" x14ac:dyDescent="0.35">
      <c r="A642" s="65">
        <v>40572</v>
      </c>
      <c r="B642" s="62">
        <v>9</v>
      </c>
      <c r="C642" s="62">
        <v>59</v>
      </c>
      <c r="D642" s="63">
        <v>68</v>
      </c>
      <c r="E642" t="str">
        <f t="shared" si="27"/>
        <v>normal</v>
      </c>
      <c r="F642" s="35">
        <f t="shared" si="28"/>
        <v>68</v>
      </c>
      <c r="G642" s="35" t="e">
        <f t="shared" si="29"/>
        <v>#N/A</v>
      </c>
    </row>
    <row r="643" spans="1:7" x14ac:dyDescent="0.35">
      <c r="A643" s="64">
        <v>40572</v>
      </c>
      <c r="B643" s="60">
        <v>6</v>
      </c>
      <c r="C643" s="60">
        <v>52</v>
      </c>
      <c r="D643" s="61">
        <v>58</v>
      </c>
      <c r="E643" t="str">
        <f t="shared" si="27"/>
        <v>normal</v>
      </c>
      <c r="F643" s="35">
        <f t="shared" si="28"/>
        <v>58</v>
      </c>
      <c r="G643" s="35" t="e">
        <f t="shared" si="29"/>
        <v>#N/A</v>
      </c>
    </row>
    <row r="644" spans="1:7" x14ac:dyDescent="0.35">
      <c r="A644" s="65">
        <v>40572</v>
      </c>
      <c r="B644" s="62">
        <v>1</v>
      </c>
      <c r="C644" s="62">
        <v>42</v>
      </c>
      <c r="D644" s="63">
        <v>43</v>
      </c>
      <c r="E644" t="str">
        <f t="shared" si="27"/>
        <v>normal</v>
      </c>
      <c r="F644" s="35">
        <f t="shared" si="28"/>
        <v>43</v>
      </c>
      <c r="G644" s="35" t="e">
        <f t="shared" si="29"/>
        <v>#N/A</v>
      </c>
    </row>
    <row r="645" spans="1:7" x14ac:dyDescent="0.35">
      <c r="A645" s="64">
        <v>40572</v>
      </c>
      <c r="B645" s="60">
        <v>1</v>
      </c>
      <c r="C645" s="60">
        <v>35</v>
      </c>
      <c r="D645" s="61">
        <v>36</v>
      </c>
      <c r="E645" t="str">
        <f t="shared" si="27"/>
        <v>normal</v>
      </c>
      <c r="F645" s="35">
        <f t="shared" si="28"/>
        <v>36</v>
      </c>
      <c r="G645" s="35" t="e">
        <f t="shared" si="29"/>
        <v>#N/A</v>
      </c>
    </row>
    <row r="646" spans="1:7" x14ac:dyDescent="0.35">
      <c r="A646" s="65">
        <v>40572</v>
      </c>
      <c r="B646" s="62">
        <v>4</v>
      </c>
      <c r="C646" s="62">
        <v>28</v>
      </c>
      <c r="D646" s="63">
        <v>32</v>
      </c>
      <c r="E646" t="str">
        <f t="shared" si="27"/>
        <v>normal</v>
      </c>
      <c r="F646" s="35">
        <f t="shared" si="28"/>
        <v>32</v>
      </c>
      <c r="G646" s="35" t="e">
        <f t="shared" si="29"/>
        <v>#N/A</v>
      </c>
    </row>
    <row r="647" spans="1:7" x14ac:dyDescent="0.35">
      <c r="A647" s="64">
        <v>40572</v>
      </c>
      <c r="B647" s="60">
        <v>3</v>
      </c>
      <c r="C647" s="60">
        <v>30</v>
      </c>
      <c r="D647" s="61">
        <v>33</v>
      </c>
      <c r="E647" t="str">
        <f t="shared" ref="E647:E710" si="30">IF(OR(D647&lt;$L$15,D647&gt;$L$16),"Anamoly","normal")</f>
        <v>normal</v>
      </c>
      <c r="F647" s="35">
        <f t="shared" si="28"/>
        <v>33</v>
      </c>
      <c r="G647" s="35" t="e">
        <f t="shared" si="29"/>
        <v>#N/A</v>
      </c>
    </row>
    <row r="648" spans="1:7" x14ac:dyDescent="0.35">
      <c r="A648" s="65">
        <v>40573</v>
      </c>
      <c r="B648" s="62">
        <v>0</v>
      </c>
      <c r="C648" s="62">
        <v>33</v>
      </c>
      <c r="D648" s="63">
        <v>33</v>
      </c>
      <c r="E648" t="str">
        <f t="shared" si="30"/>
        <v>normal</v>
      </c>
      <c r="F648" s="35">
        <f t="shared" ref="F648:F711" si="31">IF(E648="normal",D648,NA())</f>
        <v>33</v>
      </c>
      <c r="G648" s="35" t="e">
        <f t="shared" ref="G648:G711" si="32">IF(E648="anamoly",D648,NA())</f>
        <v>#N/A</v>
      </c>
    </row>
    <row r="649" spans="1:7" x14ac:dyDescent="0.35">
      <c r="A649" s="64">
        <v>40573</v>
      </c>
      <c r="B649" s="60">
        <v>7</v>
      </c>
      <c r="C649" s="60">
        <v>22</v>
      </c>
      <c r="D649" s="61">
        <v>29</v>
      </c>
      <c r="E649" t="str">
        <f t="shared" si="30"/>
        <v>normal</v>
      </c>
      <c r="F649" s="35">
        <f t="shared" si="31"/>
        <v>29</v>
      </c>
      <c r="G649" s="35" t="e">
        <f t="shared" si="32"/>
        <v>#N/A</v>
      </c>
    </row>
    <row r="650" spans="1:7" x14ac:dyDescent="0.35">
      <c r="A650" s="65">
        <v>40573</v>
      </c>
      <c r="B650" s="62">
        <v>1</v>
      </c>
      <c r="C650" s="62">
        <v>10</v>
      </c>
      <c r="D650" s="63">
        <v>11</v>
      </c>
      <c r="E650" t="str">
        <f t="shared" si="30"/>
        <v>normal</v>
      </c>
      <c r="F650" s="35">
        <f t="shared" si="31"/>
        <v>11</v>
      </c>
      <c r="G650" s="35" t="e">
        <f t="shared" si="32"/>
        <v>#N/A</v>
      </c>
    </row>
    <row r="651" spans="1:7" x14ac:dyDescent="0.35">
      <c r="A651" s="64">
        <v>40573</v>
      </c>
      <c r="B651" s="60">
        <v>1</v>
      </c>
      <c r="C651" s="60">
        <v>7</v>
      </c>
      <c r="D651" s="61">
        <v>8</v>
      </c>
      <c r="E651" t="str">
        <f t="shared" si="30"/>
        <v>normal</v>
      </c>
      <c r="F651" s="35">
        <f t="shared" si="31"/>
        <v>8</v>
      </c>
      <c r="G651" s="35" t="e">
        <f t="shared" si="32"/>
        <v>#N/A</v>
      </c>
    </row>
    <row r="652" spans="1:7" x14ac:dyDescent="0.35">
      <c r="A652" s="65">
        <v>40573</v>
      </c>
      <c r="B652" s="62">
        <v>0</v>
      </c>
      <c r="C652" s="62">
        <v>1</v>
      </c>
      <c r="D652" s="63">
        <v>1</v>
      </c>
      <c r="E652" t="str">
        <f t="shared" si="30"/>
        <v>normal</v>
      </c>
      <c r="F652" s="35">
        <f t="shared" si="31"/>
        <v>1</v>
      </c>
      <c r="G652" s="35" t="e">
        <f t="shared" si="32"/>
        <v>#N/A</v>
      </c>
    </row>
    <row r="653" spans="1:7" x14ac:dyDescent="0.35">
      <c r="A653" s="64">
        <v>40573</v>
      </c>
      <c r="B653" s="60">
        <v>0</v>
      </c>
      <c r="C653" s="60">
        <v>3</v>
      </c>
      <c r="D653" s="61">
        <v>3</v>
      </c>
      <c r="E653" t="str">
        <f t="shared" si="30"/>
        <v>normal</v>
      </c>
      <c r="F653" s="35">
        <f t="shared" si="31"/>
        <v>3</v>
      </c>
      <c r="G653" s="35" t="e">
        <f t="shared" si="32"/>
        <v>#N/A</v>
      </c>
    </row>
    <row r="654" spans="1:7" x14ac:dyDescent="0.35">
      <c r="A654" s="65">
        <v>40573</v>
      </c>
      <c r="B654" s="62">
        <v>0</v>
      </c>
      <c r="C654" s="62">
        <v>3</v>
      </c>
      <c r="D654" s="63">
        <v>3</v>
      </c>
      <c r="E654" t="str">
        <f t="shared" si="30"/>
        <v>normal</v>
      </c>
      <c r="F654" s="35">
        <f t="shared" si="31"/>
        <v>3</v>
      </c>
      <c r="G654" s="35" t="e">
        <f t="shared" si="32"/>
        <v>#N/A</v>
      </c>
    </row>
    <row r="655" spans="1:7" x14ac:dyDescent="0.35">
      <c r="A655" s="64">
        <v>40573</v>
      </c>
      <c r="B655" s="60">
        <v>1</v>
      </c>
      <c r="C655" s="60">
        <v>11</v>
      </c>
      <c r="D655" s="61">
        <v>12</v>
      </c>
      <c r="E655" t="str">
        <f t="shared" si="30"/>
        <v>normal</v>
      </c>
      <c r="F655" s="35">
        <f t="shared" si="31"/>
        <v>12</v>
      </c>
      <c r="G655" s="35" t="e">
        <f t="shared" si="32"/>
        <v>#N/A</v>
      </c>
    </row>
    <row r="656" spans="1:7" x14ac:dyDescent="0.35">
      <c r="A656" s="65">
        <v>40573</v>
      </c>
      <c r="B656" s="62">
        <v>4</v>
      </c>
      <c r="C656" s="62">
        <v>34</v>
      </c>
      <c r="D656" s="63">
        <v>38</v>
      </c>
      <c r="E656" t="str">
        <f t="shared" si="30"/>
        <v>normal</v>
      </c>
      <c r="F656" s="35">
        <f t="shared" si="31"/>
        <v>38</v>
      </c>
      <c r="G656" s="35" t="e">
        <f t="shared" si="32"/>
        <v>#N/A</v>
      </c>
    </row>
    <row r="657" spans="1:7" x14ac:dyDescent="0.35">
      <c r="A657" s="64">
        <v>40573</v>
      </c>
      <c r="B657" s="60">
        <v>7</v>
      </c>
      <c r="C657" s="60">
        <v>57</v>
      </c>
      <c r="D657" s="61">
        <v>64</v>
      </c>
      <c r="E657" t="str">
        <f t="shared" si="30"/>
        <v>normal</v>
      </c>
      <c r="F657" s="35">
        <f t="shared" si="31"/>
        <v>64</v>
      </c>
      <c r="G657" s="35" t="e">
        <f t="shared" si="32"/>
        <v>#N/A</v>
      </c>
    </row>
    <row r="658" spans="1:7" x14ac:dyDescent="0.35">
      <c r="A658" s="65">
        <v>40573</v>
      </c>
      <c r="B658" s="62">
        <v>9</v>
      </c>
      <c r="C658" s="62">
        <v>50</v>
      </c>
      <c r="D658" s="63">
        <v>59</v>
      </c>
      <c r="E658" t="str">
        <f t="shared" si="30"/>
        <v>normal</v>
      </c>
      <c r="F658" s="35">
        <f t="shared" si="31"/>
        <v>59</v>
      </c>
      <c r="G658" s="35" t="e">
        <f t="shared" si="32"/>
        <v>#N/A</v>
      </c>
    </row>
    <row r="659" spans="1:7" x14ac:dyDescent="0.35">
      <c r="A659" s="64">
        <v>40573</v>
      </c>
      <c r="B659" s="60">
        <v>10</v>
      </c>
      <c r="C659" s="60">
        <v>87</v>
      </c>
      <c r="D659" s="61">
        <v>97</v>
      </c>
      <c r="E659" t="str">
        <f t="shared" si="30"/>
        <v>normal</v>
      </c>
      <c r="F659" s="35">
        <f t="shared" si="31"/>
        <v>97</v>
      </c>
      <c r="G659" s="35" t="e">
        <f t="shared" si="32"/>
        <v>#N/A</v>
      </c>
    </row>
    <row r="660" spans="1:7" x14ac:dyDescent="0.35">
      <c r="A660" s="65">
        <v>40573</v>
      </c>
      <c r="B660" s="62">
        <v>13</v>
      </c>
      <c r="C660" s="62">
        <v>71</v>
      </c>
      <c r="D660" s="63">
        <v>84</v>
      </c>
      <c r="E660" t="str">
        <f t="shared" si="30"/>
        <v>normal</v>
      </c>
      <c r="F660" s="35">
        <f t="shared" si="31"/>
        <v>84</v>
      </c>
      <c r="G660" s="35" t="e">
        <f t="shared" si="32"/>
        <v>#N/A</v>
      </c>
    </row>
    <row r="661" spans="1:7" x14ac:dyDescent="0.35">
      <c r="A661" s="64">
        <v>40573</v>
      </c>
      <c r="B661" s="60">
        <v>18</v>
      </c>
      <c r="C661" s="60">
        <v>104</v>
      </c>
      <c r="D661" s="61">
        <v>122</v>
      </c>
      <c r="E661" t="str">
        <f t="shared" si="30"/>
        <v>normal</v>
      </c>
      <c r="F661" s="35">
        <f t="shared" si="31"/>
        <v>122</v>
      </c>
      <c r="G661" s="35" t="e">
        <f t="shared" si="32"/>
        <v>#N/A</v>
      </c>
    </row>
    <row r="662" spans="1:7" x14ac:dyDescent="0.35">
      <c r="A662" s="65">
        <v>40573</v>
      </c>
      <c r="B662" s="62">
        <v>14</v>
      </c>
      <c r="C662" s="62">
        <v>95</v>
      </c>
      <c r="D662" s="63">
        <v>109</v>
      </c>
      <c r="E662" t="str">
        <f t="shared" si="30"/>
        <v>normal</v>
      </c>
      <c r="F662" s="35">
        <f t="shared" si="31"/>
        <v>109</v>
      </c>
      <c r="G662" s="35" t="e">
        <f t="shared" si="32"/>
        <v>#N/A</v>
      </c>
    </row>
    <row r="663" spans="1:7" x14ac:dyDescent="0.35">
      <c r="A663" s="64">
        <v>40573</v>
      </c>
      <c r="B663" s="60">
        <v>19</v>
      </c>
      <c r="C663" s="60">
        <v>104</v>
      </c>
      <c r="D663" s="61">
        <v>123</v>
      </c>
      <c r="E663" t="str">
        <f t="shared" si="30"/>
        <v>normal</v>
      </c>
      <c r="F663" s="35">
        <f t="shared" si="31"/>
        <v>123</v>
      </c>
      <c r="G663" s="35" t="e">
        <f t="shared" si="32"/>
        <v>#N/A</v>
      </c>
    </row>
    <row r="664" spans="1:7" x14ac:dyDescent="0.35">
      <c r="A664" s="65">
        <v>40573</v>
      </c>
      <c r="B664" s="62">
        <v>6</v>
      </c>
      <c r="C664" s="62">
        <v>71</v>
      </c>
      <c r="D664" s="63">
        <v>77</v>
      </c>
      <c r="E664" t="str">
        <f t="shared" si="30"/>
        <v>normal</v>
      </c>
      <c r="F664" s="35">
        <f t="shared" si="31"/>
        <v>77</v>
      </c>
      <c r="G664" s="35" t="e">
        <f t="shared" si="32"/>
        <v>#N/A</v>
      </c>
    </row>
    <row r="665" spans="1:7" x14ac:dyDescent="0.35">
      <c r="A665" s="64">
        <v>40573</v>
      </c>
      <c r="B665" s="60">
        <v>8</v>
      </c>
      <c r="C665" s="60">
        <v>57</v>
      </c>
      <c r="D665" s="61">
        <v>65</v>
      </c>
      <c r="E665" t="str">
        <f t="shared" si="30"/>
        <v>normal</v>
      </c>
      <c r="F665" s="35">
        <f t="shared" si="31"/>
        <v>65</v>
      </c>
      <c r="G665" s="35" t="e">
        <f t="shared" si="32"/>
        <v>#N/A</v>
      </c>
    </row>
    <row r="666" spans="1:7" x14ac:dyDescent="0.35">
      <c r="A666" s="65">
        <v>40573</v>
      </c>
      <c r="B666" s="62">
        <v>9</v>
      </c>
      <c r="C666" s="62">
        <v>46</v>
      </c>
      <c r="D666" s="63">
        <v>55</v>
      </c>
      <c r="E666" t="str">
        <f t="shared" si="30"/>
        <v>normal</v>
      </c>
      <c r="F666" s="35">
        <f t="shared" si="31"/>
        <v>55</v>
      </c>
      <c r="G666" s="35" t="e">
        <f t="shared" si="32"/>
        <v>#N/A</v>
      </c>
    </row>
    <row r="667" spans="1:7" x14ac:dyDescent="0.35">
      <c r="A667" s="64">
        <v>40573</v>
      </c>
      <c r="B667" s="60">
        <v>3</v>
      </c>
      <c r="C667" s="60">
        <v>30</v>
      </c>
      <c r="D667" s="61">
        <v>33</v>
      </c>
      <c r="E667" t="str">
        <f t="shared" si="30"/>
        <v>normal</v>
      </c>
      <c r="F667" s="35">
        <f t="shared" si="31"/>
        <v>33</v>
      </c>
      <c r="G667" s="35" t="e">
        <f t="shared" si="32"/>
        <v>#N/A</v>
      </c>
    </row>
    <row r="668" spans="1:7" x14ac:dyDescent="0.35">
      <c r="A668" s="65">
        <v>40573</v>
      </c>
      <c r="B668" s="62">
        <v>3</v>
      </c>
      <c r="C668" s="62">
        <v>25</v>
      </c>
      <c r="D668" s="63">
        <v>28</v>
      </c>
      <c r="E668" t="str">
        <f t="shared" si="30"/>
        <v>normal</v>
      </c>
      <c r="F668" s="35">
        <f t="shared" si="31"/>
        <v>28</v>
      </c>
      <c r="G668" s="35" t="e">
        <f t="shared" si="32"/>
        <v>#N/A</v>
      </c>
    </row>
    <row r="669" spans="1:7" x14ac:dyDescent="0.35">
      <c r="A669" s="64">
        <v>40573</v>
      </c>
      <c r="B669" s="60">
        <v>2</v>
      </c>
      <c r="C669" s="60">
        <v>19</v>
      </c>
      <c r="D669" s="61">
        <v>21</v>
      </c>
      <c r="E669" t="str">
        <f t="shared" si="30"/>
        <v>normal</v>
      </c>
      <c r="F669" s="35">
        <f t="shared" si="31"/>
        <v>21</v>
      </c>
      <c r="G669" s="35" t="e">
        <f t="shared" si="32"/>
        <v>#N/A</v>
      </c>
    </row>
    <row r="670" spans="1:7" x14ac:dyDescent="0.35">
      <c r="A670" s="65">
        <v>40573</v>
      </c>
      <c r="B670" s="62">
        <v>5</v>
      </c>
      <c r="C670" s="62">
        <v>16</v>
      </c>
      <c r="D670" s="63">
        <v>21</v>
      </c>
      <c r="E670" t="str">
        <f t="shared" si="30"/>
        <v>normal</v>
      </c>
      <c r="F670" s="35">
        <f t="shared" si="31"/>
        <v>21</v>
      </c>
      <c r="G670" s="35" t="e">
        <f t="shared" si="32"/>
        <v>#N/A</v>
      </c>
    </row>
    <row r="671" spans="1:7" x14ac:dyDescent="0.35">
      <c r="A671" s="64">
        <v>40574</v>
      </c>
      <c r="B671" s="60">
        <v>1</v>
      </c>
      <c r="C671" s="60">
        <v>6</v>
      </c>
      <c r="D671" s="61">
        <v>7</v>
      </c>
      <c r="E671" t="str">
        <f t="shared" si="30"/>
        <v>normal</v>
      </c>
      <c r="F671" s="35">
        <f t="shared" si="31"/>
        <v>7</v>
      </c>
      <c r="G671" s="35" t="e">
        <f t="shared" si="32"/>
        <v>#N/A</v>
      </c>
    </row>
    <row r="672" spans="1:7" x14ac:dyDescent="0.35">
      <c r="A672" s="65">
        <v>40574</v>
      </c>
      <c r="B672" s="62">
        <v>2</v>
      </c>
      <c r="C672" s="62">
        <v>5</v>
      </c>
      <c r="D672" s="63">
        <v>7</v>
      </c>
      <c r="E672" t="str">
        <f t="shared" si="30"/>
        <v>normal</v>
      </c>
      <c r="F672" s="35">
        <f t="shared" si="31"/>
        <v>7</v>
      </c>
      <c r="G672" s="35" t="e">
        <f t="shared" si="32"/>
        <v>#N/A</v>
      </c>
    </row>
    <row r="673" spans="1:7" x14ac:dyDescent="0.35">
      <c r="A673" s="64">
        <v>40574</v>
      </c>
      <c r="B673" s="60">
        <v>0</v>
      </c>
      <c r="C673" s="60">
        <v>1</v>
      </c>
      <c r="D673" s="61">
        <v>1</v>
      </c>
      <c r="E673" t="str">
        <f t="shared" si="30"/>
        <v>normal</v>
      </c>
      <c r="F673" s="35">
        <f t="shared" si="31"/>
        <v>1</v>
      </c>
      <c r="G673" s="35" t="e">
        <f t="shared" si="32"/>
        <v>#N/A</v>
      </c>
    </row>
    <row r="674" spans="1:7" x14ac:dyDescent="0.35">
      <c r="A674" s="65">
        <v>40574</v>
      </c>
      <c r="B674" s="62">
        <v>0</v>
      </c>
      <c r="C674" s="62">
        <v>2</v>
      </c>
      <c r="D674" s="63">
        <v>2</v>
      </c>
      <c r="E674" t="str">
        <f t="shared" si="30"/>
        <v>normal</v>
      </c>
      <c r="F674" s="35">
        <f t="shared" si="31"/>
        <v>2</v>
      </c>
      <c r="G674" s="35" t="e">
        <f t="shared" si="32"/>
        <v>#N/A</v>
      </c>
    </row>
    <row r="675" spans="1:7" x14ac:dyDescent="0.35">
      <c r="A675" s="64">
        <v>40574</v>
      </c>
      <c r="B675" s="60">
        <v>0</v>
      </c>
      <c r="C675" s="60">
        <v>2</v>
      </c>
      <c r="D675" s="61">
        <v>2</v>
      </c>
      <c r="E675" t="str">
        <f t="shared" si="30"/>
        <v>normal</v>
      </c>
      <c r="F675" s="35">
        <f t="shared" si="31"/>
        <v>2</v>
      </c>
      <c r="G675" s="35" t="e">
        <f t="shared" si="32"/>
        <v>#N/A</v>
      </c>
    </row>
    <row r="676" spans="1:7" x14ac:dyDescent="0.35">
      <c r="A676" s="65">
        <v>40574</v>
      </c>
      <c r="B676" s="62">
        <v>0</v>
      </c>
      <c r="C676" s="62">
        <v>8</v>
      </c>
      <c r="D676" s="63">
        <v>8</v>
      </c>
      <c r="E676" t="str">
        <f t="shared" si="30"/>
        <v>normal</v>
      </c>
      <c r="F676" s="35">
        <f t="shared" si="31"/>
        <v>8</v>
      </c>
      <c r="G676" s="35" t="e">
        <f t="shared" si="32"/>
        <v>#N/A</v>
      </c>
    </row>
    <row r="677" spans="1:7" x14ac:dyDescent="0.35">
      <c r="A677" s="64">
        <v>40574</v>
      </c>
      <c r="B677" s="60">
        <v>0</v>
      </c>
      <c r="C677" s="60">
        <v>37</v>
      </c>
      <c r="D677" s="61">
        <v>37</v>
      </c>
      <c r="E677" t="str">
        <f t="shared" si="30"/>
        <v>normal</v>
      </c>
      <c r="F677" s="35">
        <f t="shared" si="31"/>
        <v>37</v>
      </c>
      <c r="G677" s="35" t="e">
        <f t="shared" si="32"/>
        <v>#N/A</v>
      </c>
    </row>
    <row r="678" spans="1:7" x14ac:dyDescent="0.35">
      <c r="A678" s="65">
        <v>40574</v>
      </c>
      <c r="B678" s="62">
        <v>1</v>
      </c>
      <c r="C678" s="62">
        <v>71</v>
      </c>
      <c r="D678" s="63">
        <v>72</v>
      </c>
      <c r="E678" t="str">
        <f t="shared" si="30"/>
        <v>normal</v>
      </c>
      <c r="F678" s="35">
        <f t="shared" si="31"/>
        <v>72</v>
      </c>
      <c r="G678" s="35" t="e">
        <f t="shared" si="32"/>
        <v>#N/A</v>
      </c>
    </row>
    <row r="679" spans="1:7" x14ac:dyDescent="0.35">
      <c r="A679" s="64">
        <v>40574</v>
      </c>
      <c r="B679" s="60">
        <v>3</v>
      </c>
      <c r="C679" s="60">
        <v>182</v>
      </c>
      <c r="D679" s="61">
        <v>185</v>
      </c>
      <c r="E679" t="str">
        <f t="shared" si="30"/>
        <v>Anamoly</v>
      </c>
      <c r="F679" s="35" t="e">
        <f t="shared" si="31"/>
        <v>#N/A</v>
      </c>
      <c r="G679" s="35">
        <f t="shared" si="32"/>
        <v>185</v>
      </c>
    </row>
    <row r="680" spans="1:7" x14ac:dyDescent="0.35">
      <c r="A680" s="65">
        <v>40574</v>
      </c>
      <c r="B680" s="62">
        <v>0</v>
      </c>
      <c r="C680" s="62">
        <v>112</v>
      </c>
      <c r="D680" s="63">
        <v>112</v>
      </c>
      <c r="E680" t="str">
        <f t="shared" si="30"/>
        <v>normal</v>
      </c>
      <c r="F680" s="35">
        <f t="shared" si="31"/>
        <v>112</v>
      </c>
      <c r="G680" s="35" t="e">
        <f t="shared" si="32"/>
        <v>#N/A</v>
      </c>
    </row>
    <row r="681" spans="1:7" x14ac:dyDescent="0.35">
      <c r="A681" s="64">
        <v>40574</v>
      </c>
      <c r="B681" s="60">
        <v>1</v>
      </c>
      <c r="C681" s="60">
        <v>68</v>
      </c>
      <c r="D681" s="61">
        <v>69</v>
      </c>
      <c r="E681" t="str">
        <f t="shared" si="30"/>
        <v>normal</v>
      </c>
      <c r="F681" s="35">
        <f t="shared" si="31"/>
        <v>69</v>
      </c>
      <c r="G681" s="35" t="e">
        <f t="shared" si="32"/>
        <v>#N/A</v>
      </c>
    </row>
    <row r="682" spans="1:7" x14ac:dyDescent="0.35">
      <c r="A682" s="65">
        <v>40574</v>
      </c>
      <c r="B682" s="62">
        <v>2</v>
      </c>
      <c r="C682" s="62">
        <v>46</v>
      </c>
      <c r="D682" s="63">
        <v>48</v>
      </c>
      <c r="E682" t="str">
        <f t="shared" si="30"/>
        <v>normal</v>
      </c>
      <c r="F682" s="35">
        <f t="shared" si="31"/>
        <v>48</v>
      </c>
      <c r="G682" s="35" t="e">
        <f t="shared" si="32"/>
        <v>#N/A</v>
      </c>
    </row>
    <row r="683" spans="1:7" x14ac:dyDescent="0.35">
      <c r="A683" s="64">
        <v>40574</v>
      </c>
      <c r="B683" s="60">
        <v>6</v>
      </c>
      <c r="C683" s="60">
        <v>62</v>
      </c>
      <c r="D683" s="61">
        <v>68</v>
      </c>
      <c r="E683" t="str">
        <f t="shared" si="30"/>
        <v>normal</v>
      </c>
      <c r="F683" s="35">
        <f t="shared" si="31"/>
        <v>68</v>
      </c>
      <c r="G683" s="35" t="e">
        <f t="shared" si="32"/>
        <v>#N/A</v>
      </c>
    </row>
    <row r="684" spans="1:7" x14ac:dyDescent="0.35">
      <c r="A684" s="65">
        <v>40574</v>
      </c>
      <c r="B684" s="62">
        <v>2</v>
      </c>
      <c r="C684" s="62">
        <v>52</v>
      </c>
      <c r="D684" s="63">
        <v>54</v>
      </c>
      <c r="E684" t="str">
        <f t="shared" si="30"/>
        <v>normal</v>
      </c>
      <c r="F684" s="35">
        <f t="shared" si="31"/>
        <v>54</v>
      </c>
      <c r="G684" s="35" t="e">
        <f t="shared" si="32"/>
        <v>#N/A</v>
      </c>
    </row>
    <row r="685" spans="1:7" x14ac:dyDescent="0.35">
      <c r="A685" s="64">
        <v>40574</v>
      </c>
      <c r="B685" s="60">
        <v>1</v>
      </c>
      <c r="C685" s="60">
        <v>85</v>
      </c>
      <c r="D685" s="61">
        <v>86</v>
      </c>
      <c r="E685" t="str">
        <f t="shared" si="30"/>
        <v>normal</v>
      </c>
      <c r="F685" s="35">
        <f t="shared" si="31"/>
        <v>86</v>
      </c>
      <c r="G685" s="35" t="e">
        <f t="shared" si="32"/>
        <v>#N/A</v>
      </c>
    </row>
    <row r="686" spans="1:7" x14ac:dyDescent="0.35">
      <c r="A686" s="65">
        <v>40574</v>
      </c>
      <c r="B686" s="62">
        <v>3</v>
      </c>
      <c r="C686" s="62">
        <v>41</v>
      </c>
      <c r="D686" s="63">
        <v>44</v>
      </c>
      <c r="E686" t="str">
        <f t="shared" si="30"/>
        <v>normal</v>
      </c>
      <c r="F686" s="35">
        <f t="shared" si="31"/>
        <v>44</v>
      </c>
      <c r="G686" s="35" t="e">
        <f t="shared" si="32"/>
        <v>#N/A</v>
      </c>
    </row>
    <row r="687" spans="1:7" x14ac:dyDescent="0.35">
      <c r="A687" s="64">
        <v>40574</v>
      </c>
      <c r="B687" s="60">
        <v>3</v>
      </c>
      <c r="C687" s="60">
        <v>83</v>
      </c>
      <c r="D687" s="61">
        <v>86</v>
      </c>
      <c r="E687" t="str">
        <f t="shared" si="30"/>
        <v>normal</v>
      </c>
      <c r="F687" s="35">
        <f t="shared" si="31"/>
        <v>86</v>
      </c>
      <c r="G687" s="35" t="e">
        <f t="shared" si="32"/>
        <v>#N/A</v>
      </c>
    </row>
    <row r="688" spans="1:7" x14ac:dyDescent="0.35">
      <c r="A688" s="65">
        <v>40574</v>
      </c>
      <c r="B688" s="62">
        <v>6</v>
      </c>
      <c r="C688" s="62">
        <v>155</v>
      </c>
      <c r="D688" s="63">
        <v>161</v>
      </c>
      <c r="E688" t="str">
        <f t="shared" si="30"/>
        <v>normal</v>
      </c>
      <c r="F688" s="35">
        <f t="shared" si="31"/>
        <v>161</v>
      </c>
      <c r="G688" s="35" t="e">
        <f t="shared" si="32"/>
        <v>#N/A</v>
      </c>
    </row>
    <row r="689" spans="1:7" x14ac:dyDescent="0.35">
      <c r="A689" s="64">
        <v>40574</v>
      </c>
      <c r="B689" s="60">
        <v>3</v>
      </c>
      <c r="C689" s="60">
        <v>153</v>
      </c>
      <c r="D689" s="61">
        <v>156</v>
      </c>
      <c r="E689" t="str">
        <f t="shared" si="30"/>
        <v>normal</v>
      </c>
      <c r="F689" s="35">
        <f t="shared" si="31"/>
        <v>156</v>
      </c>
      <c r="G689" s="35" t="e">
        <f t="shared" si="32"/>
        <v>#N/A</v>
      </c>
    </row>
    <row r="690" spans="1:7" x14ac:dyDescent="0.35">
      <c r="A690" s="65">
        <v>40574</v>
      </c>
      <c r="B690" s="62">
        <v>3</v>
      </c>
      <c r="C690" s="62">
        <v>108</v>
      </c>
      <c r="D690" s="63">
        <v>111</v>
      </c>
      <c r="E690" t="str">
        <f t="shared" si="30"/>
        <v>normal</v>
      </c>
      <c r="F690" s="35">
        <f t="shared" si="31"/>
        <v>111</v>
      </c>
      <c r="G690" s="35" t="e">
        <f t="shared" si="32"/>
        <v>#N/A</v>
      </c>
    </row>
    <row r="691" spans="1:7" x14ac:dyDescent="0.35">
      <c r="A691" s="64">
        <v>40574</v>
      </c>
      <c r="B691" s="60">
        <v>0</v>
      </c>
      <c r="C691" s="60">
        <v>78</v>
      </c>
      <c r="D691" s="61">
        <v>78</v>
      </c>
      <c r="E691" t="str">
        <f t="shared" si="30"/>
        <v>normal</v>
      </c>
      <c r="F691" s="35">
        <f t="shared" si="31"/>
        <v>78</v>
      </c>
      <c r="G691" s="35" t="e">
        <f t="shared" si="32"/>
        <v>#N/A</v>
      </c>
    </row>
    <row r="692" spans="1:7" x14ac:dyDescent="0.35">
      <c r="A692" s="65">
        <v>40574</v>
      </c>
      <c r="B692" s="62">
        <v>3</v>
      </c>
      <c r="C692" s="62">
        <v>53</v>
      </c>
      <c r="D692" s="63">
        <v>56</v>
      </c>
      <c r="E692" t="str">
        <f t="shared" si="30"/>
        <v>normal</v>
      </c>
      <c r="F692" s="35">
        <f t="shared" si="31"/>
        <v>56</v>
      </c>
      <c r="G692" s="35" t="e">
        <f t="shared" si="32"/>
        <v>#N/A</v>
      </c>
    </row>
    <row r="693" spans="1:7" x14ac:dyDescent="0.35">
      <c r="A693" s="64">
        <v>40574</v>
      </c>
      <c r="B693" s="60">
        <v>0</v>
      </c>
      <c r="C693" s="60">
        <v>34</v>
      </c>
      <c r="D693" s="61">
        <v>34</v>
      </c>
      <c r="E693" t="str">
        <f t="shared" si="30"/>
        <v>normal</v>
      </c>
      <c r="F693" s="35">
        <f t="shared" si="31"/>
        <v>34</v>
      </c>
      <c r="G693" s="35" t="e">
        <f t="shared" si="32"/>
        <v>#N/A</v>
      </c>
    </row>
    <row r="694" spans="1:7" x14ac:dyDescent="0.35">
      <c r="A694" s="65">
        <v>40574</v>
      </c>
      <c r="B694" s="62">
        <v>2</v>
      </c>
      <c r="C694" s="62">
        <v>15</v>
      </c>
      <c r="D694" s="63">
        <v>17</v>
      </c>
      <c r="E694" t="str">
        <f t="shared" si="30"/>
        <v>normal</v>
      </c>
      <c r="F694" s="35">
        <f t="shared" si="31"/>
        <v>17</v>
      </c>
      <c r="G694" s="35" t="e">
        <f t="shared" si="32"/>
        <v>#N/A</v>
      </c>
    </row>
    <row r="695" spans="1:7" x14ac:dyDescent="0.35">
      <c r="A695" s="64">
        <v>40575</v>
      </c>
      <c r="B695" s="60">
        <v>2</v>
      </c>
      <c r="C695" s="60">
        <v>6</v>
      </c>
      <c r="D695" s="61">
        <v>8</v>
      </c>
      <c r="E695" t="str">
        <f t="shared" si="30"/>
        <v>normal</v>
      </c>
      <c r="F695" s="35">
        <f t="shared" si="31"/>
        <v>8</v>
      </c>
      <c r="G695" s="35" t="e">
        <f t="shared" si="32"/>
        <v>#N/A</v>
      </c>
    </row>
    <row r="696" spans="1:7" x14ac:dyDescent="0.35">
      <c r="A696" s="65">
        <v>40575</v>
      </c>
      <c r="B696" s="62">
        <v>0</v>
      </c>
      <c r="C696" s="62">
        <v>3</v>
      </c>
      <c r="D696" s="63">
        <v>3</v>
      </c>
      <c r="E696" t="str">
        <f t="shared" si="30"/>
        <v>normal</v>
      </c>
      <c r="F696" s="35">
        <f t="shared" si="31"/>
        <v>3</v>
      </c>
      <c r="G696" s="35" t="e">
        <f t="shared" si="32"/>
        <v>#N/A</v>
      </c>
    </row>
    <row r="697" spans="1:7" x14ac:dyDescent="0.35">
      <c r="A697" s="64">
        <v>40575</v>
      </c>
      <c r="B697" s="60">
        <v>0</v>
      </c>
      <c r="C697" s="60">
        <v>2</v>
      </c>
      <c r="D697" s="61">
        <v>2</v>
      </c>
      <c r="E697" t="str">
        <f t="shared" si="30"/>
        <v>normal</v>
      </c>
      <c r="F697" s="35">
        <f t="shared" si="31"/>
        <v>2</v>
      </c>
      <c r="G697" s="35" t="e">
        <f t="shared" si="32"/>
        <v>#N/A</v>
      </c>
    </row>
    <row r="698" spans="1:7" x14ac:dyDescent="0.35">
      <c r="A698" s="65">
        <v>40575</v>
      </c>
      <c r="B698" s="62">
        <v>0</v>
      </c>
      <c r="C698" s="62">
        <v>2</v>
      </c>
      <c r="D698" s="63">
        <v>2</v>
      </c>
      <c r="E698" t="str">
        <f t="shared" si="30"/>
        <v>normal</v>
      </c>
      <c r="F698" s="35">
        <f t="shared" si="31"/>
        <v>2</v>
      </c>
      <c r="G698" s="35" t="e">
        <f t="shared" si="32"/>
        <v>#N/A</v>
      </c>
    </row>
    <row r="699" spans="1:7" x14ac:dyDescent="0.35">
      <c r="A699" s="64">
        <v>40575</v>
      </c>
      <c r="B699" s="60">
        <v>0</v>
      </c>
      <c r="C699" s="60">
        <v>3</v>
      </c>
      <c r="D699" s="61">
        <v>3</v>
      </c>
      <c r="E699" t="str">
        <f t="shared" si="30"/>
        <v>normal</v>
      </c>
      <c r="F699" s="35">
        <f t="shared" si="31"/>
        <v>3</v>
      </c>
      <c r="G699" s="35" t="e">
        <f t="shared" si="32"/>
        <v>#N/A</v>
      </c>
    </row>
    <row r="700" spans="1:7" x14ac:dyDescent="0.35">
      <c r="A700" s="65">
        <v>40575</v>
      </c>
      <c r="B700" s="62">
        <v>0</v>
      </c>
      <c r="C700" s="62">
        <v>22</v>
      </c>
      <c r="D700" s="63">
        <v>22</v>
      </c>
      <c r="E700" t="str">
        <f t="shared" si="30"/>
        <v>normal</v>
      </c>
      <c r="F700" s="35">
        <f t="shared" si="31"/>
        <v>22</v>
      </c>
      <c r="G700" s="35" t="e">
        <f t="shared" si="32"/>
        <v>#N/A</v>
      </c>
    </row>
    <row r="701" spans="1:7" x14ac:dyDescent="0.35">
      <c r="A701" s="64">
        <v>40575</v>
      </c>
      <c r="B701" s="60">
        <v>0</v>
      </c>
      <c r="C701" s="60">
        <v>52</v>
      </c>
      <c r="D701" s="61">
        <v>52</v>
      </c>
      <c r="E701" t="str">
        <f t="shared" si="30"/>
        <v>normal</v>
      </c>
      <c r="F701" s="35">
        <f t="shared" si="31"/>
        <v>52</v>
      </c>
      <c r="G701" s="35" t="e">
        <f t="shared" si="32"/>
        <v>#N/A</v>
      </c>
    </row>
    <row r="702" spans="1:7" x14ac:dyDescent="0.35">
      <c r="A702" s="65">
        <v>40575</v>
      </c>
      <c r="B702" s="62">
        <v>3</v>
      </c>
      <c r="C702" s="62">
        <v>132</v>
      </c>
      <c r="D702" s="63">
        <v>135</v>
      </c>
      <c r="E702" t="str">
        <f t="shared" si="30"/>
        <v>normal</v>
      </c>
      <c r="F702" s="35">
        <f t="shared" si="31"/>
        <v>135</v>
      </c>
      <c r="G702" s="35" t="e">
        <f t="shared" si="32"/>
        <v>#N/A</v>
      </c>
    </row>
    <row r="703" spans="1:7" x14ac:dyDescent="0.35">
      <c r="A703" s="64">
        <v>40575</v>
      </c>
      <c r="B703" s="60">
        <v>2</v>
      </c>
      <c r="C703" s="60">
        <v>114</v>
      </c>
      <c r="D703" s="61">
        <v>116</v>
      </c>
      <c r="E703" t="str">
        <f t="shared" si="30"/>
        <v>normal</v>
      </c>
      <c r="F703" s="35">
        <f t="shared" si="31"/>
        <v>116</v>
      </c>
      <c r="G703" s="35" t="e">
        <f t="shared" si="32"/>
        <v>#N/A</v>
      </c>
    </row>
    <row r="704" spans="1:7" x14ac:dyDescent="0.35">
      <c r="A704" s="65">
        <v>40575</v>
      </c>
      <c r="B704" s="62">
        <v>0</v>
      </c>
      <c r="C704" s="62">
        <v>47</v>
      </c>
      <c r="D704" s="63">
        <v>47</v>
      </c>
      <c r="E704" t="str">
        <f t="shared" si="30"/>
        <v>normal</v>
      </c>
      <c r="F704" s="35">
        <f t="shared" si="31"/>
        <v>47</v>
      </c>
      <c r="G704" s="35" t="e">
        <f t="shared" si="32"/>
        <v>#N/A</v>
      </c>
    </row>
    <row r="705" spans="1:7" x14ac:dyDescent="0.35">
      <c r="A705" s="64">
        <v>40575</v>
      </c>
      <c r="B705" s="60">
        <v>2</v>
      </c>
      <c r="C705" s="60">
        <v>49</v>
      </c>
      <c r="D705" s="61">
        <v>51</v>
      </c>
      <c r="E705" t="str">
        <f t="shared" si="30"/>
        <v>normal</v>
      </c>
      <c r="F705" s="35">
        <f t="shared" si="31"/>
        <v>51</v>
      </c>
      <c r="G705" s="35" t="e">
        <f t="shared" si="32"/>
        <v>#N/A</v>
      </c>
    </row>
    <row r="706" spans="1:7" x14ac:dyDescent="0.35">
      <c r="A706" s="65">
        <v>40575</v>
      </c>
      <c r="B706" s="62">
        <v>2</v>
      </c>
      <c r="C706" s="62">
        <v>53</v>
      </c>
      <c r="D706" s="63">
        <v>55</v>
      </c>
      <c r="E706" t="str">
        <f t="shared" si="30"/>
        <v>normal</v>
      </c>
      <c r="F706" s="35">
        <f t="shared" si="31"/>
        <v>55</v>
      </c>
      <c r="G706" s="35" t="e">
        <f t="shared" si="32"/>
        <v>#N/A</v>
      </c>
    </row>
    <row r="707" spans="1:7" x14ac:dyDescent="0.35">
      <c r="A707" s="64">
        <v>40575</v>
      </c>
      <c r="B707" s="60">
        <v>3</v>
      </c>
      <c r="C707" s="60">
        <v>49</v>
      </c>
      <c r="D707" s="61">
        <v>52</v>
      </c>
      <c r="E707" t="str">
        <f t="shared" si="30"/>
        <v>normal</v>
      </c>
      <c r="F707" s="35">
        <f t="shared" si="31"/>
        <v>52</v>
      </c>
      <c r="G707" s="35" t="e">
        <f t="shared" si="32"/>
        <v>#N/A</v>
      </c>
    </row>
    <row r="708" spans="1:7" x14ac:dyDescent="0.35">
      <c r="A708" s="65">
        <v>40575</v>
      </c>
      <c r="B708" s="62">
        <v>5</v>
      </c>
      <c r="C708" s="62">
        <v>49</v>
      </c>
      <c r="D708" s="63">
        <v>54</v>
      </c>
      <c r="E708" t="str">
        <f t="shared" si="30"/>
        <v>normal</v>
      </c>
      <c r="F708" s="35">
        <f t="shared" si="31"/>
        <v>54</v>
      </c>
      <c r="G708" s="35" t="e">
        <f t="shared" si="32"/>
        <v>#N/A</v>
      </c>
    </row>
    <row r="709" spans="1:7" x14ac:dyDescent="0.35">
      <c r="A709" s="64">
        <v>40575</v>
      </c>
      <c r="B709" s="60">
        <v>7</v>
      </c>
      <c r="C709" s="60">
        <v>45</v>
      </c>
      <c r="D709" s="61">
        <v>52</v>
      </c>
      <c r="E709" t="str">
        <f t="shared" si="30"/>
        <v>normal</v>
      </c>
      <c r="F709" s="35">
        <f t="shared" si="31"/>
        <v>52</v>
      </c>
      <c r="G709" s="35" t="e">
        <f t="shared" si="32"/>
        <v>#N/A</v>
      </c>
    </row>
    <row r="710" spans="1:7" x14ac:dyDescent="0.35">
      <c r="A710" s="65">
        <v>40575</v>
      </c>
      <c r="B710" s="62">
        <v>3</v>
      </c>
      <c r="C710" s="62">
        <v>61</v>
      </c>
      <c r="D710" s="63">
        <v>64</v>
      </c>
      <c r="E710" t="str">
        <f t="shared" si="30"/>
        <v>normal</v>
      </c>
      <c r="F710" s="35">
        <f t="shared" si="31"/>
        <v>64</v>
      </c>
      <c r="G710" s="35" t="e">
        <f t="shared" si="32"/>
        <v>#N/A</v>
      </c>
    </row>
    <row r="711" spans="1:7" x14ac:dyDescent="0.35">
      <c r="A711" s="64">
        <v>40575</v>
      </c>
      <c r="B711" s="60">
        <v>4</v>
      </c>
      <c r="C711" s="60">
        <v>172</v>
      </c>
      <c r="D711" s="61">
        <v>176</v>
      </c>
      <c r="E711" t="str">
        <f t="shared" ref="E711:E774" si="33">IF(OR(D711&lt;$L$15,D711&gt;$L$16),"Anamoly","normal")</f>
        <v>normal</v>
      </c>
      <c r="F711" s="35">
        <f t="shared" si="31"/>
        <v>176</v>
      </c>
      <c r="G711" s="35" t="e">
        <f t="shared" si="32"/>
        <v>#N/A</v>
      </c>
    </row>
    <row r="712" spans="1:7" x14ac:dyDescent="0.35">
      <c r="A712" s="65">
        <v>40575</v>
      </c>
      <c r="B712" s="62">
        <v>3</v>
      </c>
      <c r="C712" s="62">
        <v>165</v>
      </c>
      <c r="D712" s="63">
        <v>168</v>
      </c>
      <c r="E712" t="str">
        <f t="shared" si="33"/>
        <v>normal</v>
      </c>
      <c r="F712" s="35">
        <f t="shared" ref="F712:F775" si="34">IF(E712="normal",D712,NA())</f>
        <v>168</v>
      </c>
      <c r="G712" s="35" t="e">
        <f t="shared" ref="G712:G775" si="35">IF(E712="anamoly",D712,NA())</f>
        <v>#N/A</v>
      </c>
    </row>
    <row r="713" spans="1:7" x14ac:dyDescent="0.35">
      <c r="A713" s="64">
        <v>40575</v>
      </c>
      <c r="B713" s="60">
        <v>3</v>
      </c>
      <c r="C713" s="60">
        <v>105</v>
      </c>
      <c r="D713" s="61">
        <v>108</v>
      </c>
      <c r="E713" t="str">
        <f t="shared" si="33"/>
        <v>normal</v>
      </c>
      <c r="F713" s="35">
        <f t="shared" si="34"/>
        <v>108</v>
      </c>
      <c r="G713" s="35" t="e">
        <f t="shared" si="35"/>
        <v>#N/A</v>
      </c>
    </row>
    <row r="714" spans="1:7" x14ac:dyDescent="0.35">
      <c r="A714" s="65">
        <v>40575</v>
      </c>
      <c r="B714" s="62">
        <v>5</v>
      </c>
      <c r="C714" s="62">
        <v>69</v>
      </c>
      <c r="D714" s="63">
        <v>74</v>
      </c>
      <c r="E714" t="str">
        <f t="shared" si="33"/>
        <v>normal</v>
      </c>
      <c r="F714" s="35">
        <f t="shared" si="34"/>
        <v>74</v>
      </c>
      <c r="G714" s="35" t="e">
        <f t="shared" si="35"/>
        <v>#N/A</v>
      </c>
    </row>
    <row r="715" spans="1:7" x14ac:dyDescent="0.35">
      <c r="A715" s="64">
        <v>40575</v>
      </c>
      <c r="B715" s="60">
        <v>0</v>
      </c>
      <c r="C715" s="60">
        <v>64</v>
      </c>
      <c r="D715" s="61">
        <v>64</v>
      </c>
      <c r="E715" t="str">
        <f t="shared" si="33"/>
        <v>normal</v>
      </c>
      <c r="F715" s="35">
        <f t="shared" si="34"/>
        <v>64</v>
      </c>
      <c r="G715" s="35" t="e">
        <f t="shared" si="35"/>
        <v>#N/A</v>
      </c>
    </row>
    <row r="716" spans="1:7" x14ac:dyDescent="0.35">
      <c r="A716" s="65">
        <v>40575</v>
      </c>
      <c r="B716" s="62">
        <v>2</v>
      </c>
      <c r="C716" s="62">
        <v>34</v>
      </c>
      <c r="D716" s="63">
        <v>36</v>
      </c>
      <c r="E716" t="str">
        <f t="shared" si="33"/>
        <v>normal</v>
      </c>
      <c r="F716" s="35">
        <f t="shared" si="34"/>
        <v>36</v>
      </c>
      <c r="G716" s="35" t="e">
        <f t="shared" si="35"/>
        <v>#N/A</v>
      </c>
    </row>
    <row r="717" spans="1:7" x14ac:dyDescent="0.35">
      <c r="A717" s="64">
        <v>40575</v>
      </c>
      <c r="B717" s="60">
        <v>1</v>
      </c>
      <c r="C717" s="60">
        <v>15</v>
      </c>
      <c r="D717" s="61">
        <v>16</v>
      </c>
      <c r="E717" t="str">
        <f t="shared" si="33"/>
        <v>normal</v>
      </c>
      <c r="F717" s="35">
        <f t="shared" si="34"/>
        <v>16</v>
      </c>
      <c r="G717" s="35" t="e">
        <f t="shared" si="35"/>
        <v>#N/A</v>
      </c>
    </row>
    <row r="718" spans="1:7" x14ac:dyDescent="0.35">
      <c r="A718" s="65">
        <v>40576</v>
      </c>
      <c r="B718" s="62">
        <v>0</v>
      </c>
      <c r="C718" s="62">
        <v>2</v>
      </c>
      <c r="D718" s="63">
        <v>2</v>
      </c>
      <c r="E718" t="str">
        <f t="shared" si="33"/>
        <v>normal</v>
      </c>
      <c r="F718" s="35">
        <f t="shared" si="34"/>
        <v>2</v>
      </c>
      <c r="G718" s="35" t="e">
        <f t="shared" si="35"/>
        <v>#N/A</v>
      </c>
    </row>
    <row r="719" spans="1:7" x14ac:dyDescent="0.35">
      <c r="A719" s="64">
        <v>40576</v>
      </c>
      <c r="B719" s="60">
        <v>0</v>
      </c>
      <c r="C719" s="60">
        <v>3</v>
      </c>
      <c r="D719" s="61">
        <v>3</v>
      </c>
      <c r="E719" t="str">
        <f t="shared" si="33"/>
        <v>normal</v>
      </c>
      <c r="F719" s="35">
        <f t="shared" si="34"/>
        <v>3</v>
      </c>
      <c r="G719" s="35" t="e">
        <f t="shared" si="35"/>
        <v>#N/A</v>
      </c>
    </row>
    <row r="720" spans="1:7" x14ac:dyDescent="0.35">
      <c r="A720" s="65">
        <v>40576</v>
      </c>
      <c r="B720" s="62">
        <v>4</v>
      </c>
      <c r="C720" s="62">
        <v>0</v>
      </c>
      <c r="D720" s="63">
        <v>4</v>
      </c>
      <c r="E720" t="str">
        <f t="shared" si="33"/>
        <v>normal</v>
      </c>
      <c r="F720" s="35">
        <f t="shared" si="34"/>
        <v>4</v>
      </c>
      <c r="G720" s="35" t="e">
        <f t="shared" si="35"/>
        <v>#N/A</v>
      </c>
    </row>
    <row r="721" spans="1:7" x14ac:dyDescent="0.35">
      <c r="A721" s="64">
        <v>40576</v>
      </c>
      <c r="B721" s="60">
        <v>0</v>
      </c>
      <c r="C721" s="60">
        <v>1</v>
      </c>
      <c r="D721" s="61">
        <v>1</v>
      </c>
      <c r="E721" t="str">
        <f t="shared" si="33"/>
        <v>normal</v>
      </c>
      <c r="F721" s="35">
        <f t="shared" si="34"/>
        <v>1</v>
      </c>
      <c r="G721" s="35" t="e">
        <f t="shared" si="35"/>
        <v>#N/A</v>
      </c>
    </row>
    <row r="722" spans="1:7" x14ac:dyDescent="0.35">
      <c r="A722" s="65">
        <v>40576</v>
      </c>
      <c r="B722" s="62">
        <v>0</v>
      </c>
      <c r="C722" s="62">
        <v>1</v>
      </c>
      <c r="D722" s="63">
        <v>1</v>
      </c>
      <c r="E722" t="str">
        <f t="shared" si="33"/>
        <v>normal</v>
      </c>
      <c r="F722" s="35">
        <f t="shared" si="34"/>
        <v>1</v>
      </c>
      <c r="G722" s="35" t="e">
        <f t="shared" si="35"/>
        <v>#N/A</v>
      </c>
    </row>
    <row r="723" spans="1:7" x14ac:dyDescent="0.35">
      <c r="A723" s="64">
        <v>40576</v>
      </c>
      <c r="B723" s="60">
        <v>0</v>
      </c>
      <c r="C723" s="60">
        <v>3</v>
      </c>
      <c r="D723" s="61">
        <v>3</v>
      </c>
      <c r="E723" t="str">
        <f t="shared" si="33"/>
        <v>normal</v>
      </c>
      <c r="F723" s="35">
        <f t="shared" si="34"/>
        <v>3</v>
      </c>
      <c r="G723" s="35" t="e">
        <f t="shared" si="35"/>
        <v>#N/A</v>
      </c>
    </row>
    <row r="724" spans="1:7" x14ac:dyDescent="0.35">
      <c r="A724" s="65">
        <v>40576</v>
      </c>
      <c r="B724" s="62">
        <v>1</v>
      </c>
      <c r="C724" s="62">
        <v>17</v>
      </c>
      <c r="D724" s="63">
        <v>18</v>
      </c>
      <c r="E724" t="str">
        <f t="shared" si="33"/>
        <v>normal</v>
      </c>
      <c r="F724" s="35">
        <f t="shared" si="34"/>
        <v>18</v>
      </c>
      <c r="G724" s="35" t="e">
        <f t="shared" si="35"/>
        <v>#N/A</v>
      </c>
    </row>
    <row r="725" spans="1:7" x14ac:dyDescent="0.35">
      <c r="A725" s="64">
        <v>40576</v>
      </c>
      <c r="B725" s="60">
        <v>1</v>
      </c>
      <c r="C725" s="60">
        <v>48</v>
      </c>
      <c r="D725" s="61">
        <v>49</v>
      </c>
      <c r="E725" t="str">
        <f t="shared" si="33"/>
        <v>normal</v>
      </c>
      <c r="F725" s="35">
        <f t="shared" si="34"/>
        <v>49</v>
      </c>
      <c r="G725" s="35" t="e">
        <f t="shared" si="35"/>
        <v>#N/A</v>
      </c>
    </row>
    <row r="726" spans="1:7" x14ac:dyDescent="0.35">
      <c r="A726" s="65">
        <v>40576</v>
      </c>
      <c r="B726" s="62">
        <v>1</v>
      </c>
      <c r="C726" s="62">
        <v>154</v>
      </c>
      <c r="D726" s="63">
        <v>155</v>
      </c>
      <c r="E726" t="str">
        <f t="shared" si="33"/>
        <v>normal</v>
      </c>
      <c r="F726" s="35">
        <f t="shared" si="34"/>
        <v>155</v>
      </c>
      <c r="G726" s="35" t="e">
        <f t="shared" si="35"/>
        <v>#N/A</v>
      </c>
    </row>
    <row r="727" spans="1:7" x14ac:dyDescent="0.35">
      <c r="A727" s="64">
        <v>40576</v>
      </c>
      <c r="B727" s="60">
        <v>4</v>
      </c>
      <c r="C727" s="60">
        <v>119</v>
      </c>
      <c r="D727" s="61">
        <v>123</v>
      </c>
      <c r="E727" t="str">
        <f t="shared" si="33"/>
        <v>normal</v>
      </c>
      <c r="F727" s="35">
        <f t="shared" si="34"/>
        <v>123</v>
      </c>
      <c r="G727" s="35" t="e">
        <f t="shared" si="35"/>
        <v>#N/A</v>
      </c>
    </row>
    <row r="728" spans="1:7" x14ac:dyDescent="0.35">
      <c r="A728" s="65">
        <v>40576</v>
      </c>
      <c r="B728" s="62">
        <v>2</v>
      </c>
      <c r="C728" s="62">
        <v>59</v>
      </c>
      <c r="D728" s="63">
        <v>61</v>
      </c>
      <c r="E728" t="str">
        <f t="shared" si="33"/>
        <v>normal</v>
      </c>
      <c r="F728" s="35">
        <f t="shared" si="34"/>
        <v>61</v>
      </c>
      <c r="G728" s="35" t="e">
        <f t="shared" si="35"/>
        <v>#N/A</v>
      </c>
    </row>
    <row r="729" spans="1:7" x14ac:dyDescent="0.35">
      <c r="A729" s="64">
        <v>40576</v>
      </c>
      <c r="B729" s="60">
        <v>5</v>
      </c>
      <c r="C729" s="60">
        <v>47</v>
      </c>
      <c r="D729" s="61">
        <v>52</v>
      </c>
      <c r="E729" t="str">
        <f t="shared" si="33"/>
        <v>normal</v>
      </c>
      <c r="F729" s="35">
        <f t="shared" si="34"/>
        <v>52</v>
      </c>
      <c r="G729" s="35" t="e">
        <f t="shared" si="35"/>
        <v>#N/A</v>
      </c>
    </row>
    <row r="730" spans="1:7" x14ac:dyDescent="0.35">
      <c r="A730" s="65">
        <v>40576</v>
      </c>
      <c r="B730" s="62">
        <v>3</v>
      </c>
      <c r="C730" s="62">
        <v>61</v>
      </c>
      <c r="D730" s="63">
        <v>64</v>
      </c>
      <c r="E730" t="str">
        <f t="shared" si="33"/>
        <v>normal</v>
      </c>
      <c r="F730" s="35">
        <f t="shared" si="34"/>
        <v>64</v>
      </c>
      <c r="G730" s="35" t="e">
        <f t="shared" si="35"/>
        <v>#N/A</v>
      </c>
    </row>
    <row r="731" spans="1:7" x14ac:dyDescent="0.35">
      <c r="A731" s="64">
        <v>40576</v>
      </c>
      <c r="B731" s="60">
        <v>1</v>
      </c>
      <c r="C731" s="60">
        <v>74</v>
      </c>
      <c r="D731" s="61">
        <v>75</v>
      </c>
      <c r="E731" t="str">
        <f t="shared" si="33"/>
        <v>normal</v>
      </c>
      <c r="F731" s="35">
        <f t="shared" si="34"/>
        <v>75</v>
      </c>
      <c r="G731" s="35" t="e">
        <f t="shared" si="35"/>
        <v>#N/A</v>
      </c>
    </row>
    <row r="732" spans="1:7" x14ac:dyDescent="0.35">
      <c r="A732" s="65">
        <v>40576</v>
      </c>
      <c r="B732" s="62">
        <v>2</v>
      </c>
      <c r="C732" s="62">
        <v>61</v>
      </c>
      <c r="D732" s="63">
        <v>63</v>
      </c>
      <c r="E732" t="str">
        <f t="shared" si="33"/>
        <v>normal</v>
      </c>
      <c r="F732" s="35">
        <f t="shared" si="34"/>
        <v>63</v>
      </c>
      <c r="G732" s="35" t="e">
        <f t="shared" si="35"/>
        <v>#N/A</v>
      </c>
    </row>
    <row r="733" spans="1:7" x14ac:dyDescent="0.35">
      <c r="A733" s="64">
        <v>40576</v>
      </c>
      <c r="B733" s="60">
        <v>10</v>
      </c>
      <c r="C733" s="60">
        <v>66</v>
      </c>
      <c r="D733" s="61">
        <v>76</v>
      </c>
      <c r="E733" t="str">
        <f t="shared" si="33"/>
        <v>normal</v>
      </c>
      <c r="F733" s="35">
        <f t="shared" si="34"/>
        <v>76</v>
      </c>
      <c r="G733" s="35" t="e">
        <f t="shared" si="35"/>
        <v>#N/A</v>
      </c>
    </row>
    <row r="734" spans="1:7" x14ac:dyDescent="0.35">
      <c r="A734" s="65">
        <v>40576</v>
      </c>
      <c r="B734" s="62">
        <v>8</v>
      </c>
      <c r="C734" s="62">
        <v>95</v>
      </c>
      <c r="D734" s="63">
        <v>103</v>
      </c>
      <c r="E734" t="str">
        <f t="shared" si="33"/>
        <v>normal</v>
      </c>
      <c r="F734" s="35">
        <f t="shared" si="34"/>
        <v>103</v>
      </c>
      <c r="G734" s="35" t="e">
        <f t="shared" si="35"/>
        <v>#N/A</v>
      </c>
    </row>
    <row r="735" spans="1:7" x14ac:dyDescent="0.35">
      <c r="A735" s="64">
        <v>40576</v>
      </c>
      <c r="B735" s="60">
        <v>7</v>
      </c>
      <c r="C735" s="60">
        <v>183</v>
      </c>
      <c r="D735" s="61">
        <v>190</v>
      </c>
      <c r="E735" t="str">
        <f t="shared" si="33"/>
        <v>Anamoly</v>
      </c>
      <c r="F735" s="35" t="e">
        <f t="shared" si="34"/>
        <v>#N/A</v>
      </c>
      <c r="G735" s="35">
        <f t="shared" si="35"/>
        <v>190</v>
      </c>
    </row>
    <row r="736" spans="1:7" x14ac:dyDescent="0.35">
      <c r="A736" s="65">
        <v>40576</v>
      </c>
      <c r="B736" s="62">
        <v>7</v>
      </c>
      <c r="C736" s="62">
        <v>175</v>
      </c>
      <c r="D736" s="63">
        <v>182</v>
      </c>
      <c r="E736" t="str">
        <f t="shared" si="33"/>
        <v>normal</v>
      </c>
      <c r="F736" s="35">
        <f t="shared" si="34"/>
        <v>182</v>
      </c>
      <c r="G736" s="35" t="e">
        <f t="shared" si="35"/>
        <v>#N/A</v>
      </c>
    </row>
    <row r="737" spans="1:7" x14ac:dyDescent="0.35">
      <c r="A737" s="64">
        <v>40576</v>
      </c>
      <c r="B737" s="60">
        <v>3</v>
      </c>
      <c r="C737" s="60">
        <v>88</v>
      </c>
      <c r="D737" s="61">
        <v>91</v>
      </c>
      <c r="E737" t="str">
        <f t="shared" si="33"/>
        <v>normal</v>
      </c>
      <c r="F737" s="35">
        <f t="shared" si="34"/>
        <v>91</v>
      </c>
      <c r="G737" s="35" t="e">
        <f t="shared" si="35"/>
        <v>#N/A</v>
      </c>
    </row>
    <row r="738" spans="1:7" x14ac:dyDescent="0.35">
      <c r="A738" s="65">
        <v>40576</v>
      </c>
      <c r="B738" s="62">
        <v>4</v>
      </c>
      <c r="C738" s="62">
        <v>71</v>
      </c>
      <c r="D738" s="63">
        <v>75</v>
      </c>
      <c r="E738" t="str">
        <f t="shared" si="33"/>
        <v>normal</v>
      </c>
      <c r="F738" s="35">
        <f t="shared" si="34"/>
        <v>75</v>
      </c>
      <c r="G738" s="35" t="e">
        <f t="shared" si="35"/>
        <v>#N/A</v>
      </c>
    </row>
    <row r="739" spans="1:7" x14ac:dyDescent="0.35">
      <c r="A739" s="64">
        <v>40576</v>
      </c>
      <c r="B739" s="60">
        <v>1</v>
      </c>
      <c r="C739" s="60">
        <v>62</v>
      </c>
      <c r="D739" s="61">
        <v>63</v>
      </c>
      <c r="E739" t="str">
        <f t="shared" si="33"/>
        <v>normal</v>
      </c>
      <c r="F739" s="35">
        <f t="shared" si="34"/>
        <v>63</v>
      </c>
      <c r="G739" s="35" t="e">
        <f t="shared" si="35"/>
        <v>#N/A</v>
      </c>
    </row>
    <row r="740" spans="1:7" x14ac:dyDescent="0.35">
      <c r="A740" s="65">
        <v>40576</v>
      </c>
      <c r="B740" s="62">
        <v>5</v>
      </c>
      <c r="C740" s="62">
        <v>35</v>
      </c>
      <c r="D740" s="63">
        <v>40</v>
      </c>
      <c r="E740" t="str">
        <f t="shared" si="33"/>
        <v>normal</v>
      </c>
      <c r="F740" s="35">
        <f t="shared" si="34"/>
        <v>40</v>
      </c>
      <c r="G740" s="35" t="e">
        <f t="shared" si="35"/>
        <v>#N/A</v>
      </c>
    </row>
    <row r="741" spans="1:7" x14ac:dyDescent="0.35">
      <c r="A741" s="64">
        <v>40576</v>
      </c>
      <c r="B741" s="60">
        <v>3</v>
      </c>
      <c r="C741" s="60">
        <v>29</v>
      </c>
      <c r="D741" s="61">
        <v>32</v>
      </c>
      <c r="E741" t="str">
        <f t="shared" si="33"/>
        <v>normal</v>
      </c>
      <c r="F741" s="35">
        <f t="shared" si="34"/>
        <v>32</v>
      </c>
      <c r="G741" s="35" t="e">
        <f t="shared" si="35"/>
        <v>#N/A</v>
      </c>
    </row>
    <row r="742" spans="1:7" x14ac:dyDescent="0.35">
      <c r="A742" s="65">
        <v>40577</v>
      </c>
      <c r="B742" s="62">
        <v>1</v>
      </c>
      <c r="C742" s="62">
        <v>11</v>
      </c>
      <c r="D742" s="63">
        <v>12</v>
      </c>
      <c r="E742" t="str">
        <f t="shared" si="33"/>
        <v>normal</v>
      </c>
      <c r="F742" s="35">
        <f t="shared" si="34"/>
        <v>12</v>
      </c>
      <c r="G742" s="35" t="e">
        <f t="shared" si="35"/>
        <v>#N/A</v>
      </c>
    </row>
    <row r="743" spans="1:7" x14ac:dyDescent="0.35">
      <c r="A743" s="64">
        <v>40577</v>
      </c>
      <c r="B743" s="60">
        <v>0</v>
      </c>
      <c r="C743" s="60">
        <v>5</v>
      </c>
      <c r="D743" s="61">
        <v>5</v>
      </c>
      <c r="E743" t="str">
        <f t="shared" si="33"/>
        <v>normal</v>
      </c>
      <c r="F743" s="35">
        <f t="shared" si="34"/>
        <v>5</v>
      </c>
      <c r="G743" s="35" t="e">
        <f t="shared" si="35"/>
        <v>#N/A</v>
      </c>
    </row>
    <row r="744" spans="1:7" x14ac:dyDescent="0.35">
      <c r="A744" s="65">
        <v>40577</v>
      </c>
      <c r="B744" s="62">
        <v>0</v>
      </c>
      <c r="C744" s="62">
        <v>2</v>
      </c>
      <c r="D744" s="63">
        <v>2</v>
      </c>
      <c r="E744" t="str">
        <f t="shared" si="33"/>
        <v>normal</v>
      </c>
      <c r="F744" s="35">
        <f t="shared" si="34"/>
        <v>2</v>
      </c>
      <c r="G744" s="35" t="e">
        <f t="shared" si="35"/>
        <v>#N/A</v>
      </c>
    </row>
    <row r="745" spans="1:7" x14ac:dyDescent="0.35">
      <c r="A745" s="64">
        <v>40577</v>
      </c>
      <c r="B745" s="60">
        <v>0</v>
      </c>
      <c r="C745" s="60">
        <v>1</v>
      </c>
      <c r="D745" s="61">
        <v>1</v>
      </c>
      <c r="E745" t="str">
        <f t="shared" si="33"/>
        <v>normal</v>
      </c>
      <c r="F745" s="35">
        <f t="shared" si="34"/>
        <v>1</v>
      </c>
      <c r="G745" s="35" t="e">
        <f t="shared" si="35"/>
        <v>#N/A</v>
      </c>
    </row>
    <row r="746" spans="1:7" x14ac:dyDescent="0.35">
      <c r="A746" s="65">
        <v>40577</v>
      </c>
      <c r="B746" s="62">
        <v>0</v>
      </c>
      <c r="C746" s="62">
        <v>2</v>
      </c>
      <c r="D746" s="63">
        <v>2</v>
      </c>
      <c r="E746" t="str">
        <f t="shared" si="33"/>
        <v>normal</v>
      </c>
      <c r="F746" s="35">
        <f t="shared" si="34"/>
        <v>2</v>
      </c>
      <c r="G746" s="35" t="e">
        <f t="shared" si="35"/>
        <v>#N/A</v>
      </c>
    </row>
    <row r="747" spans="1:7" x14ac:dyDescent="0.35">
      <c r="A747" s="64">
        <v>40577</v>
      </c>
      <c r="B747" s="60">
        <v>0</v>
      </c>
      <c r="C747" s="60">
        <v>39</v>
      </c>
      <c r="D747" s="61">
        <v>39</v>
      </c>
      <c r="E747" t="str">
        <f t="shared" si="33"/>
        <v>normal</v>
      </c>
      <c r="F747" s="35">
        <f t="shared" si="34"/>
        <v>39</v>
      </c>
      <c r="G747" s="35" t="e">
        <f t="shared" si="35"/>
        <v>#N/A</v>
      </c>
    </row>
    <row r="748" spans="1:7" x14ac:dyDescent="0.35">
      <c r="A748" s="65">
        <v>40577</v>
      </c>
      <c r="B748" s="62">
        <v>1</v>
      </c>
      <c r="C748" s="62">
        <v>86</v>
      </c>
      <c r="D748" s="63">
        <v>87</v>
      </c>
      <c r="E748" t="str">
        <f t="shared" si="33"/>
        <v>normal</v>
      </c>
      <c r="F748" s="35">
        <f t="shared" si="34"/>
        <v>87</v>
      </c>
      <c r="G748" s="35" t="e">
        <f t="shared" si="35"/>
        <v>#N/A</v>
      </c>
    </row>
    <row r="749" spans="1:7" x14ac:dyDescent="0.35">
      <c r="A749" s="64">
        <v>40577</v>
      </c>
      <c r="B749" s="60">
        <v>4</v>
      </c>
      <c r="C749" s="60">
        <v>184</v>
      </c>
      <c r="D749" s="61">
        <v>188</v>
      </c>
      <c r="E749" t="str">
        <f t="shared" si="33"/>
        <v>Anamoly</v>
      </c>
      <c r="F749" s="35" t="e">
        <f t="shared" si="34"/>
        <v>#N/A</v>
      </c>
      <c r="G749" s="35">
        <f t="shared" si="35"/>
        <v>188</v>
      </c>
    </row>
    <row r="750" spans="1:7" x14ac:dyDescent="0.35">
      <c r="A750" s="65">
        <v>40577</v>
      </c>
      <c r="B750" s="62">
        <v>6</v>
      </c>
      <c r="C750" s="62">
        <v>127</v>
      </c>
      <c r="D750" s="63">
        <v>133</v>
      </c>
      <c r="E750" t="str">
        <f t="shared" si="33"/>
        <v>normal</v>
      </c>
      <c r="F750" s="35">
        <f t="shared" si="34"/>
        <v>133</v>
      </c>
      <c r="G750" s="35" t="e">
        <f t="shared" si="35"/>
        <v>#N/A</v>
      </c>
    </row>
    <row r="751" spans="1:7" x14ac:dyDescent="0.35">
      <c r="A751" s="64">
        <v>40577</v>
      </c>
      <c r="B751" s="60">
        <v>2</v>
      </c>
      <c r="C751" s="60">
        <v>50</v>
      </c>
      <c r="D751" s="61">
        <v>52</v>
      </c>
      <c r="E751" t="str">
        <f t="shared" si="33"/>
        <v>normal</v>
      </c>
      <c r="F751" s="35">
        <f t="shared" si="34"/>
        <v>52</v>
      </c>
      <c r="G751" s="35" t="e">
        <f t="shared" si="35"/>
        <v>#N/A</v>
      </c>
    </row>
    <row r="752" spans="1:7" x14ac:dyDescent="0.35">
      <c r="A752" s="65">
        <v>40577</v>
      </c>
      <c r="B752" s="62">
        <v>9</v>
      </c>
      <c r="C752" s="62">
        <v>55</v>
      </c>
      <c r="D752" s="63">
        <v>64</v>
      </c>
      <c r="E752" t="str">
        <f t="shared" si="33"/>
        <v>normal</v>
      </c>
      <c r="F752" s="35">
        <f t="shared" si="34"/>
        <v>64</v>
      </c>
      <c r="G752" s="35" t="e">
        <f t="shared" si="35"/>
        <v>#N/A</v>
      </c>
    </row>
    <row r="753" spans="1:7" x14ac:dyDescent="0.35">
      <c r="A753" s="64">
        <v>40577</v>
      </c>
      <c r="B753" s="60">
        <v>2</v>
      </c>
      <c r="C753" s="60">
        <v>67</v>
      </c>
      <c r="D753" s="61">
        <v>69</v>
      </c>
      <c r="E753" t="str">
        <f t="shared" si="33"/>
        <v>normal</v>
      </c>
      <c r="F753" s="35">
        <f t="shared" si="34"/>
        <v>69</v>
      </c>
      <c r="G753" s="35" t="e">
        <f t="shared" si="35"/>
        <v>#N/A</v>
      </c>
    </row>
    <row r="754" spans="1:7" x14ac:dyDescent="0.35">
      <c r="A754" s="65">
        <v>40577</v>
      </c>
      <c r="B754" s="62">
        <v>4</v>
      </c>
      <c r="C754" s="62">
        <v>47</v>
      </c>
      <c r="D754" s="63">
        <v>51</v>
      </c>
      <c r="E754" t="str">
        <f t="shared" si="33"/>
        <v>normal</v>
      </c>
      <c r="F754" s="35">
        <f t="shared" si="34"/>
        <v>51</v>
      </c>
      <c r="G754" s="35" t="e">
        <f t="shared" si="35"/>
        <v>#N/A</v>
      </c>
    </row>
    <row r="755" spans="1:7" x14ac:dyDescent="0.35">
      <c r="A755" s="64">
        <v>40577</v>
      </c>
      <c r="B755" s="60">
        <v>4</v>
      </c>
      <c r="C755" s="60">
        <v>43</v>
      </c>
      <c r="D755" s="61">
        <v>47</v>
      </c>
      <c r="E755" t="str">
        <f t="shared" si="33"/>
        <v>normal</v>
      </c>
      <c r="F755" s="35">
        <f t="shared" si="34"/>
        <v>47</v>
      </c>
      <c r="G755" s="35" t="e">
        <f t="shared" si="35"/>
        <v>#N/A</v>
      </c>
    </row>
    <row r="756" spans="1:7" x14ac:dyDescent="0.35">
      <c r="A756" s="65">
        <v>40577</v>
      </c>
      <c r="B756" s="62">
        <v>4</v>
      </c>
      <c r="C756" s="62">
        <v>56</v>
      </c>
      <c r="D756" s="63">
        <v>60</v>
      </c>
      <c r="E756" t="str">
        <f t="shared" si="33"/>
        <v>normal</v>
      </c>
      <c r="F756" s="35">
        <f t="shared" si="34"/>
        <v>60</v>
      </c>
      <c r="G756" s="35" t="e">
        <f t="shared" si="35"/>
        <v>#N/A</v>
      </c>
    </row>
    <row r="757" spans="1:7" x14ac:dyDescent="0.35">
      <c r="A757" s="64">
        <v>40577</v>
      </c>
      <c r="B757" s="60">
        <v>5</v>
      </c>
      <c r="C757" s="60">
        <v>73</v>
      </c>
      <c r="D757" s="61">
        <v>78</v>
      </c>
      <c r="E757" t="str">
        <f t="shared" si="33"/>
        <v>normal</v>
      </c>
      <c r="F757" s="35">
        <f t="shared" si="34"/>
        <v>78</v>
      </c>
      <c r="G757" s="35" t="e">
        <f t="shared" si="35"/>
        <v>#N/A</v>
      </c>
    </row>
    <row r="758" spans="1:7" x14ac:dyDescent="0.35">
      <c r="A758" s="65">
        <v>40577</v>
      </c>
      <c r="B758" s="62">
        <v>5</v>
      </c>
      <c r="C758" s="62">
        <v>170</v>
      </c>
      <c r="D758" s="63">
        <v>175</v>
      </c>
      <c r="E758" t="str">
        <f t="shared" si="33"/>
        <v>normal</v>
      </c>
      <c r="F758" s="35">
        <f t="shared" si="34"/>
        <v>175</v>
      </c>
      <c r="G758" s="35" t="e">
        <f t="shared" si="35"/>
        <v>#N/A</v>
      </c>
    </row>
    <row r="759" spans="1:7" x14ac:dyDescent="0.35">
      <c r="A759" s="64">
        <v>40577</v>
      </c>
      <c r="B759" s="60">
        <v>2</v>
      </c>
      <c r="C759" s="60">
        <v>145</v>
      </c>
      <c r="D759" s="61">
        <v>147</v>
      </c>
      <c r="E759" t="str">
        <f t="shared" si="33"/>
        <v>normal</v>
      </c>
      <c r="F759" s="35">
        <f t="shared" si="34"/>
        <v>147</v>
      </c>
      <c r="G759" s="35" t="e">
        <f t="shared" si="35"/>
        <v>#N/A</v>
      </c>
    </row>
    <row r="760" spans="1:7" x14ac:dyDescent="0.35">
      <c r="A760" s="65">
        <v>40577</v>
      </c>
      <c r="B760" s="62">
        <v>4</v>
      </c>
      <c r="C760" s="62">
        <v>92</v>
      </c>
      <c r="D760" s="63">
        <v>96</v>
      </c>
      <c r="E760" t="str">
        <f t="shared" si="33"/>
        <v>normal</v>
      </c>
      <c r="F760" s="35">
        <f t="shared" si="34"/>
        <v>96</v>
      </c>
      <c r="G760" s="35" t="e">
        <f t="shared" si="35"/>
        <v>#N/A</v>
      </c>
    </row>
    <row r="761" spans="1:7" x14ac:dyDescent="0.35">
      <c r="A761" s="64">
        <v>40577</v>
      </c>
      <c r="B761" s="60">
        <v>1</v>
      </c>
      <c r="C761" s="60">
        <v>108</v>
      </c>
      <c r="D761" s="61">
        <v>109</v>
      </c>
      <c r="E761" t="str">
        <f t="shared" si="33"/>
        <v>normal</v>
      </c>
      <c r="F761" s="35">
        <f t="shared" si="34"/>
        <v>109</v>
      </c>
      <c r="G761" s="35" t="e">
        <f t="shared" si="35"/>
        <v>#N/A</v>
      </c>
    </row>
    <row r="762" spans="1:7" x14ac:dyDescent="0.35">
      <c r="A762" s="65">
        <v>40577</v>
      </c>
      <c r="B762" s="62">
        <v>1</v>
      </c>
      <c r="C762" s="62">
        <v>53</v>
      </c>
      <c r="D762" s="63">
        <v>54</v>
      </c>
      <c r="E762" t="str">
        <f t="shared" si="33"/>
        <v>normal</v>
      </c>
      <c r="F762" s="35">
        <f t="shared" si="34"/>
        <v>54</v>
      </c>
      <c r="G762" s="35" t="e">
        <f t="shared" si="35"/>
        <v>#N/A</v>
      </c>
    </row>
    <row r="763" spans="1:7" x14ac:dyDescent="0.35">
      <c r="A763" s="64">
        <v>40577</v>
      </c>
      <c r="B763" s="60">
        <v>2</v>
      </c>
      <c r="C763" s="60">
        <v>39</v>
      </c>
      <c r="D763" s="61">
        <v>41</v>
      </c>
      <c r="E763" t="str">
        <f t="shared" si="33"/>
        <v>normal</v>
      </c>
      <c r="F763" s="35">
        <f t="shared" si="34"/>
        <v>41</v>
      </c>
      <c r="G763" s="35" t="e">
        <f t="shared" si="35"/>
        <v>#N/A</v>
      </c>
    </row>
    <row r="764" spans="1:7" x14ac:dyDescent="0.35">
      <c r="A764" s="65">
        <v>40577</v>
      </c>
      <c r="B764" s="62">
        <v>4</v>
      </c>
      <c r="C764" s="62">
        <v>34</v>
      </c>
      <c r="D764" s="63">
        <v>38</v>
      </c>
      <c r="E764" t="str">
        <f t="shared" si="33"/>
        <v>normal</v>
      </c>
      <c r="F764" s="35">
        <f t="shared" si="34"/>
        <v>38</v>
      </c>
      <c r="G764" s="35" t="e">
        <f t="shared" si="35"/>
        <v>#N/A</v>
      </c>
    </row>
    <row r="765" spans="1:7" x14ac:dyDescent="0.35">
      <c r="A765" s="64">
        <v>40578</v>
      </c>
      <c r="B765" s="60">
        <v>3</v>
      </c>
      <c r="C765" s="60">
        <v>10</v>
      </c>
      <c r="D765" s="61">
        <v>13</v>
      </c>
      <c r="E765" t="str">
        <f t="shared" si="33"/>
        <v>normal</v>
      </c>
      <c r="F765" s="35">
        <f t="shared" si="34"/>
        <v>13</v>
      </c>
      <c r="G765" s="35" t="e">
        <f t="shared" si="35"/>
        <v>#N/A</v>
      </c>
    </row>
    <row r="766" spans="1:7" x14ac:dyDescent="0.35">
      <c r="A766" s="65">
        <v>40578</v>
      </c>
      <c r="B766" s="62">
        <v>0</v>
      </c>
      <c r="C766" s="62">
        <v>7</v>
      </c>
      <c r="D766" s="63">
        <v>7</v>
      </c>
      <c r="E766" t="str">
        <f t="shared" si="33"/>
        <v>normal</v>
      </c>
      <c r="F766" s="35">
        <f t="shared" si="34"/>
        <v>7</v>
      </c>
      <c r="G766" s="35" t="e">
        <f t="shared" si="35"/>
        <v>#N/A</v>
      </c>
    </row>
    <row r="767" spans="1:7" x14ac:dyDescent="0.35">
      <c r="A767" s="64">
        <v>40578</v>
      </c>
      <c r="B767" s="60">
        <v>0</v>
      </c>
      <c r="C767" s="60">
        <v>1</v>
      </c>
      <c r="D767" s="61">
        <v>1</v>
      </c>
      <c r="E767" t="str">
        <f t="shared" si="33"/>
        <v>normal</v>
      </c>
      <c r="F767" s="35">
        <f t="shared" si="34"/>
        <v>1</v>
      </c>
      <c r="G767" s="35" t="e">
        <f t="shared" si="35"/>
        <v>#N/A</v>
      </c>
    </row>
    <row r="768" spans="1:7" x14ac:dyDescent="0.35">
      <c r="A768" s="65">
        <v>40578</v>
      </c>
      <c r="B768" s="62">
        <v>0</v>
      </c>
      <c r="C768" s="62">
        <v>1</v>
      </c>
      <c r="D768" s="63">
        <v>1</v>
      </c>
      <c r="E768" t="str">
        <f t="shared" si="33"/>
        <v>normal</v>
      </c>
      <c r="F768" s="35">
        <f t="shared" si="34"/>
        <v>1</v>
      </c>
      <c r="G768" s="35" t="e">
        <f t="shared" si="35"/>
        <v>#N/A</v>
      </c>
    </row>
    <row r="769" spans="1:7" x14ac:dyDescent="0.35">
      <c r="A769" s="64">
        <v>40578</v>
      </c>
      <c r="B769" s="60">
        <v>0</v>
      </c>
      <c r="C769" s="60">
        <v>7</v>
      </c>
      <c r="D769" s="61">
        <v>7</v>
      </c>
      <c r="E769" t="str">
        <f t="shared" si="33"/>
        <v>normal</v>
      </c>
      <c r="F769" s="35">
        <f t="shared" si="34"/>
        <v>7</v>
      </c>
      <c r="G769" s="35" t="e">
        <f t="shared" si="35"/>
        <v>#N/A</v>
      </c>
    </row>
    <row r="770" spans="1:7" x14ac:dyDescent="0.35">
      <c r="A770" s="65">
        <v>40578</v>
      </c>
      <c r="B770" s="62">
        <v>2</v>
      </c>
      <c r="C770" s="62">
        <v>26</v>
      </c>
      <c r="D770" s="63">
        <v>28</v>
      </c>
      <c r="E770" t="str">
        <f t="shared" si="33"/>
        <v>normal</v>
      </c>
      <c r="F770" s="35">
        <f t="shared" si="34"/>
        <v>28</v>
      </c>
      <c r="G770" s="35" t="e">
        <f t="shared" si="35"/>
        <v>#N/A</v>
      </c>
    </row>
    <row r="771" spans="1:7" x14ac:dyDescent="0.35">
      <c r="A771" s="64">
        <v>40578</v>
      </c>
      <c r="B771" s="60">
        <v>0</v>
      </c>
      <c r="C771" s="60">
        <v>87</v>
      </c>
      <c r="D771" s="61">
        <v>87</v>
      </c>
      <c r="E771" t="str">
        <f t="shared" si="33"/>
        <v>normal</v>
      </c>
      <c r="F771" s="35">
        <f t="shared" si="34"/>
        <v>87</v>
      </c>
      <c r="G771" s="35" t="e">
        <f t="shared" si="35"/>
        <v>#N/A</v>
      </c>
    </row>
    <row r="772" spans="1:7" x14ac:dyDescent="0.35">
      <c r="A772" s="65">
        <v>40578</v>
      </c>
      <c r="B772" s="62">
        <v>3</v>
      </c>
      <c r="C772" s="62">
        <v>217</v>
      </c>
      <c r="D772" s="63">
        <v>220</v>
      </c>
      <c r="E772" t="str">
        <f t="shared" si="33"/>
        <v>Anamoly</v>
      </c>
      <c r="F772" s="35" t="e">
        <f t="shared" si="34"/>
        <v>#N/A</v>
      </c>
      <c r="G772" s="35">
        <f t="shared" si="35"/>
        <v>220</v>
      </c>
    </row>
    <row r="773" spans="1:7" x14ac:dyDescent="0.35">
      <c r="A773" s="64">
        <v>40578</v>
      </c>
      <c r="B773" s="60">
        <v>3</v>
      </c>
      <c r="C773" s="60">
        <v>124</v>
      </c>
      <c r="D773" s="61">
        <v>127</v>
      </c>
      <c r="E773" t="str">
        <f t="shared" si="33"/>
        <v>normal</v>
      </c>
      <c r="F773" s="35">
        <f t="shared" si="34"/>
        <v>127</v>
      </c>
      <c r="G773" s="35" t="e">
        <f t="shared" si="35"/>
        <v>#N/A</v>
      </c>
    </row>
    <row r="774" spans="1:7" x14ac:dyDescent="0.35">
      <c r="A774" s="65">
        <v>40578</v>
      </c>
      <c r="B774" s="62">
        <v>5</v>
      </c>
      <c r="C774" s="62">
        <v>46</v>
      </c>
      <c r="D774" s="63">
        <v>51</v>
      </c>
      <c r="E774" t="str">
        <f t="shared" si="33"/>
        <v>normal</v>
      </c>
      <c r="F774" s="35">
        <f t="shared" si="34"/>
        <v>51</v>
      </c>
      <c r="G774" s="35" t="e">
        <f t="shared" si="35"/>
        <v>#N/A</v>
      </c>
    </row>
    <row r="775" spans="1:7" x14ac:dyDescent="0.35">
      <c r="A775" s="64">
        <v>40578</v>
      </c>
      <c r="B775" s="60">
        <v>3</v>
      </c>
      <c r="C775" s="60">
        <v>61</v>
      </c>
      <c r="D775" s="61">
        <v>64</v>
      </c>
      <c r="E775" t="str">
        <f t="shared" ref="E775:E814" si="36">IF(OR(D775&lt;$L$15,D775&gt;$L$16),"Anamoly","normal")</f>
        <v>normal</v>
      </c>
      <c r="F775" s="35">
        <f t="shared" si="34"/>
        <v>64</v>
      </c>
      <c r="G775" s="35" t="e">
        <f t="shared" si="35"/>
        <v>#N/A</v>
      </c>
    </row>
    <row r="776" spans="1:7" x14ac:dyDescent="0.35">
      <c r="A776" s="65">
        <v>40578</v>
      </c>
      <c r="B776" s="62">
        <v>8</v>
      </c>
      <c r="C776" s="62">
        <v>78</v>
      </c>
      <c r="D776" s="63">
        <v>86</v>
      </c>
      <c r="E776" t="str">
        <f t="shared" si="36"/>
        <v>normal</v>
      </c>
      <c r="F776" s="35">
        <f t="shared" ref="F776:F839" si="37">IF(E776="normal",D776,NA())</f>
        <v>86</v>
      </c>
      <c r="G776" s="35" t="e">
        <f t="shared" ref="G776:G839" si="38">IF(E776="anamoly",D776,NA())</f>
        <v>#N/A</v>
      </c>
    </row>
    <row r="777" spans="1:7" x14ac:dyDescent="0.35">
      <c r="A777" s="64">
        <v>40578</v>
      </c>
      <c r="B777" s="60">
        <v>9</v>
      </c>
      <c r="C777" s="60">
        <v>73</v>
      </c>
      <c r="D777" s="61">
        <v>82</v>
      </c>
      <c r="E777" t="str">
        <f t="shared" si="36"/>
        <v>normal</v>
      </c>
      <c r="F777" s="35">
        <f t="shared" si="37"/>
        <v>82</v>
      </c>
      <c r="G777" s="35" t="e">
        <f t="shared" si="38"/>
        <v>#N/A</v>
      </c>
    </row>
    <row r="778" spans="1:7" x14ac:dyDescent="0.35">
      <c r="A778" s="65">
        <v>40578</v>
      </c>
      <c r="B778" s="62">
        <v>15</v>
      </c>
      <c r="C778" s="62">
        <v>76</v>
      </c>
      <c r="D778" s="63">
        <v>91</v>
      </c>
      <c r="E778" t="str">
        <f t="shared" si="36"/>
        <v>normal</v>
      </c>
      <c r="F778" s="35">
        <f t="shared" si="37"/>
        <v>91</v>
      </c>
      <c r="G778" s="35" t="e">
        <f t="shared" si="38"/>
        <v>#N/A</v>
      </c>
    </row>
    <row r="779" spans="1:7" x14ac:dyDescent="0.35">
      <c r="A779" s="64">
        <v>40578</v>
      </c>
      <c r="B779" s="60">
        <v>9</v>
      </c>
      <c r="C779" s="60">
        <v>81</v>
      </c>
      <c r="D779" s="61">
        <v>90</v>
      </c>
      <c r="E779" t="str">
        <f t="shared" si="36"/>
        <v>normal</v>
      </c>
      <c r="F779" s="35">
        <f t="shared" si="37"/>
        <v>90</v>
      </c>
      <c r="G779" s="35" t="e">
        <f t="shared" si="38"/>
        <v>#N/A</v>
      </c>
    </row>
    <row r="780" spans="1:7" x14ac:dyDescent="0.35">
      <c r="A780" s="65">
        <v>40578</v>
      </c>
      <c r="B780" s="62">
        <v>8</v>
      </c>
      <c r="C780" s="62">
        <v>91</v>
      </c>
      <c r="D780" s="63">
        <v>99</v>
      </c>
      <c r="E780" t="str">
        <f t="shared" si="36"/>
        <v>normal</v>
      </c>
      <c r="F780" s="35">
        <f t="shared" si="37"/>
        <v>99</v>
      </c>
      <c r="G780" s="35" t="e">
        <f t="shared" si="38"/>
        <v>#N/A</v>
      </c>
    </row>
    <row r="781" spans="1:7" x14ac:dyDescent="0.35">
      <c r="A781" s="64">
        <v>40578</v>
      </c>
      <c r="B781" s="60">
        <v>10</v>
      </c>
      <c r="C781" s="60">
        <v>195</v>
      </c>
      <c r="D781" s="61">
        <v>205</v>
      </c>
      <c r="E781" t="str">
        <f t="shared" si="36"/>
        <v>Anamoly</v>
      </c>
      <c r="F781" s="35" t="e">
        <f t="shared" si="37"/>
        <v>#N/A</v>
      </c>
      <c r="G781" s="35">
        <f t="shared" si="38"/>
        <v>205</v>
      </c>
    </row>
    <row r="782" spans="1:7" x14ac:dyDescent="0.35">
      <c r="A782" s="65">
        <v>40578</v>
      </c>
      <c r="B782" s="62">
        <v>3</v>
      </c>
      <c r="C782" s="62">
        <v>152</v>
      </c>
      <c r="D782" s="63">
        <v>155</v>
      </c>
      <c r="E782" t="str">
        <f t="shared" si="36"/>
        <v>normal</v>
      </c>
      <c r="F782" s="35">
        <f t="shared" si="37"/>
        <v>155</v>
      </c>
      <c r="G782" s="35" t="e">
        <f t="shared" si="38"/>
        <v>#N/A</v>
      </c>
    </row>
    <row r="783" spans="1:7" x14ac:dyDescent="0.35">
      <c r="A783" s="64">
        <v>40578</v>
      </c>
      <c r="B783" s="60">
        <v>1</v>
      </c>
      <c r="C783" s="60">
        <v>102</v>
      </c>
      <c r="D783" s="61">
        <v>103</v>
      </c>
      <c r="E783" t="str">
        <f t="shared" si="36"/>
        <v>normal</v>
      </c>
      <c r="F783" s="35">
        <f t="shared" si="37"/>
        <v>103</v>
      </c>
      <c r="G783" s="35" t="e">
        <f t="shared" si="38"/>
        <v>#N/A</v>
      </c>
    </row>
    <row r="784" spans="1:7" x14ac:dyDescent="0.35">
      <c r="A784" s="65">
        <v>40578</v>
      </c>
      <c r="B784" s="62">
        <v>2</v>
      </c>
      <c r="C784" s="62">
        <v>69</v>
      </c>
      <c r="D784" s="63">
        <v>71</v>
      </c>
      <c r="E784" t="str">
        <f t="shared" si="36"/>
        <v>normal</v>
      </c>
      <c r="F784" s="35">
        <f t="shared" si="37"/>
        <v>71</v>
      </c>
      <c r="G784" s="35" t="e">
        <f t="shared" si="38"/>
        <v>#N/A</v>
      </c>
    </row>
    <row r="785" spans="1:7" x14ac:dyDescent="0.35">
      <c r="A785" s="64">
        <v>40578</v>
      </c>
      <c r="B785" s="60">
        <v>2</v>
      </c>
      <c r="C785" s="60">
        <v>41</v>
      </c>
      <c r="D785" s="61">
        <v>43</v>
      </c>
      <c r="E785" t="str">
        <f t="shared" si="36"/>
        <v>normal</v>
      </c>
      <c r="F785" s="35">
        <f t="shared" si="37"/>
        <v>43</v>
      </c>
      <c r="G785" s="35" t="e">
        <f t="shared" si="38"/>
        <v>#N/A</v>
      </c>
    </row>
    <row r="786" spans="1:7" x14ac:dyDescent="0.35">
      <c r="A786" s="65">
        <v>40578</v>
      </c>
      <c r="B786" s="62">
        <v>1</v>
      </c>
      <c r="C786" s="62">
        <v>45</v>
      </c>
      <c r="D786" s="63">
        <v>46</v>
      </c>
      <c r="E786" t="str">
        <f t="shared" si="36"/>
        <v>normal</v>
      </c>
      <c r="F786" s="35">
        <f t="shared" si="37"/>
        <v>46</v>
      </c>
      <c r="G786" s="35" t="e">
        <f t="shared" si="38"/>
        <v>#N/A</v>
      </c>
    </row>
    <row r="787" spans="1:7" x14ac:dyDescent="0.35">
      <c r="A787" s="64">
        <v>40578</v>
      </c>
      <c r="B787" s="60">
        <v>1</v>
      </c>
      <c r="C787" s="60">
        <v>30</v>
      </c>
      <c r="D787" s="61">
        <v>31</v>
      </c>
      <c r="E787" t="str">
        <f t="shared" si="36"/>
        <v>normal</v>
      </c>
      <c r="F787" s="35">
        <f t="shared" si="37"/>
        <v>31</v>
      </c>
      <c r="G787" s="35" t="e">
        <f t="shared" si="38"/>
        <v>#N/A</v>
      </c>
    </row>
    <row r="788" spans="1:7" x14ac:dyDescent="0.35">
      <c r="A788" s="65">
        <v>40579</v>
      </c>
      <c r="B788" s="62">
        <v>3</v>
      </c>
      <c r="C788" s="62">
        <v>36</v>
      </c>
      <c r="D788" s="63">
        <v>39</v>
      </c>
      <c r="E788" t="str">
        <f t="shared" si="36"/>
        <v>normal</v>
      </c>
      <c r="F788" s="35">
        <f t="shared" si="37"/>
        <v>39</v>
      </c>
      <c r="G788" s="35" t="e">
        <f t="shared" si="38"/>
        <v>#N/A</v>
      </c>
    </row>
    <row r="789" spans="1:7" x14ac:dyDescent="0.35">
      <c r="A789" s="64">
        <v>40579</v>
      </c>
      <c r="B789" s="60">
        <v>1</v>
      </c>
      <c r="C789" s="60">
        <v>17</v>
      </c>
      <c r="D789" s="61">
        <v>18</v>
      </c>
      <c r="E789" t="str">
        <f t="shared" si="36"/>
        <v>normal</v>
      </c>
      <c r="F789" s="35">
        <f t="shared" si="37"/>
        <v>18</v>
      </c>
      <c r="G789" s="35" t="e">
        <f t="shared" si="38"/>
        <v>#N/A</v>
      </c>
    </row>
    <row r="790" spans="1:7" x14ac:dyDescent="0.35">
      <c r="A790" s="65">
        <v>40579</v>
      </c>
      <c r="B790" s="62">
        <v>5</v>
      </c>
      <c r="C790" s="62">
        <v>12</v>
      </c>
      <c r="D790" s="63">
        <v>17</v>
      </c>
      <c r="E790" t="str">
        <f t="shared" si="36"/>
        <v>normal</v>
      </c>
      <c r="F790" s="35">
        <f t="shared" si="37"/>
        <v>17</v>
      </c>
      <c r="G790" s="35" t="e">
        <f t="shared" si="38"/>
        <v>#N/A</v>
      </c>
    </row>
    <row r="791" spans="1:7" x14ac:dyDescent="0.35">
      <c r="A791" s="64">
        <v>40579</v>
      </c>
      <c r="B791" s="60">
        <v>1</v>
      </c>
      <c r="C791" s="60">
        <v>10</v>
      </c>
      <c r="D791" s="61">
        <v>11</v>
      </c>
      <c r="E791" t="str">
        <f t="shared" si="36"/>
        <v>normal</v>
      </c>
      <c r="F791" s="35">
        <f t="shared" si="37"/>
        <v>11</v>
      </c>
      <c r="G791" s="35" t="e">
        <f t="shared" si="38"/>
        <v>#N/A</v>
      </c>
    </row>
    <row r="792" spans="1:7" x14ac:dyDescent="0.35">
      <c r="A792" s="65">
        <v>40579</v>
      </c>
      <c r="B792" s="62">
        <v>0</v>
      </c>
      <c r="C792" s="62">
        <v>8</v>
      </c>
      <c r="D792" s="63">
        <v>8</v>
      </c>
      <c r="E792" t="str">
        <f t="shared" si="36"/>
        <v>normal</v>
      </c>
      <c r="F792" s="35">
        <f t="shared" si="37"/>
        <v>8</v>
      </c>
      <c r="G792" s="35" t="e">
        <f t="shared" si="38"/>
        <v>#N/A</v>
      </c>
    </row>
    <row r="793" spans="1:7" x14ac:dyDescent="0.35">
      <c r="A793" s="64">
        <v>40579</v>
      </c>
      <c r="B793" s="60">
        <v>0</v>
      </c>
      <c r="C793" s="60">
        <v>9</v>
      </c>
      <c r="D793" s="61">
        <v>9</v>
      </c>
      <c r="E793" t="str">
        <f t="shared" si="36"/>
        <v>normal</v>
      </c>
      <c r="F793" s="35">
        <f t="shared" si="37"/>
        <v>9</v>
      </c>
      <c r="G793" s="35" t="e">
        <f t="shared" si="38"/>
        <v>#N/A</v>
      </c>
    </row>
    <row r="794" spans="1:7" x14ac:dyDescent="0.35">
      <c r="A794" s="65">
        <v>40579</v>
      </c>
      <c r="B794" s="62">
        <v>0</v>
      </c>
      <c r="C794" s="62">
        <v>4</v>
      </c>
      <c r="D794" s="63">
        <v>4</v>
      </c>
      <c r="E794" t="str">
        <f t="shared" si="36"/>
        <v>normal</v>
      </c>
      <c r="F794" s="35">
        <f t="shared" si="37"/>
        <v>4</v>
      </c>
      <c r="G794" s="35" t="e">
        <f t="shared" si="38"/>
        <v>#N/A</v>
      </c>
    </row>
    <row r="795" spans="1:7" x14ac:dyDescent="0.35">
      <c r="A795" s="64">
        <v>40579</v>
      </c>
      <c r="B795" s="60">
        <v>0</v>
      </c>
      <c r="C795" s="60">
        <v>4</v>
      </c>
      <c r="D795" s="61">
        <v>4</v>
      </c>
      <c r="E795" t="str">
        <f t="shared" si="36"/>
        <v>normal</v>
      </c>
      <c r="F795" s="35">
        <f t="shared" si="37"/>
        <v>4</v>
      </c>
      <c r="G795" s="35" t="e">
        <f t="shared" si="38"/>
        <v>#N/A</v>
      </c>
    </row>
    <row r="796" spans="1:7" x14ac:dyDescent="0.35">
      <c r="A796" s="65">
        <v>40579</v>
      </c>
      <c r="B796" s="62">
        <v>0</v>
      </c>
      <c r="C796" s="62">
        <v>10</v>
      </c>
      <c r="D796" s="63">
        <v>10</v>
      </c>
      <c r="E796" t="str">
        <f t="shared" si="36"/>
        <v>normal</v>
      </c>
      <c r="F796" s="35">
        <f t="shared" si="37"/>
        <v>10</v>
      </c>
      <c r="G796" s="35" t="e">
        <f t="shared" si="38"/>
        <v>#N/A</v>
      </c>
    </row>
    <row r="797" spans="1:7" x14ac:dyDescent="0.35">
      <c r="A797" s="64">
        <v>40579</v>
      </c>
      <c r="B797" s="60">
        <v>3</v>
      </c>
      <c r="C797" s="60">
        <v>17</v>
      </c>
      <c r="D797" s="61">
        <v>20</v>
      </c>
      <c r="E797" t="str">
        <f t="shared" si="36"/>
        <v>normal</v>
      </c>
      <c r="F797" s="35">
        <f t="shared" si="37"/>
        <v>20</v>
      </c>
      <c r="G797" s="35" t="e">
        <f t="shared" si="38"/>
        <v>#N/A</v>
      </c>
    </row>
    <row r="798" spans="1:7" x14ac:dyDescent="0.35">
      <c r="A798" s="65">
        <v>40579</v>
      </c>
      <c r="B798" s="62">
        <v>3</v>
      </c>
      <c r="C798" s="62">
        <v>31</v>
      </c>
      <c r="D798" s="63">
        <v>34</v>
      </c>
      <c r="E798" t="str">
        <f t="shared" si="36"/>
        <v>normal</v>
      </c>
      <c r="F798" s="35">
        <f t="shared" si="37"/>
        <v>34</v>
      </c>
      <c r="G798" s="35" t="e">
        <f t="shared" si="38"/>
        <v>#N/A</v>
      </c>
    </row>
    <row r="799" spans="1:7" x14ac:dyDescent="0.35">
      <c r="A799" s="64">
        <v>40579</v>
      </c>
      <c r="B799" s="60">
        <v>1</v>
      </c>
      <c r="C799" s="60">
        <v>46</v>
      </c>
      <c r="D799" s="61">
        <v>47</v>
      </c>
      <c r="E799" t="str">
        <f t="shared" si="36"/>
        <v>normal</v>
      </c>
      <c r="F799" s="35">
        <f t="shared" si="37"/>
        <v>47</v>
      </c>
      <c r="G799" s="35" t="e">
        <f t="shared" si="38"/>
        <v>#N/A</v>
      </c>
    </row>
    <row r="800" spans="1:7" x14ac:dyDescent="0.35">
      <c r="A800" s="65">
        <v>40579</v>
      </c>
      <c r="B800" s="62">
        <v>10</v>
      </c>
      <c r="C800" s="62">
        <v>42</v>
      </c>
      <c r="D800" s="63">
        <v>52</v>
      </c>
      <c r="E800" t="str">
        <f t="shared" si="36"/>
        <v>normal</v>
      </c>
      <c r="F800" s="35">
        <f t="shared" si="37"/>
        <v>52</v>
      </c>
      <c r="G800" s="35" t="e">
        <f t="shared" si="38"/>
        <v>#N/A</v>
      </c>
    </row>
    <row r="801" spans="1:7" x14ac:dyDescent="0.35">
      <c r="A801" s="64">
        <v>40579</v>
      </c>
      <c r="B801" s="60">
        <v>10</v>
      </c>
      <c r="C801" s="60">
        <v>62</v>
      </c>
      <c r="D801" s="61">
        <v>72</v>
      </c>
      <c r="E801" t="str">
        <f t="shared" si="36"/>
        <v>normal</v>
      </c>
      <c r="F801" s="35">
        <f t="shared" si="37"/>
        <v>72</v>
      </c>
      <c r="G801" s="35" t="e">
        <f t="shared" si="38"/>
        <v>#N/A</v>
      </c>
    </row>
    <row r="802" spans="1:7" x14ac:dyDescent="0.35">
      <c r="A802" s="65">
        <v>40579</v>
      </c>
      <c r="B802" s="62">
        <v>5</v>
      </c>
      <c r="C802" s="62">
        <v>50</v>
      </c>
      <c r="D802" s="63">
        <v>55</v>
      </c>
      <c r="E802" t="str">
        <f t="shared" si="36"/>
        <v>normal</v>
      </c>
      <c r="F802" s="35">
        <f t="shared" si="37"/>
        <v>55</v>
      </c>
      <c r="G802" s="35" t="e">
        <f t="shared" si="38"/>
        <v>#N/A</v>
      </c>
    </row>
    <row r="803" spans="1:7" x14ac:dyDescent="0.35">
      <c r="A803" s="64">
        <v>40579</v>
      </c>
      <c r="B803" s="60">
        <v>11</v>
      </c>
      <c r="C803" s="60">
        <v>49</v>
      </c>
      <c r="D803" s="61">
        <v>60</v>
      </c>
      <c r="E803" t="str">
        <f t="shared" si="36"/>
        <v>normal</v>
      </c>
      <c r="F803" s="35">
        <f t="shared" si="37"/>
        <v>60</v>
      </c>
      <c r="G803" s="35" t="e">
        <f t="shared" si="38"/>
        <v>#N/A</v>
      </c>
    </row>
    <row r="804" spans="1:7" x14ac:dyDescent="0.35">
      <c r="A804" s="65">
        <v>40579</v>
      </c>
      <c r="B804" s="62">
        <v>8</v>
      </c>
      <c r="C804" s="62">
        <v>63</v>
      </c>
      <c r="D804" s="63">
        <v>71</v>
      </c>
      <c r="E804" t="str">
        <f t="shared" si="36"/>
        <v>normal</v>
      </c>
      <c r="F804" s="35">
        <f t="shared" si="37"/>
        <v>71</v>
      </c>
      <c r="G804" s="35" t="e">
        <f t="shared" si="38"/>
        <v>#N/A</v>
      </c>
    </row>
    <row r="805" spans="1:7" x14ac:dyDescent="0.35">
      <c r="A805" s="64">
        <v>40579</v>
      </c>
      <c r="B805" s="60">
        <v>14</v>
      </c>
      <c r="C805" s="60">
        <v>64</v>
      </c>
      <c r="D805" s="61">
        <v>78</v>
      </c>
      <c r="E805" t="str">
        <f t="shared" si="36"/>
        <v>normal</v>
      </c>
      <c r="F805" s="35">
        <f t="shared" si="37"/>
        <v>78</v>
      </c>
      <c r="G805" s="35" t="e">
        <f t="shared" si="38"/>
        <v>#N/A</v>
      </c>
    </row>
    <row r="806" spans="1:7" x14ac:dyDescent="0.35">
      <c r="A806" s="65">
        <v>40579</v>
      </c>
      <c r="B806" s="62">
        <v>2</v>
      </c>
      <c r="C806" s="62">
        <v>81</v>
      </c>
      <c r="D806" s="63">
        <v>83</v>
      </c>
      <c r="E806" t="str">
        <f t="shared" si="36"/>
        <v>normal</v>
      </c>
      <c r="F806" s="35">
        <f t="shared" si="37"/>
        <v>83</v>
      </c>
      <c r="G806" s="35" t="e">
        <f t="shared" si="38"/>
        <v>#N/A</v>
      </c>
    </row>
    <row r="807" spans="1:7" x14ac:dyDescent="0.35">
      <c r="A807" s="64">
        <v>40579</v>
      </c>
      <c r="B807" s="60">
        <v>6</v>
      </c>
      <c r="C807" s="60">
        <v>78</v>
      </c>
      <c r="D807" s="61">
        <v>84</v>
      </c>
      <c r="E807" t="str">
        <f t="shared" si="36"/>
        <v>normal</v>
      </c>
      <c r="F807" s="35">
        <f t="shared" si="37"/>
        <v>84</v>
      </c>
      <c r="G807" s="35" t="e">
        <f t="shared" si="38"/>
        <v>#N/A</v>
      </c>
    </row>
    <row r="808" spans="1:7" x14ac:dyDescent="0.35">
      <c r="A808" s="65">
        <v>40579</v>
      </c>
      <c r="B808" s="62">
        <v>5</v>
      </c>
      <c r="C808" s="62">
        <v>64</v>
      </c>
      <c r="D808" s="63">
        <v>69</v>
      </c>
      <c r="E808" t="str">
        <f t="shared" si="36"/>
        <v>normal</v>
      </c>
      <c r="F808" s="35">
        <f t="shared" si="37"/>
        <v>69</v>
      </c>
      <c r="G808" s="35" t="e">
        <f t="shared" si="38"/>
        <v>#N/A</v>
      </c>
    </row>
    <row r="809" spans="1:7" x14ac:dyDescent="0.35">
      <c r="A809" s="64">
        <v>40579</v>
      </c>
      <c r="B809" s="60">
        <v>3</v>
      </c>
      <c r="C809" s="60">
        <v>53</v>
      </c>
      <c r="D809" s="61">
        <v>56</v>
      </c>
      <c r="E809" t="str">
        <f t="shared" si="36"/>
        <v>normal</v>
      </c>
      <c r="F809" s="35">
        <f t="shared" si="37"/>
        <v>56</v>
      </c>
      <c r="G809" s="35" t="e">
        <f t="shared" si="38"/>
        <v>#N/A</v>
      </c>
    </row>
    <row r="810" spans="1:7" x14ac:dyDescent="0.35">
      <c r="A810" s="65">
        <v>40579</v>
      </c>
      <c r="B810" s="62">
        <v>2</v>
      </c>
      <c r="C810" s="62">
        <v>43</v>
      </c>
      <c r="D810" s="63">
        <v>45</v>
      </c>
      <c r="E810" t="str">
        <f t="shared" si="36"/>
        <v>normal</v>
      </c>
      <c r="F810" s="35">
        <f t="shared" si="37"/>
        <v>45</v>
      </c>
      <c r="G810" s="35" t="e">
        <f t="shared" si="38"/>
        <v>#N/A</v>
      </c>
    </row>
    <row r="811" spans="1:7" x14ac:dyDescent="0.35">
      <c r="A811" s="64">
        <v>40579</v>
      </c>
      <c r="B811" s="60">
        <v>7</v>
      </c>
      <c r="C811" s="60">
        <v>52</v>
      </c>
      <c r="D811" s="61">
        <v>59</v>
      </c>
      <c r="E811" t="str">
        <f t="shared" si="36"/>
        <v>normal</v>
      </c>
      <c r="F811" s="35">
        <f t="shared" si="37"/>
        <v>59</v>
      </c>
      <c r="G811" s="35" t="e">
        <f t="shared" si="38"/>
        <v>#N/A</v>
      </c>
    </row>
    <row r="812" spans="1:7" x14ac:dyDescent="0.35">
      <c r="A812" s="65">
        <v>40580</v>
      </c>
      <c r="B812" s="62">
        <v>2</v>
      </c>
      <c r="C812" s="62">
        <v>37</v>
      </c>
      <c r="D812" s="63">
        <v>39</v>
      </c>
      <c r="E812" t="str">
        <f t="shared" si="36"/>
        <v>normal</v>
      </c>
      <c r="F812" s="35">
        <f t="shared" si="37"/>
        <v>39</v>
      </c>
      <c r="G812" s="35" t="e">
        <f t="shared" si="38"/>
        <v>#N/A</v>
      </c>
    </row>
    <row r="813" spans="1:7" x14ac:dyDescent="0.35">
      <c r="A813" s="64">
        <v>40580</v>
      </c>
      <c r="B813" s="60">
        <v>4</v>
      </c>
      <c r="C813" s="60">
        <v>40</v>
      </c>
      <c r="D813" s="61">
        <v>44</v>
      </c>
      <c r="E813" t="str">
        <f t="shared" si="36"/>
        <v>normal</v>
      </c>
      <c r="F813" s="35">
        <f t="shared" si="37"/>
        <v>44</v>
      </c>
      <c r="G813" s="35" t="e">
        <f t="shared" si="38"/>
        <v>#N/A</v>
      </c>
    </row>
    <row r="814" spans="1:7" x14ac:dyDescent="0.35">
      <c r="A814" s="65">
        <v>40580</v>
      </c>
      <c r="B814" s="62">
        <v>0</v>
      </c>
      <c r="C814" s="62">
        <v>20</v>
      </c>
      <c r="D814" s="63">
        <v>20</v>
      </c>
      <c r="E814" t="str">
        <f t="shared" si="36"/>
        <v>normal</v>
      </c>
      <c r="F814" s="35">
        <f t="shared" si="37"/>
        <v>20</v>
      </c>
      <c r="G814" s="35" t="e">
        <f t="shared" si="38"/>
        <v>#N/A</v>
      </c>
    </row>
    <row r="815" spans="1:7" x14ac:dyDescent="0.35">
      <c r="A815" s="64">
        <v>40580</v>
      </c>
      <c r="B815" s="60">
        <v>3</v>
      </c>
      <c r="C815" s="60">
        <v>10</v>
      </c>
      <c r="D815" s="61">
        <v>13</v>
      </c>
      <c r="E815" t="str">
        <f>IF(OR(D815&lt;$L$15,D815&gt;$L$16),"Anomoly","normal")</f>
        <v>normal</v>
      </c>
      <c r="F815" s="35">
        <f t="shared" si="37"/>
        <v>13</v>
      </c>
      <c r="G815" s="35" t="e">
        <f t="shared" si="38"/>
        <v>#N/A</v>
      </c>
    </row>
    <row r="816" spans="1:7" x14ac:dyDescent="0.35">
      <c r="A816" s="65">
        <v>40580</v>
      </c>
      <c r="B816" s="62">
        <v>0</v>
      </c>
      <c r="C816" s="62">
        <v>2</v>
      </c>
      <c r="D816" s="63">
        <v>2</v>
      </c>
      <c r="E816" t="str">
        <f>IF(OR(D816&lt;$L$15,D816&gt;$L$16),"Anomoly","normal")</f>
        <v>normal</v>
      </c>
      <c r="F816" s="35">
        <f t="shared" si="37"/>
        <v>2</v>
      </c>
      <c r="G816" s="35" t="e">
        <f t="shared" si="38"/>
        <v>#N/A</v>
      </c>
    </row>
    <row r="817" spans="1:7" x14ac:dyDescent="0.35">
      <c r="A817" s="64">
        <v>40580</v>
      </c>
      <c r="B817" s="60">
        <v>0</v>
      </c>
      <c r="C817" s="60">
        <v>1</v>
      </c>
      <c r="D817" s="61">
        <v>1</v>
      </c>
      <c r="E817" t="str">
        <f t="shared" ref="E817:E848" si="39">IF(OR(D817&lt;$L$15,D817&gt;$L$16),"Anamoly","normal")</f>
        <v>normal</v>
      </c>
      <c r="F817" s="35">
        <f t="shared" si="37"/>
        <v>1</v>
      </c>
      <c r="G817" s="35" t="e">
        <f t="shared" si="38"/>
        <v>#N/A</v>
      </c>
    </row>
    <row r="818" spans="1:7" x14ac:dyDescent="0.35">
      <c r="A818" s="65">
        <v>40580</v>
      </c>
      <c r="B818" s="62">
        <v>0</v>
      </c>
      <c r="C818" s="62">
        <v>1</v>
      </c>
      <c r="D818" s="63">
        <v>1</v>
      </c>
      <c r="E818" t="str">
        <f t="shared" si="39"/>
        <v>normal</v>
      </c>
      <c r="F818" s="35">
        <f t="shared" si="37"/>
        <v>1</v>
      </c>
      <c r="G818" s="35" t="e">
        <f t="shared" si="38"/>
        <v>#N/A</v>
      </c>
    </row>
    <row r="819" spans="1:7" x14ac:dyDescent="0.35">
      <c r="A819" s="64">
        <v>40580</v>
      </c>
      <c r="B819" s="60">
        <v>0</v>
      </c>
      <c r="C819" s="60">
        <v>8</v>
      </c>
      <c r="D819" s="61">
        <v>8</v>
      </c>
      <c r="E819" t="str">
        <f t="shared" si="39"/>
        <v>normal</v>
      </c>
      <c r="F819" s="35">
        <f t="shared" si="37"/>
        <v>8</v>
      </c>
      <c r="G819" s="35" t="e">
        <f t="shared" si="38"/>
        <v>#N/A</v>
      </c>
    </row>
    <row r="820" spans="1:7" x14ac:dyDescent="0.35">
      <c r="A820" s="65">
        <v>40580</v>
      </c>
      <c r="B820" s="62">
        <v>2</v>
      </c>
      <c r="C820" s="62">
        <v>21</v>
      </c>
      <c r="D820" s="63">
        <v>23</v>
      </c>
      <c r="E820" t="str">
        <f t="shared" si="39"/>
        <v>normal</v>
      </c>
      <c r="F820" s="35">
        <f t="shared" si="37"/>
        <v>23</v>
      </c>
      <c r="G820" s="35" t="e">
        <f t="shared" si="38"/>
        <v>#N/A</v>
      </c>
    </row>
    <row r="821" spans="1:7" x14ac:dyDescent="0.35">
      <c r="A821" s="64">
        <v>40580</v>
      </c>
      <c r="B821" s="60">
        <v>7</v>
      </c>
      <c r="C821" s="60">
        <v>38</v>
      </c>
      <c r="D821" s="61">
        <v>45</v>
      </c>
      <c r="E821" t="str">
        <f t="shared" si="39"/>
        <v>normal</v>
      </c>
      <c r="F821" s="35">
        <f t="shared" si="37"/>
        <v>45</v>
      </c>
      <c r="G821" s="35" t="e">
        <f t="shared" si="38"/>
        <v>#N/A</v>
      </c>
    </row>
    <row r="822" spans="1:7" x14ac:dyDescent="0.35">
      <c r="A822" s="65">
        <v>40580</v>
      </c>
      <c r="B822" s="62">
        <v>15</v>
      </c>
      <c r="C822" s="62">
        <v>74</v>
      </c>
      <c r="D822" s="63">
        <v>89</v>
      </c>
      <c r="E822" t="str">
        <f t="shared" si="39"/>
        <v>normal</v>
      </c>
      <c r="F822" s="35">
        <f t="shared" si="37"/>
        <v>89</v>
      </c>
      <c r="G822" s="35" t="e">
        <f t="shared" si="38"/>
        <v>#N/A</v>
      </c>
    </row>
    <row r="823" spans="1:7" x14ac:dyDescent="0.35">
      <c r="A823" s="64">
        <v>40580</v>
      </c>
      <c r="B823" s="60">
        <v>28</v>
      </c>
      <c r="C823" s="60">
        <v>89</v>
      </c>
      <c r="D823" s="61">
        <v>117</v>
      </c>
      <c r="E823" t="str">
        <f t="shared" si="39"/>
        <v>normal</v>
      </c>
      <c r="F823" s="35">
        <f t="shared" si="37"/>
        <v>117</v>
      </c>
      <c r="G823" s="35" t="e">
        <f t="shared" si="38"/>
        <v>#N/A</v>
      </c>
    </row>
    <row r="824" spans="1:7" x14ac:dyDescent="0.35">
      <c r="A824" s="65">
        <v>40580</v>
      </c>
      <c r="B824" s="62">
        <v>48</v>
      </c>
      <c r="C824" s="62">
        <v>126</v>
      </c>
      <c r="D824" s="63">
        <v>174</v>
      </c>
      <c r="E824" t="str">
        <f t="shared" si="39"/>
        <v>normal</v>
      </c>
      <c r="F824" s="35">
        <f t="shared" si="37"/>
        <v>174</v>
      </c>
      <c r="G824" s="35" t="e">
        <f t="shared" si="38"/>
        <v>#N/A</v>
      </c>
    </row>
    <row r="825" spans="1:7" x14ac:dyDescent="0.35">
      <c r="A825" s="64">
        <v>40580</v>
      </c>
      <c r="B825" s="60">
        <v>47</v>
      </c>
      <c r="C825" s="60">
        <v>135</v>
      </c>
      <c r="D825" s="61">
        <v>182</v>
      </c>
      <c r="E825" t="str">
        <f t="shared" si="39"/>
        <v>normal</v>
      </c>
      <c r="F825" s="35">
        <f t="shared" si="37"/>
        <v>182</v>
      </c>
      <c r="G825" s="35" t="e">
        <f t="shared" si="38"/>
        <v>#N/A</v>
      </c>
    </row>
    <row r="826" spans="1:7" x14ac:dyDescent="0.35">
      <c r="A826" s="65">
        <v>40580</v>
      </c>
      <c r="B826" s="62">
        <v>47</v>
      </c>
      <c r="C826" s="62">
        <v>114</v>
      </c>
      <c r="D826" s="63">
        <v>161</v>
      </c>
      <c r="E826" t="str">
        <f t="shared" si="39"/>
        <v>normal</v>
      </c>
      <c r="F826" s="35">
        <f t="shared" si="37"/>
        <v>161</v>
      </c>
      <c r="G826" s="35" t="e">
        <f t="shared" si="38"/>
        <v>#N/A</v>
      </c>
    </row>
    <row r="827" spans="1:7" x14ac:dyDescent="0.35">
      <c r="A827" s="64">
        <v>40580</v>
      </c>
      <c r="B827" s="60">
        <v>52</v>
      </c>
      <c r="C827" s="60">
        <v>130</v>
      </c>
      <c r="D827" s="61">
        <v>182</v>
      </c>
      <c r="E827" t="str">
        <f t="shared" si="39"/>
        <v>normal</v>
      </c>
      <c r="F827" s="35">
        <f t="shared" si="37"/>
        <v>182</v>
      </c>
      <c r="G827" s="35" t="e">
        <f t="shared" si="38"/>
        <v>#N/A</v>
      </c>
    </row>
    <row r="828" spans="1:7" x14ac:dyDescent="0.35">
      <c r="A828" s="65">
        <v>40580</v>
      </c>
      <c r="B828" s="62">
        <v>42</v>
      </c>
      <c r="C828" s="62">
        <v>115</v>
      </c>
      <c r="D828" s="63">
        <v>157</v>
      </c>
      <c r="E828" t="str">
        <f t="shared" si="39"/>
        <v>normal</v>
      </c>
      <c r="F828" s="35">
        <f t="shared" si="37"/>
        <v>157</v>
      </c>
      <c r="G828" s="35" t="e">
        <f t="shared" si="38"/>
        <v>#N/A</v>
      </c>
    </row>
    <row r="829" spans="1:7" x14ac:dyDescent="0.35">
      <c r="A829" s="64">
        <v>40580</v>
      </c>
      <c r="B829" s="60">
        <v>24</v>
      </c>
      <c r="C829" s="60">
        <v>97</v>
      </c>
      <c r="D829" s="61">
        <v>121</v>
      </c>
      <c r="E829" t="str">
        <f t="shared" si="39"/>
        <v>normal</v>
      </c>
      <c r="F829" s="35">
        <f t="shared" si="37"/>
        <v>121</v>
      </c>
      <c r="G829" s="35" t="e">
        <f t="shared" si="38"/>
        <v>#N/A</v>
      </c>
    </row>
    <row r="830" spans="1:7" x14ac:dyDescent="0.35">
      <c r="A830" s="65">
        <v>40580</v>
      </c>
      <c r="B830" s="62">
        <v>13</v>
      </c>
      <c r="C830" s="62">
        <v>65</v>
      </c>
      <c r="D830" s="63">
        <v>78</v>
      </c>
      <c r="E830" t="str">
        <f t="shared" si="39"/>
        <v>normal</v>
      </c>
      <c r="F830" s="35">
        <f t="shared" si="37"/>
        <v>78</v>
      </c>
      <c r="G830" s="35" t="e">
        <f t="shared" si="38"/>
        <v>#N/A</v>
      </c>
    </row>
    <row r="831" spans="1:7" x14ac:dyDescent="0.35">
      <c r="A831" s="64">
        <v>40580</v>
      </c>
      <c r="B831" s="60">
        <v>1</v>
      </c>
      <c r="C831" s="60">
        <v>20</v>
      </c>
      <c r="D831" s="61">
        <v>21</v>
      </c>
      <c r="E831" t="str">
        <f t="shared" si="39"/>
        <v>normal</v>
      </c>
      <c r="F831" s="35">
        <f t="shared" si="37"/>
        <v>21</v>
      </c>
      <c r="G831" s="35" t="e">
        <f t="shared" si="38"/>
        <v>#N/A</v>
      </c>
    </row>
    <row r="832" spans="1:7" x14ac:dyDescent="0.35">
      <c r="A832" s="65">
        <v>40580</v>
      </c>
      <c r="B832" s="62">
        <v>5</v>
      </c>
      <c r="C832" s="62">
        <v>21</v>
      </c>
      <c r="D832" s="63">
        <v>26</v>
      </c>
      <c r="E832" t="str">
        <f t="shared" si="39"/>
        <v>normal</v>
      </c>
      <c r="F832" s="35">
        <f t="shared" si="37"/>
        <v>26</v>
      </c>
      <c r="G832" s="35" t="e">
        <f t="shared" si="38"/>
        <v>#N/A</v>
      </c>
    </row>
    <row r="833" spans="1:7" x14ac:dyDescent="0.35">
      <c r="A833" s="64">
        <v>40580</v>
      </c>
      <c r="B833" s="60">
        <v>5</v>
      </c>
      <c r="C833" s="60">
        <v>22</v>
      </c>
      <c r="D833" s="61">
        <v>27</v>
      </c>
      <c r="E833" t="str">
        <f t="shared" si="39"/>
        <v>normal</v>
      </c>
      <c r="F833" s="35">
        <f t="shared" si="37"/>
        <v>27</v>
      </c>
      <c r="G833" s="35" t="e">
        <f t="shared" si="38"/>
        <v>#N/A</v>
      </c>
    </row>
    <row r="834" spans="1:7" x14ac:dyDescent="0.35">
      <c r="A834" s="65">
        <v>40580</v>
      </c>
      <c r="B834" s="62">
        <v>5</v>
      </c>
      <c r="C834" s="62">
        <v>57</v>
      </c>
      <c r="D834" s="63">
        <v>62</v>
      </c>
      <c r="E834" t="str">
        <f t="shared" si="39"/>
        <v>normal</v>
      </c>
      <c r="F834" s="35">
        <f t="shared" si="37"/>
        <v>62</v>
      </c>
      <c r="G834" s="35" t="e">
        <f t="shared" si="38"/>
        <v>#N/A</v>
      </c>
    </row>
    <row r="835" spans="1:7" x14ac:dyDescent="0.35">
      <c r="A835" s="64">
        <v>40580</v>
      </c>
      <c r="B835" s="60">
        <v>4</v>
      </c>
      <c r="C835" s="60">
        <v>26</v>
      </c>
      <c r="D835" s="61">
        <v>30</v>
      </c>
      <c r="E835" t="str">
        <f t="shared" si="39"/>
        <v>normal</v>
      </c>
      <c r="F835" s="35">
        <f t="shared" si="37"/>
        <v>30</v>
      </c>
      <c r="G835" s="35" t="e">
        <f t="shared" si="38"/>
        <v>#N/A</v>
      </c>
    </row>
    <row r="836" spans="1:7" x14ac:dyDescent="0.35">
      <c r="A836" s="65">
        <v>40581</v>
      </c>
      <c r="B836" s="62">
        <v>1</v>
      </c>
      <c r="C836" s="62">
        <v>14</v>
      </c>
      <c r="D836" s="63">
        <v>15</v>
      </c>
      <c r="E836" t="str">
        <f t="shared" si="39"/>
        <v>normal</v>
      </c>
      <c r="F836" s="35">
        <f t="shared" si="37"/>
        <v>15</v>
      </c>
      <c r="G836" s="35" t="e">
        <f t="shared" si="38"/>
        <v>#N/A</v>
      </c>
    </row>
    <row r="837" spans="1:7" x14ac:dyDescent="0.35">
      <c r="A837" s="64">
        <v>40581</v>
      </c>
      <c r="B837" s="60">
        <v>1</v>
      </c>
      <c r="C837" s="60">
        <v>4</v>
      </c>
      <c r="D837" s="61">
        <v>5</v>
      </c>
      <c r="E837" t="str">
        <f t="shared" si="39"/>
        <v>normal</v>
      </c>
      <c r="F837" s="35">
        <f t="shared" si="37"/>
        <v>5</v>
      </c>
      <c r="G837" s="35" t="e">
        <f t="shared" si="38"/>
        <v>#N/A</v>
      </c>
    </row>
    <row r="838" spans="1:7" x14ac:dyDescent="0.35">
      <c r="A838" s="65">
        <v>40581</v>
      </c>
      <c r="B838" s="62">
        <v>0</v>
      </c>
      <c r="C838" s="62">
        <v>3</v>
      </c>
      <c r="D838" s="63">
        <v>3</v>
      </c>
      <c r="E838" t="str">
        <f t="shared" si="39"/>
        <v>normal</v>
      </c>
      <c r="F838" s="35">
        <f t="shared" si="37"/>
        <v>3</v>
      </c>
      <c r="G838" s="35" t="e">
        <f t="shared" si="38"/>
        <v>#N/A</v>
      </c>
    </row>
    <row r="839" spans="1:7" x14ac:dyDescent="0.35">
      <c r="A839" s="64">
        <v>40581</v>
      </c>
      <c r="B839" s="60">
        <v>0</v>
      </c>
      <c r="C839" s="60">
        <v>1</v>
      </c>
      <c r="D839" s="61">
        <v>1</v>
      </c>
      <c r="E839" t="str">
        <f t="shared" si="39"/>
        <v>normal</v>
      </c>
      <c r="F839" s="35">
        <f t="shared" si="37"/>
        <v>1</v>
      </c>
      <c r="G839" s="35" t="e">
        <f t="shared" si="38"/>
        <v>#N/A</v>
      </c>
    </row>
    <row r="840" spans="1:7" x14ac:dyDescent="0.35">
      <c r="A840" s="65">
        <v>40581</v>
      </c>
      <c r="B840" s="62">
        <v>1</v>
      </c>
      <c r="C840" s="62">
        <v>1</v>
      </c>
      <c r="D840" s="63">
        <v>2</v>
      </c>
      <c r="E840" t="str">
        <f t="shared" si="39"/>
        <v>normal</v>
      </c>
      <c r="F840" s="35">
        <f t="shared" ref="F840:F903" si="40">IF(E840="normal",D840,NA())</f>
        <v>2</v>
      </c>
      <c r="G840" s="35" t="e">
        <f t="shared" ref="G840:G903" si="41">IF(E840="anamoly",D840,NA())</f>
        <v>#N/A</v>
      </c>
    </row>
    <row r="841" spans="1:7" x14ac:dyDescent="0.35">
      <c r="A841" s="64">
        <v>40581</v>
      </c>
      <c r="B841" s="60">
        <v>1</v>
      </c>
      <c r="C841" s="60">
        <v>9</v>
      </c>
      <c r="D841" s="61">
        <v>10</v>
      </c>
      <c r="E841" t="str">
        <f t="shared" si="39"/>
        <v>normal</v>
      </c>
      <c r="F841" s="35">
        <f t="shared" si="40"/>
        <v>10</v>
      </c>
      <c r="G841" s="35" t="e">
        <f t="shared" si="41"/>
        <v>#N/A</v>
      </c>
    </row>
    <row r="842" spans="1:7" x14ac:dyDescent="0.35">
      <c r="A842" s="65">
        <v>40581</v>
      </c>
      <c r="B842" s="62">
        <v>1</v>
      </c>
      <c r="C842" s="62">
        <v>29</v>
      </c>
      <c r="D842" s="63">
        <v>30</v>
      </c>
      <c r="E842" t="str">
        <f t="shared" si="39"/>
        <v>normal</v>
      </c>
      <c r="F842" s="35">
        <f t="shared" si="40"/>
        <v>30</v>
      </c>
      <c r="G842" s="35" t="e">
        <f t="shared" si="41"/>
        <v>#N/A</v>
      </c>
    </row>
    <row r="843" spans="1:7" x14ac:dyDescent="0.35">
      <c r="A843" s="64">
        <v>40581</v>
      </c>
      <c r="B843" s="60">
        <v>6</v>
      </c>
      <c r="C843" s="60">
        <v>89</v>
      </c>
      <c r="D843" s="61">
        <v>95</v>
      </c>
      <c r="E843" t="str">
        <f t="shared" si="39"/>
        <v>normal</v>
      </c>
      <c r="F843" s="35">
        <f t="shared" si="40"/>
        <v>95</v>
      </c>
      <c r="G843" s="35" t="e">
        <f t="shared" si="41"/>
        <v>#N/A</v>
      </c>
    </row>
    <row r="844" spans="1:7" x14ac:dyDescent="0.35">
      <c r="A844" s="65">
        <v>40581</v>
      </c>
      <c r="B844" s="62">
        <v>7</v>
      </c>
      <c r="C844" s="62">
        <v>223</v>
      </c>
      <c r="D844" s="63">
        <v>230</v>
      </c>
      <c r="E844" t="str">
        <f t="shared" si="39"/>
        <v>Anamoly</v>
      </c>
      <c r="F844" s="35" t="e">
        <f t="shared" si="40"/>
        <v>#N/A</v>
      </c>
      <c r="G844" s="35">
        <f t="shared" si="41"/>
        <v>230</v>
      </c>
    </row>
    <row r="845" spans="1:7" x14ac:dyDescent="0.35">
      <c r="A845" s="64">
        <v>40581</v>
      </c>
      <c r="B845" s="60">
        <v>3</v>
      </c>
      <c r="C845" s="60">
        <v>115</v>
      </c>
      <c r="D845" s="61">
        <v>118</v>
      </c>
      <c r="E845" t="str">
        <f t="shared" si="39"/>
        <v>normal</v>
      </c>
      <c r="F845" s="35">
        <f t="shared" si="40"/>
        <v>118</v>
      </c>
      <c r="G845" s="35" t="e">
        <f t="shared" si="41"/>
        <v>#N/A</v>
      </c>
    </row>
    <row r="846" spans="1:7" x14ac:dyDescent="0.35">
      <c r="A846" s="65">
        <v>40581</v>
      </c>
      <c r="B846" s="62">
        <v>6</v>
      </c>
      <c r="C846" s="62">
        <v>49</v>
      </c>
      <c r="D846" s="63">
        <v>55</v>
      </c>
      <c r="E846" t="str">
        <f t="shared" si="39"/>
        <v>normal</v>
      </c>
      <c r="F846" s="35">
        <f t="shared" si="40"/>
        <v>55</v>
      </c>
      <c r="G846" s="35" t="e">
        <f t="shared" si="41"/>
        <v>#N/A</v>
      </c>
    </row>
    <row r="847" spans="1:7" x14ac:dyDescent="0.35">
      <c r="A847" s="64">
        <v>40581</v>
      </c>
      <c r="B847" s="60">
        <v>11</v>
      </c>
      <c r="C847" s="60">
        <v>36</v>
      </c>
      <c r="D847" s="61">
        <v>47</v>
      </c>
      <c r="E847" t="str">
        <f t="shared" si="39"/>
        <v>normal</v>
      </c>
      <c r="F847" s="35">
        <f t="shared" si="40"/>
        <v>47</v>
      </c>
      <c r="G847" s="35" t="e">
        <f t="shared" si="41"/>
        <v>#N/A</v>
      </c>
    </row>
    <row r="848" spans="1:7" x14ac:dyDescent="0.35">
      <c r="A848" s="65">
        <v>40581</v>
      </c>
      <c r="B848" s="62">
        <v>7</v>
      </c>
      <c r="C848" s="62">
        <v>59</v>
      </c>
      <c r="D848" s="63">
        <v>66</v>
      </c>
      <c r="E848" t="str">
        <f t="shared" si="39"/>
        <v>normal</v>
      </c>
      <c r="F848" s="35">
        <f t="shared" si="40"/>
        <v>66</v>
      </c>
      <c r="G848" s="35" t="e">
        <f t="shared" si="41"/>
        <v>#N/A</v>
      </c>
    </row>
    <row r="849" spans="1:7" x14ac:dyDescent="0.35">
      <c r="A849" s="64">
        <v>40581</v>
      </c>
      <c r="B849" s="60">
        <v>10</v>
      </c>
      <c r="C849" s="60">
        <v>54</v>
      </c>
      <c r="D849" s="61">
        <v>64</v>
      </c>
      <c r="E849" t="str">
        <f t="shared" ref="E849:E880" si="42">IF(OR(D849&lt;$L$15,D849&gt;$L$16),"Anamoly","normal")</f>
        <v>normal</v>
      </c>
      <c r="F849" s="35">
        <f t="shared" si="40"/>
        <v>64</v>
      </c>
      <c r="G849" s="35" t="e">
        <f t="shared" si="41"/>
        <v>#N/A</v>
      </c>
    </row>
    <row r="850" spans="1:7" x14ac:dyDescent="0.35">
      <c r="A850" s="65">
        <v>40581</v>
      </c>
      <c r="B850" s="62">
        <v>8</v>
      </c>
      <c r="C850" s="62">
        <v>52</v>
      </c>
      <c r="D850" s="63">
        <v>60</v>
      </c>
      <c r="E850" t="str">
        <f t="shared" si="42"/>
        <v>normal</v>
      </c>
      <c r="F850" s="35">
        <f t="shared" si="40"/>
        <v>60</v>
      </c>
      <c r="G850" s="35" t="e">
        <f t="shared" si="41"/>
        <v>#N/A</v>
      </c>
    </row>
    <row r="851" spans="1:7" x14ac:dyDescent="0.35">
      <c r="A851" s="64">
        <v>40581</v>
      </c>
      <c r="B851" s="60">
        <v>4</v>
      </c>
      <c r="C851" s="60">
        <v>46</v>
      </c>
      <c r="D851" s="61">
        <v>50</v>
      </c>
      <c r="E851" t="str">
        <f t="shared" si="42"/>
        <v>normal</v>
      </c>
      <c r="F851" s="35">
        <f t="shared" si="40"/>
        <v>50</v>
      </c>
      <c r="G851" s="35" t="e">
        <f t="shared" si="41"/>
        <v>#N/A</v>
      </c>
    </row>
    <row r="852" spans="1:7" x14ac:dyDescent="0.35">
      <c r="A852" s="65">
        <v>40581</v>
      </c>
      <c r="B852" s="62">
        <v>16</v>
      </c>
      <c r="C852" s="62">
        <v>98</v>
      </c>
      <c r="D852" s="63">
        <v>114</v>
      </c>
      <c r="E852" t="str">
        <f t="shared" si="42"/>
        <v>normal</v>
      </c>
      <c r="F852" s="35">
        <f t="shared" si="40"/>
        <v>114</v>
      </c>
      <c r="G852" s="35" t="e">
        <f t="shared" si="41"/>
        <v>#N/A</v>
      </c>
    </row>
    <row r="853" spans="1:7" x14ac:dyDescent="0.35">
      <c r="A853" s="64">
        <v>40581</v>
      </c>
      <c r="B853" s="60">
        <v>9</v>
      </c>
      <c r="C853" s="60">
        <v>207</v>
      </c>
      <c r="D853" s="61">
        <v>216</v>
      </c>
      <c r="E853" t="str">
        <f t="shared" si="42"/>
        <v>Anamoly</v>
      </c>
      <c r="F853" s="35" t="e">
        <f t="shared" si="40"/>
        <v>#N/A</v>
      </c>
      <c r="G853" s="35">
        <f t="shared" si="41"/>
        <v>216</v>
      </c>
    </row>
    <row r="854" spans="1:7" x14ac:dyDescent="0.35">
      <c r="A854" s="65">
        <v>40581</v>
      </c>
      <c r="B854" s="62">
        <v>5</v>
      </c>
      <c r="C854" s="62">
        <v>170</v>
      </c>
      <c r="D854" s="63">
        <v>175</v>
      </c>
      <c r="E854" t="str">
        <f t="shared" si="42"/>
        <v>normal</v>
      </c>
      <c r="F854" s="35">
        <f t="shared" si="40"/>
        <v>175</v>
      </c>
      <c r="G854" s="35" t="e">
        <f t="shared" si="41"/>
        <v>#N/A</v>
      </c>
    </row>
    <row r="855" spans="1:7" x14ac:dyDescent="0.35">
      <c r="A855" s="64">
        <v>40581</v>
      </c>
      <c r="B855" s="60">
        <v>5</v>
      </c>
      <c r="C855" s="60">
        <v>123</v>
      </c>
      <c r="D855" s="61">
        <v>128</v>
      </c>
      <c r="E855" t="str">
        <f t="shared" si="42"/>
        <v>normal</v>
      </c>
      <c r="F855" s="35">
        <f t="shared" si="40"/>
        <v>128</v>
      </c>
      <c r="G855" s="35" t="e">
        <f t="shared" si="41"/>
        <v>#N/A</v>
      </c>
    </row>
    <row r="856" spans="1:7" x14ac:dyDescent="0.35">
      <c r="A856" s="65">
        <v>40581</v>
      </c>
      <c r="B856" s="62">
        <v>6</v>
      </c>
      <c r="C856" s="62">
        <v>82</v>
      </c>
      <c r="D856" s="63">
        <v>88</v>
      </c>
      <c r="E856" t="str">
        <f t="shared" si="42"/>
        <v>normal</v>
      </c>
      <c r="F856" s="35">
        <f t="shared" si="40"/>
        <v>88</v>
      </c>
      <c r="G856" s="35" t="e">
        <f t="shared" si="41"/>
        <v>#N/A</v>
      </c>
    </row>
    <row r="857" spans="1:7" x14ac:dyDescent="0.35">
      <c r="A857" s="64">
        <v>40581</v>
      </c>
      <c r="B857" s="60">
        <v>3</v>
      </c>
      <c r="C857" s="60">
        <v>75</v>
      </c>
      <c r="D857" s="61">
        <v>78</v>
      </c>
      <c r="E857" t="str">
        <f t="shared" si="42"/>
        <v>normal</v>
      </c>
      <c r="F857" s="35">
        <f t="shared" si="40"/>
        <v>78</v>
      </c>
      <c r="G857" s="35" t="e">
        <f t="shared" si="41"/>
        <v>#N/A</v>
      </c>
    </row>
    <row r="858" spans="1:7" x14ac:dyDescent="0.35">
      <c r="A858" s="65">
        <v>40581</v>
      </c>
      <c r="B858" s="62">
        <v>3</v>
      </c>
      <c r="C858" s="62">
        <v>34</v>
      </c>
      <c r="D858" s="63">
        <v>37</v>
      </c>
      <c r="E858" t="str">
        <f t="shared" si="42"/>
        <v>normal</v>
      </c>
      <c r="F858" s="35">
        <f t="shared" si="40"/>
        <v>37</v>
      </c>
      <c r="G858" s="35" t="e">
        <f t="shared" si="41"/>
        <v>#N/A</v>
      </c>
    </row>
    <row r="859" spans="1:7" x14ac:dyDescent="0.35">
      <c r="A859" s="64">
        <v>40581</v>
      </c>
      <c r="B859" s="60">
        <v>6</v>
      </c>
      <c r="C859" s="60">
        <v>19</v>
      </c>
      <c r="D859" s="61">
        <v>25</v>
      </c>
      <c r="E859" t="str">
        <f t="shared" si="42"/>
        <v>normal</v>
      </c>
      <c r="F859" s="35">
        <f t="shared" si="40"/>
        <v>25</v>
      </c>
      <c r="G859" s="35" t="e">
        <f t="shared" si="41"/>
        <v>#N/A</v>
      </c>
    </row>
    <row r="860" spans="1:7" x14ac:dyDescent="0.35">
      <c r="A860" s="65">
        <v>40582</v>
      </c>
      <c r="B860" s="62">
        <v>4</v>
      </c>
      <c r="C860" s="62">
        <v>6</v>
      </c>
      <c r="D860" s="63">
        <v>10</v>
      </c>
      <c r="E860" t="str">
        <f t="shared" si="42"/>
        <v>normal</v>
      </c>
      <c r="F860" s="35">
        <f t="shared" si="40"/>
        <v>10</v>
      </c>
      <c r="G860" s="35" t="e">
        <f t="shared" si="41"/>
        <v>#N/A</v>
      </c>
    </row>
    <row r="861" spans="1:7" x14ac:dyDescent="0.35">
      <c r="A861" s="64">
        <v>40582</v>
      </c>
      <c r="B861" s="60">
        <v>0</v>
      </c>
      <c r="C861" s="60">
        <v>4</v>
      </c>
      <c r="D861" s="61">
        <v>4</v>
      </c>
      <c r="E861" t="str">
        <f t="shared" si="42"/>
        <v>normal</v>
      </c>
      <c r="F861" s="35">
        <f t="shared" si="40"/>
        <v>4</v>
      </c>
      <c r="G861" s="35" t="e">
        <f t="shared" si="41"/>
        <v>#N/A</v>
      </c>
    </row>
    <row r="862" spans="1:7" x14ac:dyDescent="0.35">
      <c r="A862" s="65">
        <v>40582</v>
      </c>
      <c r="B862" s="62">
        <v>1</v>
      </c>
      <c r="C862" s="62">
        <v>1</v>
      </c>
      <c r="D862" s="63">
        <v>2</v>
      </c>
      <c r="E862" t="str">
        <f t="shared" si="42"/>
        <v>normal</v>
      </c>
      <c r="F862" s="35">
        <f t="shared" si="40"/>
        <v>2</v>
      </c>
      <c r="G862" s="35" t="e">
        <f t="shared" si="41"/>
        <v>#N/A</v>
      </c>
    </row>
    <row r="863" spans="1:7" x14ac:dyDescent="0.35">
      <c r="A863" s="64">
        <v>40582</v>
      </c>
      <c r="B863" s="60">
        <v>0</v>
      </c>
      <c r="C863" s="60">
        <v>1</v>
      </c>
      <c r="D863" s="61">
        <v>1</v>
      </c>
      <c r="E863" t="str">
        <f t="shared" si="42"/>
        <v>normal</v>
      </c>
      <c r="F863" s="35">
        <f t="shared" si="40"/>
        <v>1</v>
      </c>
      <c r="G863" s="35" t="e">
        <f t="shared" si="41"/>
        <v>#N/A</v>
      </c>
    </row>
    <row r="864" spans="1:7" x14ac:dyDescent="0.35">
      <c r="A864" s="65">
        <v>40582</v>
      </c>
      <c r="B864" s="62">
        <v>0</v>
      </c>
      <c r="C864" s="62">
        <v>3</v>
      </c>
      <c r="D864" s="63">
        <v>3</v>
      </c>
      <c r="E864" t="str">
        <f t="shared" si="42"/>
        <v>normal</v>
      </c>
      <c r="F864" s="35">
        <f t="shared" si="40"/>
        <v>3</v>
      </c>
      <c r="G864" s="35" t="e">
        <f t="shared" si="41"/>
        <v>#N/A</v>
      </c>
    </row>
    <row r="865" spans="1:7" x14ac:dyDescent="0.35">
      <c r="A865" s="64">
        <v>40582</v>
      </c>
      <c r="B865" s="60">
        <v>0</v>
      </c>
      <c r="C865" s="60">
        <v>2</v>
      </c>
      <c r="D865" s="61">
        <v>2</v>
      </c>
      <c r="E865" t="str">
        <f t="shared" si="42"/>
        <v>normal</v>
      </c>
      <c r="F865" s="35">
        <f t="shared" si="40"/>
        <v>2</v>
      </c>
      <c r="G865" s="35" t="e">
        <f t="shared" si="41"/>
        <v>#N/A</v>
      </c>
    </row>
    <row r="866" spans="1:7" x14ac:dyDescent="0.35">
      <c r="A866" s="65">
        <v>40582</v>
      </c>
      <c r="B866" s="62">
        <v>0</v>
      </c>
      <c r="C866" s="62">
        <v>39</v>
      </c>
      <c r="D866" s="63">
        <v>39</v>
      </c>
      <c r="E866" t="str">
        <f t="shared" si="42"/>
        <v>normal</v>
      </c>
      <c r="F866" s="35">
        <f t="shared" si="40"/>
        <v>39</v>
      </c>
      <c r="G866" s="35" t="e">
        <f t="shared" si="41"/>
        <v>#N/A</v>
      </c>
    </row>
    <row r="867" spans="1:7" x14ac:dyDescent="0.35">
      <c r="A867" s="64">
        <v>40582</v>
      </c>
      <c r="B867" s="60">
        <v>3</v>
      </c>
      <c r="C867" s="60">
        <v>97</v>
      </c>
      <c r="D867" s="61">
        <v>100</v>
      </c>
      <c r="E867" t="str">
        <f t="shared" si="42"/>
        <v>normal</v>
      </c>
      <c r="F867" s="35">
        <f t="shared" si="40"/>
        <v>100</v>
      </c>
      <c r="G867" s="35" t="e">
        <f t="shared" si="41"/>
        <v>#N/A</v>
      </c>
    </row>
    <row r="868" spans="1:7" x14ac:dyDescent="0.35">
      <c r="A868" s="65">
        <v>40582</v>
      </c>
      <c r="B868" s="62">
        <v>7</v>
      </c>
      <c r="C868" s="62">
        <v>236</v>
      </c>
      <c r="D868" s="63">
        <v>243</v>
      </c>
      <c r="E868" t="str">
        <f t="shared" si="42"/>
        <v>Anamoly</v>
      </c>
      <c r="F868" s="35" t="e">
        <f t="shared" si="40"/>
        <v>#N/A</v>
      </c>
      <c r="G868" s="35">
        <f t="shared" si="41"/>
        <v>243</v>
      </c>
    </row>
    <row r="869" spans="1:7" x14ac:dyDescent="0.35">
      <c r="A869" s="64">
        <v>40582</v>
      </c>
      <c r="B869" s="60">
        <v>7</v>
      </c>
      <c r="C869" s="60">
        <v>128</v>
      </c>
      <c r="D869" s="61">
        <v>135</v>
      </c>
      <c r="E869" t="str">
        <f t="shared" si="42"/>
        <v>normal</v>
      </c>
      <c r="F869" s="35">
        <f t="shared" si="40"/>
        <v>135</v>
      </c>
      <c r="G869" s="35" t="e">
        <f t="shared" si="41"/>
        <v>#N/A</v>
      </c>
    </row>
    <row r="870" spans="1:7" x14ac:dyDescent="0.35">
      <c r="A870" s="65">
        <v>40582</v>
      </c>
      <c r="B870" s="62">
        <v>4</v>
      </c>
      <c r="C870" s="62">
        <v>44</v>
      </c>
      <c r="D870" s="63">
        <v>48</v>
      </c>
      <c r="E870" t="str">
        <f t="shared" si="42"/>
        <v>normal</v>
      </c>
      <c r="F870" s="35">
        <f t="shared" si="40"/>
        <v>48</v>
      </c>
      <c r="G870" s="35" t="e">
        <f t="shared" si="41"/>
        <v>#N/A</v>
      </c>
    </row>
    <row r="871" spans="1:7" x14ac:dyDescent="0.35">
      <c r="A871" s="64">
        <v>40582</v>
      </c>
      <c r="B871" s="60">
        <v>1</v>
      </c>
      <c r="C871" s="60">
        <v>49</v>
      </c>
      <c r="D871" s="61">
        <v>50</v>
      </c>
      <c r="E871" t="str">
        <f t="shared" si="42"/>
        <v>normal</v>
      </c>
      <c r="F871" s="35">
        <f t="shared" si="40"/>
        <v>50</v>
      </c>
      <c r="G871" s="35" t="e">
        <f t="shared" si="41"/>
        <v>#N/A</v>
      </c>
    </row>
    <row r="872" spans="1:7" x14ac:dyDescent="0.35">
      <c r="A872" s="65">
        <v>40582</v>
      </c>
      <c r="B872" s="62">
        <v>2</v>
      </c>
      <c r="C872" s="62">
        <v>63</v>
      </c>
      <c r="D872" s="63">
        <v>65</v>
      </c>
      <c r="E872" t="str">
        <f t="shared" si="42"/>
        <v>normal</v>
      </c>
      <c r="F872" s="35">
        <f t="shared" si="40"/>
        <v>65</v>
      </c>
      <c r="G872" s="35" t="e">
        <f t="shared" si="41"/>
        <v>#N/A</v>
      </c>
    </row>
    <row r="873" spans="1:7" x14ac:dyDescent="0.35">
      <c r="A873" s="64">
        <v>40582</v>
      </c>
      <c r="B873" s="60">
        <v>2</v>
      </c>
      <c r="C873" s="60">
        <v>48</v>
      </c>
      <c r="D873" s="61">
        <v>50</v>
      </c>
      <c r="E873" t="str">
        <f t="shared" si="42"/>
        <v>normal</v>
      </c>
      <c r="F873" s="35">
        <f t="shared" si="40"/>
        <v>50</v>
      </c>
      <c r="G873" s="35" t="e">
        <f t="shared" si="41"/>
        <v>#N/A</v>
      </c>
    </row>
    <row r="874" spans="1:7" x14ac:dyDescent="0.35">
      <c r="A874" s="65">
        <v>40582</v>
      </c>
      <c r="B874" s="62">
        <v>3</v>
      </c>
      <c r="C874" s="62">
        <v>61</v>
      </c>
      <c r="D874" s="63">
        <v>64</v>
      </c>
      <c r="E874" t="str">
        <f t="shared" si="42"/>
        <v>normal</v>
      </c>
      <c r="F874" s="35">
        <f t="shared" si="40"/>
        <v>64</v>
      </c>
      <c r="G874" s="35" t="e">
        <f t="shared" si="41"/>
        <v>#N/A</v>
      </c>
    </row>
    <row r="875" spans="1:7" x14ac:dyDescent="0.35">
      <c r="A875" s="64">
        <v>40582</v>
      </c>
      <c r="B875" s="60">
        <v>6</v>
      </c>
      <c r="C875" s="60">
        <v>45</v>
      </c>
      <c r="D875" s="61">
        <v>51</v>
      </c>
      <c r="E875" t="str">
        <f t="shared" si="42"/>
        <v>normal</v>
      </c>
      <c r="F875" s="35">
        <f t="shared" si="40"/>
        <v>51</v>
      </c>
      <c r="G875" s="35" t="e">
        <f t="shared" si="41"/>
        <v>#N/A</v>
      </c>
    </row>
    <row r="876" spans="1:7" x14ac:dyDescent="0.35">
      <c r="A876" s="65">
        <v>40582</v>
      </c>
      <c r="B876" s="62">
        <v>4</v>
      </c>
      <c r="C876" s="62">
        <v>79</v>
      </c>
      <c r="D876" s="63">
        <v>83</v>
      </c>
      <c r="E876" t="str">
        <f t="shared" si="42"/>
        <v>normal</v>
      </c>
      <c r="F876" s="35">
        <f t="shared" si="40"/>
        <v>83</v>
      </c>
      <c r="G876" s="35" t="e">
        <f t="shared" si="41"/>
        <v>#N/A</v>
      </c>
    </row>
    <row r="877" spans="1:7" x14ac:dyDescent="0.35">
      <c r="A877" s="64">
        <v>40582</v>
      </c>
      <c r="B877" s="60">
        <v>4</v>
      </c>
      <c r="C877" s="60">
        <v>172</v>
      </c>
      <c r="D877" s="61">
        <v>176</v>
      </c>
      <c r="E877" t="str">
        <f t="shared" si="42"/>
        <v>normal</v>
      </c>
      <c r="F877" s="35">
        <f t="shared" si="40"/>
        <v>176</v>
      </c>
      <c r="G877" s="35" t="e">
        <f t="shared" si="41"/>
        <v>#N/A</v>
      </c>
    </row>
    <row r="878" spans="1:7" x14ac:dyDescent="0.35">
      <c r="A878" s="65">
        <v>40582</v>
      </c>
      <c r="B878" s="62">
        <v>1</v>
      </c>
      <c r="C878" s="62">
        <v>151</v>
      </c>
      <c r="D878" s="63">
        <v>152</v>
      </c>
      <c r="E878" t="str">
        <f t="shared" si="42"/>
        <v>normal</v>
      </c>
      <c r="F878" s="35">
        <f t="shared" si="40"/>
        <v>152</v>
      </c>
      <c r="G878" s="35" t="e">
        <f t="shared" si="41"/>
        <v>#N/A</v>
      </c>
    </row>
    <row r="879" spans="1:7" x14ac:dyDescent="0.35">
      <c r="A879" s="64">
        <v>40582</v>
      </c>
      <c r="B879" s="60">
        <v>1</v>
      </c>
      <c r="C879" s="60">
        <v>100</v>
      </c>
      <c r="D879" s="61">
        <v>101</v>
      </c>
      <c r="E879" t="str">
        <f t="shared" si="42"/>
        <v>normal</v>
      </c>
      <c r="F879" s="35">
        <f t="shared" si="40"/>
        <v>101</v>
      </c>
      <c r="G879" s="35" t="e">
        <f t="shared" si="41"/>
        <v>#N/A</v>
      </c>
    </row>
    <row r="880" spans="1:7" x14ac:dyDescent="0.35">
      <c r="A880" s="65">
        <v>40582</v>
      </c>
      <c r="B880" s="62">
        <v>3</v>
      </c>
      <c r="C880" s="62">
        <v>53</v>
      </c>
      <c r="D880" s="63">
        <v>56</v>
      </c>
      <c r="E880" t="str">
        <f t="shared" si="42"/>
        <v>normal</v>
      </c>
      <c r="F880" s="35">
        <f t="shared" si="40"/>
        <v>56</v>
      </c>
      <c r="G880" s="35" t="e">
        <f t="shared" si="41"/>
        <v>#N/A</v>
      </c>
    </row>
    <row r="881" spans="1:7" x14ac:dyDescent="0.35">
      <c r="A881" s="64">
        <v>40582</v>
      </c>
      <c r="B881" s="60">
        <v>8</v>
      </c>
      <c r="C881" s="60">
        <v>46</v>
      </c>
      <c r="D881" s="61">
        <v>54</v>
      </c>
      <c r="E881" t="str">
        <f t="shared" ref="E881:E912" si="43">IF(OR(D881&lt;$L$15,D881&gt;$L$16),"Anamoly","normal")</f>
        <v>normal</v>
      </c>
      <c r="F881" s="35">
        <f t="shared" si="40"/>
        <v>54</v>
      </c>
      <c r="G881" s="35" t="e">
        <f t="shared" si="41"/>
        <v>#N/A</v>
      </c>
    </row>
    <row r="882" spans="1:7" x14ac:dyDescent="0.35">
      <c r="A882" s="65">
        <v>40582</v>
      </c>
      <c r="B882" s="62">
        <v>0</v>
      </c>
      <c r="C882" s="62">
        <v>29</v>
      </c>
      <c r="D882" s="63">
        <v>29</v>
      </c>
      <c r="E882" t="str">
        <f t="shared" si="43"/>
        <v>normal</v>
      </c>
      <c r="F882" s="35">
        <f t="shared" si="40"/>
        <v>29</v>
      </c>
      <c r="G882" s="35" t="e">
        <f t="shared" si="41"/>
        <v>#N/A</v>
      </c>
    </row>
    <row r="883" spans="1:7" x14ac:dyDescent="0.35">
      <c r="A883" s="64">
        <v>40582</v>
      </c>
      <c r="B883" s="60">
        <v>3</v>
      </c>
      <c r="C883" s="60">
        <v>9</v>
      </c>
      <c r="D883" s="61">
        <v>12</v>
      </c>
      <c r="E883" t="str">
        <f t="shared" si="43"/>
        <v>normal</v>
      </c>
      <c r="F883" s="35">
        <f t="shared" si="40"/>
        <v>12</v>
      </c>
      <c r="G883" s="35" t="e">
        <f t="shared" si="41"/>
        <v>#N/A</v>
      </c>
    </row>
    <row r="884" spans="1:7" x14ac:dyDescent="0.35">
      <c r="A884" s="65">
        <v>40583</v>
      </c>
      <c r="B884" s="62">
        <v>0</v>
      </c>
      <c r="C884" s="62">
        <v>17</v>
      </c>
      <c r="D884" s="63">
        <v>17</v>
      </c>
      <c r="E884" t="str">
        <f t="shared" si="43"/>
        <v>normal</v>
      </c>
      <c r="F884" s="35">
        <f t="shared" si="40"/>
        <v>17</v>
      </c>
      <c r="G884" s="35" t="e">
        <f t="shared" si="41"/>
        <v>#N/A</v>
      </c>
    </row>
    <row r="885" spans="1:7" x14ac:dyDescent="0.35">
      <c r="A885" s="64">
        <v>40583</v>
      </c>
      <c r="B885" s="60">
        <v>0</v>
      </c>
      <c r="C885" s="60">
        <v>7</v>
      </c>
      <c r="D885" s="61">
        <v>7</v>
      </c>
      <c r="E885" t="str">
        <f t="shared" si="43"/>
        <v>normal</v>
      </c>
      <c r="F885" s="35">
        <f t="shared" si="40"/>
        <v>7</v>
      </c>
      <c r="G885" s="35" t="e">
        <f t="shared" si="41"/>
        <v>#N/A</v>
      </c>
    </row>
    <row r="886" spans="1:7" x14ac:dyDescent="0.35">
      <c r="A886" s="65">
        <v>40583</v>
      </c>
      <c r="B886" s="62">
        <v>1</v>
      </c>
      <c r="C886" s="62">
        <v>2</v>
      </c>
      <c r="D886" s="63">
        <v>3</v>
      </c>
      <c r="E886" t="str">
        <f t="shared" si="43"/>
        <v>normal</v>
      </c>
      <c r="F886" s="35">
        <f t="shared" si="40"/>
        <v>3</v>
      </c>
      <c r="G886" s="35" t="e">
        <f t="shared" si="41"/>
        <v>#N/A</v>
      </c>
    </row>
    <row r="887" spans="1:7" x14ac:dyDescent="0.35">
      <c r="A887" s="64">
        <v>40583</v>
      </c>
      <c r="B887" s="60">
        <v>0</v>
      </c>
      <c r="C887" s="60">
        <v>2</v>
      </c>
      <c r="D887" s="61">
        <v>2</v>
      </c>
      <c r="E887" t="str">
        <f t="shared" si="43"/>
        <v>normal</v>
      </c>
      <c r="F887" s="35">
        <f t="shared" si="40"/>
        <v>2</v>
      </c>
      <c r="G887" s="35" t="e">
        <f t="shared" si="41"/>
        <v>#N/A</v>
      </c>
    </row>
    <row r="888" spans="1:7" x14ac:dyDescent="0.35">
      <c r="A888" s="65">
        <v>40583</v>
      </c>
      <c r="B888" s="62">
        <v>0</v>
      </c>
      <c r="C888" s="62">
        <v>7</v>
      </c>
      <c r="D888" s="63">
        <v>7</v>
      </c>
      <c r="E888" t="str">
        <f t="shared" si="43"/>
        <v>normal</v>
      </c>
      <c r="F888" s="35">
        <f t="shared" si="40"/>
        <v>7</v>
      </c>
      <c r="G888" s="35" t="e">
        <f t="shared" si="41"/>
        <v>#N/A</v>
      </c>
    </row>
    <row r="889" spans="1:7" x14ac:dyDescent="0.35">
      <c r="A889" s="64">
        <v>40583</v>
      </c>
      <c r="B889" s="60">
        <v>0</v>
      </c>
      <c r="C889" s="60">
        <v>43</v>
      </c>
      <c r="D889" s="61">
        <v>43</v>
      </c>
      <c r="E889" t="str">
        <f t="shared" si="43"/>
        <v>normal</v>
      </c>
      <c r="F889" s="35">
        <f t="shared" si="40"/>
        <v>43</v>
      </c>
      <c r="G889" s="35" t="e">
        <f t="shared" si="41"/>
        <v>#N/A</v>
      </c>
    </row>
    <row r="890" spans="1:7" x14ac:dyDescent="0.35">
      <c r="A890" s="65">
        <v>40583</v>
      </c>
      <c r="B890" s="62">
        <v>4</v>
      </c>
      <c r="C890" s="62">
        <v>95</v>
      </c>
      <c r="D890" s="63">
        <v>99</v>
      </c>
      <c r="E890" t="str">
        <f t="shared" si="43"/>
        <v>normal</v>
      </c>
      <c r="F890" s="35">
        <f t="shared" si="40"/>
        <v>99</v>
      </c>
      <c r="G890" s="35" t="e">
        <f t="shared" si="41"/>
        <v>#N/A</v>
      </c>
    </row>
    <row r="891" spans="1:7" x14ac:dyDescent="0.35">
      <c r="A891" s="64">
        <v>40583</v>
      </c>
      <c r="B891" s="60">
        <v>1</v>
      </c>
      <c r="C891" s="60">
        <v>198</v>
      </c>
      <c r="D891" s="61">
        <v>199</v>
      </c>
      <c r="E891" t="str">
        <f t="shared" si="43"/>
        <v>Anamoly</v>
      </c>
      <c r="F891" s="35" t="e">
        <f t="shared" si="40"/>
        <v>#N/A</v>
      </c>
      <c r="G891" s="35">
        <f t="shared" si="41"/>
        <v>199</v>
      </c>
    </row>
    <row r="892" spans="1:7" x14ac:dyDescent="0.35">
      <c r="A892" s="65">
        <v>40583</v>
      </c>
      <c r="B892" s="62">
        <v>4</v>
      </c>
      <c r="C892" s="62">
        <v>119</v>
      </c>
      <c r="D892" s="63">
        <v>123</v>
      </c>
      <c r="E892" t="str">
        <f t="shared" si="43"/>
        <v>normal</v>
      </c>
      <c r="F892" s="35">
        <f t="shared" si="40"/>
        <v>123</v>
      </c>
      <c r="G892" s="35" t="e">
        <f t="shared" si="41"/>
        <v>#N/A</v>
      </c>
    </row>
    <row r="893" spans="1:7" x14ac:dyDescent="0.35">
      <c r="A893" s="64">
        <v>40583</v>
      </c>
      <c r="B893" s="60">
        <v>8</v>
      </c>
      <c r="C893" s="60">
        <v>51</v>
      </c>
      <c r="D893" s="61">
        <v>59</v>
      </c>
      <c r="E893" t="str">
        <f t="shared" si="43"/>
        <v>normal</v>
      </c>
      <c r="F893" s="35">
        <f t="shared" si="40"/>
        <v>59</v>
      </c>
      <c r="G893" s="35" t="e">
        <f t="shared" si="41"/>
        <v>#N/A</v>
      </c>
    </row>
    <row r="894" spans="1:7" x14ac:dyDescent="0.35">
      <c r="A894" s="65">
        <v>40583</v>
      </c>
      <c r="B894" s="62">
        <v>1</v>
      </c>
      <c r="C894" s="62">
        <v>40</v>
      </c>
      <c r="D894" s="63">
        <v>41</v>
      </c>
      <c r="E894" t="str">
        <f t="shared" si="43"/>
        <v>normal</v>
      </c>
      <c r="F894" s="35">
        <f t="shared" si="40"/>
        <v>41</v>
      </c>
      <c r="G894" s="35" t="e">
        <f t="shared" si="41"/>
        <v>#N/A</v>
      </c>
    </row>
    <row r="895" spans="1:7" x14ac:dyDescent="0.35">
      <c r="A895" s="64">
        <v>40583</v>
      </c>
      <c r="B895" s="60">
        <v>4</v>
      </c>
      <c r="C895" s="60">
        <v>57</v>
      </c>
      <c r="D895" s="61">
        <v>61</v>
      </c>
      <c r="E895" t="str">
        <f t="shared" si="43"/>
        <v>normal</v>
      </c>
      <c r="F895" s="35">
        <f t="shared" si="40"/>
        <v>61</v>
      </c>
      <c r="G895" s="35" t="e">
        <f t="shared" si="41"/>
        <v>#N/A</v>
      </c>
    </row>
    <row r="896" spans="1:7" x14ac:dyDescent="0.35">
      <c r="A896" s="65">
        <v>40583</v>
      </c>
      <c r="B896" s="62">
        <v>2</v>
      </c>
      <c r="C896" s="62">
        <v>67</v>
      </c>
      <c r="D896" s="63">
        <v>69</v>
      </c>
      <c r="E896" t="str">
        <f t="shared" si="43"/>
        <v>normal</v>
      </c>
      <c r="F896" s="35">
        <f t="shared" si="40"/>
        <v>69</v>
      </c>
      <c r="G896" s="35" t="e">
        <f t="shared" si="41"/>
        <v>#N/A</v>
      </c>
    </row>
    <row r="897" spans="1:7" x14ac:dyDescent="0.35">
      <c r="A897" s="64">
        <v>40583</v>
      </c>
      <c r="B897" s="60">
        <v>2</v>
      </c>
      <c r="C897" s="60">
        <v>56</v>
      </c>
      <c r="D897" s="61">
        <v>58</v>
      </c>
      <c r="E897" t="str">
        <f t="shared" si="43"/>
        <v>normal</v>
      </c>
      <c r="F897" s="35">
        <f t="shared" si="40"/>
        <v>58</v>
      </c>
      <c r="G897" s="35" t="e">
        <f t="shared" si="41"/>
        <v>#N/A</v>
      </c>
    </row>
    <row r="898" spans="1:7" x14ac:dyDescent="0.35">
      <c r="A898" s="65">
        <v>40583</v>
      </c>
      <c r="B898" s="62">
        <v>3</v>
      </c>
      <c r="C898" s="62">
        <v>61</v>
      </c>
      <c r="D898" s="63">
        <v>64</v>
      </c>
      <c r="E898" t="str">
        <f t="shared" si="43"/>
        <v>normal</v>
      </c>
      <c r="F898" s="35">
        <f t="shared" si="40"/>
        <v>64</v>
      </c>
      <c r="G898" s="35" t="e">
        <f t="shared" si="41"/>
        <v>#N/A</v>
      </c>
    </row>
    <row r="899" spans="1:7" x14ac:dyDescent="0.35">
      <c r="A899" s="64">
        <v>40583</v>
      </c>
      <c r="B899" s="60">
        <v>7</v>
      </c>
      <c r="C899" s="60">
        <v>72</v>
      </c>
      <c r="D899" s="61">
        <v>79</v>
      </c>
      <c r="E899" t="str">
        <f t="shared" si="43"/>
        <v>normal</v>
      </c>
      <c r="F899" s="35">
        <f t="shared" si="40"/>
        <v>79</v>
      </c>
      <c r="G899" s="35" t="e">
        <f t="shared" si="41"/>
        <v>#N/A</v>
      </c>
    </row>
    <row r="900" spans="1:7" x14ac:dyDescent="0.35">
      <c r="A900" s="65">
        <v>40583</v>
      </c>
      <c r="B900" s="62">
        <v>9</v>
      </c>
      <c r="C900" s="62">
        <v>157</v>
      </c>
      <c r="D900" s="63">
        <v>166</v>
      </c>
      <c r="E900" t="str">
        <f t="shared" si="43"/>
        <v>normal</v>
      </c>
      <c r="F900" s="35">
        <f t="shared" si="40"/>
        <v>166</v>
      </c>
      <c r="G900" s="35" t="e">
        <f t="shared" si="41"/>
        <v>#N/A</v>
      </c>
    </row>
    <row r="901" spans="1:7" x14ac:dyDescent="0.35">
      <c r="A901" s="64">
        <v>40583</v>
      </c>
      <c r="B901" s="60">
        <v>2</v>
      </c>
      <c r="C901" s="60">
        <v>168</v>
      </c>
      <c r="D901" s="61">
        <v>170</v>
      </c>
      <c r="E901" t="str">
        <f t="shared" si="43"/>
        <v>normal</v>
      </c>
      <c r="F901" s="35">
        <f t="shared" si="40"/>
        <v>170</v>
      </c>
      <c r="G901" s="35" t="e">
        <f t="shared" si="41"/>
        <v>#N/A</v>
      </c>
    </row>
    <row r="902" spans="1:7" x14ac:dyDescent="0.35">
      <c r="A902" s="65">
        <v>40583</v>
      </c>
      <c r="B902" s="62">
        <v>1</v>
      </c>
      <c r="C902" s="62">
        <v>87</v>
      </c>
      <c r="D902" s="63">
        <v>88</v>
      </c>
      <c r="E902" t="str">
        <f t="shared" si="43"/>
        <v>normal</v>
      </c>
      <c r="F902" s="35">
        <f t="shared" si="40"/>
        <v>88</v>
      </c>
      <c r="G902" s="35" t="e">
        <f t="shared" si="41"/>
        <v>#N/A</v>
      </c>
    </row>
    <row r="903" spans="1:7" x14ac:dyDescent="0.35">
      <c r="A903" s="64">
        <v>40583</v>
      </c>
      <c r="B903" s="60">
        <v>0</v>
      </c>
      <c r="C903" s="60">
        <v>84</v>
      </c>
      <c r="D903" s="61">
        <v>84</v>
      </c>
      <c r="E903" t="str">
        <f t="shared" si="43"/>
        <v>normal</v>
      </c>
      <c r="F903" s="35">
        <f t="shared" si="40"/>
        <v>84</v>
      </c>
      <c r="G903" s="35" t="e">
        <f t="shared" si="41"/>
        <v>#N/A</v>
      </c>
    </row>
    <row r="904" spans="1:7" x14ac:dyDescent="0.35">
      <c r="A904" s="65">
        <v>40583</v>
      </c>
      <c r="B904" s="62">
        <v>0</v>
      </c>
      <c r="C904" s="62">
        <v>83</v>
      </c>
      <c r="D904" s="63">
        <v>83</v>
      </c>
      <c r="E904" t="str">
        <f t="shared" si="43"/>
        <v>normal</v>
      </c>
      <c r="F904" s="35">
        <f t="shared" ref="F904:F967" si="44">IF(E904="normal",D904,NA())</f>
        <v>83</v>
      </c>
      <c r="G904" s="35" t="e">
        <f t="shared" ref="G904:G967" si="45">IF(E904="anamoly",D904,NA())</f>
        <v>#N/A</v>
      </c>
    </row>
    <row r="905" spans="1:7" x14ac:dyDescent="0.35">
      <c r="A905" s="64">
        <v>40583</v>
      </c>
      <c r="B905" s="60">
        <v>4</v>
      </c>
      <c r="C905" s="60">
        <v>42</v>
      </c>
      <c r="D905" s="61">
        <v>46</v>
      </c>
      <c r="E905" t="str">
        <f t="shared" si="43"/>
        <v>normal</v>
      </c>
      <c r="F905" s="35">
        <f t="shared" si="44"/>
        <v>46</v>
      </c>
      <c r="G905" s="35" t="e">
        <f t="shared" si="45"/>
        <v>#N/A</v>
      </c>
    </row>
    <row r="906" spans="1:7" x14ac:dyDescent="0.35">
      <c r="A906" s="65">
        <v>40583</v>
      </c>
      <c r="B906" s="62">
        <v>0</v>
      </c>
      <c r="C906" s="62">
        <v>37</v>
      </c>
      <c r="D906" s="63">
        <v>37</v>
      </c>
      <c r="E906" t="str">
        <f t="shared" si="43"/>
        <v>normal</v>
      </c>
      <c r="F906" s="35">
        <f t="shared" si="44"/>
        <v>37</v>
      </c>
      <c r="G906" s="35" t="e">
        <f t="shared" si="45"/>
        <v>#N/A</v>
      </c>
    </row>
    <row r="907" spans="1:7" x14ac:dyDescent="0.35">
      <c r="A907" s="64">
        <v>40584</v>
      </c>
      <c r="B907" s="60">
        <v>0</v>
      </c>
      <c r="C907" s="60">
        <v>16</v>
      </c>
      <c r="D907" s="61">
        <v>16</v>
      </c>
      <c r="E907" t="str">
        <f t="shared" si="43"/>
        <v>normal</v>
      </c>
      <c r="F907" s="35">
        <f t="shared" si="44"/>
        <v>16</v>
      </c>
      <c r="G907" s="35" t="e">
        <f t="shared" si="45"/>
        <v>#N/A</v>
      </c>
    </row>
    <row r="908" spans="1:7" x14ac:dyDescent="0.35">
      <c r="A908" s="65">
        <v>40584</v>
      </c>
      <c r="B908" s="62">
        <v>0</v>
      </c>
      <c r="C908" s="62">
        <v>7</v>
      </c>
      <c r="D908" s="63">
        <v>7</v>
      </c>
      <c r="E908" t="str">
        <f t="shared" si="43"/>
        <v>normal</v>
      </c>
      <c r="F908" s="35">
        <f t="shared" si="44"/>
        <v>7</v>
      </c>
      <c r="G908" s="35" t="e">
        <f t="shared" si="45"/>
        <v>#N/A</v>
      </c>
    </row>
    <row r="909" spans="1:7" x14ac:dyDescent="0.35">
      <c r="A909" s="64">
        <v>40584</v>
      </c>
      <c r="B909" s="60">
        <v>0</v>
      </c>
      <c r="C909" s="60">
        <v>3</v>
      </c>
      <c r="D909" s="61">
        <v>3</v>
      </c>
      <c r="E909" t="str">
        <f t="shared" si="43"/>
        <v>normal</v>
      </c>
      <c r="F909" s="35">
        <f t="shared" si="44"/>
        <v>3</v>
      </c>
      <c r="G909" s="35" t="e">
        <f t="shared" si="45"/>
        <v>#N/A</v>
      </c>
    </row>
    <row r="910" spans="1:7" x14ac:dyDescent="0.35">
      <c r="A910" s="65">
        <v>40584</v>
      </c>
      <c r="B910" s="62">
        <v>0</v>
      </c>
      <c r="C910" s="62">
        <v>1</v>
      </c>
      <c r="D910" s="63">
        <v>1</v>
      </c>
      <c r="E910" t="str">
        <f t="shared" si="43"/>
        <v>normal</v>
      </c>
      <c r="F910" s="35">
        <f t="shared" si="44"/>
        <v>1</v>
      </c>
      <c r="G910" s="35" t="e">
        <f t="shared" si="45"/>
        <v>#N/A</v>
      </c>
    </row>
    <row r="911" spans="1:7" x14ac:dyDescent="0.35">
      <c r="A911" s="64">
        <v>40584</v>
      </c>
      <c r="B911" s="60">
        <v>0</v>
      </c>
      <c r="C911" s="60">
        <v>6</v>
      </c>
      <c r="D911" s="61">
        <v>6</v>
      </c>
      <c r="E911" t="str">
        <f t="shared" si="43"/>
        <v>normal</v>
      </c>
      <c r="F911" s="35">
        <f t="shared" si="44"/>
        <v>6</v>
      </c>
      <c r="G911" s="35" t="e">
        <f t="shared" si="45"/>
        <v>#N/A</v>
      </c>
    </row>
    <row r="912" spans="1:7" x14ac:dyDescent="0.35">
      <c r="A912" s="65">
        <v>40584</v>
      </c>
      <c r="B912" s="62">
        <v>0</v>
      </c>
      <c r="C912" s="62">
        <v>26</v>
      </c>
      <c r="D912" s="63">
        <v>26</v>
      </c>
      <c r="E912" t="str">
        <f t="shared" si="43"/>
        <v>normal</v>
      </c>
      <c r="F912" s="35">
        <f t="shared" si="44"/>
        <v>26</v>
      </c>
      <c r="G912" s="35" t="e">
        <f t="shared" si="45"/>
        <v>#N/A</v>
      </c>
    </row>
    <row r="913" spans="1:7" x14ac:dyDescent="0.35">
      <c r="A913" s="64">
        <v>40584</v>
      </c>
      <c r="B913" s="60">
        <v>0</v>
      </c>
      <c r="C913" s="60">
        <v>99</v>
      </c>
      <c r="D913" s="61">
        <v>99</v>
      </c>
      <c r="E913" t="str">
        <f t="shared" ref="E913:E944" si="46">IF(OR(D913&lt;$L$15,D913&gt;$L$16),"Anamoly","normal")</f>
        <v>normal</v>
      </c>
      <c r="F913" s="35">
        <f t="shared" si="44"/>
        <v>99</v>
      </c>
      <c r="G913" s="35" t="e">
        <f t="shared" si="45"/>
        <v>#N/A</v>
      </c>
    </row>
    <row r="914" spans="1:7" x14ac:dyDescent="0.35">
      <c r="A914" s="65">
        <v>40584</v>
      </c>
      <c r="B914" s="62">
        <v>5</v>
      </c>
      <c r="C914" s="62">
        <v>173</v>
      </c>
      <c r="D914" s="63">
        <v>178</v>
      </c>
      <c r="E914" t="str">
        <f t="shared" si="46"/>
        <v>normal</v>
      </c>
      <c r="F914" s="35">
        <f t="shared" si="44"/>
        <v>178</v>
      </c>
      <c r="G914" s="35" t="e">
        <f t="shared" si="45"/>
        <v>#N/A</v>
      </c>
    </row>
    <row r="915" spans="1:7" x14ac:dyDescent="0.35">
      <c r="A915" s="64">
        <v>40584</v>
      </c>
      <c r="B915" s="60">
        <v>1</v>
      </c>
      <c r="C915" s="60">
        <v>121</v>
      </c>
      <c r="D915" s="61">
        <v>122</v>
      </c>
      <c r="E915" t="str">
        <f t="shared" si="46"/>
        <v>normal</v>
      </c>
      <c r="F915" s="35">
        <f t="shared" si="44"/>
        <v>122</v>
      </c>
      <c r="G915" s="35" t="e">
        <f t="shared" si="45"/>
        <v>#N/A</v>
      </c>
    </row>
    <row r="916" spans="1:7" x14ac:dyDescent="0.35">
      <c r="A916" s="65">
        <v>40584</v>
      </c>
      <c r="B916" s="62">
        <v>1</v>
      </c>
      <c r="C916" s="62">
        <v>34</v>
      </c>
      <c r="D916" s="63">
        <v>35</v>
      </c>
      <c r="E916" t="str">
        <f t="shared" si="46"/>
        <v>normal</v>
      </c>
      <c r="F916" s="35">
        <f t="shared" si="44"/>
        <v>35</v>
      </c>
      <c r="G916" s="35" t="e">
        <f t="shared" si="45"/>
        <v>#N/A</v>
      </c>
    </row>
    <row r="917" spans="1:7" x14ac:dyDescent="0.35">
      <c r="A917" s="64">
        <v>40584</v>
      </c>
      <c r="B917" s="60">
        <v>1</v>
      </c>
      <c r="C917" s="60">
        <v>44</v>
      </c>
      <c r="D917" s="61">
        <v>45</v>
      </c>
      <c r="E917" t="str">
        <f t="shared" si="46"/>
        <v>normal</v>
      </c>
      <c r="F917" s="35">
        <f t="shared" si="44"/>
        <v>45</v>
      </c>
      <c r="G917" s="35" t="e">
        <f t="shared" si="45"/>
        <v>#N/A</v>
      </c>
    </row>
    <row r="918" spans="1:7" x14ac:dyDescent="0.35">
      <c r="A918" s="65">
        <v>40584</v>
      </c>
      <c r="B918" s="62">
        <v>4</v>
      </c>
      <c r="C918" s="62">
        <v>65</v>
      </c>
      <c r="D918" s="63">
        <v>69</v>
      </c>
      <c r="E918" t="str">
        <f t="shared" si="46"/>
        <v>normal</v>
      </c>
      <c r="F918" s="35">
        <f t="shared" si="44"/>
        <v>69</v>
      </c>
      <c r="G918" s="35" t="e">
        <f t="shared" si="45"/>
        <v>#N/A</v>
      </c>
    </row>
    <row r="919" spans="1:7" x14ac:dyDescent="0.35">
      <c r="A919" s="64">
        <v>40584</v>
      </c>
      <c r="B919" s="60">
        <v>3</v>
      </c>
      <c r="C919" s="60">
        <v>59</v>
      </c>
      <c r="D919" s="61">
        <v>62</v>
      </c>
      <c r="E919" t="str">
        <f t="shared" si="46"/>
        <v>normal</v>
      </c>
      <c r="F919" s="35">
        <f t="shared" si="44"/>
        <v>62</v>
      </c>
      <c r="G919" s="35" t="e">
        <f t="shared" si="45"/>
        <v>#N/A</v>
      </c>
    </row>
    <row r="920" spans="1:7" x14ac:dyDescent="0.35">
      <c r="A920" s="65">
        <v>40584</v>
      </c>
      <c r="B920" s="62">
        <v>6</v>
      </c>
      <c r="C920" s="62">
        <v>42</v>
      </c>
      <c r="D920" s="63">
        <v>48</v>
      </c>
      <c r="E920" t="str">
        <f t="shared" si="46"/>
        <v>normal</v>
      </c>
      <c r="F920" s="35">
        <f t="shared" si="44"/>
        <v>48</v>
      </c>
      <c r="G920" s="35" t="e">
        <f t="shared" si="45"/>
        <v>#N/A</v>
      </c>
    </row>
    <row r="921" spans="1:7" x14ac:dyDescent="0.35">
      <c r="A921" s="64">
        <v>40584</v>
      </c>
      <c r="B921" s="60">
        <v>0</v>
      </c>
      <c r="C921" s="60">
        <v>50</v>
      </c>
      <c r="D921" s="61">
        <v>50</v>
      </c>
      <c r="E921" t="str">
        <f t="shared" si="46"/>
        <v>normal</v>
      </c>
      <c r="F921" s="35">
        <f t="shared" si="44"/>
        <v>50</v>
      </c>
      <c r="G921" s="35" t="e">
        <f t="shared" si="45"/>
        <v>#N/A</v>
      </c>
    </row>
    <row r="922" spans="1:7" x14ac:dyDescent="0.35">
      <c r="A922" s="65">
        <v>40584</v>
      </c>
      <c r="B922" s="62">
        <v>4</v>
      </c>
      <c r="C922" s="62">
        <v>76</v>
      </c>
      <c r="D922" s="63">
        <v>80</v>
      </c>
      <c r="E922" t="str">
        <f t="shared" si="46"/>
        <v>normal</v>
      </c>
      <c r="F922" s="35">
        <f t="shared" si="44"/>
        <v>80</v>
      </c>
      <c r="G922" s="35" t="e">
        <f t="shared" si="45"/>
        <v>#N/A</v>
      </c>
    </row>
    <row r="923" spans="1:7" x14ac:dyDescent="0.35">
      <c r="A923" s="64">
        <v>40584</v>
      </c>
      <c r="B923" s="60">
        <v>6</v>
      </c>
      <c r="C923" s="60">
        <v>159</v>
      </c>
      <c r="D923" s="61">
        <v>165</v>
      </c>
      <c r="E923" t="str">
        <f t="shared" si="46"/>
        <v>normal</v>
      </c>
      <c r="F923" s="35">
        <f t="shared" si="44"/>
        <v>165</v>
      </c>
      <c r="G923" s="35" t="e">
        <f t="shared" si="45"/>
        <v>#N/A</v>
      </c>
    </row>
    <row r="924" spans="1:7" x14ac:dyDescent="0.35">
      <c r="A924" s="65">
        <v>40584</v>
      </c>
      <c r="B924" s="62">
        <v>3</v>
      </c>
      <c r="C924" s="62">
        <v>157</v>
      </c>
      <c r="D924" s="63">
        <v>160</v>
      </c>
      <c r="E924" t="str">
        <f t="shared" si="46"/>
        <v>normal</v>
      </c>
      <c r="F924" s="35">
        <f t="shared" si="44"/>
        <v>160</v>
      </c>
      <c r="G924" s="35" t="e">
        <f t="shared" si="45"/>
        <v>#N/A</v>
      </c>
    </row>
    <row r="925" spans="1:7" x14ac:dyDescent="0.35">
      <c r="A925" s="64">
        <v>40584</v>
      </c>
      <c r="B925" s="60">
        <v>2</v>
      </c>
      <c r="C925" s="60">
        <v>110</v>
      </c>
      <c r="D925" s="61">
        <v>112</v>
      </c>
      <c r="E925" t="str">
        <f t="shared" si="46"/>
        <v>normal</v>
      </c>
      <c r="F925" s="35">
        <f t="shared" si="44"/>
        <v>112</v>
      </c>
      <c r="G925" s="35" t="e">
        <f t="shared" si="45"/>
        <v>#N/A</v>
      </c>
    </row>
    <row r="926" spans="1:7" x14ac:dyDescent="0.35">
      <c r="A926" s="65">
        <v>40584</v>
      </c>
      <c r="B926" s="62">
        <v>4</v>
      </c>
      <c r="C926" s="62">
        <v>93</v>
      </c>
      <c r="D926" s="63">
        <v>97</v>
      </c>
      <c r="E926" t="str">
        <f t="shared" si="46"/>
        <v>normal</v>
      </c>
      <c r="F926" s="35">
        <f t="shared" si="44"/>
        <v>97</v>
      </c>
      <c r="G926" s="35" t="e">
        <f t="shared" si="45"/>
        <v>#N/A</v>
      </c>
    </row>
    <row r="927" spans="1:7" x14ac:dyDescent="0.35">
      <c r="A927" s="64">
        <v>40584</v>
      </c>
      <c r="B927" s="60">
        <v>2</v>
      </c>
      <c r="C927" s="60">
        <v>70</v>
      </c>
      <c r="D927" s="61">
        <v>72</v>
      </c>
      <c r="E927" t="str">
        <f t="shared" si="46"/>
        <v>normal</v>
      </c>
      <c r="F927" s="35">
        <f t="shared" si="44"/>
        <v>72</v>
      </c>
      <c r="G927" s="35" t="e">
        <f t="shared" si="45"/>
        <v>#N/A</v>
      </c>
    </row>
    <row r="928" spans="1:7" x14ac:dyDescent="0.35">
      <c r="A928" s="65">
        <v>40584</v>
      </c>
      <c r="B928" s="62">
        <v>4</v>
      </c>
      <c r="C928" s="62">
        <v>47</v>
      </c>
      <c r="D928" s="63">
        <v>51</v>
      </c>
      <c r="E928" t="str">
        <f t="shared" si="46"/>
        <v>normal</v>
      </c>
      <c r="F928" s="35">
        <f t="shared" si="44"/>
        <v>51</v>
      </c>
      <c r="G928" s="35" t="e">
        <f t="shared" si="45"/>
        <v>#N/A</v>
      </c>
    </row>
    <row r="929" spans="1:7" x14ac:dyDescent="0.35">
      <c r="A929" s="64">
        <v>40584</v>
      </c>
      <c r="B929" s="60">
        <v>1</v>
      </c>
      <c r="C929" s="60">
        <v>33</v>
      </c>
      <c r="D929" s="61">
        <v>34</v>
      </c>
      <c r="E929" t="str">
        <f t="shared" si="46"/>
        <v>normal</v>
      </c>
      <c r="F929" s="35">
        <f t="shared" si="44"/>
        <v>34</v>
      </c>
      <c r="G929" s="35" t="e">
        <f t="shared" si="45"/>
        <v>#N/A</v>
      </c>
    </row>
    <row r="930" spans="1:7" x14ac:dyDescent="0.35">
      <c r="A930" s="65">
        <v>40585</v>
      </c>
      <c r="B930" s="62">
        <v>2</v>
      </c>
      <c r="C930" s="62">
        <v>12</v>
      </c>
      <c r="D930" s="63">
        <v>14</v>
      </c>
      <c r="E930" t="str">
        <f t="shared" si="46"/>
        <v>normal</v>
      </c>
      <c r="F930" s="35">
        <f t="shared" si="44"/>
        <v>14</v>
      </c>
      <c r="G930" s="35" t="e">
        <f t="shared" si="45"/>
        <v>#N/A</v>
      </c>
    </row>
    <row r="931" spans="1:7" x14ac:dyDescent="0.35">
      <c r="A931" s="64">
        <v>40585</v>
      </c>
      <c r="B931" s="60">
        <v>1</v>
      </c>
      <c r="C931" s="60">
        <v>6</v>
      </c>
      <c r="D931" s="61">
        <v>7</v>
      </c>
      <c r="E931" t="str">
        <f t="shared" si="46"/>
        <v>normal</v>
      </c>
      <c r="F931" s="35">
        <f t="shared" si="44"/>
        <v>7</v>
      </c>
      <c r="G931" s="35" t="e">
        <f t="shared" si="45"/>
        <v>#N/A</v>
      </c>
    </row>
    <row r="932" spans="1:7" x14ac:dyDescent="0.35">
      <c r="A932" s="65">
        <v>40585</v>
      </c>
      <c r="B932" s="62">
        <v>0</v>
      </c>
      <c r="C932" s="62">
        <v>3</v>
      </c>
      <c r="D932" s="63">
        <v>3</v>
      </c>
      <c r="E932" t="str">
        <f t="shared" si="46"/>
        <v>normal</v>
      </c>
      <c r="F932" s="35">
        <f t="shared" si="44"/>
        <v>3</v>
      </c>
      <c r="G932" s="35" t="e">
        <f t="shared" si="45"/>
        <v>#N/A</v>
      </c>
    </row>
    <row r="933" spans="1:7" x14ac:dyDescent="0.35">
      <c r="A933" s="64">
        <v>40585</v>
      </c>
      <c r="B933" s="60">
        <v>0</v>
      </c>
      <c r="C933" s="60">
        <v>4</v>
      </c>
      <c r="D933" s="61">
        <v>4</v>
      </c>
      <c r="E933" t="str">
        <f t="shared" si="46"/>
        <v>normal</v>
      </c>
      <c r="F933" s="35">
        <f t="shared" si="44"/>
        <v>4</v>
      </c>
      <c r="G933" s="35" t="e">
        <f t="shared" si="45"/>
        <v>#N/A</v>
      </c>
    </row>
    <row r="934" spans="1:7" x14ac:dyDescent="0.35">
      <c r="A934" s="65">
        <v>40585</v>
      </c>
      <c r="B934" s="62">
        <v>1</v>
      </c>
      <c r="C934" s="62">
        <v>23</v>
      </c>
      <c r="D934" s="63">
        <v>24</v>
      </c>
      <c r="E934" t="str">
        <f t="shared" si="46"/>
        <v>normal</v>
      </c>
      <c r="F934" s="35">
        <f t="shared" si="44"/>
        <v>24</v>
      </c>
      <c r="G934" s="35" t="e">
        <f t="shared" si="45"/>
        <v>#N/A</v>
      </c>
    </row>
    <row r="935" spans="1:7" x14ac:dyDescent="0.35">
      <c r="A935" s="64">
        <v>40585</v>
      </c>
      <c r="B935" s="60">
        <v>1</v>
      </c>
      <c r="C935" s="60">
        <v>73</v>
      </c>
      <c r="D935" s="61">
        <v>74</v>
      </c>
      <c r="E935" t="str">
        <f t="shared" si="46"/>
        <v>normal</v>
      </c>
      <c r="F935" s="35">
        <f t="shared" si="44"/>
        <v>74</v>
      </c>
      <c r="G935" s="35" t="e">
        <f t="shared" si="45"/>
        <v>#N/A</v>
      </c>
    </row>
    <row r="936" spans="1:7" x14ac:dyDescent="0.35">
      <c r="A936" s="65">
        <v>40585</v>
      </c>
      <c r="B936" s="62">
        <v>4</v>
      </c>
      <c r="C936" s="62">
        <v>212</v>
      </c>
      <c r="D936" s="63">
        <v>216</v>
      </c>
      <c r="E936" t="str">
        <f t="shared" si="46"/>
        <v>Anamoly</v>
      </c>
      <c r="F936" s="35" t="e">
        <f t="shared" si="44"/>
        <v>#N/A</v>
      </c>
      <c r="G936" s="35">
        <f t="shared" si="45"/>
        <v>216</v>
      </c>
    </row>
    <row r="937" spans="1:7" x14ac:dyDescent="0.35">
      <c r="A937" s="64">
        <v>40585</v>
      </c>
      <c r="B937" s="60">
        <v>8</v>
      </c>
      <c r="C937" s="60">
        <v>132</v>
      </c>
      <c r="D937" s="61">
        <v>140</v>
      </c>
      <c r="E937" t="str">
        <f t="shared" si="46"/>
        <v>normal</v>
      </c>
      <c r="F937" s="35">
        <f t="shared" si="44"/>
        <v>140</v>
      </c>
      <c r="G937" s="35" t="e">
        <f t="shared" si="45"/>
        <v>#N/A</v>
      </c>
    </row>
    <row r="938" spans="1:7" x14ac:dyDescent="0.35">
      <c r="A938" s="65">
        <v>40585</v>
      </c>
      <c r="B938" s="62">
        <v>5</v>
      </c>
      <c r="C938" s="62">
        <v>39</v>
      </c>
      <c r="D938" s="63">
        <v>44</v>
      </c>
      <c r="E938" t="str">
        <f t="shared" si="46"/>
        <v>normal</v>
      </c>
      <c r="F938" s="35">
        <f t="shared" si="44"/>
        <v>44</v>
      </c>
      <c r="G938" s="35" t="e">
        <f t="shared" si="45"/>
        <v>#N/A</v>
      </c>
    </row>
    <row r="939" spans="1:7" x14ac:dyDescent="0.35">
      <c r="A939" s="64">
        <v>40585</v>
      </c>
      <c r="B939" s="60">
        <v>12</v>
      </c>
      <c r="C939" s="60">
        <v>52</v>
      </c>
      <c r="D939" s="61">
        <v>64</v>
      </c>
      <c r="E939" t="str">
        <f t="shared" si="46"/>
        <v>normal</v>
      </c>
      <c r="F939" s="35">
        <f t="shared" si="44"/>
        <v>64</v>
      </c>
      <c r="G939" s="35" t="e">
        <f t="shared" si="45"/>
        <v>#N/A</v>
      </c>
    </row>
    <row r="940" spans="1:7" x14ac:dyDescent="0.35">
      <c r="A940" s="65">
        <v>40585</v>
      </c>
      <c r="B940" s="62">
        <v>7</v>
      </c>
      <c r="C940" s="62">
        <v>64</v>
      </c>
      <c r="D940" s="63">
        <v>71</v>
      </c>
      <c r="E940" t="str">
        <f t="shared" si="46"/>
        <v>normal</v>
      </c>
      <c r="F940" s="35">
        <f t="shared" si="44"/>
        <v>71</v>
      </c>
      <c r="G940" s="35" t="e">
        <f t="shared" si="45"/>
        <v>#N/A</v>
      </c>
    </row>
    <row r="941" spans="1:7" x14ac:dyDescent="0.35">
      <c r="A941" s="64">
        <v>40585</v>
      </c>
      <c r="B941" s="60">
        <v>21</v>
      </c>
      <c r="C941" s="60">
        <v>89</v>
      </c>
      <c r="D941" s="61">
        <v>110</v>
      </c>
      <c r="E941" t="str">
        <f t="shared" si="46"/>
        <v>normal</v>
      </c>
      <c r="F941" s="35">
        <f t="shared" si="44"/>
        <v>110</v>
      </c>
      <c r="G941" s="35" t="e">
        <f t="shared" si="45"/>
        <v>#N/A</v>
      </c>
    </row>
    <row r="942" spans="1:7" x14ac:dyDescent="0.35">
      <c r="A942" s="65">
        <v>40585</v>
      </c>
      <c r="B942" s="62">
        <v>17</v>
      </c>
      <c r="C942" s="62">
        <v>67</v>
      </c>
      <c r="D942" s="63">
        <v>84</v>
      </c>
      <c r="E942" t="str">
        <f t="shared" si="46"/>
        <v>normal</v>
      </c>
      <c r="F942" s="35">
        <f t="shared" si="44"/>
        <v>84</v>
      </c>
      <c r="G942" s="35" t="e">
        <f t="shared" si="45"/>
        <v>#N/A</v>
      </c>
    </row>
    <row r="943" spans="1:7" x14ac:dyDescent="0.35">
      <c r="A943" s="64">
        <v>40585</v>
      </c>
      <c r="B943" s="60">
        <v>12</v>
      </c>
      <c r="C943" s="60">
        <v>62</v>
      </c>
      <c r="D943" s="61">
        <v>74</v>
      </c>
      <c r="E943" t="str">
        <f t="shared" si="46"/>
        <v>normal</v>
      </c>
      <c r="F943" s="35">
        <f t="shared" si="44"/>
        <v>74</v>
      </c>
      <c r="G943" s="35" t="e">
        <f t="shared" si="45"/>
        <v>#N/A</v>
      </c>
    </row>
    <row r="944" spans="1:7" x14ac:dyDescent="0.35">
      <c r="A944" s="65">
        <v>40585</v>
      </c>
      <c r="B944" s="62">
        <v>14</v>
      </c>
      <c r="C944" s="62">
        <v>111</v>
      </c>
      <c r="D944" s="63">
        <v>125</v>
      </c>
      <c r="E944" t="str">
        <f t="shared" si="46"/>
        <v>normal</v>
      </c>
      <c r="F944" s="35">
        <f t="shared" si="44"/>
        <v>125</v>
      </c>
      <c r="G944" s="35" t="e">
        <f t="shared" si="45"/>
        <v>#N/A</v>
      </c>
    </row>
    <row r="945" spans="1:7" x14ac:dyDescent="0.35">
      <c r="A945" s="64">
        <v>40585</v>
      </c>
      <c r="B945" s="60">
        <v>18</v>
      </c>
      <c r="C945" s="60">
        <v>193</v>
      </c>
      <c r="D945" s="61">
        <v>211</v>
      </c>
      <c r="E945" t="str">
        <f t="shared" ref="E945:E976" si="47">IF(OR(D945&lt;$L$15,D945&gt;$L$16),"Anamoly","normal")</f>
        <v>Anamoly</v>
      </c>
      <c r="F945" s="35" t="e">
        <f t="shared" si="44"/>
        <v>#N/A</v>
      </c>
      <c r="G945" s="35">
        <f t="shared" si="45"/>
        <v>211</v>
      </c>
    </row>
    <row r="946" spans="1:7" x14ac:dyDescent="0.35">
      <c r="A946" s="65">
        <v>40585</v>
      </c>
      <c r="B946" s="62">
        <v>9</v>
      </c>
      <c r="C946" s="62">
        <v>165</v>
      </c>
      <c r="D946" s="63">
        <v>174</v>
      </c>
      <c r="E946" t="str">
        <f t="shared" si="47"/>
        <v>normal</v>
      </c>
      <c r="F946" s="35">
        <f t="shared" si="44"/>
        <v>174</v>
      </c>
      <c r="G946" s="35" t="e">
        <f t="shared" si="45"/>
        <v>#N/A</v>
      </c>
    </row>
    <row r="947" spans="1:7" x14ac:dyDescent="0.35">
      <c r="A947" s="64">
        <v>40585</v>
      </c>
      <c r="B947" s="60">
        <v>7</v>
      </c>
      <c r="C947" s="60">
        <v>94</v>
      </c>
      <c r="D947" s="61">
        <v>101</v>
      </c>
      <c r="E947" t="str">
        <f t="shared" si="47"/>
        <v>normal</v>
      </c>
      <c r="F947" s="35">
        <f t="shared" si="44"/>
        <v>101</v>
      </c>
      <c r="G947" s="35" t="e">
        <f t="shared" si="45"/>
        <v>#N/A</v>
      </c>
    </row>
    <row r="948" spans="1:7" x14ac:dyDescent="0.35">
      <c r="A948" s="65">
        <v>40585</v>
      </c>
      <c r="B948" s="62">
        <v>2</v>
      </c>
      <c r="C948" s="62">
        <v>61</v>
      </c>
      <c r="D948" s="63">
        <v>63</v>
      </c>
      <c r="E948" t="str">
        <f t="shared" si="47"/>
        <v>normal</v>
      </c>
      <c r="F948" s="35">
        <f t="shared" si="44"/>
        <v>63</v>
      </c>
      <c r="G948" s="35" t="e">
        <f t="shared" si="45"/>
        <v>#N/A</v>
      </c>
    </row>
    <row r="949" spans="1:7" x14ac:dyDescent="0.35">
      <c r="A949" s="64">
        <v>40585</v>
      </c>
      <c r="B949" s="60">
        <v>1</v>
      </c>
      <c r="C949" s="60">
        <v>46</v>
      </c>
      <c r="D949" s="61">
        <v>47</v>
      </c>
      <c r="E949" t="str">
        <f t="shared" si="47"/>
        <v>normal</v>
      </c>
      <c r="F949" s="35">
        <f t="shared" si="44"/>
        <v>47</v>
      </c>
      <c r="G949" s="35" t="e">
        <f t="shared" si="45"/>
        <v>#N/A</v>
      </c>
    </row>
    <row r="950" spans="1:7" x14ac:dyDescent="0.35">
      <c r="A950" s="65">
        <v>40585</v>
      </c>
      <c r="B950" s="62">
        <v>2</v>
      </c>
      <c r="C950" s="62">
        <v>41</v>
      </c>
      <c r="D950" s="63">
        <v>43</v>
      </c>
      <c r="E950" t="str">
        <f t="shared" si="47"/>
        <v>normal</v>
      </c>
      <c r="F950" s="35">
        <f t="shared" si="44"/>
        <v>43</v>
      </c>
      <c r="G950" s="35" t="e">
        <f t="shared" si="45"/>
        <v>#N/A</v>
      </c>
    </row>
    <row r="951" spans="1:7" x14ac:dyDescent="0.35">
      <c r="A951" s="64">
        <v>40585</v>
      </c>
      <c r="B951" s="60">
        <v>5</v>
      </c>
      <c r="C951" s="60">
        <v>48</v>
      </c>
      <c r="D951" s="61">
        <v>53</v>
      </c>
      <c r="E951" t="str">
        <f t="shared" si="47"/>
        <v>normal</v>
      </c>
      <c r="F951" s="35">
        <f t="shared" si="44"/>
        <v>53</v>
      </c>
      <c r="G951" s="35" t="e">
        <f t="shared" si="45"/>
        <v>#N/A</v>
      </c>
    </row>
    <row r="952" spans="1:7" x14ac:dyDescent="0.35">
      <c r="A952" s="65">
        <v>40586</v>
      </c>
      <c r="B952" s="62">
        <v>3</v>
      </c>
      <c r="C952" s="62">
        <v>27</v>
      </c>
      <c r="D952" s="63">
        <v>30</v>
      </c>
      <c r="E952" t="str">
        <f t="shared" si="47"/>
        <v>normal</v>
      </c>
      <c r="F952" s="35">
        <f t="shared" si="44"/>
        <v>30</v>
      </c>
      <c r="G952" s="35" t="e">
        <f t="shared" si="45"/>
        <v>#N/A</v>
      </c>
    </row>
    <row r="953" spans="1:7" x14ac:dyDescent="0.35">
      <c r="A953" s="64">
        <v>40586</v>
      </c>
      <c r="B953" s="60">
        <v>2</v>
      </c>
      <c r="C953" s="60">
        <v>22</v>
      </c>
      <c r="D953" s="61">
        <v>24</v>
      </c>
      <c r="E953" t="str">
        <f t="shared" si="47"/>
        <v>normal</v>
      </c>
      <c r="F953" s="35">
        <f t="shared" si="44"/>
        <v>24</v>
      </c>
      <c r="G953" s="35" t="e">
        <f t="shared" si="45"/>
        <v>#N/A</v>
      </c>
    </row>
    <row r="954" spans="1:7" x14ac:dyDescent="0.35">
      <c r="A954" s="65">
        <v>40586</v>
      </c>
      <c r="B954" s="62">
        <v>2</v>
      </c>
      <c r="C954" s="62">
        <v>13</v>
      </c>
      <c r="D954" s="63">
        <v>15</v>
      </c>
      <c r="E954" t="str">
        <f t="shared" si="47"/>
        <v>normal</v>
      </c>
      <c r="F954" s="35">
        <f t="shared" si="44"/>
        <v>15</v>
      </c>
      <c r="G954" s="35" t="e">
        <f t="shared" si="45"/>
        <v>#N/A</v>
      </c>
    </row>
    <row r="955" spans="1:7" x14ac:dyDescent="0.35">
      <c r="A955" s="64">
        <v>40586</v>
      </c>
      <c r="B955" s="60">
        <v>3</v>
      </c>
      <c r="C955" s="60">
        <v>7</v>
      </c>
      <c r="D955" s="61">
        <v>10</v>
      </c>
      <c r="E955" t="str">
        <f t="shared" si="47"/>
        <v>normal</v>
      </c>
      <c r="F955" s="35">
        <f t="shared" si="44"/>
        <v>10</v>
      </c>
      <c r="G955" s="35" t="e">
        <f t="shared" si="45"/>
        <v>#N/A</v>
      </c>
    </row>
    <row r="956" spans="1:7" x14ac:dyDescent="0.35">
      <c r="A956" s="65">
        <v>40586</v>
      </c>
      <c r="B956" s="62">
        <v>0</v>
      </c>
      <c r="C956" s="62">
        <v>4</v>
      </c>
      <c r="D956" s="63">
        <v>4</v>
      </c>
      <c r="E956" t="str">
        <f t="shared" si="47"/>
        <v>normal</v>
      </c>
      <c r="F956" s="35">
        <f t="shared" si="44"/>
        <v>4</v>
      </c>
      <c r="G956" s="35" t="e">
        <f t="shared" si="45"/>
        <v>#N/A</v>
      </c>
    </row>
    <row r="957" spans="1:7" x14ac:dyDescent="0.35">
      <c r="A957" s="64">
        <v>40586</v>
      </c>
      <c r="B957" s="60">
        <v>0</v>
      </c>
      <c r="C957" s="60">
        <v>1</v>
      </c>
      <c r="D957" s="61">
        <v>1</v>
      </c>
      <c r="E957" t="str">
        <f t="shared" si="47"/>
        <v>normal</v>
      </c>
      <c r="F957" s="35">
        <f t="shared" si="44"/>
        <v>1</v>
      </c>
      <c r="G957" s="35" t="e">
        <f t="shared" si="45"/>
        <v>#N/A</v>
      </c>
    </row>
    <row r="958" spans="1:7" x14ac:dyDescent="0.35">
      <c r="A958" s="65">
        <v>40586</v>
      </c>
      <c r="B958" s="62">
        <v>1</v>
      </c>
      <c r="C958" s="62">
        <v>1</v>
      </c>
      <c r="D958" s="63">
        <v>2</v>
      </c>
      <c r="E958" t="str">
        <f t="shared" si="47"/>
        <v>normal</v>
      </c>
      <c r="F958" s="35">
        <f t="shared" si="44"/>
        <v>2</v>
      </c>
      <c r="G958" s="35" t="e">
        <f t="shared" si="45"/>
        <v>#N/A</v>
      </c>
    </row>
    <row r="959" spans="1:7" x14ac:dyDescent="0.35">
      <c r="A959" s="64">
        <v>40586</v>
      </c>
      <c r="B959" s="60">
        <v>2</v>
      </c>
      <c r="C959" s="60">
        <v>9</v>
      </c>
      <c r="D959" s="61">
        <v>11</v>
      </c>
      <c r="E959" t="str">
        <f t="shared" si="47"/>
        <v>normal</v>
      </c>
      <c r="F959" s="35">
        <f t="shared" si="44"/>
        <v>11</v>
      </c>
      <c r="G959" s="35" t="e">
        <f t="shared" si="45"/>
        <v>#N/A</v>
      </c>
    </row>
    <row r="960" spans="1:7" x14ac:dyDescent="0.35">
      <c r="A960" s="65">
        <v>40586</v>
      </c>
      <c r="B960" s="62">
        <v>2</v>
      </c>
      <c r="C960" s="62">
        <v>28</v>
      </c>
      <c r="D960" s="63">
        <v>30</v>
      </c>
      <c r="E960" t="str">
        <f t="shared" si="47"/>
        <v>normal</v>
      </c>
      <c r="F960" s="35">
        <f t="shared" si="44"/>
        <v>30</v>
      </c>
      <c r="G960" s="35" t="e">
        <f t="shared" si="45"/>
        <v>#N/A</v>
      </c>
    </row>
    <row r="961" spans="1:7" x14ac:dyDescent="0.35">
      <c r="A961" s="64">
        <v>40586</v>
      </c>
      <c r="B961" s="60">
        <v>5</v>
      </c>
      <c r="C961" s="60">
        <v>38</v>
      </c>
      <c r="D961" s="61">
        <v>43</v>
      </c>
      <c r="E961" t="str">
        <f t="shared" si="47"/>
        <v>normal</v>
      </c>
      <c r="F961" s="35">
        <f t="shared" si="44"/>
        <v>43</v>
      </c>
      <c r="G961" s="35" t="e">
        <f t="shared" si="45"/>
        <v>#N/A</v>
      </c>
    </row>
    <row r="962" spans="1:7" x14ac:dyDescent="0.35">
      <c r="A962" s="65">
        <v>40586</v>
      </c>
      <c r="B962" s="62">
        <v>13</v>
      </c>
      <c r="C962" s="62">
        <v>71</v>
      </c>
      <c r="D962" s="63">
        <v>84</v>
      </c>
      <c r="E962" t="str">
        <f t="shared" si="47"/>
        <v>normal</v>
      </c>
      <c r="F962" s="35">
        <f t="shared" si="44"/>
        <v>84</v>
      </c>
      <c r="G962" s="35" t="e">
        <f t="shared" si="45"/>
        <v>#N/A</v>
      </c>
    </row>
    <row r="963" spans="1:7" x14ac:dyDescent="0.35">
      <c r="A963" s="64">
        <v>40586</v>
      </c>
      <c r="B963" s="60">
        <v>30</v>
      </c>
      <c r="C963" s="60">
        <v>84</v>
      </c>
      <c r="D963" s="61">
        <v>114</v>
      </c>
      <c r="E963" t="str">
        <f t="shared" si="47"/>
        <v>normal</v>
      </c>
      <c r="F963" s="35">
        <f t="shared" si="44"/>
        <v>114</v>
      </c>
      <c r="G963" s="35" t="e">
        <f t="shared" si="45"/>
        <v>#N/A</v>
      </c>
    </row>
    <row r="964" spans="1:7" x14ac:dyDescent="0.35">
      <c r="A964" s="65">
        <v>40586</v>
      </c>
      <c r="B964" s="62">
        <v>27</v>
      </c>
      <c r="C964" s="62">
        <v>93</v>
      </c>
      <c r="D964" s="63">
        <v>120</v>
      </c>
      <c r="E964" t="str">
        <f t="shared" si="47"/>
        <v>normal</v>
      </c>
      <c r="F964" s="35">
        <f t="shared" si="44"/>
        <v>120</v>
      </c>
      <c r="G964" s="35" t="e">
        <f t="shared" si="45"/>
        <v>#N/A</v>
      </c>
    </row>
    <row r="965" spans="1:7" x14ac:dyDescent="0.35">
      <c r="A965" s="64">
        <v>40586</v>
      </c>
      <c r="B965" s="60">
        <v>32</v>
      </c>
      <c r="C965" s="60">
        <v>103</v>
      </c>
      <c r="D965" s="61">
        <v>135</v>
      </c>
      <c r="E965" t="str">
        <f t="shared" si="47"/>
        <v>normal</v>
      </c>
      <c r="F965" s="35">
        <f t="shared" si="44"/>
        <v>135</v>
      </c>
      <c r="G965" s="35" t="e">
        <f t="shared" si="45"/>
        <v>#N/A</v>
      </c>
    </row>
    <row r="966" spans="1:7" x14ac:dyDescent="0.35">
      <c r="A966" s="65">
        <v>40586</v>
      </c>
      <c r="B966" s="62">
        <v>30</v>
      </c>
      <c r="C966" s="62">
        <v>90</v>
      </c>
      <c r="D966" s="63">
        <v>120</v>
      </c>
      <c r="E966" t="str">
        <f t="shared" si="47"/>
        <v>normal</v>
      </c>
      <c r="F966" s="35">
        <f t="shared" si="44"/>
        <v>120</v>
      </c>
      <c r="G966" s="35" t="e">
        <f t="shared" si="45"/>
        <v>#N/A</v>
      </c>
    </row>
    <row r="967" spans="1:7" x14ac:dyDescent="0.35">
      <c r="A967" s="64">
        <v>40586</v>
      </c>
      <c r="B967" s="60">
        <v>47</v>
      </c>
      <c r="C967" s="60">
        <v>127</v>
      </c>
      <c r="D967" s="61">
        <v>174</v>
      </c>
      <c r="E967" t="str">
        <f t="shared" si="47"/>
        <v>normal</v>
      </c>
      <c r="F967" s="35">
        <f t="shared" si="44"/>
        <v>174</v>
      </c>
      <c r="G967" s="35" t="e">
        <f t="shared" si="45"/>
        <v>#N/A</v>
      </c>
    </row>
    <row r="968" spans="1:7" x14ac:dyDescent="0.35">
      <c r="A968" s="65">
        <v>40586</v>
      </c>
      <c r="B968" s="62">
        <v>42</v>
      </c>
      <c r="C968" s="62">
        <v>103</v>
      </c>
      <c r="D968" s="63">
        <v>145</v>
      </c>
      <c r="E968" t="str">
        <f t="shared" si="47"/>
        <v>normal</v>
      </c>
      <c r="F968" s="35">
        <f t="shared" ref="F968:F1006" si="48">IF(E968="normal",D968,NA())</f>
        <v>145</v>
      </c>
      <c r="G968" s="35" t="e">
        <f t="shared" ref="G968:G1006" si="49">IF(E968="anamoly",D968,NA())</f>
        <v>#N/A</v>
      </c>
    </row>
    <row r="969" spans="1:7" x14ac:dyDescent="0.35">
      <c r="A969" s="64">
        <v>40586</v>
      </c>
      <c r="B969" s="60">
        <v>24</v>
      </c>
      <c r="C969" s="60">
        <v>113</v>
      </c>
      <c r="D969" s="61">
        <v>137</v>
      </c>
      <c r="E969" t="str">
        <f t="shared" si="47"/>
        <v>normal</v>
      </c>
      <c r="F969" s="35">
        <f t="shared" si="48"/>
        <v>137</v>
      </c>
      <c r="G969" s="35" t="e">
        <f t="shared" si="49"/>
        <v>#N/A</v>
      </c>
    </row>
    <row r="970" spans="1:7" x14ac:dyDescent="0.35">
      <c r="A970" s="65">
        <v>40586</v>
      </c>
      <c r="B970" s="62">
        <v>4</v>
      </c>
      <c r="C970" s="62">
        <v>60</v>
      </c>
      <c r="D970" s="63">
        <v>64</v>
      </c>
      <c r="E970" t="str">
        <f t="shared" si="47"/>
        <v>normal</v>
      </c>
      <c r="F970" s="35">
        <f t="shared" si="48"/>
        <v>64</v>
      </c>
      <c r="G970" s="35" t="e">
        <f t="shared" si="49"/>
        <v>#N/A</v>
      </c>
    </row>
    <row r="971" spans="1:7" x14ac:dyDescent="0.35">
      <c r="A971" s="64">
        <v>40586</v>
      </c>
      <c r="B971" s="60">
        <v>2</v>
      </c>
      <c r="C971" s="60">
        <v>39</v>
      </c>
      <c r="D971" s="61">
        <v>41</v>
      </c>
      <c r="E971" t="str">
        <f t="shared" si="47"/>
        <v>normal</v>
      </c>
      <c r="F971" s="35">
        <f t="shared" si="48"/>
        <v>41</v>
      </c>
      <c r="G971" s="35" t="e">
        <f t="shared" si="49"/>
        <v>#N/A</v>
      </c>
    </row>
    <row r="972" spans="1:7" x14ac:dyDescent="0.35">
      <c r="A972" s="65">
        <v>40586</v>
      </c>
      <c r="B972" s="62">
        <v>1</v>
      </c>
      <c r="C972" s="62">
        <v>39</v>
      </c>
      <c r="D972" s="63">
        <v>40</v>
      </c>
      <c r="E972" t="str">
        <f t="shared" si="47"/>
        <v>normal</v>
      </c>
      <c r="F972" s="35">
        <f t="shared" si="48"/>
        <v>40</v>
      </c>
      <c r="G972" s="35" t="e">
        <f t="shared" si="49"/>
        <v>#N/A</v>
      </c>
    </row>
    <row r="973" spans="1:7" x14ac:dyDescent="0.35">
      <c r="A973" s="64">
        <v>40586</v>
      </c>
      <c r="B973" s="60">
        <v>9</v>
      </c>
      <c r="C973" s="60">
        <v>42</v>
      </c>
      <c r="D973" s="61">
        <v>51</v>
      </c>
      <c r="E973" t="str">
        <f t="shared" si="47"/>
        <v>normal</v>
      </c>
      <c r="F973" s="35">
        <f t="shared" si="48"/>
        <v>51</v>
      </c>
      <c r="G973" s="35" t="e">
        <f t="shared" si="49"/>
        <v>#N/A</v>
      </c>
    </row>
    <row r="974" spans="1:7" x14ac:dyDescent="0.35">
      <c r="A974" s="65">
        <v>40586</v>
      </c>
      <c r="B974" s="62">
        <v>6</v>
      </c>
      <c r="C974" s="62">
        <v>39</v>
      </c>
      <c r="D974" s="63">
        <v>45</v>
      </c>
      <c r="E974" t="str">
        <f t="shared" si="47"/>
        <v>normal</v>
      </c>
      <c r="F974" s="35">
        <f t="shared" si="48"/>
        <v>45</v>
      </c>
      <c r="G974" s="35" t="e">
        <f t="shared" si="49"/>
        <v>#N/A</v>
      </c>
    </row>
    <row r="975" spans="1:7" x14ac:dyDescent="0.35">
      <c r="A975" s="64">
        <v>40586</v>
      </c>
      <c r="B975" s="60">
        <v>1</v>
      </c>
      <c r="C975" s="60">
        <v>31</v>
      </c>
      <c r="D975" s="61">
        <v>32</v>
      </c>
      <c r="E975" t="str">
        <f t="shared" si="47"/>
        <v>normal</v>
      </c>
      <c r="F975" s="35">
        <f t="shared" si="48"/>
        <v>32</v>
      </c>
      <c r="G975" s="35" t="e">
        <f t="shared" si="49"/>
        <v>#N/A</v>
      </c>
    </row>
    <row r="976" spans="1:7" x14ac:dyDescent="0.35">
      <c r="A976" s="65">
        <v>40587</v>
      </c>
      <c r="B976" s="62">
        <v>5</v>
      </c>
      <c r="C976" s="62">
        <v>34</v>
      </c>
      <c r="D976" s="63">
        <v>39</v>
      </c>
      <c r="E976" t="str">
        <f t="shared" si="47"/>
        <v>normal</v>
      </c>
      <c r="F976" s="35">
        <f t="shared" si="48"/>
        <v>39</v>
      </c>
      <c r="G976" s="35" t="e">
        <f t="shared" si="49"/>
        <v>#N/A</v>
      </c>
    </row>
    <row r="977" spans="1:7" x14ac:dyDescent="0.35">
      <c r="A977" s="64">
        <v>40587</v>
      </c>
      <c r="B977" s="60">
        <v>1</v>
      </c>
      <c r="C977" s="60">
        <v>23</v>
      </c>
      <c r="D977" s="61">
        <v>24</v>
      </c>
      <c r="E977" t="str">
        <f t="shared" ref="E977:E1006" si="50">IF(OR(D977&lt;$L$15,D977&gt;$L$16),"Anamoly","normal")</f>
        <v>normal</v>
      </c>
      <c r="F977" s="35">
        <f t="shared" si="48"/>
        <v>24</v>
      </c>
      <c r="G977" s="35" t="e">
        <f t="shared" si="49"/>
        <v>#N/A</v>
      </c>
    </row>
    <row r="978" spans="1:7" x14ac:dyDescent="0.35">
      <c r="A978" s="65">
        <v>40587</v>
      </c>
      <c r="B978" s="62">
        <v>1</v>
      </c>
      <c r="C978" s="62">
        <v>19</v>
      </c>
      <c r="D978" s="63">
        <v>20</v>
      </c>
      <c r="E978" t="str">
        <f t="shared" si="50"/>
        <v>normal</v>
      </c>
      <c r="F978" s="35">
        <f t="shared" si="48"/>
        <v>20</v>
      </c>
      <c r="G978" s="35" t="e">
        <f t="shared" si="49"/>
        <v>#N/A</v>
      </c>
    </row>
    <row r="979" spans="1:7" x14ac:dyDescent="0.35">
      <c r="A979" s="64">
        <v>40587</v>
      </c>
      <c r="B979" s="60">
        <v>4</v>
      </c>
      <c r="C979" s="60">
        <v>8</v>
      </c>
      <c r="D979" s="61">
        <v>12</v>
      </c>
      <c r="E979" t="str">
        <f t="shared" si="50"/>
        <v>normal</v>
      </c>
      <c r="F979" s="35">
        <f t="shared" si="48"/>
        <v>12</v>
      </c>
      <c r="G979" s="35" t="e">
        <f t="shared" si="49"/>
        <v>#N/A</v>
      </c>
    </row>
    <row r="980" spans="1:7" x14ac:dyDescent="0.35">
      <c r="A980" s="65">
        <v>40587</v>
      </c>
      <c r="B980" s="62">
        <v>0</v>
      </c>
      <c r="C980" s="62">
        <v>2</v>
      </c>
      <c r="D980" s="63">
        <v>2</v>
      </c>
      <c r="E980" t="str">
        <f t="shared" si="50"/>
        <v>normal</v>
      </c>
      <c r="F980" s="35">
        <f t="shared" si="48"/>
        <v>2</v>
      </c>
      <c r="G980" s="35" t="e">
        <f t="shared" si="49"/>
        <v>#N/A</v>
      </c>
    </row>
    <row r="981" spans="1:7" x14ac:dyDescent="0.35">
      <c r="A981" s="64">
        <v>40587</v>
      </c>
      <c r="B981" s="60">
        <v>2</v>
      </c>
      <c r="C981" s="60">
        <v>3</v>
      </c>
      <c r="D981" s="61">
        <v>5</v>
      </c>
      <c r="E981" t="str">
        <f t="shared" si="50"/>
        <v>normal</v>
      </c>
      <c r="F981" s="35">
        <f t="shared" si="48"/>
        <v>5</v>
      </c>
      <c r="G981" s="35" t="e">
        <f t="shared" si="49"/>
        <v>#N/A</v>
      </c>
    </row>
    <row r="982" spans="1:7" x14ac:dyDescent="0.35">
      <c r="A982" s="65">
        <v>40587</v>
      </c>
      <c r="B982" s="62">
        <v>0</v>
      </c>
      <c r="C982" s="62">
        <v>3</v>
      </c>
      <c r="D982" s="63">
        <v>3</v>
      </c>
      <c r="E982" t="str">
        <f t="shared" si="50"/>
        <v>normal</v>
      </c>
      <c r="F982" s="35">
        <f t="shared" si="48"/>
        <v>3</v>
      </c>
      <c r="G982" s="35" t="e">
        <f t="shared" si="49"/>
        <v>#N/A</v>
      </c>
    </row>
    <row r="983" spans="1:7" x14ac:dyDescent="0.35">
      <c r="A983" s="64">
        <v>40587</v>
      </c>
      <c r="B983" s="60">
        <v>1</v>
      </c>
      <c r="C983" s="60">
        <v>11</v>
      </c>
      <c r="D983" s="61">
        <v>12</v>
      </c>
      <c r="E983" t="str">
        <f t="shared" si="50"/>
        <v>normal</v>
      </c>
      <c r="F983" s="35">
        <f t="shared" si="48"/>
        <v>12</v>
      </c>
      <c r="G983" s="35" t="e">
        <f t="shared" si="49"/>
        <v>#N/A</v>
      </c>
    </row>
    <row r="984" spans="1:7" x14ac:dyDescent="0.35">
      <c r="A984" s="65">
        <v>40587</v>
      </c>
      <c r="B984" s="62">
        <v>12</v>
      </c>
      <c r="C984" s="62">
        <v>35</v>
      </c>
      <c r="D984" s="63">
        <v>47</v>
      </c>
      <c r="E984" t="str">
        <f t="shared" si="50"/>
        <v>normal</v>
      </c>
      <c r="F984" s="35">
        <f t="shared" si="48"/>
        <v>47</v>
      </c>
      <c r="G984" s="35" t="e">
        <f t="shared" si="49"/>
        <v>#N/A</v>
      </c>
    </row>
    <row r="985" spans="1:7" x14ac:dyDescent="0.35">
      <c r="A985" s="64">
        <v>40587</v>
      </c>
      <c r="B985" s="60">
        <v>19</v>
      </c>
      <c r="C985" s="60">
        <v>86</v>
      </c>
      <c r="D985" s="61">
        <v>105</v>
      </c>
      <c r="E985" t="str">
        <f t="shared" si="50"/>
        <v>normal</v>
      </c>
      <c r="F985" s="35">
        <f t="shared" si="48"/>
        <v>105</v>
      </c>
      <c r="G985" s="35" t="e">
        <f t="shared" si="49"/>
        <v>#N/A</v>
      </c>
    </row>
    <row r="986" spans="1:7" x14ac:dyDescent="0.35">
      <c r="A986" s="65">
        <v>40587</v>
      </c>
      <c r="B986" s="62">
        <v>26</v>
      </c>
      <c r="C986" s="62">
        <v>86</v>
      </c>
      <c r="D986" s="63">
        <v>112</v>
      </c>
      <c r="E986" t="str">
        <f t="shared" si="50"/>
        <v>normal</v>
      </c>
      <c r="F986" s="35">
        <f t="shared" si="48"/>
        <v>112</v>
      </c>
      <c r="G986" s="35" t="e">
        <f t="shared" si="49"/>
        <v>#N/A</v>
      </c>
    </row>
    <row r="987" spans="1:7" x14ac:dyDescent="0.35">
      <c r="A987" s="64">
        <v>40587</v>
      </c>
      <c r="B987" s="60">
        <v>58</v>
      </c>
      <c r="C987" s="60">
        <v>94</v>
      </c>
      <c r="D987" s="61">
        <v>152</v>
      </c>
      <c r="E987" t="str">
        <f t="shared" si="50"/>
        <v>normal</v>
      </c>
      <c r="F987" s="35">
        <f t="shared" si="48"/>
        <v>152</v>
      </c>
      <c r="G987" s="35" t="e">
        <f t="shared" si="49"/>
        <v>#N/A</v>
      </c>
    </row>
    <row r="988" spans="1:7" x14ac:dyDescent="0.35">
      <c r="A988" s="65">
        <v>40587</v>
      </c>
      <c r="B988" s="62">
        <v>62</v>
      </c>
      <c r="C988" s="62">
        <v>92</v>
      </c>
      <c r="D988" s="63">
        <v>154</v>
      </c>
      <c r="E988" t="str">
        <f t="shared" si="50"/>
        <v>normal</v>
      </c>
      <c r="F988" s="35">
        <f t="shared" si="48"/>
        <v>154</v>
      </c>
      <c r="G988" s="35" t="e">
        <f t="shared" si="49"/>
        <v>#N/A</v>
      </c>
    </row>
    <row r="989" spans="1:7" x14ac:dyDescent="0.35">
      <c r="A989" s="64">
        <v>40587</v>
      </c>
      <c r="B989" s="60">
        <v>51</v>
      </c>
      <c r="C989" s="60">
        <v>110</v>
      </c>
      <c r="D989" s="61">
        <v>161</v>
      </c>
      <c r="E989" t="str">
        <f t="shared" si="50"/>
        <v>normal</v>
      </c>
      <c r="F989" s="35">
        <f t="shared" si="48"/>
        <v>161</v>
      </c>
      <c r="G989" s="35" t="e">
        <f t="shared" si="49"/>
        <v>#N/A</v>
      </c>
    </row>
    <row r="990" spans="1:7" x14ac:dyDescent="0.35">
      <c r="A990" s="65">
        <v>40587</v>
      </c>
      <c r="B990" s="62">
        <v>40</v>
      </c>
      <c r="C990" s="62">
        <v>122</v>
      </c>
      <c r="D990" s="63">
        <v>162</v>
      </c>
      <c r="E990" t="str">
        <f t="shared" si="50"/>
        <v>normal</v>
      </c>
      <c r="F990" s="35">
        <f t="shared" si="48"/>
        <v>162</v>
      </c>
      <c r="G990" s="35" t="e">
        <f t="shared" si="49"/>
        <v>#N/A</v>
      </c>
    </row>
    <row r="991" spans="1:7" x14ac:dyDescent="0.35">
      <c r="A991" s="64">
        <v>40587</v>
      </c>
      <c r="B991" s="60">
        <v>28</v>
      </c>
      <c r="C991" s="60">
        <v>106</v>
      </c>
      <c r="D991" s="61">
        <v>134</v>
      </c>
      <c r="E991" t="str">
        <f t="shared" si="50"/>
        <v>normal</v>
      </c>
      <c r="F991" s="35">
        <f t="shared" si="48"/>
        <v>134</v>
      </c>
      <c r="G991" s="35" t="e">
        <f t="shared" si="49"/>
        <v>#N/A</v>
      </c>
    </row>
    <row r="992" spans="1:7" x14ac:dyDescent="0.35">
      <c r="A992" s="65">
        <v>40587</v>
      </c>
      <c r="B992" s="62">
        <v>30</v>
      </c>
      <c r="C992" s="62">
        <v>95</v>
      </c>
      <c r="D992" s="63">
        <v>125</v>
      </c>
      <c r="E992" t="str">
        <f t="shared" si="50"/>
        <v>normal</v>
      </c>
      <c r="F992" s="35">
        <f t="shared" si="48"/>
        <v>125</v>
      </c>
      <c r="G992" s="35" t="e">
        <f t="shared" si="49"/>
        <v>#N/A</v>
      </c>
    </row>
    <row r="993" spans="1:7" x14ac:dyDescent="0.35">
      <c r="A993" s="64">
        <v>40587</v>
      </c>
      <c r="B993" s="60">
        <v>17</v>
      </c>
      <c r="C993" s="60">
        <v>78</v>
      </c>
      <c r="D993" s="61">
        <v>95</v>
      </c>
      <c r="E993" t="str">
        <f t="shared" si="50"/>
        <v>normal</v>
      </c>
      <c r="F993" s="35">
        <f t="shared" si="48"/>
        <v>95</v>
      </c>
      <c r="G993" s="35" t="e">
        <f t="shared" si="49"/>
        <v>#N/A</v>
      </c>
    </row>
    <row r="994" spans="1:7" x14ac:dyDescent="0.35">
      <c r="A994" s="65">
        <v>40587</v>
      </c>
      <c r="B994" s="62">
        <v>11</v>
      </c>
      <c r="C994" s="62">
        <v>50</v>
      </c>
      <c r="D994" s="63">
        <v>61</v>
      </c>
      <c r="E994" t="str">
        <f t="shared" si="50"/>
        <v>normal</v>
      </c>
      <c r="F994" s="35">
        <f t="shared" si="48"/>
        <v>61</v>
      </c>
      <c r="G994" s="35" t="e">
        <f t="shared" si="49"/>
        <v>#N/A</v>
      </c>
    </row>
    <row r="995" spans="1:7" x14ac:dyDescent="0.35">
      <c r="A995" s="64">
        <v>40587</v>
      </c>
      <c r="B995" s="60">
        <v>15</v>
      </c>
      <c r="C995" s="60">
        <v>32</v>
      </c>
      <c r="D995" s="61">
        <v>47</v>
      </c>
      <c r="E995" t="str">
        <f t="shared" si="50"/>
        <v>normal</v>
      </c>
      <c r="F995" s="35">
        <f t="shared" si="48"/>
        <v>47</v>
      </c>
      <c r="G995" s="35" t="e">
        <f t="shared" si="49"/>
        <v>#N/A</v>
      </c>
    </row>
    <row r="996" spans="1:7" x14ac:dyDescent="0.35">
      <c r="A996" s="65">
        <v>40587</v>
      </c>
      <c r="B996" s="62">
        <v>6</v>
      </c>
      <c r="C996" s="62">
        <v>45</v>
      </c>
      <c r="D996" s="63">
        <v>51</v>
      </c>
      <c r="E996" t="str">
        <f t="shared" si="50"/>
        <v>normal</v>
      </c>
      <c r="F996" s="35">
        <f t="shared" si="48"/>
        <v>51</v>
      </c>
      <c r="G996" s="35" t="e">
        <f t="shared" si="49"/>
        <v>#N/A</v>
      </c>
    </row>
    <row r="997" spans="1:7" x14ac:dyDescent="0.35">
      <c r="A997" s="64">
        <v>40587</v>
      </c>
      <c r="B997" s="60">
        <v>5</v>
      </c>
      <c r="C997" s="60">
        <v>31</v>
      </c>
      <c r="D997" s="61">
        <v>36</v>
      </c>
      <c r="E997" t="str">
        <f t="shared" si="50"/>
        <v>normal</v>
      </c>
      <c r="F997" s="35">
        <f t="shared" si="48"/>
        <v>36</v>
      </c>
      <c r="G997" s="35" t="e">
        <f t="shared" si="49"/>
        <v>#N/A</v>
      </c>
    </row>
    <row r="998" spans="1:7" x14ac:dyDescent="0.35">
      <c r="A998" s="65">
        <v>40587</v>
      </c>
      <c r="B998" s="62">
        <v>3</v>
      </c>
      <c r="C998" s="62">
        <v>27</v>
      </c>
      <c r="D998" s="63">
        <v>30</v>
      </c>
      <c r="E998" t="str">
        <f t="shared" si="50"/>
        <v>normal</v>
      </c>
      <c r="F998" s="35">
        <f t="shared" si="48"/>
        <v>30</v>
      </c>
      <c r="G998" s="35" t="e">
        <f t="shared" si="49"/>
        <v>#N/A</v>
      </c>
    </row>
    <row r="999" spans="1:7" x14ac:dyDescent="0.35">
      <c r="A999" s="64">
        <v>40588</v>
      </c>
      <c r="B999" s="60">
        <v>3</v>
      </c>
      <c r="C999" s="60">
        <v>8</v>
      </c>
      <c r="D999" s="61">
        <v>11</v>
      </c>
      <c r="E999" t="str">
        <f t="shared" si="50"/>
        <v>normal</v>
      </c>
      <c r="F999" s="35">
        <f t="shared" si="48"/>
        <v>11</v>
      </c>
      <c r="G999" s="35" t="e">
        <f t="shared" si="49"/>
        <v>#N/A</v>
      </c>
    </row>
    <row r="1000" spans="1:7" x14ac:dyDescent="0.35">
      <c r="A1000" s="65">
        <v>40588</v>
      </c>
      <c r="B1000" s="62">
        <v>1</v>
      </c>
      <c r="C1000" s="62">
        <v>6</v>
      </c>
      <c r="D1000" s="63">
        <v>7</v>
      </c>
      <c r="E1000" t="str">
        <f t="shared" si="50"/>
        <v>normal</v>
      </c>
      <c r="F1000" s="35">
        <f t="shared" si="48"/>
        <v>7</v>
      </c>
      <c r="G1000" s="35" t="e">
        <f t="shared" si="49"/>
        <v>#N/A</v>
      </c>
    </row>
    <row r="1001" spans="1:7" x14ac:dyDescent="0.35">
      <c r="A1001" s="64">
        <v>40588</v>
      </c>
      <c r="B1001" s="60">
        <v>0</v>
      </c>
      <c r="C1001" s="60">
        <v>2</v>
      </c>
      <c r="D1001" s="61">
        <v>2</v>
      </c>
      <c r="E1001" t="str">
        <f t="shared" si="50"/>
        <v>normal</v>
      </c>
      <c r="F1001" s="35">
        <f t="shared" si="48"/>
        <v>2</v>
      </c>
      <c r="G1001" s="35" t="e">
        <f t="shared" si="49"/>
        <v>#N/A</v>
      </c>
    </row>
    <row r="1002" spans="1:7" x14ac:dyDescent="0.35">
      <c r="A1002" s="65">
        <v>40588</v>
      </c>
      <c r="B1002" s="62">
        <v>1</v>
      </c>
      <c r="C1002" s="62">
        <v>1</v>
      </c>
      <c r="D1002" s="63">
        <v>2</v>
      </c>
      <c r="E1002" t="str">
        <f t="shared" si="50"/>
        <v>normal</v>
      </c>
      <c r="F1002" s="35">
        <f t="shared" si="48"/>
        <v>2</v>
      </c>
      <c r="G1002" s="35" t="e">
        <f t="shared" si="49"/>
        <v>#N/A</v>
      </c>
    </row>
    <row r="1003" spans="1:7" x14ac:dyDescent="0.35">
      <c r="A1003" s="64">
        <v>40588</v>
      </c>
      <c r="B1003" s="60">
        <v>0</v>
      </c>
      <c r="C1003" s="60">
        <v>2</v>
      </c>
      <c r="D1003" s="61">
        <v>2</v>
      </c>
      <c r="E1003" t="str">
        <f t="shared" si="50"/>
        <v>normal</v>
      </c>
      <c r="F1003" s="35">
        <f t="shared" si="48"/>
        <v>2</v>
      </c>
      <c r="G1003" s="35" t="e">
        <f t="shared" si="49"/>
        <v>#N/A</v>
      </c>
    </row>
    <row r="1004" spans="1:7" x14ac:dyDescent="0.35">
      <c r="A1004" s="65">
        <v>40588</v>
      </c>
      <c r="B1004" s="62">
        <v>0</v>
      </c>
      <c r="C1004" s="62">
        <v>3</v>
      </c>
      <c r="D1004" s="63">
        <v>3</v>
      </c>
      <c r="E1004" t="str">
        <f t="shared" si="50"/>
        <v>normal</v>
      </c>
      <c r="F1004" s="35">
        <f t="shared" si="48"/>
        <v>3</v>
      </c>
      <c r="G1004" s="35" t="e">
        <f t="shared" si="49"/>
        <v>#N/A</v>
      </c>
    </row>
    <row r="1005" spans="1:7" x14ac:dyDescent="0.35">
      <c r="A1005" s="64">
        <v>40588</v>
      </c>
      <c r="B1005" s="60">
        <v>1</v>
      </c>
      <c r="C1005" s="60">
        <v>25</v>
      </c>
      <c r="D1005" s="61">
        <v>26</v>
      </c>
      <c r="E1005" t="str">
        <f t="shared" si="50"/>
        <v>normal</v>
      </c>
      <c r="F1005" s="35">
        <f t="shared" si="48"/>
        <v>26</v>
      </c>
      <c r="G1005" s="35" t="e">
        <f t="shared" si="49"/>
        <v>#N/A</v>
      </c>
    </row>
    <row r="1006" spans="1:7" x14ac:dyDescent="0.35">
      <c r="A1006" s="65">
        <v>40588</v>
      </c>
      <c r="B1006" s="62">
        <v>2</v>
      </c>
      <c r="C1006" s="62">
        <v>96</v>
      </c>
      <c r="D1006" s="63">
        <v>98</v>
      </c>
      <c r="E1006" t="str">
        <f t="shared" si="50"/>
        <v>normal</v>
      </c>
      <c r="F1006" s="35">
        <f t="shared" si="48"/>
        <v>98</v>
      </c>
      <c r="G1006" s="35" t="e">
        <f t="shared" si="49"/>
        <v>#N/A</v>
      </c>
    </row>
  </sheetData>
  <conditionalFormatting sqref="D6:D1006">
    <cfRule type="colorScale" priority="6">
      <colorScale>
        <cfvo type="min"/>
        <cfvo type="percentile" val="50"/>
        <cfvo type="max"/>
        <color rgb="FFF8696B"/>
        <color rgb="FFFFEB84"/>
        <color rgb="FF63BE7B"/>
      </colorScale>
    </cfRule>
  </conditionalFormatting>
  <conditionalFormatting sqref="E6:E1006">
    <cfRule type="colorScale" priority="1">
      <colorScale>
        <cfvo type="min"/>
        <cfvo type="max"/>
        <color rgb="FFFCFCFF"/>
        <color rgb="FF63BE7B"/>
      </colorScale>
    </cfRule>
    <cfRule type="containsText" dxfId="2" priority="2" operator="containsText" text="Anamoly">
      <formula>NOT(ISERROR(SEARCH("Anamoly",E6)))</formula>
    </cfRule>
    <cfRule type="containsText" dxfId="1" priority="3" operator="containsText" text="Anomoly">
      <formula>NOT(ISERROR(SEARCH("Anomoly",E6)))</formula>
    </cfRule>
    <cfRule type="containsText" dxfId="0" priority="5" operator="containsText" text="anomaly">
      <formula>NOT(ISERROR(SEARCH("anomaly",E6)))</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0CDE-37E9-4CFF-BF77-A4F03E1B46ED}">
  <dimension ref="A1:R58"/>
  <sheetViews>
    <sheetView topLeftCell="E18" zoomScale="99" zoomScaleNormal="99" workbookViewId="0">
      <selection activeCell="J43" sqref="J43"/>
    </sheetView>
  </sheetViews>
  <sheetFormatPr defaultRowHeight="14.5" x14ac:dyDescent="0.35"/>
  <cols>
    <col min="1" max="1" width="10.08984375" bestFit="1" customWidth="1"/>
    <col min="2" max="2" width="16.453125" customWidth="1"/>
    <col min="3" max="3" width="24.81640625" customWidth="1"/>
    <col min="4" max="4" width="38.54296875" customWidth="1"/>
    <col min="5" max="5" width="38.6328125" customWidth="1"/>
  </cols>
  <sheetData>
    <row r="1" spans="1:5" x14ac:dyDescent="0.35">
      <c r="A1" t="s">
        <v>27</v>
      </c>
      <c r="B1" t="s">
        <v>44</v>
      </c>
      <c r="C1" t="s">
        <v>101</v>
      </c>
      <c r="D1" t="s">
        <v>102</v>
      </c>
      <c r="E1" t="s">
        <v>103</v>
      </c>
    </row>
    <row r="2" spans="1:5" x14ac:dyDescent="0.35">
      <c r="A2" s="1">
        <v>40544</v>
      </c>
      <c r="B2">
        <v>41.041666666666664</v>
      </c>
    </row>
    <row r="3" spans="1:5" x14ac:dyDescent="0.35">
      <c r="A3" s="1">
        <v>40545</v>
      </c>
      <c r="B3">
        <v>34.826086956521742</v>
      </c>
    </row>
    <row r="4" spans="1:5" x14ac:dyDescent="0.35">
      <c r="A4" s="1">
        <v>40546</v>
      </c>
      <c r="B4">
        <v>61.31818181818182</v>
      </c>
    </row>
    <row r="5" spans="1:5" x14ac:dyDescent="0.35">
      <c r="A5" s="1">
        <v>40547</v>
      </c>
      <c r="B5">
        <v>67.913043478260875</v>
      </c>
    </row>
    <row r="6" spans="1:5" x14ac:dyDescent="0.35">
      <c r="A6" s="1">
        <v>40548</v>
      </c>
      <c r="B6">
        <v>69.565217391304344</v>
      </c>
    </row>
    <row r="7" spans="1:5" x14ac:dyDescent="0.35">
      <c r="A7" s="1">
        <v>40549</v>
      </c>
      <c r="B7">
        <v>69.826086956521735</v>
      </c>
    </row>
    <row r="8" spans="1:5" x14ac:dyDescent="0.35">
      <c r="A8" s="1">
        <v>40550</v>
      </c>
      <c r="B8">
        <v>65.652173913043484</v>
      </c>
    </row>
    <row r="9" spans="1:5" x14ac:dyDescent="0.35">
      <c r="A9" s="1">
        <v>40551</v>
      </c>
      <c r="B9">
        <v>39.958333333333336</v>
      </c>
    </row>
    <row r="10" spans="1:5" x14ac:dyDescent="0.35">
      <c r="A10" s="1">
        <v>40552</v>
      </c>
      <c r="B10">
        <v>34.25</v>
      </c>
    </row>
    <row r="11" spans="1:5" x14ac:dyDescent="0.35">
      <c r="A11" s="1">
        <v>40553</v>
      </c>
      <c r="B11">
        <v>55.041666666666664</v>
      </c>
    </row>
    <row r="12" spans="1:5" x14ac:dyDescent="0.35">
      <c r="A12" s="1">
        <v>40554</v>
      </c>
      <c r="B12">
        <v>57.409090909090907</v>
      </c>
    </row>
    <row r="13" spans="1:5" x14ac:dyDescent="0.35">
      <c r="A13" s="1">
        <v>40555</v>
      </c>
      <c r="B13">
        <v>52.81818181818182</v>
      </c>
    </row>
    <row r="14" spans="1:5" x14ac:dyDescent="0.35">
      <c r="A14" s="1">
        <v>40556</v>
      </c>
      <c r="B14">
        <v>58.583333333333336</v>
      </c>
    </row>
    <row r="15" spans="1:5" x14ac:dyDescent="0.35">
      <c r="A15" s="1">
        <v>40557</v>
      </c>
      <c r="B15">
        <v>61.782608695652172</v>
      </c>
    </row>
    <row r="16" spans="1:5" x14ac:dyDescent="0.35">
      <c r="A16" s="1">
        <v>40558</v>
      </c>
      <c r="B16">
        <v>52</v>
      </c>
    </row>
    <row r="17" spans="1:17" x14ac:dyDescent="0.35">
      <c r="A17" s="1">
        <v>40559</v>
      </c>
      <c r="B17">
        <v>50.166666666666664</v>
      </c>
    </row>
    <row r="18" spans="1:17" x14ac:dyDescent="0.35">
      <c r="A18" s="1">
        <v>40560</v>
      </c>
      <c r="B18">
        <v>41.666666666666664</v>
      </c>
    </row>
    <row r="19" spans="1:17" x14ac:dyDescent="0.35">
      <c r="A19" s="1">
        <v>40561</v>
      </c>
      <c r="B19">
        <v>56.916666666666664</v>
      </c>
    </row>
    <row r="20" spans="1:17" x14ac:dyDescent="0.35">
      <c r="A20" s="1">
        <v>40562</v>
      </c>
      <c r="B20">
        <v>71.739130434782609</v>
      </c>
    </row>
    <row r="21" spans="1:17" x14ac:dyDescent="0.35">
      <c r="A21" s="1">
        <v>40563</v>
      </c>
      <c r="B21">
        <v>80.291666666666671</v>
      </c>
    </row>
    <row r="22" spans="1:17" x14ac:dyDescent="0.35">
      <c r="A22" s="1">
        <v>40564</v>
      </c>
      <c r="B22">
        <v>64.291666666666671</v>
      </c>
    </row>
    <row r="23" spans="1:17" x14ac:dyDescent="0.35">
      <c r="A23" s="1">
        <v>40565</v>
      </c>
      <c r="B23">
        <v>42.652173913043477</v>
      </c>
    </row>
    <row r="24" spans="1:17" x14ac:dyDescent="0.35">
      <c r="A24" s="1">
        <v>40566</v>
      </c>
      <c r="B24">
        <v>42.869565217391305</v>
      </c>
    </row>
    <row r="25" spans="1:17" x14ac:dyDescent="0.35">
      <c r="A25" s="1">
        <v>40567</v>
      </c>
      <c r="B25">
        <v>61.565217391304351</v>
      </c>
    </row>
    <row r="26" spans="1:17" x14ac:dyDescent="0.35">
      <c r="A26" s="1">
        <v>40568</v>
      </c>
      <c r="B26">
        <v>86.304347826086953</v>
      </c>
    </row>
    <row r="27" spans="1:17" x14ac:dyDescent="0.35">
      <c r="A27" s="1">
        <v>40569</v>
      </c>
      <c r="B27">
        <v>31.625</v>
      </c>
      <c r="G27" s="131" t="s">
        <v>180</v>
      </c>
      <c r="H27" s="131"/>
      <c r="I27" s="131"/>
      <c r="J27" s="131"/>
      <c r="K27" s="131"/>
      <c r="L27" s="131"/>
      <c r="M27" s="131"/>
      <c r="N27" s="131"/>
      <c r="O27" s="131"/>
      <c r="P27" s="131"/>
      <c r="Q27" s="131"/>
    </row>
    <row r="28" spans="1:17" x14ac:dyDescent="0.35">
      <c r="A28" s="1">
        <v>40570</v>
      </c>
      <c r="B28">
        <v>53.875</v>
      </c>
      <c r="G28" s="131" t="s">
        <v>181</v>
      </c>
      <c r="H28" s="131"/>
      <c r="I28" s="131"/>
      <c r="J28" s="131"/>
      <c r="K28" s="131"/>
      <c r="L28" s="131"/>
      <c r="M28" s="131"/>
      <c r="N28" s="131"/>
      <c r="O28" s="131"/>
      <c r="P28" s="131"/>
      <c r="Q28" s="131"/>
    </row>
    <row r="29" spans="1:17" x14ac:dyDescent="0.35">
      <c r="A29" s="1">
        <v>40571</v>
      </c>
      <c r="B29">
        <v>50.739130434782609</v>
      </c>
    </row>
    <row r="30" spans="1:17" x14ac:dyDescent="0.35">
      <c r="A30" s="1">
        <v>40572</v>
      </c>
      <c r="B30">
        <v>47.739130434782609</v>
      </c>
    </row>
    <row r="31" spans="1:17" x14ac:dyDescent="0.35">
      <c r="A31" s="1">
        <v>40573</v>
      </c>
      <c r="B31">
        <v>47.652173913043477</v>
      </c>
    </row>
    <row r="32" spans="1:17" x14ac:dyDescent="0.35">
      <c r="A32" s="1">
        <v>40574</v>
      </c>
      <c r="B32">
        <v>62.541666666666664</v>
      </c>
    </row>
    <row r="33" spans="1:18" x14ac:dyDescent="0.35">
      <c r="A33" s="1">
        <v>40575</v>
      </c>
      <c r="B33">
        <v>59.130434782608695</v>
      </c>
    </row>
    <row r="34" spans="1:18" x14ac:dyDescent="0.35">
      <c r="A34" s="1">
        <v>40576</v>
      </c>
      <c r="B34">
        <v>63.583333333333336</v>
      </c>
    </row>
    <row r="35" spans="1:18" x14ac:dyDescent="0.35">
      <c r="A35" s="1">
        <v>40577</v>
      </c>
      <c r="B35">
        <v>67.391304347826093</v>
      </c>
    </row>
    <row r="36" spans="1:18" x14ac:dyDescent="0.35">
      <c r="A36" s="1">
        <v>40578</v>
      </c>
      <c r="B36">
        <v>74.260869565217391</v>
      </c>
    </row>
    <row r="37" spans="1:18" x14ac:dyDescent="0.35">
      <c r="A37" s="1">
        <v>40579</v>
      </c>
      <c r="B37">
        <v>41.875</v>
      </c>
    </row>
    <row r="38" spans="1:18" x14ac:dyDescent="0.35">
      <c r="A38" s="1">
        <v>40580</v>
      </c>
      <c r="B38">
        <v>67.625</v>
      </c>
    </row>
    <row r="39" spans="1:18" x14ac:dyDescent="0.35">
      <c r="A39" s="1">
        <v>40581</v>
      </c>
      <c r="B39">
        <v>71.333333333333329</v>
      </c>
    </row>
    <row r="40" spans="1:18" x14ac:dyDescent="0.35">
      <c r="A40" s="1">
        <v>40582</v>
      </c>
      <c r="B40">
        <v>63.75</v>
      </c>
    </row>
    <row r="41" spans="1:18" x14ac:dyDescent="0.35">
      <c r="A41" s="1">
        <v>40583</v>
      </c>
      <c r="B41">
        <v>69.782608695652172</v>
      </c>
    </row>
    <row r="42" spans="1:18" x14ac:dyDescent="0.35">
      <c r="A42" s="1">
        <v>40584</v>
      </c>
      <c r="B42">
        <v>66.869565217391298</v>
      </c>
    </row>
    <row r="43" spans="1:18" x14ac:dyDescent="0.35">
      <c r="A43" s="1">
        <v>40585</v>
      </c>
      <c r="B43">
        <v>79.36363636363636</v>
      </c>
      <c r="R43" s="131"/>
    </row>
    <row r="44" spans="1:18" x14ac:dyDescent="0.35">
      <c r="A44" s="1">
        <v>40586</v>
      </c>
      <c r="B44">
        <v>61.333333333333336</v>
      </c>
      <c r="R44" s="131"/>
    </row>
    <row r="45" spans="1:18" x14ac:dyDescent="0.35">
      <c r="A45" s="1">
        <v>40587</v>
      </c>
      <c r="B45">
        <v>69.086956521739125</v>
      </c>
    </row>
    <row r="46" spans="1:18" x14ac:dyDescent="0.35">
      <c r="A46" s="1">
        <v>40588</v>
      </c>
      <c r="B46">
        <v>18.875</v>
      </c>
      <c r="C46">
        <v>18.875</v>
      </c>
      <c r="D46" s="40">
        <v>18.875</v>
      </c>
      <c r="E46" s="40">
        <v>18.875</v>
      </c>
    </row>
    <row r="47" spans="1:18" x14ac:dyDescent="0.35">
      <c r="A47" s="1">
        <v>40589</v>
      </c>
      <c r="C47">
        <f t="shared" ref="C47:C58" si="0">_xlfn.FORECAST.ETS(A47,$B$2:$B$46,$A$2:$A$46,1,1)</f>
        <v>61.270134143024279</v>
      </c>
      <c r="D47" s="40">
        <f t="shared" ref="D47:D58" si="1">C47-_xlfn.FORECAST.ETS.CONFINT(A47,$B$2:$B$46,$A$2:$A$46,0.95,1,1)</f>
        <v>31.858655883675784</v>
      </c>
      <c r="E47" s="40">
        <f t="shared" ref="E47:E58" si="2">C47+_xlfn.FORECAST.ETS.CONFINT(A47,$B$2:$B$46,$A$2:$A$46,0.95,1,1)</f>
        <v>90.681612402372778</v>
      </c>
    </row>
    <row r="48" spans="1:18" x14ac:dyDescent="0.35">
      <c r="A48" s="1">
        <v>40590</v>
      </c>
      <c r="C48">
        <f t="shared" si="0"/>
        <v>61.525827765725516</v>
      </c>
      <c r="D48" s="40">
        <f t="shared" si="1"/>
        <v>31.878109408718345</v>
      </c>
      <c r="E48" s="40">
        <f t="shared" si="2"/>
        <v>91.173546122732688</v>
      </c>
    </row>
    <row r="49" spans="1:5" x14ac:dyDescent="0.35">
      <c r="A49" s="1">
        <v>40591</v>
      </c>
      <c r="C49">
        <f t="shared" si="0"/>
        <v>61.781521388426746</v>
      </c>
      <c r="D49" s="40">
        <f t="shared" si="1"/>
        <v>31.895739851191895</v>
      </c>
      <c r="E49" s="40">
        <f t="shared" si="2"/>
        <v>91.667302925661602</v>
      </c>
    </row>
    <row r="50" spans="1:5" x14ac:dyDescent="0.35">
      <c r="A50" s="1">
        <v>40592</v>
      </c>
      <c r="C50">
        <f t="shared" si="0"/>
        <v>62.037215011127984</v>
      </c>
      <c r="D50" s="40">
        <f t="shared" si="1"/>
        <v>31.911561716718598</v>
      </c>
      <c r="E50" s="40">
        <f t="shared" si="2"/>
        <v>92.162868305537373</v>
      </c>
    </row>
    <row r="51" spans="1:5" x14ac:dyDescent="0.35">
      <c r="A51" s="1">
        <v>40593</v>
      </c>
      <c r="C51">
        <f t="shared" si="0"/>
        <v>62.292908633829221</v>
      </c>
      <c r="D51" s="40">
        <f t="shared" si="1"/>
        <v>31.925589377473688</v>
      </c>
      <c r="E51" s="40">
        <f t="shared" si="2"/>
        <v>92.660227890184757</v>
      </c>
    </row>
    <row r="52" spans="1:5" x14ac:dyDescent="0.35">
      <c r="A52" s="1">
        <v>40594</v>
      </c>
      <c r="C52">
        <f t="shared" si="0"/>
        <v>62.548602256530458</v>
      </c>
      <c r="D52" s="40">
        <f t="shared" si="1"/>
        <v>31.937837068955986</v>
      </c>
      <c r="E52" s="40">
        <f t="shared" si="2"/>
        <v>93.15936744410493</v>
      </c>
    </row>
    <row r="53" spans="1:5" x14ac:dyDescent="0.35">
      <c r="A53" s="1">
        <v>40595</v>
      </c>
      <c r="C53">
        <f t="shared" si="0"/>
        <v>62.804295879231688</v>
      </c>
      <c r="D53" s="40">
        <f t="shared" si="1"/>
        <v>31.948318887095059</v>
      </c>
      <c r="E53" s="40">
        <f t="shared" si="2"/>
        <v>93.660272871368321</v>
      </c>
    </row>
    <row r="54" spans="1:5" x14ac:dyDescent="0.35">
      <c r="A54" s="1">
        <v>40596</v>
      </c>
      <c r="C54">
        <f t="shared" si="0"/>
        <v>63.059989501932925</v>
      </c>
      <c r="D54" s="40">
        <f t="shared" si="1"/>
        <v>31.95704878567814</v>
      </c>
      <c r="E54" s="40">
        <f t="shared" si="2"/>
        <v>94.162930218187711</v>
      </c>
    </row>
    <row r="55" spans="1:5" x14ac:dyDescent="0.35">
      <c r="A55" s="1">
        <v>40597</v>
      </c>
      <c r="C55">
        <f t="shared" si="0"/>
        <v>63.315683124634162</v>
      </c>
      <c r="D55" s="40">
        <f t="shared" si="1"/>
        <v>31.964040574080091</v>
      </c>
      <c r="E55" s="40">
        <f t="shared" si="2"/>
        <v>94.667325675188238</v>
      </c>
    </row>
    <row r="56" spans="1:5" x14ac:dyDescent="0.35">
      <c r="A56" s="1">
        <v>40598</v>
      </c>
      <c r="C56">
        <f t="shared" si="0"/>
        <v>63.5713767473354</v>
      </c>
      <c r="D56" s="40">
        <f t="shared" si="1"/>
        <v>31.969307915280588</v>
      </c>
      <c r="E56" s="40">
        <f t="shared" si="2"/>
        <v>95.173445579390204</v>
      </c>
    </row>
    <row r="57" spans="1:5" x14ac:dyDescent="0.35">
      <c r="A57" s="1">
        <v>40599</v>
      </c>
      <c r="C57">
        <f t="shared" si="0"/>
        <v>63.827070370036637</v>
      </c>
      <c r="D57" s="40">
        <f t="shared" si="1"/>
        <v>31.972864324152855</v>
      </c>
      <c r="E57" s="40">
        <f t="shared" si="2"/>
        <v>95.681276415920422</v>
      </c>
    </row>
    <row r="58" spans="1:5" x14ac:dyDescent="0.35">
      <c r="A58" s="1">
        <v>40600</v>
      </c>
      <c r="C58">
        <f t="shared" si="0"/>
        <v>64.082763992737867</v>
      </c>
      <c r="D58" s="40">
        <f t="shared" si="1"/>
        <v>31.974723166009028</v>
      </c>
      <c r="E58" s="40">
        <f t="shared" si="2"/>
        <v>96.190804819466706</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27EA-2579-4BD9-ADE6-730227F811D0}">
  <dimension ref="A1:AB78"/>
  <sheetViews>
    <sheetView showGridLines="0" tabSelected="1" workbookViewId="0">
      <selection activeCell="K56" sqref="K56"/>
    </sheetView>
  </sheetViews>
  <sheetFormatPr defaultRowHeight="14.5" x14ac:dyDescent="0.35"/>
  <sheetData>
    <row r="1" spans="1:27" x14ac:dyDescent="0.35">
      <c r="A1" s="14"/>
      <c r="B1" s="14"/>
      <c r="C1" s="14"/>
      <c r="D1" s="14"/>
      <c r="E1" s="14"/>
      <c r="F1" s="14"/>
      <c r="G1" s="14"/>
      <c r="H1" s="14"/>
      <c r="I1" s="14"/>
      <c r="J1" s="14"/>
      <c r="K1" s="14"/>
      <c r="L1" s="14"/>
      <c r="M1" s="14"/>
      <c r="N1" s="14"/>
      <c r="O1" s="14"/>
      <c r="P1" s="14"/>
      <c r="Q1" s="14"/>
      <c r="R1" s="14"/>
      <c r="S1" s="14"/>
      <c r="T1" s="14"/>
      <c r="U1" s="14"/>
      <c r="V1" s="14"/>
      <c r="W1" s="14"/>
      <c r="X1" s="14"/>
      <c r="Y1" s="14"/>
      <c r="Z1" s="14"/>
      <c r="AA1" s="14"/>
    </row>
    <row r="2" spans="1:27"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row>
    <row r="3" spans="1:27"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row>
    <row r="4" spans="1:27" x14ac:dyDescent="0.35">
      <c r="A4" s="14"/>
      <c r="B4" s="14"/>
      <c r="C4" s="14"/>
      <c r="D4" s="14"/>
      <c r="E4" s="14"/>
      <c r="F4" s="14"/>
      <c r="G4" s="14"/>
      <c r="H4" s="14"/>
      <c r="I4" s="14"/>
      <c r="J4" s="14"/>
      <c r="K4" s="14"/>
      <c r="L4" s="14"/>
      <c r="M4" s="14"/>
      <c r="N4" s="14"/>
      <c r="O4" s="14"/>
      <c r="P4" s="14"/>
      <c r="Q4" s="14"/>
      <c r="R4" s="14"/>
      <c r="S4" s="14"/>
      <c r="T4" s="14"/>
      <c r="U4" s="14"/>
      <c r="V4" s="14"/>
      <c r="W4" s="14"/>
      <c r="X4" s="14"/>
      <c r="Y4" s="14"/>
      <c r="Z4" s="14"/>
      <c r="AA4" s="14"/>
    </row>
    <row r="5" spans="1:27"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row>
    <row r="6" spans="1:27" x14ac:dyDescent="0.35">
      <c r="A6" s="14"/>
      <c r="B6" s="14"/>
      <c r="C6" s="14"/>
      <c r="D6" s="14"/>
      <c r="E6" s="14"/>
      <c r="F6" s="14"/>
      <c r="G6" s="14"/>
      <c r="H6" s="14"/>
      <c r="I6" s="14"/>
      <c r="J6" s="14"/>
      <c r="K6" s="14"/>
      <c r="L6" s="14"/>
      <c r="M6" s="14"/>
      <c r="N6" s="14"/>
      <c r="O6" s="14"/>
      <c r="P6" s="14"/>
      <c r="Q6" s="14"/>
      <c r="R6" s="14"/>
      <c r="S6" s="14"/>
      <c r="T6" s="14"/>
      <c r="U6" s="14"/>
      <c r="V6" s="14"/>
      <c r="W6" s="14"/>
      <c r="X6" s="14"/>
      <c r="Y6" s="14"/>
      <c r="Z6" s="14"/>
      <c r="AA6" s="14"/>
    </row>
    <row r="7" spans="1:27" x14ac:dyDescent="0.35">
      <c r="A7" s="14"/>
      <c r="B7" s="14"/>
      <c r="C7" s="14"/>
      <c r="D7" s="14"/>
      <c r="E7" s="14"/>
      <c r="F7" s="14"/>
      <c r="G7" s="14"/>
      <c r="H7" s="14"/>
      <c r="I7" s="14"/>
      <c r="J7" s="14"/>
      <c r="K7" s="14"/>
      <c r="L7" s="14"/>
      <c r="M7" s="14"/>
      <c r="N7" s="14"/>
      <c r="O7" s="14"/>
      <c r="P7" s="14"/>
      <c r="Q7" s="14"/>
      <c r="R7" s="14"/>
      <c r="S7" s="14"/>
      <c r="T7" s="14"/>
      <c r="U7" s="14"/>
      <c r="V7" s="14"/>
      <c r="W7" s="14"/>
      <c r="X7" s="14"/>
      <c r="Y7" s="14"/>
      <c r="Z7" s="14"/>
      <c r="AA7" s="14"/>
    </row>
    <row r="8" spans="1:27" x14ac:dyDescent="0.35">
      <c r="A8" s="14"/>
      <c r="B8" s="14"/>
      <c r="C8" s="14"/>
      <c r="D8" s="14"/>
      <c r="E8" s="14"/>
      <c r="F8" s="14"/>
      <c r="G8" s="14"/>
      <c r="H8" s="14"/>
      <c r="I8" s="14"/>
      <c r="J8" s="14"/>
      <c r="K8" s="14"/>
      <c r="L8" s="14"/>
      <c r="M8" s="14"/>
      <c r="N8" s="14"/>
      <c r="O8" s="14"/>
      <c r="P8" s="14"/>
      <c r="Q8" s="14"/>
      <c r="R8" s="14"/>
      <c r="S8" s="14"/>
      <c r="T8" s="14"/>
      <c r="U8" s="14"/>
      <c r="V8" s="14"/>
      <c r="W8" s="14"/>
      <c r="X8" s="14"/>
      <c r="Y8" s="14"/>
      <c r="Z8" s="14"/>
      <c r="AA8" s="14"/>
    </row>
    <row r="9" spans="1:27" x14ac:dyDescent="0.35">
      <c r="A9" s="14"/>
      <c r="B9" s="14"/>
      <c r="C9" s="14"/>
      <c r="D9" s="14"/>
      <c r="E9" s="14"/>
      <c r="F9" s="14"/>
      <c r="G9" s="14"/>
      <c r="H9" s="14"/>
      <c r="I9" s="14"/>
      <c r="J9" s="14"/>
      <c r="K9" s="14"/>
      <c r="L9" s="14"/>
      <c r="M9" s="14"/>
      <c r="N9" s="14"/>
      <c r="O9" s="14"/>
      <c r="P9" s="14"/>
      <c r="Q9" s="14"/>
      <c r="R9" s="14"/>
      <c r="S9" s="14"/>
      <c r="T9" s="14"/>
      <c r="U9" s="14"/>
      <c r="V9" s="14"/>
      <c r="W9" s="14"/>
      <c r="X9" s="14"/>
      <c r="Y9" s="14"/>
      <c r="Z9" s="14"/>
      <c r="AA9" s="14"/>
    </row>
    <row r="10" spans="1:27" x14ac:dyDescent="0.3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1:27" x14ac:dyDescent="0.3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row>
    <row r="12" spans="1:27" x14ac:dyDescent="0.3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spans="1:27" x14ac:dyDescent="0.3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1:27" x14ac:dyDescent="0.3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1:27"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1:27"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1:27"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1:27"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spans="1:27"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spans="1:27"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spans="1:27"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spans="1:27"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spans="1:27"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1:27"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spans="1:27"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1:27"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1:27"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spans="1:27"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spans="1:27"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spans="1:27"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spans="1:27"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1:27"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1:27"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1:27"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1:27"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1:27" x14ac:dyDescent="0.3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x14ac:dyDescent="0.3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x14ac:dyDescent="0.3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1:27" x14ac:dyDescent="0.3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1:27" x14ac:dyDescent="0.3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1:27" x14ac:dyDescent="0.3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1:27" x14ac:dyDescent="0.3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1:28" x14ac:dyDescent="0.3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8" x14ac:dyDescent="0.3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1:28" x14ac:dyDescent="0.3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1:28" x14ac:dyDescent="0.3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spans="1:28" x14ac:dyDescent="0.3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spans="1:28" x14ac:dyDescent="0.3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spans="1:28" x14ac:dyDescent="0.3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spans="1:28" x14ac:dyDescent="0.3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spans="1:28" x14ac:dyDescent="0.3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spans="1:28" x14ac:dyDescent="0.3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spans="1:28" x14ac:dyDescent="0.3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spans="1:28" x14ac:dyDescent="0.3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spans="1:28" x14ac:dyDescent="0.3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spans="1:28" x14ac:dyDescent="0.3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spans="1:28" x14ac:dyDescent="0.3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spans="1:28" x14ac:dyDescent="0.3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spans="1:28" x14ac:dyDescent="0.3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spans="1:28" x14ac:dyDescent="0.3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spans="1:28" x14ac:dyDescent="0.3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spans="1:28" x14ac:dyDescent="0.3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spans="1:28" x14ac:dyDescent="0.3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spans="1:28" x14ac:dyDescent="0.3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spans="1:28" x14ac:dyDescent="0.3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spans="1:28" x14ac:dyDescent="0.3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spans="1:28" x14ac:dyDescent="0.3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spans="1:28" x14ac:dyDescent="0.3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spans="1:28" x14ac:dyDescent="0.3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spans="1:28"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spans="1:28" x14ac:dyDescent="0.3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spans="1:28" x14ac:dyDescent="0.3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AF502-2E5F-447F-8DBB-107C3CDCAFE1}">
  <dimension ref="A1:BW51"/>
  <sheetViews>
    <sheetView topLeftCell="V1" workbookViewId="0">
      <selection activeCell="X3" sqref="X3"/>
    </sheetView>
  </sheetViews>
  <sheetFormatPr defaultRowHeight="14.5" x14ac:dyDescent="0.35"/>
  <cols>
    <col min="1" max="1" width="12.36328125" bestFit="1" customWidth="1"/>
    <col min="2" max="2" width="22.08984375" bestFit="1" customWidth="1"/>
    <col min="3" max="3" width="25.90625" bestFit="1" customWidth="1"/>
    <col min="4" max="4" width="20.90625" bestFit="1" customWidth="1"/>
    <col min="22" max="22" width="12.36328125" bestFit="1" customWidth="1"/>
    <col min="23" max="23" width="22.08984375" bestFit="1" customWidth="1"/>
    <col min="24" max="24" width="12.36328125" bestFit="1" customWidth="1"/>
    <col min="25" max="25" width="25.26953125" bestFit="1" customWidth="1"/>
    <col min="26" max="26" width="29" bestFit="1" customWidth="1"/>
    <col min="27" max="27" width="24.08984375" bestFit="1" customWidth="1"/>
    <col min="28" max="28" width="12.36328125" bestFit="1" customWidth="1"/>
    <col min="29" max="29" width="22.08984375" bestFit="1" customWidth="1"/>
    <col min="30" max="31" width="25.90625" bestFit="1" customWidth="1"/>
    <col min="34" max="34" width="12.36328125" bestFit="1" customWidth="1"/>
    <col min="35" max="35" width="24.08984375" bestFit="1" customWidth="1"/>
    <col min="36" max="36" width="25.26953125" bestFit="1" customWidth="1"/>
    <col min="37" max="37" width="29" bestFit="1" customWidth="1"/>
  </cols>
  <sheetData>
    <row r="1" spans="1:75" x14ac:dyDescent="0.35">
      <c r="A1" s="55" t="s">
        <v>1</v>
      </c>
      <c r="B1" t="s">
        <v>72</v>
      </c>
      <c r="C1" t="s">
        <v>73</v>
      </c>
      <c r="D1" t="s">
        <v>112</v>
      </c>
    </row>
    <row r="2" spans="1:75" x14ac:dyDescent="0.35">
      <c r="A2" s="56" t="s">
        <v>79</v>
      </c>
      <c r="B2">
        <v>62</v>
      </c>
      <c r="C2">
        <v>247</v>
      </c>
      <c r="D2">
        <v>249</v>
      </c>
      <c r="AD2" s="55" t="s">
        <v>115</v>
      </c>
    </row>
    <row r="3" spans="1:75" x14ac:dyDescent="0.35">
      <c r="A3" s="56" t="s">
        <v>80</v>
      </c>
      <c r="B3">
        <v>51</v>
      </c>
      <c r="C3">
        <v>233</v>
      </c>
      <c r="D3">
        <v>238</v>
      </c>
      <c r="AD3" t="s">
        <v>116</v>
      </c>
      <c r="AE3" t="s">
        <v>117</v>
      </c>
      <c r="AF3" t="s">
        <v>118</v>
      </c>
      <c r="AG3" t="s">
        <v>119</v>
      </c>
      <c r="AH3" t="s">
        <v>120</v>
      </c>
      <c r="AI3" t="s">
        <v>121</v>
      </c>
      <c r="AJ3" t="s">
        <v>122</v>
      </c>
      <c r="AK3" t="s">
        <v>123</v>
      </c>
      <c r="AL3" t="s">
        <v>124</v>
      </c>
      <c r="AM3" t="s">
        <v>125</v>
      </c>
      <c r="AN3" t="s">
        <v>126</v>
      </c>
      <c r="AO3" t="s">
        <v>127</v>
      </c>
      <c r="AP3" t="s">
        <v>128</v>
      </c>
      <c r="AQ3" t="s">
        <v>129</v>
      </c>
      <c r="AR3" t="s">
        <v>130</v>
      </c>
      <c r="AS3" t="s">
        <v>131</v>
      </c>
      <c r="AT3" t="s">
        <v>132</v>
      </c>
      <c r="AU3" t="s">
        <v>133</v>
      </c>
      <c r="AV3" t="s">
        <v>134</v>
      </c>
      <c r="AW3" t="s">
        <v>135</v>
      </c>
      <c r="AX3" t="s">
        <v>136</v>
      </c>
      <c r="AY3" t="s">
        <v>137</v>
      </c>
      <c r="AZ3" t="s">
        <v>138</v>
      </c>
      <c r="BA3" t="s">
        <v>139</v>
      </c>
      <c r="BB3" t="s">
        <v>140</v>
      </c>
      <c r="BC3" t="s">
        <v>141</v>
      </c>
      <c r="BD3" t="s">
        <v>142</v>
      </c>
      <c r="BE3" t="s">
        <v>143</v>
      </c>
      <c r="BF3" t="s">
        <v>144</v>
      </c>
      <c r="BG3" t="s">
        <v>145</v>
      </c>
      <c r="BH3" t="s">
        <v>146</v>
      </c>
      <c r="BI3" t="s">
        <v>147</v>
      </c>
      <c r="BJ3" t="s">
        <v>148</v>
      </c>
      <c r="BK3" t="s">
        <v>149</v>
      </c>
      <c r="BL3" t="s">
        <v>150</v>
      </c>
      <c r="BM3" t="s">
        <v>151</v>
      </c>
      <c r="BN3" t="s">
        <v>152</v>
      </c>
      <c r="BO3" t="s">
        <v>153</v>
      </c>
      <c r="BP3" t="s">
        <v>154</v>
      </c>
      <c r="BQ3" t="s">
        <v>155</v>
      </c>
      <c r="BR3" t="s">
        <v>156</v>
      </c>
      <c r="BS3" t="s">
        <v>157</v>
      </c>
      <c r="BT3" t="s">
        <v>158</v>
      </c>
      <c r="BU3" t="s">
        <v>159</v>
      </c>
      <c r="BV3" t="s">
        <v>160</v>
      </c>
      <c r="BW3" t="s">
        <v>0</v>
      </c>
    </row>
    <row r="4" spans="1:75" x14ac:dyDescent="0.35">
      <c r="A4" s="56" t="s">
        <v>81</v>
      </c>
      <c r="B4">
        <v>1</v>
      </c>
      <c r="C4">
        <v>35</v>
      </c>
      <c r="D4">
        <v>36</v>
      </c>
      <c r="AC4" t="s">
        <v>71</v>
      </c>
      <c r="AD4" s="147">
        <v>985</v>
      </c>
      <c r="AE4" s="147">
        <v>801</v>
      </c>
      <c r="AF4" s="147">
        <v>1349</v>
      </c>
      <c r="AG4" s="147">
        <v>1562</v>
      </c>
      <c r="AH4" s="147">
        <v>1600</v>
      </c>
      <c r="AI4" s="147">
        <v>1606</v>
      </c>
      <c r="AJ4" s="147">
        <v>1510</v>
      </c>
      <c r="AK4" s="147">
        <v>959</v>
      </c>
      <c r="AL4" s="147">
        <v>822</v>
      </c>
      <c r="AM4" s="147">
        <v>1321</v>
      </c>
      <c r="AN4" s="147">
        <v>1263</v>
      </c>
      <c r="AO4" s="147">
        <v>1162</v>
      </c>
      <c r="AP4" s="147">
        <v>1406</v>
      </c>
      <c r="AQ4" s="147">
        <v>1421</v>
      </c>
      <c r="AR4" s="147">
        <v>1248</v>
      </c>
      <c r="AS4" s="147">
        <v>1204</v>
      </c>
      <c r="AT4" s="147">
        <v>1000</v>
      </c>
      <c r="AU4" s="147">
        <v>683</v>
      </c>
      <c r="AV4" s="147">
        <v>1650</v>
      </c>
      <c r="AW4" s="147">
        <v>1927</v>
      </c>
      <c r="AX4" s="147">
        <v>1543</v>
      </c>
      <c r="AY4" s="147">
        <v>981</v>
      </c>
      <c r="AZ4" s="147">
        <v>986</v>
      </c>
      <c r="BA4" s="147">
        <v>1416</v>
      </c>
      <c r="BB4" s="147">
        <v>1985</v>
      </c>
      <c r="BC4" s="147">
        <v>506</v>
      </c>
      <c r="BD4" s="147">
        <v>431</v>
      </c>
      <c r="BE4" s="147">
        <v>1167</v>
      </c>
      <c r="BF4" s="147">
        <v>1098</v>
      </c>
      <c r="BG4" s="147">
        <v>1096</v>
      </c>
      <c r="BH4" s="147">
        <v>1501</v>
      </c>
      <c r="BI4" s="147">
        <v>1360</v>
      </c>
      <c r="BJ4" s="147">
        <v>1526</v>
      </c>
      <c r="BK4" s="147">
        <v>1550</v>
      </c>
      <c r="BL4" s="147">
        <v>1708</v>
      </c>
      <c r="BM4" s="147">
        <v>1005</v>
      </c>
      <c r="BN4" s="147">
        <v>1623</v>
      </c>
      <c r="BO4" s="147">
        <v>1712</v>
      </c>
      <c r="BP4" s="147">
        <v>1530</v>
      </c>
      <c r="BQ4" s="147">
        <v>1605</v>
      </c>
      <c r="BR4" s="147">
        <v>1538</v>
      </c>
      <c r="BS4" s="147">
        <v>1746</v>
      </c>
      <c r="BT4" s="147">
        <v>1472</v>
      </c>
      <c r="BU4" s="147">
        <v>1589</v>
      </c>
      <c r="BV4" s="147">
        <v>151</v>
      </c>
      <c r="BW4" s="147">
        <v>58304</v>
      </c>
    </row>
    <row r="5" spans="1:75" x14ac:dyDescent="0.35">
      <c r="A5" s="56" t="s">
        <v>82</v>
      </c>
      <c r="B5">
        <v>19</v>
      </c>
      <c r="C5">
        <v>154</v>
      </c>
      <c r="D5">
        <v>155</v>
      </c>
    </row>
    <row r="6" spans="1:75" x14ac:dyDescent="0.35">
      <c r="A6" s="56" t="s">
        <v>0</v>
      </c>
      <c r="B6">
        <v>62</v>
      </c>
      <c r="C6">
        <v>247</v>
      </c>
      <c r="D6">
        <v>249</v>
      </c>
      <c r="T6" s="57"/>
    </row>
    <row r="7" spans="1:75" x14ac:dyDescent="0.35">
      <c r="AH7" s="55" t="s">
        <v>1</v>
      </c>
      <c r="AI7" t="s">
        <v>76</v>
      </c>
      <c r="AJ7" t="s">
        <v>74</v>
      </c>
      <c r="AK7" t="s">
        <v>75</v>
      </c>
    </row>
    <row r="8" spans="1:75" x14ac:dyDescent="0.35">
      <c r="AH8" s="56">
        <v>5</v>
      </c>
      <c r="AI8">
        <v>4.2051282051282053</v>
      </c>
      <c r="AJ8">
        <v>7.6923076923076927E-2</v>
      </c>
      <c r="AK8">
        <v>4.1282051282051286</v>
      </c>
    </row>
    <row r="9" spans="1:75" x14ac:dyDescent="0.35">
      <c r="V9" s="55" t="s">
        <v>1</v>
      </c>
      <c r="W9" t="s">
        <v>69</v>
      </c>
      <c r="X9" t="s">
        <v>70</v>
      </c>
      <c r="Y9" t="s">
        <v>111</v>
      </c>
      <c r="Z9" t="s">
        <v>71</v>
      </c>
      <c r="AB9" s="147" t="e" vm="1">
        <v>#VALUE!</v>
      </c>
      <c r="AH9" s="56" t="s">
        <v>0</v>
      </c>
      <c r="AI9">
        <v>4.2051282051282053</v>
      </c>
      <c r="AJ9">
        <v>7.6923076923076927E-2</v>
      </c>
      <c r="AK9">
        <v>4.1282051282051286</v>
      </c>
    </row>
    <row r="10" spans="1:75" x14ac:dyDescent="0.35">
      <c r="V10" s="56" t="s">
        <v>19</v>
      </c>
      <c r="W10">
        <v>534</v>
      </c>
      <c r="X10">
        <v>7916</v>
      </c>
      <c r="Y10">
        <v>28.039999999999988</v>
      </c>
      <c r="Z10">
        <v>8450</v>
      </c>
    </row>
    <row r="11" spans="1:75" x14ac:dyDescent="0.35">
      <c r="V11" s="56" t="s">
        <v>20</v>
      </c>
      <c r="W11">
        <v>457</v>
      </c>
      <c r="X11">
        <v>7926</v>
      </c>
      <c r="Y11">
        <v>25.779999999999994</v>
      </c>
      <c r="Z11">
        <v>8383</v>
      </c>
    </row>
    <row r="12" spans="1:75" x14ac:dyDescent="0.35">
      <c r="V12" s="56" t="s">
        <v>21</v>
      </c>
      <c r="W12">
        <v>344</v>
      </c>
      <c r="X12">
        <v>7705</v>
      </c>
      <c r="Y12">
        <v>28.559999999999967</v>
      </c>
      <c r="Z12">
        <v>8049</v>
      </c>
    </row>
    <row r="13" spans="1:75" x14ac:dyDescent="0.35">
      <c r="V13" s="56" t="s">
        <v>22</v>
      </c>
      <c r="W13">
        <v>332</v>
      </c>
      <c r="X13">
        <v>8126</v>
      </c>
      <c r="Y13">
        <v>24.12</v>
      </c>
      <c r="Z13">
        <v>8458</v>
      </c>
    </row>
    <row r="14" spans="1:75" x14ac:dyDescent="0.35">
      <c r="V14" s="56" t="s">
        <v>23</v>
      </c>
      <c r="W14">
        <v>552</v>
      </c>
      <c r="X14">
        <v>8543</v>
      </c>
      <c r="Y14">
        <v>26.179999999999986</v>
      </c>
      <c r="Z14">
        <v>9095</v>
      </c>
    </row>
    <row r="15" spans="1:75" x14ac:dyDescent="0.35">
      <c r="V15" s="56" t="s">
        <v>24</v>
      </c>
      <c r="W15">
        <v>1225</v>
      </c>
      <c r="X15">
        <v>6523</v>
      </c>
      <c r="Y15">
        <v>34.639999999999972</v>
      </c>
      <c r="Z15">
        <v>7748</v>
      </c>
    </row>
    <row r="16" spans="1:75" x14ac:dyDescent="0.35">
      <c r="V16" s="56" t="s">
        <v>25</v>
      </c>
      <c r="W16">
        <v>1477</v>
      </c>
      <c r="X16">
        <v>6644</v>
      </c>
      <c r="Y16">
        <v>38.580000000000013</v>
      </c>
      <c r="Z16">
        <v>8121</v>
      </c>
      <c r="AB16" s="55" t="s">
        <v>1</v>
      </c>
      <c r="AC16" t="s">
        <v>72</v>
      </c>
      <c r="AD16" t="s">
        <v>73</v>
      </c>
    </row>
    <row r="17" spans="22:30" x14ac:dyDescent="0.35">
      <c r="V17" s="56" t="s">
        <v>0</v>
      </c>
      <c r="W17">
        <v>4921</v>
      </c>
      <c r="X17">
        <v>53383</v>
      </c>
      <c r="Y17">
        <v>205.89999999999989</v>
      </c>
      <c r="Z17">
        <v>58304</v>
      </c>
      <c r="AB17" s="56" t="s">
        <v>19</v>
      </c>
      <c r="AC17" s="147">
        <v>21</v>
      </c>
      <c r="AD17" s="147">
        <v>223</v>
      </c>
    </row>
    <row r="18" spans="22:30" x14ac:dyDescent="0.35">
      <c r="AB18" s="56" t="s">
        <v>20</v>
      </c>
      <c r="AC18" s="147">
        <v>21</v>
      </c>
      <c r="AD18" s="147">
        <v>236</v>
      </c>
    </row>
    <row r="19" spans="22:30" x14ac:dyDescent="0.35">
      <c r="AB19" s="56" t="s">
        <v>21</v>
      </c>
      <c r="AC19" s="147">
        <v>12</v>
      </c>
      <c r="AD19" s="147">
        <v>198</v>
      </c>
    </row>
    <row r="20" spans="22:30" x14ac:dyDescent="0.35">
      <c r="AB20" s="56" t="s">
        <v>22</v>
      </c>
      <c r="AC20" s="147">
        <v>12</v>
      </c>
      <c r="AD20" s="147">
        <v>247</v>
      </c>
    </row>
    <row r="21" spans="22:30" x14ac:dyDescent="0.35">
      <c r="AB21" s="56" t="s">
        <v>23</v>
      </c>
      <c r="AC21" s="147">
        <v>21</v>
      </c>
      <c r="AD21" s="147">
        <v>217</v>
      </c>
    </row>
    <row r="22" spans="22:30" x14ac:dyDescent="0.35">
      <c r="AB22" s="56" t="s">
        <v>24</v>
      </c>
      <c r="AC22" s="147">
        <v>47</v>
      </c>
      <c r="AD22" s="147">
        <v>127</v>
      </c>
    </row>
    <row r="23" spans="22:30" x14ac:dyDescent="0.35">
      <c r="AB23" s="56" t="s">
        <v>25</v>
      </c>
      <c r="AC23" s="147">
        <v>62</v>
      </c>
      <c r="AD23" s="147">
        <v>135</v>
      </c>
    </row>
    <row r="24" spans="22:30" x14ac:dyDescent="0.35">
      <c r="AB24" s="56" t="s">
        <v>0</v>
      </c>
      <c r="AC24" s="147">
        <v>62</v>
      </c>
      <c r="AD24" s="147">
        <v>247</v>
      </c>
    </row>
    <row r="26" spans="22:30" x14ac:dyDescent="0.35">
      <c r="X26" s="55" t="s">
        <v>1</v>
      </c>
      <c r="Y26" t="s">
        <v>74</v>
      </c>
      <c r="Z26" t="s">
        <v>75</v>
      </c>
      <c r="AA26" t="s">
        <v>76</v>
      </c>
    </row>
    <row r="27" spans="22:30" x14ac:dyDescent="0.35">
      <c r="X27" s="56">
        <v>0</v>
      </c>
      <c r="Y27">
        <v>1.7209302325581395</v>
      </c>
      <c r="Z27">
        <v>14.627906976744185</v>
      </c>
      <c r="AA27">
        <v>16.348837209302324</v>
      </c>
    </row>
    <row r="28" spans="22:30" x14ac:dyDescent="0.35">
      <c r="X28" s="56">
        <v>1</v>
      </c>
      <c r="Y28">
        <v>1.1162790697674418</v>
      </c>
      <c r="Z28">
        <v>9.5813953488372086</v>
      </c>
      <c r="AA28">
        <v>10.697674418604651</v>
      </c>
    </row>
    <row r="29" spans="22:30" x14ac:dyDescent="0.35">
      <c r="X29" s="56">
        <v>2</v>
      </c>
      <c r="Y29">
        <v>0.80487804878048785</v>
      </c>
      <c r="Z29">
        <v>6.3658536585365857</v>
      </c>
      <c r="AA29">
        <v>7.1707317073170733</v>
      </c>
    </row>
    <row r="30" spans="22:30" x14ac:dyDescent="0.35">
      <c r="X30" s="56">
        <v>3</v>
      </c>
      <c r="Y30">
        <v>1.096774193548387</v>
      </c>
      <c r="Z30">
        <v>3.774193548387097</v>
      </c>
      <c r="AA30">
        <v>4.870967741935484</v>
      </c>
    </row>
    <row r="31" spans="22:30" x14ac:dyDescent="0.35">
      <c r="X31" s="56">
        <v>4</v>
      </c>
      <c r="Y31">
        <v>0.21875</v>
      </c>
      <c r="Z31">
        <v>1.9375</v>
      </c>
      <c r="AA31">
        <v>2.15625</v>
      </c>
    </row>
    <row r="32" spans="22:30" x14ac:dyDescent="0.35">
      <c r="X32" s="56">
        <v>5</v>
      </c>
      <c r="Y32">
        <v>7.6923076923076927E-2</v>
      </c>
      <c r="Z32">
        <v>4.1282051282051286</v>
      </c>
      <c r="AA32">
        <v>4.2051282051282053</v>
      </c>
    </row>
    <row r="33" spans="24:27" x14ac:dyDescent="0.35">
      <c r="X33" s="56">
        <v>6</v>
      </c>
      <c r="Y33">
        <v>0.5</v>
      </c>
      <c r="Z33">
        <v>19.071428571428573</v>
      </c>
      <c r="AA33">
        <v>19.571428571428573</v>
      </c>
    </row>
    <row r="34" spans="24:27" x14ac:dyDescent="0.35">
      <c r="X34" s="56">
        <v>7</v>
      </c>
      <c r="Y34">
        <v>1.4883720930232558</v>
      </c>
      <c r="Z34">
        <v>52.906976744186046</v>
      </c>
      <c r="AA34">
        <v>54.395348837209305</v>
      </c>
    </row>
    <row r="35" spans="24:27" x14ac:dyDescent="0.35">
      <c r="X35" s="56">
        <v>8</v>
      </c>
      <c r="Y35">
        <v>3.0238095238095237</v>
      </c>
      <c r="Z35">
        <v>125.26190476190476</v>
      </c>
      <c r="AA35">
        <v>128.28571428571428</v>
      </c>
    </row>
    <row r="36" spans="24:27" x14ac:dyDescent="0.35">
      <c r="X36" s="56">
        <v>9</v>
      </c>
      <c r="Y36">
        <v>4.0952380952380949</v>
      </c>
      <c r="Z36">
        <v>83.333333333333329</v>
      </c>
      <c r="AA36">
        <v>87.428571428571431</v>
      </c>
    </row>
    <row r="37" spans="24:27" x14ac:dyDescent="0.35">
      <c r="X37" s="56">
        <v>10</v>
      </c>
      <c r="Y37">
        <v>5.1428571428571432</v>
      </c>
      <c r="Z37">
        <v>48.5</v>
      </c>
      <c r="AA37">
        <v>53.642857142857146</v>
      </c>
    </row>
    <row r="38" spans="24:27" x14ac:dyDescent="0.35">
      <c r="X38" s="56">
        <v>11</v>
      </c>
      <c r="Y38">
        <v>8.7380952380952372</v>
      </c>
      <c r="Z38">
        <v>50.642857142857146</v>
      </c>
      <c r="AA38">
        <v>59.38095238095238</v>
      </c>
    </row>
    <row r="39" spans="24:27" x14ac:dyDescent="0.35">
      <c r="X39" s="56">
        <v>12</v>
      </c>
      <c r="Y39">
        <v>11.209302325581396</v>
      </c>
      <c r="Z39">
        <v>65.139534883720927</v>
      </c>
      <c r="AA39">
        <v>76.348837209302332</v>
      </c>
    </row>
    <row r="40" spans="24:27" x14ac:dyDescent="0.35">
      <c r="X40" s="56">
        <v>13</v>
      </c>
      <c r="Y40">
        <v>11.930232558139535</v>
      </c>
      <c r="Z40">
        <v>66.581395348837205</v>
      </c>
      <c r="AA40">
        <v>78.511627906976742</v>
      </c>
    </row>
    <row r="41" spans="24:27" x14ac:dyDescent="0.35">
      <c r="X41" s="56">
        <v>14</v>
      </c>
      <c r="Y41">
        <v>10.837209302325581</v>
      </c>
      <c r="Z41">
        <v>63.581395348837212</v>
      </c>
      <c r="AA41">
        <v>74.418604651162795</v>
      </c>
    </row>
    <row r="42" spans="24:27" x14ac:dyDescent="0.35">
      <c r="X42" s="56">
        <v>15</v>
      </c>
      <c r="Y42">
        <v>12.465116279069768</v>
      </c>
      <c r="Z42">
        <v>65.488372093023258</v>
      </c>
      <c r="AA42">
        <v>77.95348837209302</v>
      </c>
    </row>
    <row r="43" spans="24:27" x14ac:dyDescent="0.35">
      <c r="X43" s="56">
        <v>16</v>
      </c>
      <c r="Y43">
        <v>11.204545454545455</v>
      </c>
      <c r="Z43">
        <v>78.068181818181813</v>
      </c>
      <c r="AA43">
        <v>89.272727272727266</v>
      </c>
    </row>
    <row r="44" spans="24:27" x14ac:dyDescent="0.35">
      <c r="X44" s="56">
        <v>17</v>
      </c>
      <c r="Y44">
        <v>8.9772727272727266</v>
      </c>
      <c r="Z44">
        <v>131.22727272727272</v>
      </c>
      <c r="AA44">
        <v>140.20454545454547</v>
      </c>
    </row>
    <row r="45" spans="24:27" x14ac:dyDescent="0.35">
      <c r="X45" s="56">
        <v>18</v>
      </c>
      <c r="Y45">
        <v>5.1627906976744189</v>
      </c>
      <c r="Z45">
        <v>117.69767441860465</v>
      </c>
      <c r="AA45">
        <v>122.86046511627907</v>
      </c>
    </row>
    <row r="46" spans="24:27" x14ac:dyDescent="0.35">
      <c r="X46" s="56">
        <v>19</v>
      </c>
      <c r="Y46">
        <v>4.3488372093023253</v>
      </c>
      <c r="Z46">
        <v>80.79069767441861</v>
      </c>
      <c r="AA46">
        <v>85.139534883720927</v>
      </c>
    </row>
    <row r="47" spans="24:27" x14ac:dyDescent="0.35">
      <c r="X47" s="56">
        <v>20</v>
      </c>
      <c r="Y47">
        <v>3.2558139534883721</v>
      </c>
      <c r="Z47">
        <v>58.511627906976742</v>
      </c>
      <c r="AA47">
        <v>61.767441860465119</v>
      </c>
    </row>
    <row r="48" spans="24:27" x14ac:dyDescent="0.35">
      <c r="X48" s="56">
        <v>21</v>
      </c>
      <c r="Y48">
        <v>2.7209302325581395</v>
      </c>
      <c r="Z48">
        <v>43.697674418604649</v>
      </c>
      <c r="AA48">
        <v>46.418604651162788</v>
      </c>
    </row>
    <row r="49" spans="24:27" x14ac:dyDescent="0.35">
      <c r="X49" s="56">
        <v>22</v>
      </c>
      <c r="Y49">
        <v>2.3953488372093021</v>
      </c>
      <c r="Z49">
        <v>32.674418604651166</v>
      </c>
      <c r="AA49">
        <v>35.069767441860463</v>
      </c>
    </row>
    <row r="50" spans="24:27" x14ac:dyDescent="0.35">
      <c r="X50" s="56">
        <v>23</v>
      </c>
      <c r="Y50">
        <v>2.3488372093023258</v>
      </c>
      <c r="Z50">
        <v>22.837209302325583</v>
      </c>
      <c r="AA50">
        <v>25.186046511627907</v>
      </c>
    </row>
    <row r="51" spans="24:27" x14ac:dyDescent="0.35">
      <c r="X51" s="56" t="s">
        <v>0</v>
      </c>
      <c r="Y51">
        <v>4.9210000000000003</v>
      </c>
      <c r="Z51">
        <v>53.383000000000003</v>
      </c>
      <c r="AA51">
        <v>58.304000000000002</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71331C-9C2F-48AC-81FB-4E4AF9998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dataset_1 </vt:lpstr>
      <vt:lpstr>dataset_2 </vt:lpstr>
      <vt:lpstr>Merge2</vt:lpstr>
      <vt:lpstr>dataset_3</vt:lpstr>
      <vt:lpstr>FINAL_SHEET</vt:lpstr>
      <vt:lpstr>HEATMAP CORRELATION</vt:lpstr>
      <vt:lpstr>EXTRACT DATA SHEET</vt:lpstr>
      <vt:lpstr>PIVOT TABLE ANALYSIS</vt:lpstr>
      <vt:lpstr>PIVOT CHART ANALYSIS</vt:lpstr>
      <vt:lpstr>CORELATION CHART</vt:lpstr>
      <vt:lpstr>ANAMOLY SHEET</vt:lpstr>
      <vt:lpstr>FORECAST_SHEET</vt:lpstr>
      <vt:lpstr>DASHBOARD</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Kishore</dc:creator>
  <cp:lastModifiedBy>Kishore, Amit (किशोर, अमित)</cp:lastModifiedBy>
  <dcterms:created xsi:type="dcterms:W3CDTF">2015-06-05T18:17:20Z</dcterms:created>
  <dcterms:modified xsi:type="dcterms:W3CDTF">2026-10-10T13:38:16Z</dcterms:modified>
</cp:coreProperties>
</file>